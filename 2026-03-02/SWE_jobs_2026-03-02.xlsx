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in-3defda1af19e0e19</t>
        </is>
      </c>
      <c r="B2" t="inlineStr">
        <is>
          <t>Software Engineer</t>
        </is>
      </c>
      <c r="C2" t="inlineStr">
        <is>
          <t>Amazon.com</t>
        </is>
      </c>
      <c r="D2" t="inlineStr">
        <is>
          <t>indeed</t>
        </is>
      </c>
      <c r="E2" t="inlineStr"/>
      <c r="F2" t="inlineStr"/>
      <c r="G2" t="inlineStr">
        <is>
          <t>Seattle, WA, US</t>
        </is>
      </c>
      <c r="H2" s="1" t="n">
        <v>46008</v>
      </c>
      <c r="I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in-56f5af4e66a8af5b</t>
        </is>
      </c>
      <c r="B3" t="inlineStr">
        <is>
          <t>Software Engineer</t>
        </is>
      </c>
      <c r="C3" t="inlineStr">
        <is>
          <t>Amazon.com</t>
        </is>
      </c>
      <c r="D3" t="inlineStr">
        <is>
          <t>indeed</t>
        </is>
      </c>
      <c r="E3" t="inlineStr"/>
      <c r="F3" t="inlineStr"/>
      <c r="G3" t="inlineStr">
        <is>
          <t>San Francisco, CA, US</t>
        </is>
      </c>
      <c r="H3" s="1" t="n">
        <v>46008</v>
      </c>
      <c r="I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in-b411812d0c7ff569</t>
        </is>
      </c>
      <c r="B4" t="inlineStr">
        <is>
          <t>Software Engineer I</t>
        </is>
      </c>
      <c r="C4" t="inlineStr">
        <is>
          <t>Amazon.com</t>
        </is>
      </c>
      <c r="D4" t="inlineStr">
        <is>
          <t>indeed</t>
        </is>
      </c>
      <c r="E4" t="inlineStr"/>
      <c r="F4" t="inlineStr"/>
      <c r="G4" t="inlineStr">
        <is>
          <t>San Francisco, CA, US</t>
        </is>
      </c>
      <c r="H4" s="1" t="n">
        <v>45946</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in-738cf4b9730a7c67</t>
        </is>
      </c>
      <c r="B5" t="inlineStr">
        <is>
          <t>Software Engineer I</t>
        </is>
      </c>
      <c r="C5" t="inlineStr">
        <is>
          <t>Amazon.com</t>
        </is>
      </c>
      <c r="D5" t="inlineStr">
        <is>
          <t>indeed</t>
        </is>
      </c>
      <c r="E5" t="inlineStr"/>
      <c r="F5" t="inlineStr"/>
      <c r="G5" t="inlineStr">
        <is>
          <t>Irvine, CA, US</t>
        </is>
      </c>
      <c r="H5" s="1" t="n">
        <v>45946</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in-8397b9c98b76eead</t>
        </is>
      </c>
      <c r="B6" t="inlineStr">
        <is>
          <t>Software Engineer II</t>
        </is>
      </c>
      <c r="C6" t="inlineStr">
        <is>
          <t>Amazon.com</t>
        </is>
      </c>
      <c r="D6" t="inlineStr">
        <is>
          <t>indeed</t>
        </is>
      </c>
      <c r="E6" t="inlineStr"/>
      <c r="F6" t="inlineStr"/>
      <c r="G6" t="inlineStr">
        <is>
          <t>San Francisco, CA, US</t>
        </is>
      </c>
      <c r="H6" s="1" t="n">
        <v>45938</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in-5a1e60ad0b18a0d3</t>
        </is>
      </c>
      <c r="B7" t="inlineStr">
        <is>
          <t>Software Engineer II</t>
        </is>
      </c>
      <c r="C7" t="inlineStr">
        <is>
          <t>Amazon.com</t>
        </is>
      </c>
      <c r="D7" t="inlineStr">
        <is>
          <t>indeed</t>
        </is>
      </c>
      <c r="E7" t="inlineStr"/>
      <c r="F7" t="inlineStr"/>
      <c r="G7" t="inlineStr">
        <is>
          <t>Irvine, CA, US</t>
        </is>
      </c>
      <c r="H7" s="1" t="n">
        <v>45938</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in-408a85929623a1ca</t>
        </is>
      </c>
      <c r="B8" t="inlineStr">
        <is>
          <t>Software Engineer II</t>
        </is>
      </c>
      <c r="C8" t="inlineStr">
        <is>
          <t>Amazon.com</t>
        </is>
      </c>
      <c r="D8" t="inlineStr">
        <is>
          <t>indeed</t>
        </is>
      </c>
      <c r="E8" t="inlineStr"/>
      <c r="F8" t="inlineStr"/>
      <c r="G8" t="inlineStr">
        <is>
          <t>Irvine, CA, US</t>
        </is>
      </c>
      <c r="H8" s="1" t="n">
        <v>45938</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in-166fb4cd075376fa</t>
        </is>
      </c>
      <c r="B9" t="inlineStr">
        <is>
          <t>Software Engineer II</t>
        </is>
      </c>
      <c r="C9" t="inlineStr">
        <is>
          <t>Amazon.com</t>
        </is>
      </c>
      <c r="D9" t="inlineStr">
        <is>
          <t>indeed</t>
        </is>
      </c>
      <c r="E9" t="inlineStr"/>
      <c r="F9" t="inlineStr"/>
      <c r="G9" t="inlineStr">
        <is>
          <t>Culver City, CA, US</t>
        </is>
      </c>
      <c r="H9" s="1" t="n">
        <v>45938</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in-135a97cebea63884</t>
        </is>
      </c>
      <c r="B10" t="inlineStr">
        <is>
          <t>Software Engineer II</t>
        </is>
      </c>
      <c r="C10" t="inlineStr">
        <is>
          <t>Amazon.com</t>
        </is>
      </c>
      <c r="D10" t="inlineStr">
        <is>
          <t>indeed</t>
        </is>
      </c>
      <c r="E10" t="inlineStr"/>
      <c r="F10" t="inlineStr"/>
      <c r="G10" t="inlineStr">
        <is>
          <t>San Francisco, CA, US</t>
        </is>
      </c>
      <c r="H10" s="1" t="n">
        <v>45938</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in-2694bbd3cd24c7a2</t>
        </is>
      </c>
      <c r="B11" t="inlineStr">
        <is>
          <t>Software Engineer II</t>
        </is>
      </c>
      <c r="C11" t="inlineStr">
        <is>
          <t>Amazon.com</t>
        </is>
      </c>
      <c r="D11" t="inlineStr">
        <is>
          <t>indeed</t>
        </is>
      </c>
      <c r="E11" t="inlineStr"/>
      <c r="F11" t="inlineStr"/>
      <c r="G11" t="inlineStr">
        <is>
          <t>San Francisco, CA, US</t>
        </is>
      </c>
      <c r="H11" s="1" t="n">
        <v>45921</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in-684ddc347623b72c</t>
        </is>
      </c>
      <c r="B12" t="inlineStr">
        <is>
          <t>Software Engineer II</t>
        </is>
      </c>
      <c r="C12" t="inlineStr">
        <is>
          <t>Amazon.com</t>
        </is>
      </c>
      <c r="D12" t="inlineStr">
        <is>
          <t>indeed</t>
        </is>
      </c>
      <c r="E12" t="inlineStr"/>
      <c r="F12" t="inlineStr"/>
      <c r="G12" t="inlineStr">
        <is>
          <t>Irvine, CA, US</t>
        </is>
      </c>
      <c r="H12" s="1" t="n">
        <v>45921</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in-b7af52b8259a8b19</t>
        </is>
      </c>
      <c r="B13" t="inlineStr">
        <is>
          <t>Software Engineer I- Ad Demand</t>
        </is>
      </c>
      <c r="C13" t="inlineStr">
        <is>
          <t>Amazon.com</t>
        </is>
      </c>
      <c r="D13" t="inlineStr">
        <is>
          <t>indeed</t>
        </is>
      </c>
      <c r="E13" t="inlineStr"/>
      <c r="F13" t="inlineStr"/>
      <c r="G13" t="inlineStr">
        <is>
          <t>New York, NY, US</t>
        </is>
      </c>
      <c r="H13" s="1" t="n">
        <v>45908</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in-bfc22eec0d714355</t>
        </is>
      </c>
      <c r="B14" t="inlineStr">
        <is>
          <t>Software Engineer I- Ad Demand</t>
        </is>
      </c>
      <c r="C14" t="inlineStr">
        <is>
          <t>Amazon.com</t>
        </is>
      </c>
      <c r="D14" t="inlineStr">
        <is>
          <t>indeed</t>
        </is>
      </c>
      <c r="E14" t="inlineStr"/>
      <c r="F14" t="inlineStr"/>
      <c r="G14" t="inlineStr">
        <is>
          <t>San Francisco, CA, US</t>
        </is>
      </c>
      <c r="H14" s="1" t="n">
        <v>45908</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in-8596544e28f561a1</t>
        </is>
      </c>
      <c r="B15" t="inlineStr">
        <is>
          <t>Senior Software Engineer, Twitch</t>
        </is>
      </c>
      <c r="C15" t="inlineStr">
        <is>
          <t>Amazon.com</t>
        </is>
      </c>
      <c r="D15" t="inlineStr">
        <is>
          <t>indeed</t>
        </is>
      </c>
      <c r="E15" t="inlineStr"/>
      <c r="F15" t="inlineStr"/>
      <c r="G15" t="inlineStr">
        <is>
          <t>San Francisco, CA, US</t>
        </is>
      </c>
      <c r="H15" s="1" t="n">
        <v>45995</v>
      </c>
      <c r="I1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in-ac1bd7d16d20605a</t>
        </is>
      </c>
      <c r="B16" t="inlineStr">
        <is>
          <t>Senior Software Engineer, Twitch</t>
        </is>
      </c>
      <c r="C16" t="inlineStr">
        <is>
          <t>Amazon.com</t>
        </is>
      </c>
      <c r="D16" t="inlineStr">
        <is>
          <t>indeed</t>
        </is>
      </c>
      <c r="E16" t="inlineStr"/>
      <c r="F16" t="inlineStr"/>
      <c r="G16" t="inlineStr">
        <is>
          <t>Seattle, WA, US</t>
        </is>
      </c>
      <c r="H16" s="1" t="n">
        <v>45995</v>
      </c>
      <c r="I1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in-275d4025c6f3fab2</t>
        </is>
      </c>
      <c r="B17" t="inlineStr">
        <is>
          <t>Senior Software Engineer</t>
        </is>
      </c>
      <c r="C17" t="inlineStr">
        <is>
          <t>Que Technology Group</t>
        </is>
      </c>
      <c r="D17" t="inlineStr">
        <is>
          <t>indeed</t>
        </is>
      </c>
      <c r="E17" t="inlineStr"/>
      <c r="F17" t="inlineStr"/>
      <c r="G17" t="inlineStr">
        <is>
          <t>Fort Meade, MD, US</t>
        </is>
      </c>
      <c r="H17" s="1" t="n">
        <v>46082</v>
      </c>
      <c r="I17" t="inlineStr">
        <is>
          <t>**Que Technology Group, Inc.**, is seeking an experienced senior developer to create custom analytics to perform at scale. The software engineer will work closely with data scientists and end users to develop innovative analytic tools to further discovery and tradecraft around critical global challenges, then deliver innovative solutions focused on operationalizing data science.  
**Job Responsibilities/Qualifications:**
* Work directly with data scientists as well as mission analysts to solve the most demanding strategic problems
* Perform end\-to\-end software engineering to prototype, develop, integrate, test, and deploy tools and tradecraft into the customer's corporate architecture.
* Collaborate closely with customers to deliver a software solution to capture holistic information about analytic dependencies, performance and governance status
* Develop a software solution that will provide means to federate, join, and aggregate information across disparate data sources in a policy compliant manner.
* Creatively leverage disparate data to fill knowledge gaps in user activities, collection efforts, and technology discovery to include creating APIs and business intelligence analytics.
**Required Qualifications:**
* Strong experience with Jupyter Notebooks, Java MapReduce, Python PySpark
* Strong experience with statistical analysis and machine learning fundamentals
* Strong experience with customer tools, architecture, data flow, and use of big data
* Proficiency with Jira, Confluence, Gitlab; experience with Agile methodologies
* Bachelor's degree plus 11\-years of relevant experience or equivalent.
**Preferred Qualifications:*** Experience with software development processes (i.e., requirements analysis, software design, implementation, testing, integration, deployment/installation, and maintenance) and programming.
* Experience with Data Science, Machine Learning (ML), Artificial Intelligence (AI) and using Large Language Models (LLMs)
**Security Clearance:**
* Active TS/SCI with Polygraph required
**BENEFITS:**
* Competitive salary
* Company Medical/Dental/Vision plans – Company paid
* Short\-term Disability, Long\-term disability and Life Insurance – Company paid
* Business/ First Class travel upgrade for 7 hour or longer flights \&amp; company card will be provided for expenses
* Vacation / Personal days granted at 25 days per year
* Paid Federal Holidays – 11 days
* $5,000 Annual Professional Development Fund plus 40 paid hours if in class
* 401K with 6% company match; all contributions are immediately vested by Employee
* Employee will be paid a bonus of $10,000 per employee hired based on their referral
* Up to 3 paid Code Red days due to customer closure
**Que Technology Group, Inc., is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is>
      </c>
    </row>
    <row r="18">
      <c r="A18" t="inlineStr">
        <is>
          <t>in-9833c38204cbcb7f</t>
        </is>
      </c>
      <c r="B18" t="inlineStr">
        <is>
          <t>Sr. Software Engineer, Manager</t>
        </is>
      </c>
      <c r="C18" t="inlineStr">
        <is>
          <t>Amazon.com</t>
        </is>
      </c>
      <c r="D18" t="inlineStr">
        <is>
          <t>indeed</t>
        </is>
      </c>
      <c r="E18" t="inlineStr"/>
      <c r="F18" t="inlineStr"/>
      <c r="G18" t="inlineStr">
        <is>
          <t>San Francisco, CA, US</t>
        </is>
      </c>
      <c r="H18" s="1" t="n">
        <v>46006</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9">
      <c r="A19" t="inlineStr">
        <is>
          <t>in-941df3e3a6177d32</t>
        </is>
      </c>
      <c r="B19" t="inlineStr">
        <is>
          <t>Sr. Software Engineer, Manager</t>
        </is>
      </c>
      <c r="C19" t="inlineStr">
        <is>
          <t>Amazon.com</t>
        </is>
      </c>
      <c r="D19" t="inlineStr">
        <is>
          <t>indeed</t>
        </is>
      </c>
      <c r="E19" t="inlineStr"/>
      <c r="F19" t="inlineStr"/>
      <c r="G19" t="inlineStr">
        <is>
          <t>New York, NY, US</t>
        </is>
      </c>
      <c r="H19" s="1" t="n">
        <v>46006</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0">
      <c r="A20" t="inlineStr">
        <is>
          <t>in-adff225b90568924</t>
        </is>
      </c>
      <c r="B20" t="inlineStr">
        <is>
          <t>Sr. Software Engineer, Manager</t>
        </is>
      </c>
      <c r="C20" t="inlineStr">
        <is>
          <t>Amazon.com</t>
        </is>
      </c>
      <c r="D20" t="inlineStr">
        <is>
          <t>indeed</t>
        </is>
      </c>
      <c r="E20" t="inlineStr"/>
      <c r="F20" t="inlineStr"/>
      <c r="G20" t="inlineStr">
        <is>
          <t>Culver City, CA, US</t>
        </is>
      </c>
      <c r="H20" s="1" t="n">
        <v>46006</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1">
      <c r="A21" t="inlineStr">
        <is>
          <t>in-81527d0ddf5d6fea</t>
        </is>
      </c>
      <c r="B21" t="inlineStr">
        <is>
          <t>Sr. Software Engineer, Manager</t>
        </is>
      </c>
      <c r="C21" t="inlineStr">
        <is>
          <t>Amazon.com</t>
        </is>
      </c>
      <c r="D21" t="inlineStr">
        <is>
          <t>indeed</t>
        </is>
      </c>
      <c r="E21" t="inlineStr"/>
      <c r="F21" t="inlineStr"/>
      <c r="G21" t="inlineStr">
        <is>
          <t>Irvine, CA, US</t>
        </is>
      </c>
      <c r="H21" s="1" t="n">
        <v>46006</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2">
      <c r="A22" t="inlineStr">
        <is>
          <t>in-ae96d9ff7838b91b</t>
        </is>
      </c>
      <c r="B22" t="inlineStr">
        <is>
          <t>Sr. Software Engineer, Manager</t>
        </is>
      </c>
      <c r="C22" t="inlineStr">
        <is>
          <t>Amazon.com</t>
        </is>
      </c>
      <c r="D22" t="inlineStr">
        <is>
          <t>indeed</t>
        </is>
      </c>
      <c r="E22" t="inlineStr"/>
      <c r="F22" t="inlineStr"/>
      <c r="G22" t="inlineStr">
        <is>
          <t>Seattle, WA, US</t>
        </is>
      </c>
      <c r="H22" s="1" t="n">
        <v>46006</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3">
      <c r="A23" t="inlineStr">
        <is>
          <t>in-7fdd99cf4c191c3b</t>
        </is>
      </c>
      <c r="B23" t="inlineStr">
        <is>
          <t>Software Engineer, Monetization ML</t>
        </is>
      </c>
      <c r="C23" t="inlineStr">
        <is>
          <t>Amazon.com</t>
        </is>
      </c>
      <c r="D23" t="inlineStr">
        <is>
          <t>indeed</t>
        </is>
      </c>
      <c r="E23" t="inlineStr"/>
      <c r="F23" t="inlineStr"/>
      <c r="G23" t="inlineStr">
        <is>
          <t>New York, NY, US</t>
        </is>
      </c>
      <c r="H23" s="1" t="n">
        <v>45944</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24">
      <c r="A24" t="inlineStr">
        <is>
          <t>in-091dadecd9ec2086</t>
        </is>
      </c>
      <c r="B24" t="inlineStr">
        <is>
          <t>Software Engineer, Monetization ML</t>
        </is>
      </c>
      <c r="C24" t="inlineStr">
        <is>
          <t>Amazon.com</t>
        </is>
      </c>
      <c r="D24" t="inlineStr">
        <is>
          <t>indeed</t>
        </is>
      </c>
      <c r="E24" t="inlineStr"/>
      <c r="F24" t="inlineStr"/>
      <c r="G24" t="inlineStr">
        <is>
          <t>Seattle, WA, US</t>
        </is>
      </c>
      <c r="H24" s="1" t="n">
        <v>45944</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25">
      <c r="A25" t="inlineStr">
        <is>
          <t>in-331640fb168efd99</t>
        </is>
      </c>
      <c r="B25" t="inlineStr">
        <is>
          <t>Staff Software Engineer</t>
        </is>
      </c>
      <c r="C25" t="inlineStr">
        <is>
          <t>GE Vernova</t>
        </is>
      </c>
      <c r="D25" t="inlineStr">
        <is>
          <t>indeed</t>
        </is>
      </c>
      <c r="E25" t="inlineStr"/>
      <c r="F25" t="inlineStr"/>
      <c r="G25" t="inlineStr">
        <is>
          <t>Bellevue, WA, US</t>
        </is>
      </c>
      <c r="H25" s="1" t="n">
        <v>46082</v>
      </c>
      <c r="I25" t="inlineStr">
        <is>
          <t>GE Vernova is seeking a Staff AI Engineer to build and scale AI\-native systems that power intelligent automation across AEMS, ADMS, and DERMS applications. This is a deeply hands\-on technical role focused on designing, coding, deploying, and operating production\-grade AI agent platforms in mission\-critical grid environments.  
You will architect and implement multi\-agent systems, model\-serving infrastructure, and distributed backend services that integrate real\-time grid data, optimization engines, and AI reasoning capabilities.**Job Description**
===================
**Roles \&amp; Responsibilities:**
* Design and personally implement core components of AI agent frameworks, including orchestration engines, tool integration layers, and state management systems.
* Build production\-grade backend services in Python (and/or Java, C\+\+, Go) to support AI inference, workflow automation, and real\-time grid analytics.
* Develop and deploy LLM\-powered agents with structured prompting, tool usage, guardrails, and memory mechanisms.
* Implement model serving infrastructure, including inference APIs, batching strategies, performance tuning, and monitoring.
* Write scalable microservices and event\-driven components that ingest and process high\-volume time\-series data.
* Integrate AI services with SCADA, PMU, simulation engines, contingency analysis tools, and operational data platforms.
* Optimize system performance for low\-latency decision support in control center environments.
* Build CI/CD pipelines, automated tests, and observability tooling for AI services.
* Develop explainability, logging, and traceability mechanisms for AI\-generated recommendations or actions.
* Troubleshoot production issues across distributed AI systems and drive performance and reliability improvements.
* Conduct deep code reviews and actively contribute high\-quality code to shared repositories.
**Education \&amp; Qualifications:**
* Master’s or PhD in Computer Science, AI/ML, or related field.
* 8\+ years of hands\-on software development experience, with significant backend engineering depth.
* Demonstrated experience building and deploying AI/ML systems into production (not just experimentation).
* Strong proficiency in Python and experience building backend systems in Java, C\+\+, or Go.
* Experience implementing LLM integrations, prompt orchestration, agent tooling, or multi\-step AI workflows.
* Deep understanding of distributed systems, concurrency, APIs, and microservices architecture.
* Experience building model serving pipelines and inference systems (REST/gRPC, async processing, streaming).
* Experience with containerization and orchestration (Docker, Kubernetes).
* Strong debugging and performance optimization skills in distributed environments.
* Experience working with time\-series or streaming data systems.
* Familiarity with EMS, DMS, WAMS, SCADA, or power system applications is highly desirable.
* Proven track record of shipping reliable, secure, high\-performance systems in production environments.
GE Vernova offers a great work environment, professional development, challenging careers, and competitive compensation. GE Vernova is an Equal Opportunity Employer. Employment decisions are made without regard to race, color, religion, national or ethnic origin, sex, sexual orientation, gender identity or expression, age, disability, protected veteran status or other characteristics protected by law.
GE Vernova will only employ those who are legally authorized to work in the United States for this opening. Any offer of employment is conditioned upon the successful completion of a drug screen (as applicable).
**Relocation Assistance Provided:** Yes
For candidates applying to a U.S. based position, the pay range for this position is between $151,800\.00 and $227,700\.00\. The Company pays a geographic differential of 110%, 120% or 130% of salary in certain areas. The specific pay offered may be influenced by a variety of factors, including the candidate’s experience, education, and skill set.  
Bonus eligibility: discretionary annual bonus.  
This posting is expected to remain open for at least seven days after it was posted on March 02, 2026\.  
Available benefits include medical, dental, vision, and prescription drug coverage; access to Health Coach from GE Vernova, a 24/7 nurse\-based resource; and access to the Employee Assistance Program, providing 24/7 confidential assessment, counseling and referral services. Retirement benefits include the GE Vernova Retirement Savings Plan, a tax\-advantaged 401(k) savings opportunity with company matching contributions and company retirement contributions, as well as access to Fidelity resources and financial planning consultants. Other benefits include tuition assistance, adoption assistance, paid parental leave, disability benefits, life insurance, 12 paid holidays, and permissive time off.  
GE Vernova Inc. or its affiliates (collectively or individually, “GE Vernova”) sponsor certain employee benefit plans or programs GE Vernova reserves the right to terminate, amend, suspend, replace, or modify its benefit plans and programs at any time and for any reason, in its sole discretion. No individual has a vested right to any benefit under a GE Vernova welfare benefit plan or program. This document does not create a contract of employment with any individual.</t>
        </is>
      </c>
    </row>
    <row r="26">
      <c r="A26" t="inlineStr">
        <is>
          <t>in-5b29aac27f9cc65d</t>
        </is>
      </c>
      <c r="B26" t="inlineStr">
        <is>
          <t>Sr Embedded Software Engineer, Annapurna ML Software</t>
        </is>
      </c>
      <c r="C26" t="inlineStr">
        <is>
          <t>Amazon Web Services</t>
        </is>
      </c>
      <c r="D26" t="inlineStr">
        <is>
          <t>indeed</t>
        </is>
      </c>
      <c r="E26" t="inlineStr"/>
      <c r="F26" t="inlineStr"/>
      <c r="G26" t="inlineStr">
        <is>
          <t>Austin, TX, US</t>
        </is>
      </c>
      <c r="H26" s="1" t="n">
        <v>46070</v>
      </c>
      <c r="I26"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27">
      <c r="A27" t="inlineStr">
        <is>
          <t>in-b3653464cb1357ad</t>
        </is>
      </c>
      <c r="B27" t="inlineStr">
        <is>
          <t>Sr Embedded Software Engineer, Annapurna ML Software</t>
        </is>
      </c>
      <c r="C27" t="inlineStr">
        <is>
          <t>Amazon Web Services</t>
        </is>
      </c>
      <c r="D27" t="inlineStr">
        <is>
          <t>indeed</t>
        </is>
      </c>
      <c r="E27" t="inlineStr"/>
      <c r="F27" t="inlineStr"/>
      <c r="G27" t="inlineStr">
        <is>
          <t>Cupertino, CA, US</t>
        </is>
      </c>
      <c r="H27" s="1" t="n">
        <v>46070</v>
      </c>
      <c r="I27"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28">
      <c r="A28" t="inlineStr">
        <is>
          <t>in-dcab407f15e17f6e</t>
        </is>
      </c>
      <c r="B28" t="inlineStr">
        <is>
          <t>Embedded Software Engineer, Annapurna ML Software</t>
        </is>
      </c>
      <c r="C28" t="inlineStr">
        <is>
          <t>Amazon Web Services</t>
        </is>
      </c>
      <c r="D28" t="inlineStr">
        <is>
          <t>indeed</t>
        </is>
      </c>
      <c r="E28" t="inlineStr"/>
      <c r="F28" t="inlineStr"/>
      <c r="G28" t="inlineStr">
        <is>
          <t>Cupertino, CA, US</t>
        </is>
      </c>
      <c r="H28" s="1" t="n">
        <v>46050</v>
      </c>
      <c r="I28"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29">
      <c r="A29" t="inlineStr">
        <is>
          <t>in-5882f5328afbba9a</t>
        </is>
      </c>
      <c r="B29" t="inlineStr">
        <is>
          <t>Embedded Software Engineer, Annapurna ML Software</t>
        </is>
      </c>
      <c r="C29" t="inlineStr">
        <is>
          <t>Amazon Web Services</t>
        </is>
      </c>
      <c r="D29" t="inlineStr">
        <is>
          <t>indeed</t>
        </is>
      </c>
      <c r="E29" t="inlineStr"/>
      <c r="F29" t="inlineStr"/>
      <c r="G29" t="inlineStr">
        <is>
          <t>Austin, TX, US</t>
        </is>
      </c>
      <c r="H29" s="1" t="n">
        <v>46050</v>
      </c>
      <c r="I29"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30">
      <c r="A30" t="inlineStr">
        <is>
          <t>in-a410662a88fa6d14</t>
        </is>
      </c>
      <c r="B30" t="inlineStr">
        <is>
          <t>Software Engineer/ IDAM - Active TS/SCI with CI POLY</t>
        </is>
      </c>
      <c r="C30" t="inlineStr">
        <is>
          <t>ENS Solutions, LLC</t>
        </is>
      </c>
      <c r="D30" t="inlineStr">
        <is>
          <t>indeed</t>
        </is>
      </c>
      <c r="E30" t="inlineStr"/>
      <c r="F30" t="inlineStr"/>
      <c r="G30" t="inlineStr">
        <is>
          <t>Tampa, FL, US</t>
        </is>
      </c>
      <c r="H30" s="1" t="n">
        <v>46083</v>
      </c>
      <c r="I30" t="inlineStr">
        <is>
          <t>As a Software Development Engineer with a focus on Identity and Access Management (IDAM), you will leverage your expertise in both software development and IDAM to provide operational support and advanced engineering solutions for Identity Access Management, including provisioning, authentication, and access management for both cloud and on\-premise environments.
In this role, a typical day will include:
* Participating in system development to include design, modeling, security, integration, and formal testing of an IDAM solution such as Radiant Logic and/or SailPoint
* Supporting an Attribute Based Access Control ABAC application development, integration, deployment, and maintenance. Design, develop, build, and test IT engineering solutions utilize for aggregation of attributes from authoritative sources, integration with Virtual LDAP Directory, Web Services
* Developing advanced engineering ideas and guiding their development into a final product
* Creating and maintaining programmatic and technical documentation
* Implementing system enhancements resulting in improved IT enterprise performance
* Analyzing customer requirements, specifications, and proposing solutions that fit to standards, compliance, and operational requirements
* Create, manage and update issues related to development tasks in JIRA
* Version control and source code management with Bitbucket
* Code testing and integration with CI/CD pipelines
**Requirements**  
* Master's degree with 8\+ years of experience / Bachelor's degree with 10\+ years of experience.
* Active TS/SCI clearance and ability to obtain and maintain a CI poly.
* Must meet DoD 8570 IAT Level II requirements including one of the following: Security\+ CE, CND, SSCP, GSEC, GICSP, CySA\+, or CCNA Security
* Experience supporting commercial\-off\-the\-shelf (COTS) Identity Access Management (IAM) tools within an IT enterprise environment
* Knowledge of Java, JavaScript, XML, SOAP, and REST development
* Knowledge of Oracle Database
* Knowledge of Docker Containers and Ansible
* Knowledge of Active Directory, Lightweight Directory Access Protocol, and Single\-Sign\-On across multiple domains, as well as Multi\-Factor Authentication and Personal Identity Verification authentication
* Experience with Linux based systems and Bash scripting
* Ability to diagnose and solve complex issues
* DevOps principles for developing, testing and deploying applications
* Knowledge of Oracle OID
* Experience working within government enterprise environment
Nice to Have:
* Experience with Radiant Logic and/or SailPoint products
* Experience with supporting IAM in a Cloud environment, including Azure or AWS
* Experience with SQL database administration or management
* Experience with integrating Radiant Logic with third party data sources
**Benefits** ***Essential Network Security (ENS) Solutions, LLC*** is a service\-disabled veteran owned, highly regarded IT consulting and management firm. ENS consults for the Department of Defense (DoD) and Intelligence Community (IC) providing innovative solutions in the core competency area of Identity, Credential and Access Management (ICAM), Software Development, Cyber and Network Security, System Engineering, Program/Project Management, IT support, Solutions, and Services that yield enduring results. Our strong technical and management experts have been able to maintain a standard of excellence in their relationships while delivering innovative, scalable and collaborative infrastructure to our clients.
**Why ENS?**
* Free Platinum\-Level Medical/Dental/Vision coverage, 100% paid for by ENS
* 401k Contribution from Day 1
* PTO \+ 11 Paid Federal Holidays
* Long \&amp; Short Term Disability Insurance
* Group Term Life Insurance
* Tuition, Certification \&amp; Professional Development Assistance
* Workers’ Compensation
* Relocation Assistance</t>
        </is>
      </c>
    </row>
    <row r="31">
      <c r="A31" t="inlineStr">
        <is>
          <t>in-04664bc61764e024</t>
        </is>
      </c>
      <c r="B31" t="inlineStr">
        <is>
          <t>Software Engineer/ IDAM - Active TS/SCI with CI POLY</t>
        </is>
      </c>
      <c r="C31" t="inlineStr">
        <is>
          <t>ENS Solutions, LLC</t>
        </is>
      </c>
      <c r="D31" t="inlineStr">
        <is>
          <t>indeed</t>
        </is>
      </c>
      <c r="E31" t="inlineStr"/>
      <c r="F31" t="inlineStr"/>
      <c r="G31" t="inlineStr">
        <is>
          <t>Colorado Springs, CO, US</t>
        </is>
      </c>
      <c r="H31" s="1" t="n">
        <v>46083</v>
      </c>
      <c r="I31" t="inlineStr">
        <is>
          <t>As a Software Development Engineer with a focus on Identity and Access Management (IDAM), you will leverage your expertise in both software development and IDAM to provide operational support and advanced engineering solutions for Identity Access Management, including provisioning, authentication, and access management for both cloud and on\-premise environments.
In this role, a typical day will include:
* Participating in system development to include design, modeling, security, integration, and formal testing of an IDAM solution such as Radiant Logic and/or SailPoint
* Supporting an Attribute Based Access Control ABAC application development, integration, deployment, and maintenance. Design, develop, build, and test IT engineering solutions utilize for aggregation of attributes from authoritative sources, integration with Virtual LDAP Directory, Web Services
* Developing advanced engineering ideas and guiding their development into a final product
* Creating and maintaining programmatic and technical documentation
* Implementing system enhancements resulting in improved IT enterprise performance
* Analyzing customer requirements, specifications, and proposing solutions that fit to standards, compliance, and operational requirements
* Create, manage and update issues related to development tasks in JIRA
* Version control and source code management with Bitbucket
* Code testing and integration with CI/CD pipelines
**Requirements**  
* Master's degree with 8\+ years of experience / Bachelor's degree with 10\+ years of experience.
* Active TS/SCI clearance and ability to obtain and maintain a CI poly.
* Must meet DoD 8570 IAT Level II requirements including one of the following: Security\+ CE, CND, SSCP, GSEC, GICSP, CySA\+, or CCNA Security
* Experience supporting commercial\-off\-the\-shelf (COTS) Identity Access Management (IAM) tools within an IT enterprise environment
* Knowledge of Java, JavaScript, XML, SOAP, and REST development
* Knowledge of Oracle Database
* Knowledge of Docker Containers and Ansible
* Knowledge of Active Directory, Lightweight Directory Access Protocol, and Single\-Sign\-On across multiple domains, as well as Multi\-Factor Authentication and Personal Identity Verification authentication
* Experience with Linux based systems and Bash scripting
* Ability to diagnose and solve complex issues
* DevOps principles for developing, testing and deploying applications
* Knowledge of Oracle OID
* Experience working within government enterprise environment
Nice to Have:
* Experience with Radiant Logic and/or SailPoint products
* Experience with supporting IAM in a Cloud environment, including Azure or AWS
* Experience with SQL database administration or management
* Experience with integrating Radiant Logic with third party data sources
**Benefits** ***Essential Network Security (ENS) Solutions, LLC*** is a service\-disabled veteran owned, highly regarded IT consulting and management firm. ENS consults for the Department of Defense (DoD) and Intelligence Community (IC) providing innovative solutions in the core competency area of Identity, Credential and Access Management (ICAM), Software Development, Cyber and Network Security, System Engineering, Program/Project Management, IT support, Solutions, and Services that yield enduring results. Our strong technical and management experts have been able to maintain a standard of excellence in their relationships while delivering innovative, scalable and collaborative infrastructure to our clients.
**Why ENS?**
* Free Platinum\-Level Medical/Dental/Vision coverage, 100% paid for by ENS
* 401k Contribution from Day 1
* PTO \+ 11 Paid Federal Holidays
* Long \&amp; Short Term Disability Insurance
* Group Term Life Insurance
* Tuition, Certification \&amp; Professional Development Assistance
* Workers’ Compensation
* Relocation Assistance</t>
        </is>
      </c>
    </row>
    <row r="32">
      <c r="A32" t="inlineStr">
        <is>
          <t>in-d4fde64c29e047bf</t>
        </is>
      </c>
      <c r="B32" t="inlineStr">
        <is>
          <t>Research and Development Software Engineer (Innovation Engineer)</t>
        </is>
      </c>
      <c r="C32" t="inlineStr">
        <is>
          <t>CONVERGIX Automation Solutions</t>
        </is>
      </c>
      <c r="D32" t="inlineStr">
        <is>
          <t>indeed</t>
        </is>
      </c>
      <c r="E32" t="inlineStr"/>
      <c r="F32" t="inlineStr"/>
      <c r="G32" t="inlineStr">
        <is>
          <t>Bridgman, MI, US</t>
        </is>
      </c>
      <c r="H32" s="1" t="n">
        <v>46083</v>
      </c>
      <c r="I32" t="inlineStr">
        <is>
          <t>**Research and Development Software Engineer (Innovation Engineer)**
**Lakeshore/ Bridgman, MI**
***We are seeking talented and energetic individuals to join our growing team!***
***Greatness takes continuous evolution.***
*That's why we're bringing together relentless problem solvers, proven processes, and audacious thinkers. We are driving to become one unrivaled force in automation \- pushing what's possible for ourselves and our customers.*
***One team. Any challenge.***
Convergix is a global automation systems integrator that serves diverse end markets. We design, build, test, and integrate custom solutions to automate our customers’ operations with a focus on solving unique challenges that others struggle to address. As a team, we are on an improvement journey in pursuit of our vision: *to* *become the ultimate trusted partner to our customers, capable of solving any industrial automation challenge with our passionate people, world renowned processes and diverse experience*. If you want to join a team whose mission is to elevate the automation industry, we want to hear from you! **Learn more about us:** **https://convergixautomation.com/**
**The Role**
An Innovation Engineer develops and implements advanced programming tools to streamline and enhance the workflows of electrical, mechanical, robotics, and controls engineers. By leveraging artificial intelligence and a strong foundation in object\-oriented programming, this role researches emerging technologies, gathers requirements from stakeholders, and prototypes creative solutions to engineering challenges. The Innovation Engineer bridges the gap between technical possibilities and user needs, ensuring new tools are practical, impactful, and aligned with business objectives, while also providing support, documentation, and training to drive adoption and continuous improvement.
**Key Responsibilities**
* **Tool and Application Development**
* Design, develop, and maintain software tools that streamline and enhance the workflows of electrical, mechanical, robotics, and controls engineers.
* Utilize object\-oriented programming languages (such as Python, Java, or C\#) to build robust, scalable, and user\-friendly engineering tools.
* **AI Integration and Utilization**
* Incorporate artificial intelligence and machine learning techniques to automate repetitive engineering tasks, aid design processes, or optimize system performance.
* Research and experiment with new AI technologies, applying them to create innovative solutions within the engineering toolset.
* **Stakeholder Collaboration and Requirement Gathering**
* Engage with engineering teams and key stakeholders to identify pain points, gather user requirements, and prioritize features for new tools and applications.
* Translate complex stakeholder needs into actionable software development tasks and user stories.
* **Research and Prototyping**
* Stay current with emerging technologies, trends, and best practices in software development, automation, and AI.
* Rapidly prototype new ideas, evaluate feasibility, and iterate based on feedback and data.
* **Process Innovation and Continuous Improvement**
* Analyze existing engineering workflows to identify bottlenecks and opportunities for process automation and improvement.
* Implement solutions that increase efficiency, accuracy, and collaboration across engineering disciplines.
* **Technical Documentation**
* Prepare clear, concise documentation including user guides, API references, and workflow diagrams for developed tools and processes.
* Contribute to knowledge sharing and best practices within the engineering team.
* **Testing and Quality Assurance**
* Develop and execute test plans to validate tool functionality, reliability, and usability.
* Troubleshoot issues, gather user feedback, and drive continuous refinement of developed solutions.
* **Training and Support**
* Provide training and technical support for engineering teams adopting new tools.
* Create learning resources and promote knowledge transfer to maximize the value of innovation initiatives.
* **Cross\-Functional Collaboration**
* Work alongside IT, engineering, and operations teams to ensure seamless integration and deployment of new tools.
* **Ethics, Security, and Compliance**
* Adhere to ethical and secure AI and software development practices, ensuring compliance with company and regulatory requirements.
**Qualifications and Experience**
**Essential**
* Bachelor’s degree in Computer Science, Electrical Engineering, Information Systems, Mechanical Engineering, or related field (or equivalent experience)
* Relevant industry experience
* Technical document creation experience
* Experience performing user acceptance testing and working with end\-users to validate data
* Excellent problem\-solving skills and attention to detail.
* Strong communication skills and ability to work collaboratively with both technical and non\-technical stakeholders.
* Highly coachable and trustworthy
**Desirable**
* An ambitious and persuasive achiever with a casual and direct communication style
* Experience in training
**Physical Demands**
* While performing the duties of this position, the employee is regularly required to stand, walk, sit, use hands to feel objects, reach with hands and arms, stoop, kneel, talk and hear.
* Occasionally lifts or move up to 25 pounds.
**Perks of Being Part of the Team**
Here at CONVERGIX, we offer a generous compensation and benefits package including:
* Comprehensive Medical, Dental, and Vision insurance plans
* 401K, including company match
* Company\-paid life insurance with optional supplemental coverage for you and your spouse/children
* Company\-paid short and long\-term disability
* Employee Assistance Program
* Paid\-time off and company\-paid holidays
* Profit Sharing
**What does CONVERGIX value?**
Our values are the foundation on which we build CONVERGIX; we adhere to these no matter what mountain we climb.
* **Integrity \- Respect, Transparency, Commitment**
* **Excellence \- Continuous Improvement, Innovation, Collaboration, Communication**
* **Passion \- Momentum, Sense of Urgency, Growth, Success, Velocity**
*We thank all candidates for their interest, however only those considered for an interview will be contacted.*
CONVERGIX Automation Solutions has an accommodation program in place that provides reasonable accommodations for employees with disabilities. If you require a specific accommodation because of a disability or a medical need, please contact Human Resources.</t>
        </is>
      </c>
    </row>
    <row r="33">
      <c r="A33" t="inlineStr">
        <is>
          <t>in-f5b23147f1037240</t>
        </is>
      </c>
      <c r="B33" t="inlineStr">
        <is>
          <t>Senior Software Engineer</t>
        </is>
      </c>
      <c r="C33" t="inlineStr">
        <is>
          <t>Credify Services</t>
        </is>
      </c>
      <c r="D33" t="inlineStr">
        <is>
          <t>indeed</t>
        </is>
      </c>
      <c r="E33" t="inlineStr"/>
      <c r="F33" t="inlineStr"/>
      <c r="G33" t="inlineStr">
        <is>
          <t>Remote, US</t>
        </is>
      </c>
      <c r="H33" s="1" t="n">
        <v>46083</v>
      </c>
      <c r="I33" t="inlineStr">
        <is>
          <t>We are looking to add a Senior Backend / Full Stack Engineer to our talented team of Engineers, with a strong focus on backend architecture and cloud infrastructure.
We are targeting a Senior Engineer who seeks challenges, loves solving complex backend problems, and enjoys architecting scalable systems in a cloud\-native environment. If you enjoy working in a startup environment having the ability to wear multiple hats and solving complicated tasks with fresh new ideas, we are the right place for you!
As a Senior Full Stack Engineer with Credify Services, you would work collaboratively with other members of the Development team to design, build, test, deploy, and operate secure, scalable backend systems and supporting infrastructure for the lending industry. You will be part of a cross\-functional team that is responsible for the full software development life cycle, from conception to deployment. We are targeting people with the ability to write clean and functional code and can teach and mentor other engineers. You should have excellent communication skills and the desire to be part of a great team.
**Responsibilities include:**
* Design, develop, and maintain scalable backend services using Python (Fast API) and Go; contribute to React front\-end features when needed.
* Architect distributed systems and cloud\-native services running in AWS (ECS, Fargate, RDS, S3, IAM)
* Apply solid OOP, design patterns, and data structure principles to ensure maintainable code
* Write unit, integration, and system\-level tests to guarantee reliability of backend services and infrastructure components.
* Own deployment pipelines, containerization (Docker), and infrastructure configurations to ensure reliable CI/CD and production stability.
* Collaborate on database performance tuning, schema evolution, migrations, and operational SQL optimization.
* Integrate with third\-party financial and data services (e.g., credit bureaus, KYC providers, telephony / contact center)
* Build and maintain reusable libraries and components for long\-term efficiency
* Optimize backend services, API’s, and database queries for performance, scalability, cost\-efficiency, and security.
* Ensure all development follows compliance and security best practices (handling PII, encryption, auditability)
* Collaborate effectively and communicate technical concepts clearly across teams
* Work with stakeholders to deliver solutions for financial systems and lending workflows
**Areas of technical expertise should include:**
* Languages/Frameworks: Python (Fast API), Go (Golang), JavaScript/TypeScript (React), HTML, CSS
* Databases: MySQL and/or Postgres; strong SQL, schema design, query optimization, indexing strategies, and database migration experience
* Cloud/DevOps: AWS (ECS, Fargate, RDS, S3, IAM, EC2\), containerization (Docker), CI/CD pipelines, infrastructure\-as\-code concepts, Git/GitHub
* Frontend: Working knowledge of React and modern frontend development; ability to contribute to UI features when needed (backend\-focused role)
* Systems Architecture: Experience designing API’s, microservices, and event\-driven systems in production environments
* Testing: Unit, integration, and functional test automation
* Security/Compliance: Experience building systems that handle sensitive financial/PII data securely
* Experience working with financial systems
**Qualifications:**
* 5\+ years of relevant experience
* Bachelor’s degree in computer science or similar or equivalent experience
**Experience:**
* Python: 5 years (Required)
* Go: 2\+ years (Preferred)
* React: 2\+ years (Preferred)
* AWS / Cloud Infrastructure: 3\+ years (Required)
* SQL / Relational Databases: 3\+ years (Required)
* Financial services: 2 years (Required)
Job Type: Full\-time
Pay: $120,000\.00 \- $200,000\.00 per year
Experience:
* Python: 5 years (Required)
* Financial services: 2 years (Required)
* SQL: 3 years (Required)
* Go: 2 years (Preferred)
* React: 2 years (Preferred)
* AWS: 3 years (Required)
Work Location: Remote</t>
        </is>
      </c>
    </row>
    <row r="34">
      <c r="A34" t="inlineStr">
        <is>
          <t>in-cdd68b2d71f4b69f</t>
        </is>
      </c>
      <c r="B34" t="inlineStr">
        <is>
          <t>Software Engineer</t>
        </is>
      </c>
      <c r="C34" t="inlineStr">
        <is>
          <t>Broadway Infotech</t>
        </is>
      </c>
      <c r="D34" t="inlineStr">
        <is>
          <t>indeed</t>
        </is>
      </c>
      <c r="E34" t="inlineStr"/>
      <c r="F34" t="inlineStr"/>
      <c r="G34" t="inlineStr">
        <is>
          <t>Remote, US</t>
        </is>
      </c>
      <c r="H34" s="1" t="n">
        <v>46083</v>
      </c>
      <c r="I34" t="inlineStr">
        <is>
          <t>**Position\- Rust Developer**
**Location\- 100 % Remote**
**Type\- Contract**
Rust Developer with 5\+ years’ experience in Rust Development
**Essential Skills:** 
Strong Rust systems programming experience
Ownership\| borrowing\| lifetimes\| and unsafe boundaries
Proven experience removing or redesigning unsafe Rust code
Must align with Clients Secure Development Lifecycle (SDL)
Deep understanding of secure coding practices
Experience with XML parsing strategies (DOM vs streaming)
Background working on security sensitive or reviewed codebases
Strong written communication for design and technical documentation
Comfortable collaborating in an open source environment
Familiarity with accessibility technologies or MathML
Exposure to screen readers (NVDA\| JAWS\| Narrator)
Experience maintaining libraries with Multilanguage bindings (CC\| Python\| Java\| WASM) Rust Developer Math CAT
Desirable Skills:
Keyword:
Skills: Rust Programming Language, C\+\+
Experience Required: 4\-6
Job Types: Full\-time, Contract
Pay: $80\.00 \- $85\.00 per hour
Experience:
* Rust (programming language): 5 years (Required)
Work Location: Remote</t>
        </is>
      </c>
    </row>
    <row r="35">
      <c r="A35" t="inlineStr">
        <is>
          <t>in-ff1df13ca639541d</t>
        </is>
      </c>
      <c r="B35" t="inlineStr">
        <is>
          <t>BSP Software Developer</t>
        </is>
      </c>
      <c r="C35" t="inlineStr">
        <is>
          <t>DDC-I</t>
        </is>
      </c>
      <c r="D35" t="inlineStr">
        <is>
          <t>indeed</t>
        </is>
      </c>
      <c r="E35" t="inlineStr"/>
      <c r="F35" t="inlineStr"/>
      <c r="G35" t="inlineStr">
        <is>
          <t>Phoenix, AZ, US</t>
        </is>
      </c>
      <c r="H35" s="1" t="n">
        <v>46083</v>
      </c>
      <c r="I35" t="inlineStr">
        <is>
          <t>Job Description:
We are seeking a highly skilled and experienced BSP Developer to join our team. As a BSP Developer, you will be responsible for developing, customizing, and maintaining the Board Support Packages (BSPs) for our hardware platforms and embedded systems. You will work closely with our software engineers and customers to ensure seamless integration of the operating system with the target hardware. If you have a strong background in low\-level software development, device drivers, and system architecture, along with a passion for embedded systems, we want to hear from you!
Responsibilities:
* Develop and customize BSPs for our hardware platforms, including system\-on\-chips (SoCs), microcontrollers, and embedded systems.
* Collaborate with our customers and board manufacturer support to understand the system architecture, peripheral interfaces, and memory mapping.
* Design, develop, and maintain device drivers for various hardware components, such as network interfaces, storage devices, and peripherals.
* Implement and optimize boot loaders and boot\-time initialization routines to ensure reliable system startup.
* Perform hardware bring\-up activities, including debugging and troubleshooting of hardware and software integration issues.
* Conduct testing and verification of the BSP components, ensuring compatibility, stability, and performance.
* Stay updated with the latest technologies, industry standards, and best practices related to BSP development.
Requirements:
* Bachelor's or Master's degree in Computer Science, Electrical Engineering, or a related field.
* Proven experience in BSP development, embedded systems, or low\-level software development is desired
* Strong programming skills in C/C\+\+ and familiarity with assembly language.
* Proficient in debugging and troubleshooting hardware and software integration issues.
* Solid understanding of system architecture, memory management, and peripheral interfaces.
* Experience with device driver development and kernel\-level programming.
* Knowledge of boot loaders, firmware, and real\-time operating systems (RTOS).
* Excellent problem\-solving skills and ability to work independently as well as part of a team.
* Effective communication skills and the ability to collaborate with cross\-functional teams.
Job Type: Full\-time
Pay: $100,000\.00 \- $130,000\.00 per year
Benefits:
* 401(k)
* 401(k) matching
* Dental insurance
* Flexible schedule
* Health insurance
* Health savings account
* Paid time off
* Vision insurance
Application Question(s):
* B.S. or M.S. degree in Software Engineering, Computer Science or Electrical Engineering.
Education:
* Bachelor's (Required)
Experience:
* C\+\+: 3 years (Required)
* software development at hardware level: 2 years (Required)
Work Location: Hybrid remote in Phoenix, AZ 85028</t>
        </is>
      </c>
    </row>
    <row r="36">
      <c r="A36" t="inlineStr">
        <is>
          <t>in-5effd558c347fd74</t>
        </is>
      </c>
      <c r="B36" t="inlineStr">
        <is>
          <t>Software Engineer / Programmer</t>
        </is>
      </c>
      <c r="C36" t="inlineStr">
        <is>
          <t>Signature Science, LLC</t>
        </is>
      </c>
      <c r="D36" t="inlineStr">
        <is>
          <t>indeed</t>
        </is>
      </c>
      <c r="E36" t="inlineStr"/>
      <c r="F36" t="inlineStr"/>
      <c r="G36" t="inlineStr">
        <is>
          <t>Charlottesville, VA, US</t>
        </is>
      </c>
      <c r="H36" s="1" t="n">
        <v>46083</v>
      </c>
      <c r="I36" t="inlineStr">
        <is>
          <t>**Position Purpose:**
The Software Engineer creates applications, configures operating systems, and tests his/her code to verify adherence to established specifications and requirements. Develops, researches, designs, implements, tests, and evaluates software and systems, in conjunction with hardware product development, that enable hardware and instrumentation to perform their applications, applying principles and techniques of computer science, engineering, and mathematical analysis. The Software Engineering supports several projects, and will develop intuitive GUIs and associated applications to enable non\-technical users to control a wide range of scientific systems, from analytical instruments, distributed sensor networks and perform automated analysis of complex datasets to provide actionable information to end users.
**Essential Duties \&amp; Responsibilities:**
* Perform development efforts and work with teammates on various projects. To include working with customers to understand requirements, leading technical development, collaborating with designers to translate wireframes into applications, and integrate with back end layers/hardware interfaces.
* Develop intuitive Graphical User Interfaces (GUIs) using Qt /C\+\+.
* Configure applications on Linux variants implemented on x64 based architectures to support custom boards designed for unique applications and markets.
* Test device drivers and tools, to include touchscreen drivers, high\-speed digitizers, and calibration tools.
* Writes programs according to specifications, which may be provided by Senior Software Engineers, Systems Engineers, or other computer scientists.
* Formulates and designs software system, using scientific analysis and mathematical models to predict and measure outcome and consequences of design.
* Converts project specifications, using flowcharts and diagrams, into sequence of detailed instructions and logical steps; and codes language that can be processed by computer, applying knowledge of computer programming techniques and computer languages.
* Confers with IPT lead and customer concerned with program to resolve questions of program intent, data input, output requirements, and inclusion of internal checks and controls.
* Corrects program errors using methods such as modifying program or altering sequence of program steps.
* Identifies and suggests optimizations and features to improve hardware/software capabilities.
* Recreates steps taken by user to locate source of problem and rewrites program to correct errors.
* Analyzes, reviews, and rewrites programs to increase operating efficiency or to adapt program to new requirements.
* Compiles and writes documentation of program development and subsequent revisions.
* Writes manual for users to describe installation and operating procedures.
* Assists users to solve operating problems.
**Required Knowledge, Skills, and Abilities:**
* Understanding of the development process and testing cycle including bug tracking and formal code documentation and releases.
* Analytical, diagnostic/debugging/troubleshooting, and problem\-solving skills required for integrating applications, systems, and hardware.
* Strong programming experience with C/C\+\+ and Java.
* Knowledge of Qt framework and development environment.
* Knowledge of Linux kernel and device driver development.
* Experience with database technologies (SQL etc.).
* Experience in Debian\-based Linux, specifically tailoring OS for custom boards.
* Experience with common development and repository tools (i.e. GIT, JIRA, etc.)
* Experience cross compiling of C/C\+\+ code and Java.
* Knowledge of fundamentals of Chemistry, Analytical Chemisty, and Data science.
**Education/Experience:**
* BS in Computer Science, Electrical Engineering with programming focus, or equivalent.
* 3 to 5 years of experience.
**Clearance:**
* Ability to obtain a U.S. DoD SECRET Security Clearance.
**Supervisory Responsibilities:**
None
**Working Conditions:**
* Ability to sit at a computer for long periods of time, travel up to 25% may be necessary.
Applicant Tracking Software by ExactHire: pzg60mrl4odddn42w9xo</t>
        </is>
      </c>
    </row>
    <row r="37">
      <c r="A37" t="inlineStr">
        <is>
          <t>in-49ce529fd66cf4ba</t>
        </is>
      </c>
      <c r="B37" t="inlineStr">
        <is>
          <t>Sr Software Engineer, BE Python</t>
        </is>
      </c>
      <c r="C37" t="inlineStr">
        <is>
          <t>PayPal</t>
        </is>
      </c>
      <c r="D37" t="inlineStr">
        <is>
          <t>indeed</t>
        </is>
      </c>
      <c r="E37" t="inlineStr"/>
      <c r="F37" t="inlineStr"/>
      <c r="G37" t="inlineStr">
        <is>
          <t>Austin, TX, US</t>
        </is>
      </c>
      <c r="H37" s="1" t="n">
        <v>46082</v>
      </c>
      <c r="I37"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delivers complete solutions spanning all phases of the Software Development Lifecycle (SDLC). It involves advising management on project\-level issues, guiding junior engineers, operating with little supervision, and applying knowledge of technical best practices.**Job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\&amp; Preferred Qualifications****:**
Python
Search
Amazon Neptune
Amazon OpenSearch Service
**Subsidiary:**
PayPal**Travel Percent:**
0* 
The base pay for this role will depend on where you work and the relevant experience and expertise you bring. The expected range of pay for this role by location is:**Primary Location \| Pay Range:**
San Jose, California \| ($143,500\.00 \- $212,850\.00 Annually)**Additional Location(s) \| Pay Range:**
Austin, Texas \| ($130,500\.00 \- $193,600\.00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38">
      <c r="A38" t="inlineStr">
        <is>
          <t>in-698bb590e278518d</t>
        </is>
      </c>
      <c r="B38" t="inlineStr">
        <is>
          <t>Senior Software Engineer</t>
        </is>
      </c>
      <c r="C38" t="inlineStr">
        <is>
          <t>Fidelity Investments</t>
        </is>
      </c>
      <c r="D38" t="inlineStr">
        <is>
          <t>indeed</t>
        </is>
      </c>
      <c r="E38" t="inlineStr"/>
      <c r="F38" t="inlineStr"/>
      <c r="G38" t="inlineStr">
        <is>
          <t>Merrimack, NH, US</t>
        </is>
      </c>
      <c r="H38" s="1" t="n">
        <v>46082</v>
      </c>
      <c r="I38" t="inlineStr">
        <is>
          <t>### **Job Description:**
Fidelity Investments is seeking a Senior Software Engineer in Test with a strong software development background.
This role is part of the Quality Engineering organization within the Workplace Investing division, where you’ll design and build test automation frameworks and internal utilities to support scalable, high\-quality software delivery. You’ll also contribute to E2E, Performance testing, CI/CD pipeline integration, and shift\-left testing strategies to ensure early defect detection and continuous quality improvement. This role will be based out of Westlake, TX
**The Expertise and Skills You Bring**
* Bachelor’s degree in Computer Science or equivalent experience is required
* 5\+ years of test automation development using Java or similar languages, to develop and maintain automated test scripts.
* Experience in testing distributed applications at multiple layers of the technology stack.
* Experience using REST, Java, Web Services, SOAP, Git, Jenkins
* Proven expertise with Cucumber, Selenium/Playwright, REST Assured or similar test automation tools.
* Hands on experience with crafting and maintaining testing frameworks like Junit, Selenium (TestNG).
* Experience with defining and configuring test automation pipelines, including integration of automated tests into CI/CD workflows.
* Experience with DB/SQL testing and expertise in data comparison tools such as ICEDQ.
* Familiarity with Azure cloud technologies, version control systems like Gitlab and CI/CD pipelines.
* Practical experience working with both functional and regression testing including test automation within an agile environment.
* Ability to work collaboratively in a fast\-paced agile development environment.
* Ability to interpret business requirements and translate them into clear, testable user stories and acceptance criteria. This includes collaborating closely with squad members to ensure comprehensive test coverage, identifying edge cases, and aligning quality goals with business outcomes .
* Identify risks and develop contingency plans in anticipation of quality issues
* Proven understanding of software engineering lifecycle to be able to identify quality risks, contribute to test strategy design, and ensure validation activities are aligned with business and technical requirements throughout the development process.
* Ability and skills to research and evaluate new testing tools, methodologies and best practices in Quality Engineering.
**The Team**
In this role, you’ll be a key member of an agile squad composed cross functional highly skilled professionals, working autonomously to deliver high\-impact solutions. You’ll play a critical part in project execution by designing and implementing robust test coverage and automation that ensures our products meet the highest standards of quality and reliability.
As part of a broader Quality Engineering organization, you’ll contribute to a culture of innovation and continuous improvement, leveraging cutting\-edge testing strategies to validate application functionality and performance.
### **Certifications:**
### **Category:**
Information Technology
Most roles at Fidelity are Hybrid, requiring associates to work onsite every other week (all business days, M\-F) in a Fidelity office. This does not apply to Remote or fully Onsite roles. Some roles may have unique onsite requirements. Please consult with your recruiter for the specific expectations for this position.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39">
      <c r="A39" t="inlineStr">
        <is>
          <t>in-6fad606d6bc8a9ba</t>
        </is>
      </c>
      <c r="B39" t="inlineStr">
        <is>
          <t>Embedded Software Engineer II (Andover, MA)</t>
        </is>
      </c>
      <c r="C39" t="inlineStr">
        <is>
          <t>Smith+Nephew</t>
        </is>
      </c>
      <c r="D39" t="inlineStr">
        <is>
          <t>indeed</t>
        </is>
      </c>
      <c r="E39" t="inlineStr"/>
      <c r="F39" t="inlineStr"/>
      <c r="G39" t="inlineStr">
        <is>
          <t>Andover, MA, US</t>
        </is>
      </c>
      <c r="H39" s="1" t="n">
        <v>46082</v>
      </c>
      <c r="I39" t="inlineStr">
        <is>
          <t>**Embedded Software Engineer II (Andover, MA)**
**Life Unlimited.** At Smith\+Nephew we design and manufacture technology that takes the limits off living.
Our Sports Medicine team is building a next\-generation surgical endoscopic system to transform sports medicine. We are seeking a skilled **Embedded Software Engineer II** You will design and develop high\-quality C/C\+\+ based software. You will solve complex problems autonomously and contribute to architectural decisions.
As part of a multi\-site agile team, you will collaborate with colleagues and stakeholders to deliver software that provides real value to surgeons and patients.
**What will you be doing?**
* **Develop proof‑of‑concepts for computer vision applications** to support endoscopic, surgical navigation and electro\-mechanical products, ensuring they meet customer needs and usability expectations.
* **Design and implement production‑quality C/C\+\+ software** for medical devices, including automated testing.
* **Collaborate with cross‑functional teams** to define requirements and drive the design and development of embedded software.
* **Own the full lifecycle of each software increment** , from defining requirements and acceptance criteria to documenting and testing completed work.
* **Create and maintain automation frameworks** tailored for C/C\+\+ codebases.
* **Provide debugging support and perform root‑cause analysis** for software issues.
* **Promote a strong quality‑first mindset** and encourage best practices across teams.
* **Execute design control activities** to ensure compliance with IEC 62304\.
**What will you need to be successful?**
* A **Bachelor’s or Master’s degree** in Electronics/Electrical Engineering, Computer Engineering, Computer Science, or equivalent hands‑on experience in embedded Linux software development.
* **At least 2\+ years of professional software development experience** , with strong emphasis on C/C\+\+ and Linux; experience in embedded systems, ideally within medical devices.
* **Expertise in C/C\+\+ for embedded systems** , with experience in microcontroller and FPGA based soft cores like Microblaze, real‑time operating systems (e.g., FreeRTOS), or bare‑metal development.
* A strong understanding of electrical concepts and control loops is required.
* **Experience working with and troubleshooting multiple hardware interfaces** , such as PCIe, CAN, I2C, I2S, UART, SPI, USB etc.
* Experience with MATLAB is desired.
* **Solid understanding of CI/CD pipelines and tools** such as Jenkins or GitLab CI.
* **Ability to write unit and component‑level tests** for C/C\+\+ applications.
* **Experience with Python or Shell scripting** for automation, testing, and tooling is a plus.
* **Familiarity with modern testing frameworks** is advantageous.
* **Strong problem‑solving abilities** and comfort working in a fast‑paced, dynamic environment.
* **Excellent communication skills** , including experience collaborating with external contractors and reviewing technical deliverables.
**Competencies:**
* Strong problem\-solving, critical thinking, troubleshooting, and analytical skills.
* Excellent interpersonal and communication skills, with the ability to influence cross\-functional teams.
* Passion for learning emerging technologies and applying innovation in testing.
* Collaborative team player, self\-driven, adaptable, and capable of handling multiple priorities.
* Experience working in regulated, safety\-critical, or compliance\-driven environments is a strong advantage.
* Hands\-on experience in any of the following domains are encouraged to apply,
* + Medical Devices / Healthcare Software (highly preferred)
* + Automotive / ADAS / AUTOSAR\-based systems
* + Industrial Automation / Robotics
* + Biomedical
**You Unlimited.** We believe in creating the greatest good for society. Our strongest investments are in our people and the patients we serve.
* **Inclusion and Belonging\-** Committed to Welcoming, Celebrating and Thriving on Inclusion and Belonging, Learn more about Employee Inclusion Groups on our website ( https://www.smith\-nephew.com/).
* **Your Future:** 401k Matching Program, 401k Plus Program, Discounted Stock Options, Tuition Reimbursement
* **Work/Life Balance:** Flexible Personal/Vacation Time Off, Paid Holidays, Flex Holidays, Paid Community Service Day
* **Your Wellbeing:** Medical, Dental, Vision, Health Savings Account (Employer Contribution of $500\+ annually), Employee Assistance Program, Parental Leave, Fertility and Adoption Assistance Program
* **Training:** Hands\-On, Team\-Customized, Mentorship
* **Extra Perks:** Discounts on fitness clubs, travel and more!
**\#LI\-ON\-SITE**
"The anticipated base compensation range for this position is $90,000 \- $134,750 USD annually.
The actual base pay offered to the successful candidate will be based on multiple factors, including but not limited to job\-related knowledge/skills, experience, geographical location, and internal equity. It is not typical for an individual to be hired at the high end of the range for their role at Smith \+ Nephew. Compensation decisions are dependent upon the facts and circumstances of each position and candidate.
In addition to base pay, we provide competitive bonus and benefits, which include medical, dental, and vision coverage, 401k, tuition reimbursement, medical leave programs, and a variety of wellness offerings. "
Smith\+Nephew provides equal employment opportunities to applicants and employees without regard to race, color, religion, sex, sexual orientation, gender identity, national origin, protected veteran status, or disability.
Stay connected by joining our Talent Community .
We're more than just a company \- we're a community! Follow us on L inkedIn to see how we support and empower our employees and patients every day.
Check us out on Glassdoor for a glimpse behind the scenes and a sneak peek into **You** **.** **Unlimited** **.** , life, culture, and benefits at S\+N.
Explore our website and learn more about our mission, our team, and the opportunities we offer.</t>
        </is>
      </c>
    </row>
    <row r="40">
      <c r="A40" t="inlineStr">
        <is>
          <t>in-9d2fe6b5391f2234</t>
        </is>
      </c>
      <c r="B40" t="inlineStr">
        <is>
          <t>Senior Spacecraft Software Engineer</t>
        </is>
      </c>
      <c r="C40" t="inlineStr">
        <is>
          <t>Spire Global</t>
        </is>
      </c>
      <c r="D40" t="inlineStr">
        <is>
          <t>indeed</t>
        </is>
      </c>
      <c r="E40" t="inlineStr"/>
      <c r="F40" t="inlineStr"/>
      <c r="G40" t="inlineStr">
        <is>
          <t>Boulder, CO, US</t>
        </is>
      </c>
      <c r="H40" s="1" t="n">
        <v>46082</v>
      </c>
      <c r="I40" t="inlineStr">
        <is>
          <t>We are looking for a **Spacecraft Software Engineer (GNSS)** to join our team working at the intersection of satellite payloads, scientific computing, and data delivery systems. In this role, you'll be responsible for developing and maintaining both the flight and ground software that powers our satellite\-based GNSS missions. You’ll work across system layers—from embedded software to cloud data pipelines—to help ensure the accurate and timely delivery of mission\-critical scientific data to our customers.
This is a high\-impact role where autonomy, creativity, and technical breadth are key.
**What You'll Do as a Senior Software Engineer:**
* Develop and maintain scientific and command \&amp; control software for GNSS\-based satellite payloads using a variety of software stacks.
* Build and operate ground\-based automation systems for efficient data extraction, transformation, and delivery from the satellite to end users.
* Collaborate closely with flight operations to troubleshoot and ensure consistent, high\-quality data delivery.
* Engage with other system engineers, payload developers, and mission operators to continuously evolve the software in support of scientific objectives.
* Participate in code reviews, testing, and documentation to uphold software reliability and traceability.
**Who You Are (Required Qualifications):**
We're looking for someone with **at least 5 of the following** qualifications:
* Proficient in at least one of **C\+\+ or Python**, and capable of picking up new tools and languages as needed.
* Experience in **FPGA development** (VHDL or HLS) for signal processing or control systems.
* Solid background in **DSP techniques and theory**, especially in the context of RF or GNSS.
* Familiarity with **GNSS signal processing** and/or scientific applications such as **GNSS\-RO, GNSS\-R**, or **PNT algorithms**.
* Skilled in **cloud\-based systems** (e.g., AWS), backend development, and managing data via scalable storage/database solutions.
* A lifelong learner—**curious, adaptable, and open to new challenges** outside your immediate expertise.
* Demonstrates **strong work ethics** and a focus on impactful contributions to the mission and team.
* Capable of **independently navigating technical challenges** and making forward progress without constant direction.
 **Preferred Skills:**
* Prior experience working on satellite payloads or in the aerospace domain.
* Experience building telemetry and data visualization tools.
* Contribution to open\-source scientific or aerospace\-related software projects.
Spire operates a hybrid work model, and this position will require you to work a minimum of three days per week in the office.
Access to US export\-controlled software and/or technology may be required for this role. If needed, Spire will arrange the necessary licenses—this is not something candidates need to have before applying. \#LI\-RK1
The anticipated base salary range for this position is listed below. Final base salary for this role will be based on the location, skills, experience and qualifications. In addition to base compensation, this role may be eligible for annual equity awards and our employee benefits program, including vacation, sick, and personal time off; optional medical, dental, vision, life, and disability coverage; a 401(K) plan; health and wellness reimbursement program; and participation in Spire’s Employee Stock Purchase Plan.
Salary Range
$130,500—$171,000 USD **Global Perks**
️ Name Your Satellite Program (NYSP)  
 Launch Attendance  
 Generous Time Off Policy  
 Education Assistance Program  
 Employee Assistance Program (EAP)  
 Employee Stock Purchase Program (ESPP)  
 Family Leave  
 Fitness Reimbursement  
 Employee Referral Program  
 Healthy snacks \&amp; beverages in every office
 **About Spire**
*We* *improve life on Earth with data from space.*
Spire Global is a space\-to\-cloud analytics company that owns and operates the largest multi\-purpose constellation of satellites. Its proprietary data and algorithms provide the most advanced maritime, aviation, and weather tracking in the world. In addition to its constellation, Spire’s data infrastructure includes a global ground station network and 24/7 operations that provide real\-time global coverage of every point on Earth.
 *Spire is Global and our success draws upon the diverse viewpoints, skills and experiences of our employees. We are proud to be an equal opportunity employer and are committed to equal employment opportunity regardless of race, color, ancestry, religion, sex, national origin, sexual orientation, age, marital status, disability, gender identity or veteran status.*
*To help* *maintain* *a safe and secure workplace for Spire employees, all candidates who receive a conditional offer will* *be required**to complete a background check**. This* *may include criminal history and employment verification.*
*Please take a moment to review* *Spire's Global Data Privacy Notice for Employees, Contractors, Candidates and Visitors**, as well as**Spire's Privacy Policy.*
 *Kindly be advised that communication regarding your application may come from @spire.com, @recruiting.spire.com, or from Candidate.fyi (our scheduling tool).*</t>
        </is>
      </c>
    </row>
    <row r="41">
      <c r="A41" t="inlineStr">
        <is>
          <t>in-ce4b626aa056238d</t>
        </is>
      </c>
      <c r="B41" t="inlineStr">
        <is>
          <t>Senior Backend Software Engineer</t>
        </is>
      </c>
      <c r="C41" t="inlineStr">
        <is>
          <t>tennr</t>
        </is>
      </c>
      <c r="D41" t="inlineStr">
        <is>
          <t>indeed</t>
        </is>
      </c>
      <c r="E41" t="inlineStr"/>
      <c r="F41" t="inlineStr"/>
      <c r="G41" t="inlineStr">
        <is>
          <t>New York, NY, US</t>
        </is>
      </c>
      <c r="H41" s="1" t="n">
        <v>46082</v>
      </c>
      <c r="I41" t="inlineStr">
        <is>
          <t>**Company Description**
=======================
Today, when you go to your doctor and get referred to a specialist (e.g., for sleep apnea), your doctor sends out a referral and tells you, “They’ll be in touch soon.” So you wait. And wait. Sometimes days, weeks, or even months. Why? Because too often specialists and medical services are overwhelmed with referrals and the painstakingly manual process it takes to qualify your referral prevents them from getting around to it on time, or sometimes at all. Tennr prevents these delays and denials by making sure every referral gets where it needs to go, with the right info, at the right time. Powered by RaeLM Tennr reads, extracts, and acts on every piece of patient information so providers can capture more referrals, slash denials, and reduce delays.
**Role Description**
====================
We’re seeking a Senior **Backend Engineer** with a passion for **systems architecture, data modeling, and large\-scale workflow orchestration**. In this role, you’ll **architect and implement features end\-to\-end** across our backend services and infrastructure, ensuring they deliver direct customer value. You’ll design and optimize **data schemas**, build resilient backend services, and ensure seamless **integration with third\-party systems**.
You’ll lead initiatives in **high\-volume workflow automation**, with a strong focus on building and optimizing **scalable data processing and machine learning infrastructure**. This includes designing and maintaining complex workflows that leverage ML to drive automation, as well as driving **performance optimization efforts** to ensure scalability, reliability, and adherence to best practices across all layers of the stack.
Collaboration is key—you’ll work closely with **sales and customer experience teams** to incorporate customer feedback, and with engineering teammates to bring robust solutions to life. We’re looking for someone who **embraces a founder’s mindset**, thrives on **systems\-wide thinking**, and proactively drives projects from conception to completion.
The ideal candidate has experience with **backend architecture, event\-driven systems, and orchestration frameworks**, along with a proven track record of **building production\-ready systems**. You’ll play a key role in shaping the **technical foundation of our platform**, ensuring reliability, scalability, and adaptability as we expand.
**Responsibilities**
====================
* Architect and implement features that drive direct customer value end\-to\-end across our backend services and infrastructure.
* Lead initiatives in high\-volume workflow automation, with a strong focus on building and optimizing scalable data processing and machine learning infrastructure.
* Design and maintain complex workflows that leverage machine learning to drive automation.
* Drive performance optimization efforts, ensuring scalability, reliability, and adherence to best practices across all layers of our stack.
* Collaborate with sales and customer success teams to respond to feedback from our customers and prospects.
* Embrace a founder’s mindset, proactively driving projects from conception to completion, and contributing significantly to our company’s growth and success.
**Candidate Qualifications**
============================
* 3\+ years of experience in backend development, with a strong focus on JavaScript and familiarity with TypeScript.
* Proven track record of building and maintaining scalable web applications, particularly in high\-volume workflow automation and data processing.
* Experience with integrating machine learning models into production environments and optimizing data pipelines.
* Excellent problem\-solving skills and a knack for efficient, clean coding practices.
* Outstanding communication skills, capable of articulating complex technical concepts to a diverse audience.
* A team player who thrives in collaborative environments and values diverse perspectives.
* Prior experience in a startup or fast\-paced tech environment is a plus.
**Why Tennr?**
==============
* Drive Impact: one of our company values is Cowboy, meaning you set the pace. You won’t just talk about things, you’ll get them done. And feel the impact.
* Develop Operational Expertise: learn the inner workings of scaling systems, tools, and infrastructure
* Innovate with Purpose: we’re not just doing this for fun (although we do have a lot of fun). At Tennr, you’ll join a high\-caliber team maniacally focused on reducing patient delays across the U.S. healthcare system.
* Build Relationships: collaborate and connect with like\-minded, driven individuals in our Chelsea office 4 days/week (preferred)
* Free lunch! Plus a pantry full of snacks.
**Benefits**
============
* Chelsea office
* Unlimited PTO
* 100% paid employee health benefit options
* Employer\-funded 401(k) match
* Competitive parental leave
Compensation Range: $190K \- $215K</t>
        </is>
      </c>
    </row>
    <row r="42">
      <c r="A42" t="inlineStr">
        <is>
          <t>in-512a0544158b5064</t>
        </is>
      </c>
      <c r="B42" t="inlineStr">
        <is>
          <t>Senior Backend Engineer</t>
        </is>
      </c>
      <c r="C42" t="inlineStr">
        <is>
          <t>Palette Labs</t>
        </is>
      </c>
      <c r="D42" t="inlineStr">
        <is>
          <t>indeed</t>
        </is>
      </c>
      <c r="E42" t="inlineStr"/>
      <c r="F42" t="inlineStr"/>
      <c r="G42" t="inlineStr">
        <is>
          <t>US</t>
        </is>
      </c>
      <c r="H42" s="1" t="n">
        <v>46082</v>
      </c>
      <c r="I42" t="inlineStr">
        <is>
          <t>**About Palette Labs**
----------------------
Palette Labs is building a decentralized protocol for commerce. Our first major use case is food delivery. We run a profitable, growing network where customers order from restaurants, drivers deliver food, and local operators spin up their own marketplaces. Think Uber Eats, but permissionless and owned by the people who use it.
We’re now focused on furthering the development of our protocol, and making it easier for businesses to participate in it. That means designing verifiable data models, interoperable onchain/offchain infrastructure, economic incentives, and the core primitives that allow anyone to build on top of Palette’s decentralized commerce network.
To learn more about Palette Labs and read our whitepaper take a look at: https://palette\-labs\-inc.github.io/
**About the role**
------------------
This Senior Backend Engineer role is essential to building and scaling the core Palette Labs platform from early foundations to a robust, production\-grade system.
You will own the design, development, and reliability of backend services that serve as nodes in our protocol or participants in it. You’ll be primarily focused on building well\-architected web services, REST APIs, and foundational data systems that power our applications and partner integrations. We’re looking for someone who has built systems from scratch in startup environments and understands how to make pragmatic architectural decisions under ambiguity.
We don’t have a strong language preference, but our current stack is primarily **Rust**. You should be comfortable working across languages and excited to write production Rust if you haven’t already.
You will partner closely with the founders and product team to define long\-term backend architecture, establish engineering best practices, and lay the groundwork for scale. Success will be measured by the quality, reliability, and extensibility of the services you build, and your ability to drive major technical milestones in the first 6–12 months.
**Responsibilities**
--------------------
* Design and build production\-grade web services and REST APIs from first principles.
* Architect clean, maintainable service boundaries, data models, and internal interfaces.
* Own backend systems end\-to\-end — from schema design to deployment and production reliability.
* Implement best practices around transactional consistency, concurrency, and fault tolerance.
* Establish observability standards (metrics, tracing, logging), SLOs, and operational playbooks.
* Lead technical execution across major initiatives, ensuring systems are extensible and scalable.
* Partner with product to translate ambiguous requirements into clean backend abstractions.
* Raise the bar on engineering rigor, testing strategy, and long\-term maintainability.
**Requirements**
----------------
### **Must\-haves**
* 5\+ years of experience in backend software engineering, with a strong track record of shipping production systems.
* Significant experience building and operating web services and RESTful APIs.
* Experience in startup or early\-stage environments where you’ve built systems 0 1\.
* Deep understanding of backend architecture fundamentals: service design, data modeling, API design, and distributed systems basics.
* Strong experience with databases (schema design, indexing, query optimization, safe migrations).
* Experience owning systems in production (observability, incident response, performance tuning).
* Proficiency in at least one modern backend language (e.g., Rust, Go, TypeScript/Node, Java, C\#, Python) and comfort learning new ones.
### **Nice\-to\-haves**
* Production experience with **Rust**.
* Experience designing service\-oriented or microservice architectures.
* Familiarity with event\-driven systems (queues, pub/sub, async processing).
* Experience working in high\-transaction or financially sensitive systems.
* Experience with modern cloud infrastructure (AWS/GCP), containers, and Infrastructure as Code.
* Strong product intuition and ability to operate autonomously in ambiguous environments.
### **Compensation \&amp; Details**
**Total Rewards Package**
We believe in a comprehensive and competitive compensation strategy that rewards talent and drive. Our flexible Total Rewards Package typically includes:
**Component** **Description** Base Salary A competitive annual salary, commensurate with your experience and industry standards. Performance Bonus Eligible for our company semi\-annual performance bonus, which is tied directly to individual achievements. Equity / Stock Options We offer stock options to all full‑time employees, allowing you to share directly in the company's success and long\-term growth.
**Comprehensive Benefits**
We are committed to the health, well‑being, and long‑term financial security of our team. Benefits coverage typically begins on the first day of employment.
* **Health \&amp; Wellness:** 100% employer‑covered premium options for Medical, Dental, and Vision insurance for employees.
* **Time Off:** Flexible Paid Time Off (PTO) policy
*Unless otherwise stated, all roles with Palette Labs are remote\-based in the United States with a preference to hire in New York City. We require that you overlap some working hours with Eastern Standard Time (EST).*</t>
        </is>
      </c>
    </row>
    <row r="43">
      <c r="A43" t="inlineStr">
        <is>
          <t>in-eb78bd9397197288</t>
        </is>
      </c>
      <c r="B43" t="inlineStr">
        <is>
          <t>Senior Software Engineer - Remote</t>
        </is>
      </c>
      <c r="C43" t="inlineStr">
        <is>
          <t>Optum</t>
        </is>
      </c>
      <c r="D43" t="inlineStr">
        <is>
          <t>indeed</t>
        </is>
      </c>
      <c r="E43" t="inlineStr"/>
      <c r="F43" t="inlineStr"/>
      <c r="G43" t="inlineStr">
        <is>
          <t>Brentwood, TN, US</t>
        </is>
      </c>
      <c r="H43" s="1" t="n">
        <v>46082</v>
      </c>
      <c r="I43"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The health solutions marketplace is hungry for new ideas, innovative products and software that drives elevated performance for the business and the customer. Optum, part of the UnitedHealth Group family of businesses, is feeding incredible solutions to that marketplace every day by bringing out the best in our software engineering teams. We serve customers across the health system. Not only do we have more of them every day, we also have more technology, greater data resources and far broader expertise than any competitor anywhere. We're out to change the way our businesses and consumers engage with technology. If you're in, you'll be challenged like never before. It's time to join this history making.
You'll enjoy the flexibility to work remotely \* from anywhere within the U.S. as you take on some tough challenges.
 **Primary Responsibilities:**
* Design, develop, and deploy AI\-powered solutions to address complex business challenges with emphasis on responsible use of AI
* Leverage enterprise\-approved AI tools to streamline workflows, automate tasks, and drive continuous improvement
* Evaluate emerging trends to inform solution design and strategic innovation
* Actively engaged as a scrum team member in all agile mechanisms
* Completes stories within definition of done, on time and with original estimates
* Promptly seeks unblocking assistance and maintains consistent velocity
* Delivers solutions devoid of significant security vulnerabilities
* Solves straightforward problems with high productivity
* Solutions are testable and maintainable
* Meets code coverage and static analysis targets where applicable
You'll be rewarded and recognized for your performance in an environment that will challenge you and give you clear direction on what it takes to succeed in your role as well as provide development for other roles you may be interested in.
**Required Qualifications:**
* 5\+ years of experience working with teams that leveraged three or more of the following: continuous integration / continuous delivery tools, REST API development, serverless architecture, containerization, IaC, public / private cloud, web applications, web services, application observability and/or messaging/ stream architecture
* 5\+ years of IT full\-stack engineering experience
* 5\+ years of current experience with C\#, Python
* 3\+ years of production experience with cloud technologies
* 3\+ years writing unit or integration tests
* 1\+ years ReactJs, Angular, NodeJs and object oriented programming experience
* 1\+ years of experience in AI, Python, Langchain
* 1\+ years of experience working with CoPilot, Microsoft Copilot 365
* 1\+ years of experience Azure Synapse, ETL, Azure Storage
* Development experience with .NetCore/Python and linux
 **Preferred Qualifications:**
* Instrumenting apps with Prometheus/Grafana, and creating effective alarms and dashboards
* Log indexing tools (e.g. ELK stack, Datadog, Splunk, Sumologic)
* SRE principles (error budgets, alarming practices, etc)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44">
      <c r="A44" t="inlineStr">
        <is>
          <t>in-6c8add64b9180c0a</t>
        </is>
      </c>
      <c r="B44" t="inlineStr">
        <is>
          <t>Associate Software Engineer</t>
        </is>
      </c>
      <c r="C44" t="inlineStr">
        <is>
          <t>Optum</t>
        </is>
      </c>
      <c r="D44" t="inlineStr">
        <is>
          <t>indeed</t>
        </is>
      </c>
      <c r="E44" t="inlineStr"/>
      <c r="F44" t="inlineStr"/>
      <c r="G44" t="inlineStr">
        <is>
          <t>Eden Prairie, MN, US</t>
        </is>
      </c>
      <c r="H44" s="1" t="n">
        <v>46082</v>
      </c>
      <c r="I44"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best.Here, you will find a culture guided by inclusion, talented peers, comprehensive benefits and career development opportunities. Come make an impact on the communities we serve as you help us advance health optimization on a global scale.Join us to start **Caring. Connecting. Growing together.**
You will enjoy the flexibility to telecommute\* from anywhere within the U.S. as you take on some tough challenges.
**Primary Responsibilities:**
* Build and maintain CI/CD pipelines in Azure DevOps/GitHub Actions
* Implement IaC with Terraform for Azure services (compute, storage, networking, Key Vault, databases)
* Automate operational tasks using PowerShell/shell/Power Automate, leverage Copilot for code and test generation
* Configure monitoring/logging (Azure Monitor, Log Analytics, App Insights); support incident response
* Enforce security and compliance (RBAC, Key Vault, HIPAA\-aligned practices); assist with vulnerability remediation
* Optimize performance and cost; document architecture; create azure runbooks; collaborate across teams.
* Leverage enterprise\-approved AI tools to enhance productivity and innovation by streamlining workflows and automating repetitive tasks. Evaluate emerging trends to drive continuous improvement and strategic innovation.
You'll be rewarded and recognized for your performance in an environment that will challenge you and give you clear directions on what it takes to succeed in your role as well as provide development for other roles you may be interested in.
**Required Qualifications:**
* Bachelor's Degree in CS or IT related field
* 1\+ years of experience in software development with programming in either Python, .NET/C\# or Java
* 1\+ years of hands\-on experience with CI/CD (Cloud DevOps/GitHub Actions) and IaC (Terraform)
**Preferred Qualifications:**
* 1\+ years of experience with Windows \&amp; Unix/Linux administration
* 1\+ years of healthcare domain experience and familiarity with HIPAA
* Strong communication, debugging, data analysis, and vulnerability management; thrives in dynamic environments
* Tableau administration (Server/Cloud) basic governance
* Copilot Studio, AKS/containers, Azure security tools, front\-end familiarity, certifications
* All Telecommuters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rangefrom $60,200 to $107,400 annually based on full\-time employment. We comply with all minimum wage laws as applicable.
Pursuant to the San Francisco Fair Chance Ordinance, we will consider for employment qualified applicants with arrest and conviction records.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\#RPO \#GREEN</t>
        </is>
      </c>
    </row>
    <row r="45">
      <c r="A45" t="inlineStr">
        <is>
          <t>in-12f5a08796b32acb</t>
        </is>
      </c>
      <c r="B45" t="inlineStr">
        <is>
          <t>Senior Software Engineer</t>
        </is>
      </c>
      <c r="C45" t="inlineStr">
        <is>
          <t>Optum</t>
        </is>
      </c>
      <c r="D45" t="inlineStr">
        <is>
          <t>indeed</t>
        </is>
      </c>
      <c r="E45" t="inlineStr"/>
      <c r="F45" t="inlineStr"/>
      <c r="G45" t="inlineStr">
        <is>
          <t>Brentwood, TN, US</t>
        </is>
      </c>
      <c r="H45" s="1" t="n">
        <v>46082</v>
      </c>
      <c r="I45"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You'll enjoy the flexibility to telecommute\* from anywhere within the U.S. as you take on some tough challenges.
**Primary Responsibilities:**
* Applies Software Engineering Patterns to Solve Problems
* C\# or Java and Javascript/Typescript proficiency with Web Services (Rest and GRPC) and Single Page Application Technologies
* Specification and management of coding, usability and quality standards
* Interpreting requirements into application designs
* Agile development through collaborating with QA and Business Analysis team members
* Evaluating and learning new technologies that would provide business value
* Ensuring the quality, architecture and accuracy of released code
* Take ownership of the assigned applications
* Be an individual contributor (very hands on) as well as able to guide and mentor team members
* Drive development team to achieve key business objectives
* Collaborate with the team on application architecture design and decision\-making
* Design and implement application capabilities in collaboration with different teams
* Troubleshoot production support issues post release deployment and come up with solutions \- solve complex production issues
* Function as a mentor for junior developers, providing assistance where needed
* Grow with development team to strong agile maturity
* Drive migration from Private to Public cloud
* Engineer automation of end to end quality processes. Identify, design and code automated tests (unit, functional, integration, end to end, performance, smoke, etc.)
* Contribute to and maintain full and robust automation of CI/CD pipeline
* Design, develop, and deploy AI\-powered solutions using no\-code, low\-code, and advanced platforms, translating business needs into scalable applications that enhance products, workflows and decision\-making
You'll be rewarded and recognized for your performance in an environment that will challenge you and give you clear direction on what it takes to succeed in your role as well as provide development for other roles you may be interested in.
**Required Qualifications:**
* High School Diploma/GED (or higher)
* 5\+ years of application development experience (UI, Middle tier, backend)
* 5\+ years of web development experience
* 5\+ years of development experience with JavaScript/Typescript and React
* 5\+ years of SQL Server or other RDBMS development experience
* 3\+ years of development experience with C\# / .NET or Java or any other programming language
* 2\+ years of strong Agile understanding and experience
**Preferred Qualifications:**
* Bachelor's degree
* 1\+ years of production Cloud experience (Private or Public)
* Ability and willingness to work on new development as well as maintenance and production support
* All Telecommuters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$89,900 to $160,600 annually based on full\-time employment. We comply with all minimum wage laws as applicable.
Pursuant to the San Francisco Fair Chance Ordinance, we will consider for employment qualified applicants with arrest and conviction records.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\#RPO \#GREEN</t>
        </is>
      </c>
    </row>
    <row r="46">
      <c r="A46" t="inlineStr">
        <is>
          <t>in-5719d1b83e2fddb4</t>
        </is>
      </c>
      <c r="B46" t="inlineStr">
        <is>
          <t>Software Engineer III</t>
        </is>
      </c>
      <c r="C46" t="inlineStr">
        <is>
          <t>Electronic Arts</t>
        </is>
      </c>
      <c r="D46" t="inlineStr">
        <is>
          <t>indeed</t>
        </is>
      </c>
      <c r="E46" t="inlineStr"/>
      <c r="F46" t="inlineStr"/>
      <c r="G46" t="inlineStr">
        <is>
          <t>Austin, TX, US</t>
        </is>
      </c>
      <c r="H46" s="1" t="n">
        <v>46082</v>
      </c>
      <c r="I46" t="inlineStr">
        <is>
          <t>### **General Information**
**Locations**: Austin, Texas, United States of America
* Location: Austin
* State: Texas
* Country: United States of America
Role ID
212820
Worker Type
Regular Employee
Studio/Department
CT \- IT
Work Model
Hybrid
### **Description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Software Engineer III \- EAIT\-BizApps\- Austin
**Position:**
=============
This Full Stack position will involve working with a highly innovative and quick moving team of Developers, Architects and Designers to work on scalable, highly performant web applications based on modern tech stack. You will be building UI modules, backend APIs, and designing scalable systems. Work with other Engineering and cross functional teams in the company in order to determine needs for new software, platforms and applications
**Key Responsibilities:**
=========================
* Work with producers, architects, designers and business partners to understand the requirements and track engineering tasks.
* As a tech lead, work with a distributed team of Software engineers, collaborate and coordinate the project deliverables.
* Develop and implement software systems, validation procedures, and documentation.
* Understand the UI mockups and design/UX artifacts.
* Develop, debug and design APIs using java following REST standards.
* Code and unit test UI modules, backend APIs and scripts.
* Work with other developers and white board the approach to develop the technical task.
* Integrate research and best practices into problem avoidance and continuous improvement.
* Evaluate new software solutions, and develop quick POCs.
* Understand and participate in Build and configuration management process
* Work with Quality assurance team in fixing bugs
* Work with project management team in following the software development lifecycle
**Qualifications:**
===================
* Master’s Degree in Computer Science, Computer engineering or a related field.
* A background in Data Structures, Algorithms, Design patterns \&amp; System design
* Understanding the full web architecture and the application development technologies such as HTML, CSS, Javascript, Java, NodeJs, Python, etc.
* Experience working with RESTful Web Services using programming languages such as Java, Javascript, Python.
* Knowledge of modern web development and javascript frameworks such as Angular, NextJs/React, Django.
* Experience with cloud platforms such as AWS, Azure, or Google Cloud.
* Familiarity with containerization technologies like Docker and Kubernetes.
* Knowledge of CI/CD pipelines and DevOps practices.
* Understanding of security best practices and application performance optimization.
* Strong written and verbal communication skills.
* Results oriented self\-starter who is able to assume responsibility and ownership of active projects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47">
      <c r="A47" t="inlineStr">
        <is>
          <t>in-7c93fa2a825b18a8</t>
        </is>
      </c>
      <c r="B47" t="inlineStr">
        <is>
          <t>Software Engineer, Workday Integration</t>
        </is>
      </c>
      <c r="C47" t="inlineStr">
        <is>
          <t>Insperity</t>
        </is>
      </c>
      <c r="D47" t="inlineStr">
        <is>
          <t>indeed</t>
        </is>
      </c>
      <c r="E47" t="inlineStr"/>
      <c r="F47" t="inlineStr"/>
      <c r="G47" t="inlineStr">
        <is>
          <t>TX, US</t>
        </is>
      </c>
      <c r="H47" s="1" t="n">
        <v>46082</v>
      </c>
      <c r="I47" t="inlineStr">
        <is>
          <t>**Insperity** provides the most comprehensive suite of scalable HR solutions available in the marketplace with an optimal blend of premium HR service and technology. With more than 90 locations throughout the U.S., Insperity is currently making a difference for thousands of businesses and communities nationwide.
Behind our success is the unshakeable belief in the value of our people. We value diversity, inclusivity and a sense of belonging. We celebrate work and life events, and we partner with our clients and communities to make great things happen.
We have received recognition numerous times as a top place to work, most recently ranking on Glassdoor’s “Best Places to Work in the U.S. 2024” list, and U.S. News \&amp; World Report’s “Best Companies to Work for 2024” list. In addition, we have been recognized for having one of the country’s Top 50 Midsize Early Talent Programs by RippleMatch’s 2024 Campus Forward Awards. There is no better time to be a part of Insperity, and our best work is yet to come. Learn more at Insperity.com.
**Why Insperity?**
**Flexibility:** Over 80% of Insperity’s jobs have flexibility. We want your time to have balance, whether it’s spent with coworkers, clients, family or your community.
**Career Growth:** Insperity provides many ways to grow with the company. We offer continuous learning programs, mentorship opportunities and ongoing training.
**Well\-Being:** Our total rewards package includes generous paid time off, top\-tier medical, dental and vision benefits, health \&amp; wellness support, paid volunteer hours and much more. We take care of our people so that you can do your best work.
This position is responsible for working with constituent departments to fulfill application design, development, configuration, integration, support, and maintenance requests. Operates with minimal latitude for un\-reviewed action or decision.
**Responsibilities:**
* Works with constituent departments to fulfill design, application development, configuration, integration, support, and maintenance requests.
* Assists in scope definition and estimation of work effort.
* Contributes to the business requirements gathering process.
* Works with the architecture team to ensure that design standards are followed.
* Adheres to defined processes.
* Develops application code to fulfill project requests.
* Creates technical documentation as required.
* Drives incremental improvements to team technical processes and practices.
* Mentors development team members in technical complexities of assigned work.
* Stays up to date with Workday releases, updates, and new features, and applies this knowledge to improve integration/extend solutions, design and performance.
**Qualifications:**
* Bachelor’s Degree in Computer Science, a related field, or four years of related work experience is required.
* Three to five years of professional experience is required.
* Strong understanding of web, mobile, API, and SQL technologies.
* Broad knowledge of software development practices and procedures.
* Experience working with Workday modules such as HCM, Benefits, Time Tracking, Payroll and Security.
* Good understanding of Workday Business Process Framework.
* Good knowledge of Workday integration tools such as EIB, Connectors, Workday Studio.
* Working knowledge of Workday Extend.
* Working knowledge of Workday Report Writer, calculated fields, Prism.
* Working knowledge of Web Services, APIs (WSDL, SOAP, REST) and RaaS.
* Knowledge of Workday data conversion patterns and toolset.
* Aptitude for continuous learning and improvement.
* Strong teamwork skills.
*Insperity provides a reasonable range of minimum compensation. Actual compensation is influenced by a wide array of factors including but not limited to skill set, level of experience, and specific office location. The range of pay for this role is:*
$78,100 \- $88,950*At Insperity, we celebrate the diversity of our employees and our leadership. Insperity is an equal opportunity employer, and all qualified applicants will receive consideration for employment without regard to race, color, religion, sex, national origin, disability status, protected veteran status or any other characteristic protected by law, including criminal arrest and/or conviction records.*</t>
        </is>
      </c>
    </row>
    <row r="48">
      <c r="A48" t="inlineStr">
        <is>
          <t>in-11c9999d5f143af3</t>
        </is>
      </c>
      <c r="B48" t="inlineStr">
        <is>
          <t>Senior Software Engineer</t>
        </is>
      </c>
      <c r="C48" t="inlineStr">
        <is>
          <t>Wellington Management</t>
        </is>
      </c>
      <c r="D48" t="inlineStr">
        <is>
          <t>indeed</t>
        </is>
      </c>
      <c r="E48" t="inlineStr"/>
      <c r="F48" t="inlineStr"/>
      <c r="G48" t="inlineStr">
        <is>
          <t>Boston, MA, US</t>
        </is>
      </c>
      <c r="H48" s="1" t="n">
        <v>46082</v>
      </c>
      <c r="I48" t="inlineStr">
        <is>
          <t>About Us
Wellington Management offers comprehensive investment management capabilities that span nearly all segments of the global capital markets. Our investment solutions, tailored to the unique return and risk objectives of institutional clients in more than 60 countries, draw on a robust body of proprietary research and a collaborative culture that encourages independent thought and healthy debate. As a private partnership, we believe our ownership structure fosters a long\-term view that aligns our perspectives with those of our clients.
About the Role
Senior Software Engineer – IBOR  
We are growing our engineering team and looking for highly motivated engineers to make an impact at Wellington. This is a great opportunity for an engineer to build a career and learn about IBOR (Investor Book of Record). This position requires a high level of collaboration and interaction with our other technology partners across the department, and an ability to deliver in a fast\-paced and evolving environment. The individual must be a self\-starter with the ability to multi\-task and work on a variety of assignments with people at all levels of the organization.  
Qualifications* 7 to 10\+ years in systems development using Java and J2EE (currently working with Java 17; experience with version 11 will work)
* Strong experience with Spring and Spring Boot frameworks
* Solid understanding of multi\-threaded applications and high\-performance systems
* Experience developing and deploying RESTful APIs
* Experience with WebSockets, AWS, and CI/CD pipelines (especially using Jenkins) is a strong plus
* Demonstrated use of GenAI\-assisted development tools (e.g., GitHub Copilot, Claude Code)
* Strong motivation and ability to work in a fast\-paced, team\-oriented environment supporting a business\-critical production environment
* Strong analysis, design, and modeling skills
* Knowledge of software development and testing methodologies and their effective application; experience with JMeter is a plus
* Bachelor’s degree in Computer Science or a related field
Responsibilities* Lead the technical design, implementation, deployment, and support of the IBOR platform
* Develop and maintain robust, scalable, and secure backend services using Java, Spring, and Spring Boot
* Collaborate with Business Analysts to review and implement business requirements
* Work closely with Project Managers, Technical Leads, and QA Leads on estimates, statuses, issue identification, and risk management
* Partner with the Architecture team to ensure alignment with the strategic direction of the enterprise
* Stay current with evolving industry and technical trends, including AI\-assisted development tools, to ensure systems and team are of the highest caliber
Not sure you meet 100% of our qualifications? That’s ok. If you believe that you could excel in this role, we encourage you to apply and welcome a chance to review your background. We are dedicated to building and maintaining a diversified workforce and considering a broad array of candidates with a variety of skill, workplace experiences, and backgrounds.*As an equal opportunity employer, Wellington Management ensures that all qualified applicants will receive equal consideration for employment without regard to* *r**ace, color, sex, sexual orientation, gender identity, gender expression, religion, creed, national origin, age, ancestry, disability (physical or mental), medical condition, citizenship, marital status, pregnancy, veteran or military status, genetic information or any other characteristic* *protected by applicable law**.* *If you are a candidate with a disability, or are assisting a candidate with a disability, and require an accommodation to apply for one of our jobs, please email us at* *GMWTalentOperations@wellington.com**.*
At Wellington Management, our approach to compensation is designed to help us attract, inspire and retain the best talent in our industry. We strive to pay employees fairly and competitively across all levels and roles. Our approach to compensation considers all aspects of total compensation; all employees are eligible to receive salary, variable compensation, and benefits. The base salary range for this position is:
USD 80,000 \- 150,000
This range takes into account the wide range of factors that are considered when making compensation decisions, including but not limited to skill sets; role; skills and experience; certifications; and education. This range is an estimate, and further details on salary and total compensation aspects will be shared with candidates during the recruitment process.  
Base salary is only one component of Wellington’s total compensation approach. Other rewards may include a discretionary Corporate Bonus and/ or Incentives, if eligible. In addition, we offer a comprehensive and high value benefit package to meet the unique needs of our employees and their families, and we are committed to fostering a flexible work environment that enables employees to thrive personally and professionally. Examples of our benefits include retirement plan, health and wellbeing, dental, vision, and pharmacy coverage, health savings account, flexible spending accounts and commuter program, employee assistance program, life and disability insurance, adoption assistance, back\-up childcare, tuition/CFA reimbursement and paid time off (leave of absence, paid holidays, volunteer, sick and vacation time)
We believe that in person interactions inspire and energize our community and are essential to our culture. In support of this commitment, our employees work from our offices 4 days a week with flexibility to work remotely 1 day a week. We believe that this approach ultimately supports our mission to deliver investment excellence to our clients and their beneficiaries over the long term.</t>
        </is>
      </c>
    </row>
    <row r="49">
      <c r="A49" t="inlineStr">
        <is>
          <t>in-054e123e538a7288</t>
        </is>
      </c>
      <c r="B49" t="inlineStr">
        <is>
          <t>Senior Software Engineer (Ruby)</t>
        </is>
      </c>
      <c r="C49" t="inlineStr">
        <is>
          <t>Reserv</t>
        </is>
      </c>
      <c r="D49" t="inlineStr">
        <is>
          <t>indeed</t>
        </is>
      </c>
      <c r="E49" t="inlineStr"/>
      <c r="F49" t="inlineStr"/>
      <c r="G49" t="inlineStr">
        <is>
          <t>Atlanta, GA, US</t>
        </is>
      </c>
      <c r="H49" s="1" t="n">
        <v>46061</v>
      </c>
      <c r="I49" t="inlineStr">
        <is>
          <t>**About Reserv**
Reserv is an insurtech creating and incubating cutting\-edge AI and automation technology to bring efficiency and simplicity to claims. Founded by insurtech veterans with deep experience in SaaS and digital claims, Reserv is venture\-backed by Bain Capital and Altai Ventures and began operations in May 2022\. We are focused on automating highly manual tasks to tackle long\-standing problems in claims and set a new standard for TPAs, insurance technology providers, and adjusters alike.
We have ambitious (but attainable!) goals and need people who can work in an evolving environment. If building a leading TPA and the prospect of tackling the long\-standing challenges of the claims role sounds exciting, we can’t wait to meet you.
 **About the role**
* As a full stack engineer at Reserv, you'll be at the heart of our growth journey, shaping the future of our technology and platform. You are a passionate engineer with strong backend skills, and the desire to build high\-quality, scalable, and maintainable applications. You thrive on bringing user stories to life, delivering exceptional end\-to\-end experiences. Collaboration is key at Reserv, and we value team members who are eager to work cross\-functionally and drive innovation. If you're excited about molding the future of our product and making a lasting impact, we want you on our team. Join us on this exciting journey to revolutionize the industry!
**What you'll do**
* Work with our tech stack: Ruby/Ruby on Rails, React, Typescript, and others when needed
* Help distill the core interactions a customer of Reserv will need to be successful in using our product, from the homepage, to the developer dashboard, to documentation centers and SDKs
* Ship frontend and backend components that improve the Reserv product experience
* Commit on your first day, and deploy code continuously
* As we scale our product \&amp; engineering teams, collaborate closely with our product ops, design, and sales teams, as well as mentor junior engineers
* Communicate ideas and specifications through detailed, precise writing
* Influence the culture, values, and processes of a growing engineering team
* Enjoy and have fun being creative and thinking outside of the box. You will need to draw on analogous situations you’ve worked on before, but we are not traversing well\-traveled roads. “Where we’re going, we don’t need roads!”
**Qualifications**
* 5\+ years of hands\-on experience designing, building, and deploying production\-ready software using Ruby (and frameworks such as Ruby on Rails) and some familiarity or willingness to work with modern front\-end technologies (React, Typescript) when needed.
* Proven track record of delivering high\-quality, reliable software. We appreciate engineers who explore side projects, contribute to open\-source, or publish technical content, demonstrating a passion for continuous learning.
* Deep expertise in backend development. You understand API design, data modeling, performance optimization, and security best practices \- while still keeping the user experience in mind.
* Versatility and willingness to learn. You’re primarily focused on the backend, but you’re comfortable stepping into front\-end or infrastructure tasks when needed \- whether its debugging a React component, fixing a security vulnerability, or helping optimize CI/CD pipelines.
* Excellent collaboration and communication skills, comfortable partnering with cross\-functional teams to deliver seamless product experiences.
* **Bonus**: Ruby (Ruby on Rails), Python, React, Typescript
 **Benefits**
* Generous health\-insurance package with nationwide coverage, vision, \&amp; dental
* 401(k) retirement plan with employer matching
* Competitive PTO policy – we want our employees fresh, healthy, happy, and energized!
* Generous family leave policy after 8 months of continuous work
* Work from anywhere to facilitate your work life balance
* Apple laptop, large second monitor, and other quality\-of\-life equipment you may want. Technology is something that should make your life easier, not harder!
 **Additionally, we will**
* Listen to your feedback to enhance and improve upon the long\-standing challenges of an adjuster and the claims role
* Work toward reducing and eliminating all the administrative work from an adjuster role
* Foster a culture of empathy, transparency, and empowerment in a remote\-first environment
At Reserv, we value diversity in backgrounds, perspectives, and life experiences and believe that diversity in viewpoints and critical thinking drives innovation, first\-principles thinking, and success. We welcome applicants from all backgrounds and encourage those from all walks of life to apply. If you believe you are a good fit for this role, we would love to hear from you!</t>
        </is>
      </c>
    </row>
    <row r="50">
      <c r="A50" t="inlineStr">
        <is>
          <t>in-ab3a7df80c4b0264</t>
        </is>
      </c>
      <c r="B50" t="inlineStr">
        <is>
          <t>Software Engineer II, Android</t>
        </is>
      </c>
      <c r="C50" t="inlineStr">
        <is>
          <t>Amazon.com</t>
        </is>
      </c>
      <c r="D50" t="inlineStr">
        <is>
          <t>indeed</t>
        </is>
      </c>
      <c r="E50" t="inlineStr"/>
      <c r="F50" t="inlineStr"/>
      <c r="G50" t="inlineStr">
        <is>
          <t>San Francisco, CA, US</t>
        </is>
      </c>
      <c r="H50" s="1" t="n">
        <v>46044</v>
      </c>
      <c r="I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51">
      <c r="A51" t="inlineStr">
        <is>
          <t>in-dff14dddb2ee6826</t>
        </is>
      </c>
      <c r="B51" t="inlineStr">
        <is>
          <t>Software Engineer II, Android</t>
        </is>
      </c>
      <c r="C51" t="inlineStr">
        <is>
          <t>Amazon.com</t>
        </is>
      </c>
      <c r="D51" t="inlineStr">
        <is>
          <t>indeed</t>
        </is>
      </c>
      <c r="E51" t="inlineStr"/>
      <c r="F51" t="inlineStr"/>
      <c r="G51" t="inlineStr">
        <is>
          <t>Seattle, WA, US</t>
        </is>
      </c>
      <c r="H51" s="1" t="n">
        <v>46044</v>
      </c>
      <c r="I5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52">
      <c r="A52" t="inlineStr">
        <is>
          <t>in-f786250c565b0db3</t>
        </is>
      </c>
      <c r="B52" t="inlineStr">
        <is>
          <t>Software Engineer II, Android</t>
        </is>
      </c>
      <c r="C52" t="inlineStr">
        <is>
          <t>Amazon.com</t>
        </is>
      </c>
      <c r="D52" t="inlineStr">
        <is>
          <t>indeed</t>
        </is>
      </c>
      <c r="E52" t="inlineStr"/>
      <c r="F52" t="inlineStr"/>
      <c r="G52" t="inlineStr">
        <is>
          <t>Irvine, CA, US</t>
        </is>
      </c>
      <c r="H52" s="1" t="n">
        <v>46044</v>
      </c>
      <c r="I5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53">
      <c r="A53" t="inlineStr">
        <is>
          <t>in-74e83d6e6022c263</t>
        </is>
      </c>
      <c r="B53" t="inlineStr">
        <is>
          <t>Software Engineer I</t>
        </is>
      </c>
      <c r="C53" t="inlineStr">
        <is>
          <t>Amazon.com</t>
        </is>
      </c>
      <c r="D53" t="inlineStr">
        <is>
          <t>indeed</t>
        </is>
      </c>
      <c r="E53" t="inlineStr"/>
      <c r="F53" t="inlineStr"/>
      <c r="G53" t="inlineStr">
        <is>
          <t>San Francisco, CA, US</t>
        </is>
      </c>
      <c r="H53" s="1" t="n">
        <v>46001</v>
      </c>
      <c r="I5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in-2fc3666a37d09998</t>
        </is>
      </c>
      <c r="B54" t="inlineStr">
        <is>
          <t>Software Engineer I</t>
        </is>
      </c>
      <c r="C54" t="inlineStr">
        <is>
          <t>Amazon.com</t>
        </is>
      </c>
      <c r="D54" t="inlineStr">
        <is>
          <t>indeed</t>
        </is>
      </c>
      <c r="E54" t="inlineStr"/>
      <c r="F54" t="inlineStr"/>
      <c r="G54" t="inlineStr">
        <is>
          <t>Seattle, WA, US</t>
        </is>
      </c>
      <c r="H54" s="1" t="n">
        <v>46001</v>
      </c>
      <c r="I5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in-5fefa0c36ee58799</t>
        </is>
      </c>
      <c r="B55" t="inlineStr">
        <is>
          <t>Software Engineer II, Android</t>
        </is>
      </c>
      <c r="C55" t="inlineStr">
        <is>
          <t>Amazon.com</t>
        </is>
      </c>
      <c r="D55" t="inlineStr">
        <is>
          <t>indeed</t>
        </is>
      </c>
      <c r="E55" t="inlineStr"/>
      <c r="F55" t="inlineStr"/>
      <c r="G55" t="inlineStr">
        <is>
          <t>San Francisco, CA, US</t>
        </is>
      </c>
      <c r="H55" s="1" t="n">
        <v>45995</v>
      </c>
      <c r="I5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in-a23db22eaa4db8b5</t>
        </is>
      </c>
      <c r="B56" t="inlineStr">
        <is>
          <t>Software Engineer II, Android</t>
        </is>
      </c>
      <c r="C56" t="inlineStr">
        <is>
          <t>Amazon.com</t>
        </is>
      </c>
      <c r="D56" t="inlineStr">
        <is>
          <t>indeed</t>
        </is>
      </c>
      <c r="E56" t="inlineStr"/>
      <c r="F56" t="inlineStr"/>
      <c r="G56" t="inlineStr">
        <is>
          <t>Seattle, WA, US</t>
        </is>
      </c>
      <c r="H56" s="1" t="n">
        <v>45995</v>
      </c>
      <c r="I5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in-9d8ef1c0a94cf4ea</t>
        </is>
      </c>
      <c r="B57" t="inlineStr">
        <is>
          <t>Software Engineer II, Android</t>
        </is>
      </c>
      <c r="C57" t="inlineStr">
        <is>
          <t>Amazon.com</t>
        </is>
      </c>
      <c r="D57" t="inlineStr">
        <is>
          <t>indeed</t>
        </is>
      </c>
      <c r="E57" t="inlineStr"/>
      <c r="F57" t="inlineStr"/>
      <c r="G57" t="inlineStr">
        <is>
          <t>Irvine, CA, US</t>
        </is>
      </c>
      <c r="H57" s="1" t="n">
        <v>45995</v>
      </c>
      <c r="I5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in-f24fd7a770db9f98</t>
        </is>
      </c>
      <c r="B58" t="inlineStr">
        <is>
          <t>Senior Embedded Software Engineer, Amazon Leo Digital RF Systems</t>
        </is>
      </c>
      <c r="C58" t="inlineStr">
        <is>
          <t>Amazon.com</t>
        </is>
      </c>
      <c r="D58" t="inlineStr">
        <is>
          <t>indeed</t>
        </is>
      </c>
      <c r="E58" t="inlineStr"/>
      <c r="F58" t="inlineStr"/>
      <c r="G58" t="inlineStr">
        <is>
          <t>Redmond, WA, US</t>
        </is>
      </c>
      <c r="H58" s="1" t="n">
        <v>45981</v>
      </c>
      <c r="I58"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59">
      <c r="A59" t="inlineStr">
        <is>
          <t>in-5798cb95c1641a49</t>
        </is>
      </c>
      <c r="B59" t="inlineStr">
        <is>
          <t>Senior Embedded Software Engineer, Amazon Leo Digital RF Systems</t>
        </is>
      </c>
      <c r="C59" t="inlineStr">
        <is>
          <t>Amazon.com</t>
        </is>
      </c>
      <c r="D59" t="inlineStr">
        <is>
          <t>indeed</t>
        </is>
      </c>
      <c r="E59" t="inlineStr"/>
      <c r="F59" t="inlineStr"/>
      <c r="G59" t="inlineStr">
        <is>
          <t>San Diego, CA, US</t>
        </is>
      </c>
      <c r="H59" s="1" t="n">
        <v>45981</v>
      </c>
      <c r="I5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60">
      <c r="A60" t="inlineStr">
        <is>
          <t>in-16f89248f1e16406</t>
        </is>
      </c>
      <c r="B60" t="inlineStr">
        <is>
          <t>Sr. Device Software Engineer, Amazon Leo Government</t>
        </is>
      </c>
      <c r="C60" t="inlineStr">
        <is>
          <t>Amazon.com</t>
        </is>
      </c>
      <c r="D60" t="inlineStr">
        <is>
          <t>indeed</t>
        </is>
      </c>
      <c r="E60" t="inlineStr"/>
      <c r="F60" t="inlineStr"/>
      <c r="G60" t="inlineStr">
        <is>
          <t>Redmond, WA, US</t>
        </is>
      </c>
      <c r="H60" s="1" t="n">
        <v>45911</v>
      </c>
      <c r="I60"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61">
      <c r="A61" t="inlineStr">
        <is>
          <t>in-225a0c6f8ebd4cc9</t>
        </is>
      </c>
      <c r="B61" t="inlineStr">
        <is>
          <t>Sr. Device Software Engineer, Amazon Leo Government</t>
        </is>
      </c>
      <c r="C61" t="inlineStr">
        <is>
          <t>Amazon.com</t>
        </is>
      </c>
      <c r="D61" t="inlineStr">
        <is>
          <t>indeed</t>
        </is>
      </c>
      <c r="E61" t="inlineStr"/>
      <c r="F61" t="inlineStr"/>
      <c r="G61" t="inlineStr">
        <is>
          <t>Northridge, CA, US</t>
        </is>
      </c>
      <c r="H61" s="1" t="n">
        <v>45911</v>
      </c>
      <c r="I6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62">
      <c r="A62" t="inlineStr">
        <is>
          <t>in-8c1e7ef405edc2a1</t>
        </is>
      </c>
      <c r="B62" t="inlineStr">
        <is>
          <t>Sr. Device Software Engineer, Amazon Leo Government</t>
        </is>
      </c>
      <c r="C62" t="inlineStr">
        <is>
          <t>Amazon.com</t>
        </is>
      </c>
      <c r="D62" t="inlineStr">
        <is>
          <t>indeed</t>
        </is>
      </c>
      <c r="E62" t="inlineStr"/>
      <c r="F62" t="inlineStr"/>
      <c r="G62" t="inlineStr">
        <is>
          <t>Arlington, VA, US</t>
        </is>
      </c>
      <c r="H62" s="1" t="n">
        <v>45911</v>
      </c>
      <c r="I62"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63">
      <c r="A63" t="inlineStr">
        <is>
          <t>in-fb9d33cbec1e10d1</t>
        </is>
      </c>
      <c r="B63" t="inlineStr">
        <is>
          <t>Sr. Device Software Engineer, Amazon Leo Government</t>
        </is>
      </c>
      <c r="C63" t="inlineStr">
        <is>
          <t>Amazon.com</t>
        </is>
      </c>
      <c r="D63" t="inlineStr">
        <is>
          <t>indeed</t>
        </is>
      </c>
      <c r="E63" t="inlineStr"/>
      <c r="F63" t="inlineStr"/>
      <c r="G63" t="inlineStr">
        <is>
          <t>El Segundo, CA, US</t>
        </is>
      </c>
      <c r="H63" s="1" t="n">
        <v>45911</v>
      </c>
      <c r="I63"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64">
      <c r="A64" t="inlineStr">
        <is>
          <t>in-214eeaabbb21de86</t>
        </is>
      </c>
      <c r="B64" t="inlineStr">
        <is>
          <t>Device Software Engineer, Amazon Leo Government</t>
        </is>
      </c>
      <c r="C64" t="inlineStr">
        <is>
          <t>Amazon.com</t>
        </is>
      </c>
      <c r="D64" t="inlineStr">
        <is>
          <t>indeed</t>
        </is>
      </c>
      <c r="E64" t="inlineStr"/>
      <c r="F64" t="inlineStr"/>
      <c r="G64" t="inlineStr">
        <is>
          <t>Arlington, VA, US</t>
        </is>
      </c>
      <c r="H64" s="1" t="n">
        <v>45910</v>
      </c>
      <c r="I64"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65">
      <c r="A65" t="inlineStr">
        <is>
          <t>in-851475eb3a2a09a8</t>
        </is>
      </c>
      <c r="B65" t="inlineStr">
        <is>
          <t>Device Software Engineer, Amazon Leo Government</t>
        </is>
      </c>
      <c r="C65" t="inlineStr">
        <is>
          <t>Amazon.com</t>
        </is>
      </c>
      <c r="D65" t="inlineStr">
        <is>
          <t>indeed</t>
        </is>
      </c>
      <c r="E65" t="inlineStr"/>
      <c r="F65" t="inlineStr"/>
      <c r="G65" t="inlineStr">
        <is>
          <t>El Segundo, CA, US</t>
        </is>
      </c>
      <c r="H65" s="1" t="n">
        <v>45910</v>
      </c>
      <c r="I65"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66">
      <c r="A66" t="inlineStr">
        <is>
          <t>in-df952c70bef46c3d</t>
        </is>
      </c>
      <c r="B66" t="inlineStr">
        <is>
          <t>Device Software Engineer, Amazon Leo Government</t>
        </is>
      </c>
      <c r="C66" t="inlineStr">
        <is>
          <t>Amazon.com</t>
        </is>
      </c>
      <c r="D66" t="inlineStr">
        <is>
          <t>indeed</t>
        </is>
      </c>
      <c r="E66" t="inlineStr"/>
      <c r="F66" t="inlineStr"/>
      <c r="G66" t="inlineStr">
        <is>
          <t>Northridge, CA, US</t>
        </is>
      </c>
      <c r="H66" s="1" t="n">
        <v>45910</v>
      </c>
      <c r="I6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67">
      <c r="A67" t="inlineStr">
        <is>
          <t>in-7ae6d269757205e7</t>
        </is>
      </c>
      <c r="B67" t="inlineStr">
        <is>
          <t>Device Software Engineer, Amazon Leo Government</t>
        </is>
      </c>
      <c r="C67" t="inlineStr">
        <is>
          <t>Amazon.com</t>
        </is>
      </c>
      <c r="D67" t="inlineStr">
        <is>
          <t>indeed</t>
        </is>
      </c>
      <c r="E67" t="inlineStr"/>
      <c r="F67" t="inlineStr"/>
      <c r="G67" t="inlineStr">
        <is>
          <t>Redmond, WA, US</t>
        </is>
      </c>
      <c r="H67" s="1" t="n">
        <v>45910</v>
      </c>
      <c r="I6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68">
      <c r="A68" t="inlineStr">
        <is>
          <t>in-0e924b9add0693b5</t>
        </is>
      </c>
      <c r="B68" t="inlineStr">
        <is>
          <t>Software Developer Engineer - iOS, Ring</t>
        </is>
      </c>
      <c r="C68" t="inlineStr">
        <is>
          <t>Amazon.com</t>
        </is>
      </c>
      <c r="D68" t="inlineStr">
        <is>
          <t>indeed</t>
        </is>
      </c>
      <c r="E68" t="inlineStr"/>
      <c r="F68" t="inlineStr"/>
      <c r="G68" t="inlineStr">
        <is>
          <t>Irvine, CA, US</t>
        </is>
      </c>
      <c r="H68" s="1" t="n">
        <v>45812</v>
      </c>
      <c r="I68"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in-3e83a8251e42fd34</t>
        </is>
      </c>
      <c r="B69" t="inlineStr">
        <is>
          <t>Software Developer Engineer - iOS, Ring</t>
        </is>
      </c>
      <c r="C69" t="inlineStr">
        <is>
          <t>Amazon.com</t>
        </is>
      </c>
      <c r="D69" t="inlineStr">
        <is>
          <t>indeed</t>
        </is>
      </c>
      <c r="E69" t="inlineStr"/>
      <c r="F69" t="inlineStr"/>
      <c r="G69" t="inlineStr">
        <is>
          <t>Hawthorne, CA, US</t>
        </is>
      </c>
      <c r="H69" s="1" t="n">
        <v>45812</v>
      </c>
      <c r="I69"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in-81db74029b3f5486</t>
        </is>
      </c>
      <c r="B70" t="inlineStr">
        <is>
          <t>Software Developer Engineer - iOS, Ring</t>
        </is>
      </c>
      <c r="C70" t="inlineStr">
        <is>
          <t>Amazon.com</t>
        </is>
      </c>
      <c r="D70" t="inlineStr">
        <is>
          <t>indeed</t>
        </is>
      </c>
      <c r="E70" t="inlineStr"/>
      <c r="F70" t="inlineStr"/>
      <c r="G70" t="inlineStr">
        <is>
          <t>Austin, TX, US</t>
        </is>
      </c>
      <c r="H70" s="1" t="n">
        <v>45812</v>
      </c>
      <c r="I70"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in-2e3c4868082c45b9</t>
        </is>
      </c>
      <c r="B71" t="inlineStr">
        <is>
          <t>Senior Software Engineer - Query Processing, Aurora DSQL</t>
        </is>
      </c>
      <c r="C71" t="inlineStr">
        <is>
          <t>Amazon Web Services</t>
        </is>
      </c>
      <c r="D71" t="inlineStr">
        <is>
          <t>indeed</t>
        </is>
      </c>
      <c r="E71" t="inlineStr"/>
      <c r="F71" t="inlineStr"/>
      <c r="G71" t="inlineStr">
        <is>
          <t>East Palo Alto, CA, US</t>
        </is>
      </c>
      <c r="H71" s="1" t="n">
        <v>45796</v>
      </c>
      <c r="I7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in-28c14c1743bdee98</t>
        </is>
      </c>
      <c r="B72" t="inlineStr">
        <is>
          <t>Senior Software Engineer - Query Processing, Aurora DSQL</t>
        </is>
      </c>
      <c r="C72" t="inlineStr">
        <is>
          <t>Amazon Web Services</t>
        </is>
      </c>
      <c r="D72" t="inlineStr">
        <is>
          <t>indeed</t>
        </is>
      </c>
      <c r="E72" t="inlineStr"/>
      <c r="F72" t="inlineStr"/>
      <c r="G72" t="inlineStr">
        <is>
          <t>Seattle, WA, US</t>
        </is>
      </c>
      <c r="H72" s="1" t="n">
        <v>45796</v>
      </c>
      <c r="I7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in-3defda1af19e0e19</t>
        </is>
      </c>
      <c r="B73" t="inlineStr">
        <is>
          <t>Software Engineer</t>
        </is>
      </c>
      <c r="C73" t="inlineStr">
        <is>
          <t>Amazon.com</t>
        </is>
      </c>
      <c r="D73" t="inlineStr">
        <is>
          <t>indeed</t>
        </is>
      </c>
      <c r="E73">
        <f>HYPERLINK("https://www.indeed.com/viewjob?jk=3defda1af19e0e19", "https://www.indeed.com/viewjob?jk=3defda1af19e0e19")</f>
        <v/>
      </c>
      <c r="F73">
        <f>HYPERLINK("https://www.amazon.jobs/jobs/3145977/software-engineer?cmpid=DA_INAD200785B", "https://www.amazon.jobs/jobs/3145977/software-engineer?cmpid=DA_INAD200785B")</f>
        <v/>
      </c>
      <c r="G73" t="inlineStr">
        <is>
          <t>Seattle, WA, US</t>
        </is>
      </c>
      <c r="H73" s="2" t="n">
        <v>46008</v>
      </c>
      <c r="I7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in-56f5af4e66a8af5b</t>
        </is>
      </c>
      <c r="B74" t="inlineStr">
        <is>
          <t>Software Engineer</t>
        </is>
      </c>
      <c r="C74" t="inlineStr">
        <is>
          <t>Amazon.com</t>
        </is>
      </c>
      <c r="D74" t="inlineStr">
        <is>
          <t>indeed</t>
        </is>
      </c>
      <c r="E74">
        <f>HYPERLINK("https://www.indeed.com/viewjob?jk=56f5af4e66a8af5b", "https://www.indeed.com/viewjob?jk=56f5af4e66a8af5b")</f>
        <v/>
      </c>
      <c r="F74">
        <f>HYPERLINK("https://www.amazon.jobs/jobs/3145977/software-engineer?cmpid=DA_INAD200785B", "https://www.amazon.jobs/jobs/3145977/software-engineer?cmpid=DA_INAD200785B")</f>
        <v/>
      </c>
      <c r="G74" t="inlineStr">
        <is>
          <t>San Francisco, CA, US</t>
        </is>
      </c>
      <c r="H74" s="2" t="n">
        <v>46008</v>
      </c>
      <c r="I7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in-b411812d0c7ff569</t>
        </is>
      </c>
      <c r="B75" t="inlineStr">
        <is>
          <t>Software Engineer I</t>
        </is>
      </c>
      <c r="C75" t="inlineStr">
        <is>
          <t>Amazon.com</t>
        </is>
      </c>
      <c r="D75" t="inlineStr">
        <is>
          <t>indeed</t>
        </is>
      </c>
      <c r="E75">
        <f>HYPERLINK("https://www.indeed.com/viewjob?jk=b411812d0c7ff569", "https://www.indeed.com/viewjob?jk=b411812d0c7ff569")</f>
        <v/>
      </c>
      <c r="F75">
        <f>HYPERLINK("https://www.amazon.jobs/jobs/3111761/software-engineer-i?cmpid=DA_INAD200785B", "https://www.amazon.jobs/jobs/3111761/software-engineer-i?cmpid=DA_INAD200785B")</f>
        <v/>
      </c>
      <c r="G75" t="inlineStr">
        <is>
          <t>San Francisco, CA, US</t>
        </is>
      </c>
      <c r="H75" s="2" t="n">
        <v>45946</v>
      </c>
      <c r="I7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in-738cf4b9730a7c67</t>
        </is>
      </c>
      <c r="B76" t="inlineStr">
        <is>
          <t>Software Engineer I</t>
        </is>
      </c>
      <c r="C76" t="inlineStr">
        <is>
          <t>Amazon.com</t>
        </is>
      </c>
      <c r="D76" t="inlineStr">
        <is>
          <t>indeed</t>
        </is>
      </c>
      <c r="E76">
        <f>HYPERLINK("https://www.indeed.com/viewjob?jk=738cf4b9730a7c67", "https://www.indeed.com/viewjob?jk=738cf4b9730a7c67")</f>
        <v/>
      </c>
      <c r="F76">
        <f>HYPERLINK("https://www.amazon.jobs/jobs/3111761/software-engineer-i?cmpid=DA_INAD200785B", "https://www.amazon.jobs/jobs/3111761/software-engineer-i?cmpid=DA_INAD200785B")</f>
        <v/>
      </c>
      <c r="G76" t="inlineStr">
        <is>
          <t>Irvine, CA, US</t>
        </is>
      </c>
      <c r="H76" s="2" t="n">
        <v>45946</v>
      </c>
      <c r="I7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in-8397b9c98b76eead</t>
        </is>
      </c>
      <c r="B77" t="inlineStr">
        <is>
          <t>Software Engineer II</t>
        </is>
      </c>
      <c r="C77" t="inlineStr">
        <is>
          <t>Amazon.com</t>
        </is>
      </c>
      <c r="D77" t="inlineStr">
        <is>
          <t>indeed</t>
        </is>
      </c>
      <c r="E77">
        <f>HYPERLINK("https://www.indeed.com/viewjob?jk=8397b9c98b76eead", "https://www.indeed.com/viewjob?jk=8397b9c98b76eead")</f>
        <v/>
      </c>
      <c r="F77">
        <f>HYPERLINK("https://www.amazon.jobs/jobs/3104730/software-engineer-ii?cmpid=DA_INAD200785B", "https://www.amazon.jobs/jobs/3104730/software-engineer-ii?cmpid=DA_INAD200785B")</f>
        <v/>
      </c>
      <c r="G77" t="inlineStr">
        <is>
          <t>San Francisco, CA, US</t>
        </is>
      </c>
      <c r="H77" s="2" t="n">
        <v>45938</v>
      </c>
      <c r="I7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in-5a1e60ad0b18a0d3</t>
        </is>
      </c>
      <c r="B78" t="inlineStr">
        <is>
          <t>Software Engineer II</t>
        </is>
      </c>
      <c r="C78" t="inlineStr">
        <is>
          <t>Amazon.com</t>
        </is>
      </c>
      <c r="D78" t="inlineStr">
        <is>
          <t>indeed</t>
        </is>
      </c>
      <c r="E78">
        <f>HYPERLINK("https://www.indeed.com/viewjob?jk=5a1e60ad0b18a0d3", "https://www.indeed.com/viewjob?jk=5a1e60ad0b18a0d3")</f>
        <v/>
      </c>
      <c r="F78">
        <f>HYPERLINK("https://www.amazon.jobs/jobs/3104730/software-engineer-ii?cmpid=DA_INAD200785B", "https://www.amazon.jobs/jobs/3104730/software-engineer-ii?cmpid=DA_INAD200785B")</f>
        <v/>
      </c>
      <c r="G78" t="inlineStr">
        <is>
          <t>Irvine, CA, US</t>
        </is>
      </c>
      <c r="H78" s="2" t="n">
        <v>45938</v>
      </c>
      <c r="I7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in-408a85929623a1ca</t>
        </is>
      </c>
      <c r="B79" t="inlineStr">
        <is>
          <t>Software Engineer II</t>
        </is>
      </c>
      <c r="C79" t="inlineStr">
        <is>
          <t>Amazon.com</t>
        </is>
      </c>
      <c r="D79" t="inlineStr">
        <is>
          <t>indeed</t>
        </is>
      </c>
      <c r="E79">
        <f>HYPERLINK("https://www.indeed.com/viewjob?jk=408a85929623a1ca", "https://www.indeed.com/viewjob?jk=408a85929623a1ca")</f>
        <v/>
      </c>
      <c r="F79">
        <f>HYPERLINK("https://www.amazon.jobs/jobs/3104734/software-engineer-ii?cmpid=DA_INAD200785B", "https://www.amazon.jobs/jobs/3104734/software-engineer-ii?cmpid=DA_INAD200785B")</f>
        <v/>
      </c>
      <c r="G79" t="inlineStr">
        <is>
          <t>Irvine, CA, US</t>
        </is>
      </c>
      <c r="H79" s="2" t="n">
        <v>45938</v>
      </c>
      <c r="I7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in-166fb4cd075376fa</t>
        </is>
      </c>
      <c r="B80" t="inlineStr">
        <is>
          <t>Software Engineer II</t>
        </is>
      </c>
      <c r="C80" t="inlineStr">
        <is>
          <t>Amazon.com</t>
        </is>
      </c>
      <c r="D80" t="inlineStr">
        <is>
          <t>indeed</t>
        </is>
      </c>
      <c r="E80">
        <f>HYPERLINK("https://www.indeed.com/viewjob?jk=166fb4cd075376fa", "https://www.indeed.com/viewjob?jk=166fb4cd075376fa")</f>
        <v/>
      </c>
      <c r="F80">
        <f>HYPERLINK("https://www.amazon.jobs/jobs/3104734/software-engineer-ii?cmpid=DA_INAD200785B", "https://www.amazon.jobs/jobs/3104734/software-engineer-ii?cmpid=DA_INAD200785B")</f>
        <v/>
      </c>
      <c r="G80" t="inlineStr">
        <is>
          <t>Culver City, CA, US</t>
        </is>
      </c>
      <c r="H80" s="2" t="n">
        <v>45938</v>
      </c>
      <c r="I8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in-135a97cebea63884</t>
        </is>
      </c>
      <c r="B81" t="inlineStr">
        <is>
          <t>Software Engineer II</t>
        </is>
      </c>
      <c r="C81" t="inlineStr">
        <is>
          <t>Amazon.com</t>
        </is>
      </c>
      <c r="D81" t="inlineStr">
        <is>
          <t>indeed</t>
        </is>
      </c>
      <c r="E81">
        <f>HYPERLINK("https://www.indeed.com/viewjob?jk=135a97cebea63884", "https://www.indeed.com/viewjob?jk=135a97cebea63884")</f>
        <v/>
      </c>
      <c r="F81">
        <f>HYPERLINK("https://www.amazon.jobs/jobs/3104734/software-engineer-ii?cmpid=DA_INAD200785B", "https://www.amazon.jobs/jobs/3104734/software-engineer-ii?cmpid=DA_INAD200785B")</f>
        <v/>
      </c>
      <c r="G81" t="inlineStr">
        <is>
          <t>San Francisco, CA, US</t>
        </is>
      </c>
      <c r="H81" s="2" t="n">
        <v>45938</v>
      </c>
      <c r="I8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in-2694bbd3cd24c7a2</t>
        </is>
      </c>
      <c r="B82" t="inlineStr">
        <is>
          <t>Software Engineer II</t>
        </is>
      </c>
      <c r="C82" t="inlineStr">
        <is>
          <t>Amazon.com</t>
        </is>
      </c>
      <c r="D82" t="inlineStr">
        <is>
          <t>indeed</t>
        </is>
      </c>
      <c r="E82">
        <f>HYPERLINK("https://www.indeed.com/viewjob?jk=2694bbd3cd24c7a2", "https://www.indeed.com/viewjob?jk=2694bbd3cd24c7a2")</f>
        <v/>
      </c>
      <c r="F82">
        <f>HYPERLINK("https://www.amazon.jobs/jobs/3090680/software-engineer-ii?cmpid=DA_INAD200785B", "https://www.amazon.jobs/jobs/3090680/software-engineer-ii?cmpid=DA_INAD200785B")</f>
        <v/>
      </c>
      <c r="G82" t="inlineStr">
        <is>
          <t>San Francisco, CA, US</t>
        </is>
      </c>
      <c r="H82" s="2" t="n">
        <v>45921</v>
      </c>
      <c r="I8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in-684ddc347623b72c</t>
        </is>
      </c>
      <c r="B83" t="inlineStr">
        <is>
          <t>Software Engineer II</t>
        </is>
      </c>
      <c r="C83" t="inlineStr">
        <is>
          <t>Amazon.com</t>
        </is>
      </c>
      <c r="D83" t="inlineStr">
        <is>
          <t>indeed</t>
        </is>
      </c>
      <c r="E83">
        <f>HYPERLINK("https://www.indeed.com/viewjob?jk=684ddc347623b72c", "https://www.indeed.com/viewjob?jk=684ddc347623b72c")</f>
        <v/>
      </c>
      <c r="F83">
        <f>HYPERLINK("https://www.amazon.jobs/jobs/3090680/software-engineer-ii?cmpid=DA_INAD200785B", "https://www.amazon.jobs/jobs/3090680/software-engineer-ii?cmpid=DA_INAD200785B")</f>
        <v/>
      </c>
      <c r="G83" t="inlineStr">
        <is>
          <t>Irvine, CA, US</t>
        </is>
      </c>
      <c r="H83" s="2" t="n">
        <v>45921</v>
      </c>
      <c r="I8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in-b7af52b8259a8b19</t>
        </is>
      </c>
      <c r="B84" t="inlineStr">
        <is>
          <t>Software Engineer I- Ad Demand</t>
        </is>
      </c>
      <c r="C84" t="inlineStr">
        <is>
          <t>Amazon.com</t>
        </is>
      </c>
      <c r="D84" t="inlineStr">
        <is>
          <t>indeed</t>
        </is>
      </c>
      <c r="E84">
        <f>HYPERLINK("https://www.indeed.com/viewjob?jk=b7af52b8259a8b19", "https://www.indeed.com/viewjob?jk=b7af52b8259a8b19")</f>
        <v/>
      </c>
      <c r="F84">
        <f>HYPERLINK("https://www.amazon.jobs/jobs/3082168/software-engineer-i-ad-demand?cmpid=DA_INAD200785B", "https://www.amazon.jobs/jobs/3082168/software-engineer-i-ad-demand?cmpid=DA_INAD200785B")</f>
        <v/>
      </c>
      <c r="G84" t="inlineStr">
        <is>
          <t>New York, NY, US</t>
        </is>
      </c>
      <c r="H84" s="2" t="n">
        <v>45908</v>
      </c>
      <c r="I8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in-bfc22eec0d714355</t>
        </is>
      </c>
      <c r="B85" t="inlineStr">
        <is>
          <t>Software Engineer I- Ad Demand</t>
        </is>
      </c>
      <c r="C85" t="inlineStr">
        <is>
          <t>Amazon.com</t>
        </is>
      </c>
      <c r="D85" t="inlineStr">
        <is>
          <t>indeed</t>
        </is>
      </c>
      <c r="E85">
        <f>HYPERLINK("https://www.indeed.com/viewjob?jk=bfc22eec0d714355", "https://www.indeed.com/viewjob?jk=bfc22eec0d714355")</f>
        <v/>
      </c>
      <c r="F85">
        <f>HYPERLINK("https://www.amazon.jobs/jobs/3082168/software-engineer-i-ad-demand?cmpid=DA_INAD200785B", "https://www.amazon.jobs/jobs/3082168/software-engineer-i-ad-demand?cmpid=DA_INAD200785B")</f>
        <v/>
      </c>
      <c r="G85" t="inlineStr">
        <is>
          <t>San Francisco, CA, US</t>
        </is>
      </c>
      <c r="H85" s="2" t="n">
        <v>45908</v>
      </c>
      <c r="I8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in-8596544e28f561a1</t>
        </is>
      </c>
      <c r="B86" t="inlineStr">
        <is>
          <t>Senior Software Engineer, Twitch</t>
        </is>
      </c>
      <c r="C86" t="inlineStr">
        <is>
          <t>Amazon.com</t>
        </is>
      </c>
      <c r="D86" t="inlineStr">
        <is>
          <t>indeed</t>
        </is>
      </c>
      <c r="E86">
        <f>HYPERLINK("https://www.indeed.com/viewjob?jk=8596544e28f561a1", "https://www.indeed.com/viewjob?jk=8596544e28f561a1")</f>
        <v/>
      </c>
      <c r="F86">
        <f>HYPERLINK("https://www.amazon.jobs/jobs/3138042/senior-software-engineer-twitch?cmpid=DA_INAD200785B", "https://www.amazon.jobs/jobs/3138042/senior-software-engineer-twitch?cmpid=DA_INAD200785B")</f>
        <v/>
      </c>
      <c r="G86" t="inlineStr">
        <is>
          <t>San Francisco, CA, US</t>
        </is>
      </c>
      <c r="H86" s="2" t="n">
        <v>45995</v>
      </c>
      <c r="I8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in-ac1bd7d16d20605a</t>
        </is>
      </c>
      <c r="B87" t="inlineStr">
        <is>
          <t>Senior Software Engineer, Twitch</t>
        </is>
      </c>
      <c r="C87" t="inlineStr">
        <is>
          <t>Amazon.com</t>
        </is>
      </c>
      <c r="D87" t="inlineStr">
        <is>
          <t>indeed</t>
        </is>
      </c>
      <c r="E87">
        <f>HYPERLINK("https://www.indeed.com/viewjob?jk=ac1bd7d16d20605a", "https://www.indeed.com/viewjob?jk=ac1bd7d16d20605a")</f>
        <v/>
      </c>
      <c r="F87">
        <f>HYPERLINK("https://www.amazon.jobs/jobs/3138042/senior-software-engineer-twitch?cmpid=DA_INAD200785B", "https://www.amazon.jobs/jobs/3138042/senior-software-engineer-twitch?cmpid=DA_INAD200785B")</f>
        <v/>
      </c>
      <c r="G87" t="inlineStr">
        <is>
          <t>Seattle, WA, US</t>
        </is>
      </c>
      <c r="H87" s="2" t="n">
        <v>45995</v>
      </c>
      <c r="I8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in-275d4025c6f3fab2</t>
        </is>
      </c>
      <c r="B88" t="inlineStr">
        <is>
          <t>Senior Software Engineer</t>
        </is>
      </c>
      <c r="C88" t="inlineStr">
        <is>
          <t>Que Technology Group</t>
        </is>
      </c>
      <c r="D88" t="inlineStr">
        <is>
          <t>indeed</t>
        </is>
      </c>
      <c r="E88">
        <f>HYPERLINK("https://www.indeed.com/viewjob?jk=275d4025c6f3fab2", "https://www.indeed.com/viewjob?jk=275d4025c6f3fab2")</f>
        <v/>
      </c>
      <c r="F88">
        <f>HYPERLINK("https://quetechnologygroup.catsone.com/careers/100676-General/jobs/16780078-Senior-Software-Engineer/?ref=Indeed", "https://quetechnologygroup.catsone.com/careers/100676-General/jobs/16780078-Senior-Software-Engineer/?ref=Indeed")</f>
        <v/>
      </c>
      <c r="G88" t="inlineStr">
        <is>
          <t>Fort Meade, MD, US</t>
        </is>
      </c>
      <c r="H88" s="2" t="n">
        <v>46082</v>
      </c>
      <c r="I88" t="inlineStr">
        <is>
          <t>**Que Technology Group, Inc.**, is seeking an experienced senior developer to create custom analytics to perform at scale. The software engineer will work closely with data scientists and end users to develop innovative analytic tools to further discovery and tradecraft around critical global challenges, then deliver innovative solutions focused on operationalizing data science.  
**Job Responsibilities/Qualifications:**
* Work directly with data scientists as well as mission analysts to solve the most demanding strategic problems
* Perform end\-to\-end software engineering to prototype, develop, integrate, test, and deploy tools and tradecraft into the customer's corporate architecture.
* Collaborate closely with customers to deliver a software solution to capture holistic information about analytic dependencies, performance and governance status
* Develop a software solution that will provide means to federate, join, and aggregate information across disparate data sources in a policy compliant manner.
* Creatively leverage disparate data to fill knowledge gaps in user activities, collection efforts, and technology discovery to include creating APIs and business intelligence analytics.
**Required Qualifications:**
* Strong experience with Jupyter Notebooks, Java MapReduce, Python PySpark
* Strong experience with statistical analysis and machine learning fundamentals
* Strong experience with customer tools, architecture, data flow, and use of big data
* Proficiency with Jira, Confluence, Gitlab; experience with Agile methodologies
* Bachelor's degree plus 11\-years of relevant experience or equivalent.
**Preferred Qualifications:*** Experience with software development processes (i.e., requirements analysis, software design, implementation, testing, integration, deployment/installation, and maintenance) and programming.
* Experience with Data Science, Machine Learning (ML), Artificial Intelligence (AI) and using Large Language Models (LLMs)
**Security Clearance:**
* Active TS/SCI with Polygraph required
**BENEFITS:**
* Competitive salary
* Company Medical/Dental/Vision plans – Company paid
* Short\-term Disability, Long\-term disability and Life Insurance – Company paid
* Business/ First Class travel upgrade for 7 hour or longer flights \&amp; company card will be provided for expenses
* Vacation / Personal days granted at 25 days per year
* Paid Federal Holidays – 11 days
* $5,000 Annual Professional Development Fund plus 40 paid hours if in class
* 401K with 6% company match; all contributions are immediately vested by Employee
* Employee will be paid a bonus of $10,000 per employee hired based on their referral
* Up to 3 paid Code Red days due to customer closure
**Que Technology Group, Inc., is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is>
      </c>
    </row>
    <row r="89">
      <c r="A89" t="inlineStr">
        <is>
          <t>in-9833c38204cbcb7f</t>
        </is>
      </c>
      <c r="B89" t="inlineStr">
        <is>
          <t>Sr. Software Engineer, Manager</t>
        </is>
      </c>
      <c r="C89" t="inlineStr">
        <is>
          <t>Amazon.com</t>
        </is>
      </c>
      <c r="D89" t="inlineStr">
        <is>
          <t>indeed</t>
        </is>
      </c>
      <c r="E89">
        <f>HYPERLINK("https://www.indeed.com/viewjob?jk=9833c38204cbcb7f", "https://www.indeed.com/viewjob?jk=9833c38204cbcb7f")</f>
        <v/>
      </c>
      <c r="F89">
        <f>HYPERLINK("https://www.amazon.jobs/jobs/3144309/sr-software-engineer-manager?cmpid=DA_INAD200785B", "https://www.amazon.jobs/jobs/3144309/sr-software-engineer-manager?cmpid=DA_INAD200785B")</f>
        <v/>
      </c>
      <c r="G89" t="inlineStr">
        <is>
          <t>San Francisco, CA, US</t>
        </is>
      </c>
      <c r="H89" s="2" t="n">
        <v>46006</v>
      </c>
      <c r="I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90">
      <c r="A90" t="inlineStr">
        <is>
          <t>in-941df3e3a6177d32</t>
        </is>
      </c>
      <c r="B90" t="inlineStr">
        <is>
          <t>Sr. Software Engineer, Manager</t>
        </is>
      </c>
      <c r="C90" t="inlineStr">
        <is>
          <t>Amazon.com</t>
        </is>
      </c>
      <c r="D90" t="inlineStr">
        <is>
          <t>indeed</t>
        </is>
      </c>
      <c r="E90">
        <f>HYPERLINK("https://www.indeed.com/viewjob?jk=941df3e3a6177d32", "https://www.indeed.com/viewjob?jk=941df3e3a6177d32")</f>
        <v/>
      </c>
      <c r="F90">
        <f>HYPERLINK("https://www.amazon.jobs/jobs/3144309/sr-software-engineer-manager?cmpid=DA_INAD200785B", "https://www.amazon.jobs/jobs/3144309/sr-software-engineer-manager?cmpid=DA_INAD200785B")</f>
        <v/>
      </c>
      <c r="G90" t="inlineStr">
        <is>
          <t>New York, NY, US</t>
        </is>
      </c>
      <c r="H90" s="2" t="n">
        <v>46006</v>
      </c>
      <c r="I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91">
      <c r="A91" t="inlineStr">
        <is>
          <t>in-adff225b90568924</t>
        </is>
      </c>
      <c r="B91" t="inlineStr">
        <is>
          <t>Sr. Software Engineer, Manager</t>
        </is>
      </c>
      <c r="C91" t="inlineStr">
        <is>
          <t>Amazon.com</t>
        </is>
      </c>
      <c r="D91" t="inlineStr">
        <is>
          <t>indeed</t>
        </is>
      </c>
      <c r="E91">
        <f>HYPERLINK("https://www.indeed.com/viewjob?jk=adff225b90568924", "https://www.indeed.com/viewjob?jk=adff225b90568924")</f>
        <v/>
      </c>
      <c r="F91">
        <f>HYPERLINK("https://www.amazon.jobs/jobs/3144309/sr-software-engineer-manager?cmpid=DA_INAD200785B", "https://www.amazon.jobs/jobs/3144309/sr-software-engineer-manager?cmpid=DA_INAD200785B")</f>
        <v/>
      </c>
      <c r="G91" t="inlineStr">
        <is>
          <t>Culver City, CA, US</t>
        </is>
      </c>
      <c r="H91" s="2" t="n">
        <v>46006</v>
      </c>
      <c r="I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92">
      <c r="A92" t="inlineStr">
        <is>
          <t>in-81527d0ddf5d6fea</t>
        </is>
      </c>
      <c r="B92" t="inlineStr">
        <is>
          <t>Sr. Software Engineer, Manager</t>
        </is>
      </c>
      <c r="C92" t="inlineStr">
        <is>
          <t>Amazon.com</t>
        </is>
      </c>
      <c r="D92" t="inlineStr">
        <is>
          <t>indeed</t>
        </is>
      </c>
      <c r="E92">
        <f>HYPERLINK("https://www.indeed.com/viewjob?jk=81527d0ddf5d6fea", "https://www.indeed.com/viewjob?jk=81527d0ddf5d6fea")</f>
        <v/>
      </c>
      <c r="F92">
        <f>HYPERLINK("https://www.amazon.jobs/jobs/3144309/sr-software-engineer-manager?cmpid=DA_INAD200785B", "https://www.amazon.jobs/jobs/3144309/sr-software-engineer-manager?cmpid=DA_INAD200785B")</f>
        <v/>
      </c>
      <c r="G92" t="inlineStr">
        <is>
          <t>Irvine, CA, US</t>
        </is>
      </c>
      <c r="H92" s="2" t="n">
        <v>46006</v>
      </c>
      <c r="I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93">
      <c r="A93" t="inlineStr">
        <is>
          <t>in-ae96d9ff7838b91b</t>
        </is>
      </c>
      <c r="B93" t="inlineStr">
        <is>
          <t>Sr. Software Engineer, Manager</t>
        </is>
      </c>
      <c r="C93" t="inlineStr">
        <is>
          <t>Amazon.com</t>
        </is>
      </c>
      <c r="D93" t="inlineStr">
        <is>
          <t>indeed</t>
        </is>
      </c>
      <c r="E93">
        <f>HYPERLINK("https://www.indeed.com/viewjob?jk=ae96d9ff7838b91b", "https://www.indeed.com/viewjob?jk=ae96d9ff7838b91b")</f>
        <v/>
      </c>
      <c r="F93">
        <f>HYPERLINK("https://www.amazon.jobs/jobs/3144309/sr-software-engineer-manager?cmpid=DA_INAD200785B", "https://www.amazon.jobs/jobs/3144309/sr-software-engineer-manager?cmpid=DA_INAD200785B")</f>
        <v/>
      </c>
      <c r="G93" t="inlineStr">
        <is>
          <t>Seattle, WA, US</t>
        </is>
      </c>
      <c r="H93" s="2" t="n">
        <v>46006</v>
      </c>
      <c r="I9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94">
      <c r="A94" t="inlineStr">
        <is>
          <t>in-7fdd99cf4c191c3b</t>
        </is>
      </c>
      <c r="B94" t="inlineStr">
        <is>
          <t>Software Engineer, Monetization ML</t>
        </is>
      </c>
      <c r="C94" t="inlineStr">
        <is>
          <t>Amazon.com</t>
        </is>
      </c>
      <c r="D94" t="inlineStr">
        <is>
          <t>indeed</t>
        </is>
      </c>
      <c r="E94">
        <f>HYPERLINK("https://www.indeed.com/viewjob?jk=7fdd99cf4c191c3b", "https://www.indeed.com/viewjob?jk=7fdd99cf4c191c3b")</f>
        <v/>
      </c>
      <c r="F94">
        <f>HYPERLINK("https://www.amazon.jobs/jobs/3113621/software-engineer-monetization-ml?cmpid=DA_INAD200785B", "https://www.amazon.jobs/jobs/3113621/software-engineer-monetization-ml?cmpid=DA_INAD200785B")</f>
        <v/>
      </c>
      <c r="G94" t="inlineStr">
        <is>
          <t>New York, NY, US</t>
        </is>
      </c>
      <c r="H94" s="2" t="n">
        <v>45944</v>
      </c>
      <c r="I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95">
      <c r="A95" t="inlineStr">
        <is>
          <t>in-091dadecd9ec2086</t>
        </is>
      </c>
      <c r="B95" t="inlineStr">
        <is>
          <t>Software Engineer, Monetization ML</t>
        </is>
      </c>
      <c r="C95" t="inlineStr">
        <is>
          <t>Amazon.com</t>
        </is>
      </c>
      <c r="D95" t="inlineStr">
        <is>
          <t>indeed</t>
        </is>
      </c>
      <c r="E95">
        <f>HYPERLINK("https://www.indeed.com/viewjob?jk=091dadecd9ec2086", "https://www.indeed.com/viewjob?jk=091dadecd9ec2086")</f>
        <v/>
      </c>
      <c r="F95">
        <f>HYPERLINK("https://www.amazon.jobs/jobs/3113621/software-engineer-monetization-ml?cmpid=DA_INAD200785B", "https://www.amazon.jobs/jobs/3113621/software-engineer-monetization-ml?cmpid=DA_INAD200785B")</f>
        <v/>
      </c>
      <c r="G95" t="inlineStr">
        <is>
          <t>Seattle, WA, US</t>
        </is>
      </c>
      <c r="H95" s="2" t="n">
        <v>45944</v>
      </c>
      <c r="I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96">
      <c r="A96" t="inlineStr">
        <is>
          <t>in-331640fb168efd99</t>
        </is>
      </c>
      <c r="B96" t="inlineStr">
        <is>
          <t>Staff Software Engineer</t>
        </is>
      </c>
      <c r="C96" t="inlineStr">
        <is>
          <t>GE Vernova</t>
        </is>
      </c>
      <c r="D96" t="inlineStr">
        <is>
          <t>indeed</t>
        </is>
      </c>
      <c r="E96">
        <f>HYPERLINK("https://www.indeed.com/viewjob?jk=331640fb168efd99", "https://www.indeed.com/viewjob?jk=331640fb168efd99")</f>
        <v/>
      </c>
      <c r="F96">
        <f>HYPERLINK("https://careers.gevernova.com/staff-software-engineer/job/R5032286", "https://careers.gevernova.com/staff-software-engineer/job/R5032286")</f>
        <v/>
      </c>
      <c r="G96" t="inlineStr">
        <is>
          <t>Bellevue, WA, US</t>
        </is>
      </c>
      <c r="H96" s="2" t="n">
        <v>46082</v>
      </c>
      <c r="I96" t="inlineStr">
        <is>
          <t>GE Vernova is seeking a Staff AI Engineer to build and scale AI\-native systems that power intelligent automation across AEMS, ADMS, and DERMS applications. This is a deeply hands\-on technical role focused on designing, coding, deploying, and operating production\-grade AI agent platforms in mission\-critical grid environments.  
You will architect and implement multi\-agent systems, model\-serving infrastructure, and distributed backend services that integrate real\-time grid data, optimization engines, and AI reasoning capabilities.**Job Description**
===================
**Roles \&amp; Responsibilities:**
* Design and personally implement core components of AI agent frameworks, including orchestration engines, tool integration layers, and state management systems.
* Build production\-grade backend services in Python (and/or Java, C\+\+, Go) to support AI inference, workflow automation, and real\-time grid analytics.
* Develop and deploy LLM\-powered agents with structured prompting, tool usage, guardrails, and memory mechanisms.
* Implement model serving infrastructure, including inference APIs, batching strategies, performance tuning, and monitoring.
* Write scalable microservices and event\-driven components that ingest and process high\-volume time\-series data.
* Integrate AI services with SCADA, PMU, simulation engines, contingency analysis tools, and operational data platforms.
* Optimize system performance for low\-latency decision support in control center environments.
* Build CI/CD pipelines, automated tests, and observability tooling for AI services.
* Develop explainability, logging, and traceability mechanisms for AI\-generated recommendations or actions.
* Troubleshoot production issues across distributed AI systems and drive performance and reliability improvements.
* Conduct deep code reviews and actively contribute high\-quality code to shared repositories.
**Education \&amp; Qualifications:**
* Master’s or PhD in Computer Science, AI/ML, or related field.
* 8\+ years of hands\-on software development experience, with significant backend engineering depth.
* Demonstrated experience building and deploying AI/ML systems into production (not just experimentation).
* Strong proficiency in Python and experience building backend systems in Java, C\+\+, or Go.
* Experience implementing LLM integrations, prompt orchestration, agent tooling, or multi\-step AI workflows.
* Deep understanding of distributed systems, concurrency, APIs, and microservices architecture.
* Experience building model serving pipelines and inference systems (REST/gRPC, async processing, streaming).
* Experience with containerization and orchestration (Docker, Kubernetes).
* Strong debugging and performance optimization skills in distributed environments.
* Experience working with time\-series or streaming data systems.
* Familiarity with EMS, DMS, WAMS, SCADA, or power system applications is highly desirable.
* Proven track record of shipping reliable, secure, high\-performance systems in production environments.
GE Vernova offers a great work environment, professional development, challenging careers, and competitive compensation. GE Vernova is an Equal Opportunity Employer. Employment decisions are made without regard to race, color, religion, national or ethnic origin, sex, sexual orientation, gender identity or expression, age, disability, protected veteran status or other characteristics protected by law.
GE Vernova will only employ those who are legally authorized to work in the United States for this opening. Any offer of employment is conditioned upon the successful completion of a drug screen (as applicable).
**Relocation Assistance Provided:** Yes
For candidates applying to a U.S. based position, the pay range for this position is between $151,800\.00 and $227,700\.00\. The Company pays a geographic differential of 110%, 120% or 130% of salary in certain areas. The specific pay offered may be influenced by a variety of factors, including the candidate’s experience, education, and skill set.  
Bonus eligibility: discretionary annual bonus.  
This posting is expected to remain open for at least seven days after it was posted on March 02, 2026\.  
Available benefits include medical, dental, vision, and prescription drug coverage; access to Health Coach from GE Vernova, a 24/7 nurse\-based resource; and access to the Employee Assistance Program, providing 24/7 confidential assessment, counseling and referral services. Retirement benefits include the GE Vernova Retirement Savings Plan, a tax\-advantaged 401(k) savings opportunity with company matching contributions and company retirement contributions, as well as access to Fidelity resources and financial planning consultants. Other benefits include tuition assistance, adoption assistance, paid parental leave, disability benefits, life insurance, 12 paid holidays, and permissive time off.  
GE Vernova Inc. or its affiliates (collectively or individually, “GE Vernova”) sponsor certain employee benefit plans or programs GE Vernova reserves the right to terminate, amend, suspend, replace, or modify its benefit plans and programs at any time and for any reason, in its sole discretion. No individual has a vested right to any benefit under a GE Vernova welfare benefit plan or program. This document does not create a contract of employment with any individual.</t>
        </is>
      </c>
    </row>
    <row r="97">
      <c r="A97" t="inlineStr">
        <is>
          <t>in-5b29aac27f9cc65d</t>
        </is>
      </c>
      <c r="B97" t="inlineStr">
        <is>
          <t>Sr Embedded Software Engineer, Annapurna ML Software</t>
        </is>
      </c>
      <c r="C97" t="inlineStr">
        <is>
          <t>Amazon Web Services</t>
        </is>
      </c>
      <c r="D97" t="inlineStr">
        <is>
          <t>indeed</t>
        </is>
      </c>
      <c r="E97">
        <f>HYPERLINK("https://www.indeed.com/viewjob?jk=5b29aac27f9cc65d", "https://www.indeed.com/viewjob?jk=5b29aac27f9cc65d")</f>
        <v/>
      </c>
      <c r="F97">
        <f>HYPERLINK("https://www.amazon.jobs/jobs/3190880/sr-embedded-software-engineer-annapurna-ml-software?cmpid=DA_INAD200785B", "https://www.amazon.jobs/jobs/3190880/sr-embedded-software-engineer-annapurna-ml-software?cmpid=DA_INAD200785B")</f>
        <v/>
      </c>
      <c r="G97" t="inlineStr">
        <is>
          <t>Austin, TX, US</t>
        </is>
      </c>
      <c r="H97" s="2" t="n">
        <v>46070</v>
      </c>
      <c r="I97"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98">
      <c r="A98" t="inlineStr">
        <is>
          <t>in-b3653464cb1357ad</t>
        </is>
      </c>
      <c r="B98" t="inlineStr">
        <is>
          <t>Sr Embedded Software Engineer, Annapurna ML Software</t>
        </is>
      </c>
      <c r="C98" t="inlineStr">
        <is>
          <t>Amazon Web Services</t>
        </is>
      </c>
      <c r="D98" t="inlineStr">
        <is>
          <t>indeed</t>
        </is>
      </c>
      <c r="E98">
        <f>HYPERLINK("https://www.indeed.com/viewjob?jk=b3653464cb1357ad", "https://www.indeed.com/viewjob?jk=b3653464cb1357ad")</f>
        <v/>
      </c>
      <c r="F98">
        <f>HYPERLINK("https://www.amazon.jobs/jobs/3190880/sr-embedded-software-engineer-annapurna-ml-software?cmpid=DA_INAD200785B", "https://www.amazon.jobs/jobs/3190880/sr-embedded-software-engineer-annapurna-ml-software?cmpid=DA_INAD200785B")</f>
        <v/>
      </c>
      <c r="G98" t="inlineStr">
        <is>
          <t>Cupertino, CA, US</t>
        </is>
      </c>
      <c r="H98" s="2" t="n">
        <v>46070</v>
      </c>
      <c r="I98"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99">
      <c r="A99" t="inlineStr">
        <is>
          <t>in-dcab407f15e17f6e</t>
        </is>
      </c>
      <c r="B99" t="inlineStr">
        <is>
          <t>Embedded Software Engineer, Annapurna ML Software</t>
        </is>
      </c>
      <c r="C99" t="inlineStr">
        <is>
          <t>Amazon Web Services</t>
        </is>
      </c>
      <c r="D99" t="inlineStr">
        <is>
          <t>indeed</t>
        </is>
      </c>
      <c r="E99">
        <f>HYPERLINK("https://www.indeed.com/viewjob?jk=dcab407f15e17f6e", "https://www.indeed.com/viewjob?jk=dcab407f15e17f6e")</f>
        <v/>
      </c>
      <c r="F99">
        <f>HYPERLINK("https://www.amazon.jobs/jobs/3171738/embedded-software-engineer-annapurna-ml-software?cmpid=DA_INAD200785B", "https://www.amazon.jobs/jobs/3171738/embedded-software-engineer-annapurna-ml-software?cmpid=DA_INAD200785B")</f>
        <v/>
      </c>
      <c r="G99" t="inlineStr">
        <is>
          <t>Cupertino, CA, US</t>
        </is>
      </c>
      <c r="H99" s="2" t="n">
        <v>46050</v>
      </c>
      <c r="I99"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100">
      <c r="A100" t="inlineStr">
        <is>
          <t>in-5882f5328afbba9a</t>
        </is>
      </c>
      <c r="B100" t="inlineStr">
        <is>
          <t>Embedded Software Engineer, Annapurna ML Software</t>
        </is>
      </c>
      <c r="C100" t="inlineStr">
        <is>
          <t>Amazon Web Services</t>
        </is>
      </c>
      <c r="D100" t="inlineStr">
        <is>
          <t>indeed</t>
        </is>
      </c>
      <c r="E100">
        <f>HYPERLINK("https://www.indeed.com/viewjob?jk=5882f5328afbba9a", "https://www.indeed.com/viewjob?jk=5882f5328afbba9a")</f>
        <v/>
      </c>
      <c r="F100">
        <f>HYPERLINK("https://www.amazon.jobs/jobs/3171738/embedded-software-engineer-annapurna-ml-software?cmpid=DA_INAD200785B", "https://www.amazon.jobs/jobs/3171738/embedded-software-engineer-annapurna-ml-software?cmpid=DA_INAD200785B")</f>
        <v/>
      </c>
      <c r="G100" t="inlineStr">
        <is>
          <t>Austin, TX, US</t>
        </is>
      </c>
      <c r="H100" s="2" t="n">
        <v>46050</v>
      </c>
      <c r="I100"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101">
      <c r="A101" t="inlineStr">
        <is>
          <t>in-a410662a88fa6d14</t>
        </is>
      </c>
      <c r="B101" t="inlineStr">
        <is>
          <t>Software Engineer/ IDAM - Active TS/SCI with CI POLY</t>
        </is>
      </c>
      <c r="C101" t="inlineStr">
        <is>
          <t>ENS Solutions, LLC</t>
        </is>
      </c>
      <c r="D101" t="inlineStr">
        <is>
          <t>indeed</t>
        </is>
      </c>
      <c r="E101">
        <f>HYPERLINK("https://www.indeed.com/viewjob?jk=a410662a88fa6d14", "https://www.indeed.com/viewjob?jk=a410662a88fa6d14")</f>
        <v/>
      </c>
      <c r="F101">
        <f>HYPERLINK("https://apply.workable.com/j/477E43267B", "https://apply.workable.com/j/477E43267B")</f>
        <v/>
      </c>
      <c r="G101" t="inlineStr">
        <is>
          <t>Tampa, FL, US</t>
        </is>
      </c>
      <c r="H101" s="2" t="n">
        <v>46083</v>
      </c>
      <c r="I101" t="inlineStr">
        <is>
          <t>As a Software Development Engineer with a focus on Identity and Access Management (IDAM), you will leverage your expertise in both software development and IDAM to provide operational support and advanced engineering solutions for Identity Access Management, including provisioning, authentication, and access management for both cloud and on\-premise environments.
In this role, a typical day will include:
* Participating in system development to include design, modeling, security, integration, and formal testing of an IDAM solution such as Radiant Logic and/or SailPoint
* Supporting an Attribute Based Access Control ABAC application development, integration, deployment, and maintenance. Design, develop, build, and test IT engineering solutions utilize for aggregation of attributes from authoritative sources, integration with Virtual LDAP Directory, Web Services
* Developing advanced engineering ideas and guiding their development into a final product
* Creating and maintaining programmatic and technical documentation
* Implementing system enhancements resulting in improved IT enterprise performance
* Analyzing customer requirements, specifications, and proposing solutions that fit to standards, compliance, and operational requirements
* Create, manage and update issues related to development tasks in JIRA
* Version control and source code management with Bitbucket
* Code testing and integration with CI/CD pipelines
**Requirements**  
* Master's degree with 8\+ years of experience / Bachelor's degree with 10\+ years of experience.
* Active TS/SCI clearance and ability to obtain and maintain a CI poly.
* Must meet DoD 8570 IAT Level II requirements including one of the following: Security\+ CE, CND, SSCP, GSEC, GICSP, CySA\+, or CCNA Security
* Experience supporting commercial\-off\-the\-shelf (COTS) Identity Access Management (IAM) tools within an IT enterprise environment
* Knowledge of Java, JavaScript, XML, SOAP, and REST development
* Knowledge of Oracle Database
* Knowledge of Docker Containers and Ansible
* Knowledge of Active Directory, Lightweight Directory Access Protocol, and Single\-Sign\-On across multiple domains, as well as Multi\-Factor Authentication and Personal Identity Verification authentication
* Experience with Linux based systems and Bash scripting
* Ability to diagnose and solve complex issues
* DevOps principles for developing, testing and deploying applications
* Knowledge of Oracle OID
* Experience working within government enterprise environment
Nice to Have:
* Experience with Radiant Logic and/or SailPoint products
* Experience with supporting IAM in a Cloud environment, including Azure or AWS
* Experience with SQL database administration or management
* Experience with integrating Radiant Logic with third party data sources
**Benefits** ***Essential Network Security (ENS) Solutions, LLC*** is a service\-disabled veteran owned, highly regarded IT consulting and management firm. ENS consults for the Department of Defense (DoD) and Intelligence Community (IC) providing innovative solutions in the core competency area of Identity, Credential and Access Management (ICAM), Software Development, Cyber and Network Security, System Engineering, Program/Project Management, IT support, Solutions, and Services that yield enduring results. Our strong technical and management experts have been able to maintain a standard of excellence in their relationships while delivering innovative, scalable and collaborative infrastructure to our clients.
**Why ENS?**
* Free Platinum\-Level Medical/Dental/Vision coverage, 100% paid for by ENS
* 401k Contribution from Day 1
* PTO \+ 11 Paid Federal Holidays
* Long \&amp; Short Term Disability Insurance
* Group Term Life Insurance
* Tuition, Certification \&amp; Professional Development Assistance
* Workers’ Compensation
* Relocation Assistance</t>
        </is>
      </c>
    </row>
    <row r="102">
      <c r="A102" t="inlineStr">
        <is>
          <t>in-04664bc61764e024</t>
        </is>
      </c>
      <c r="B102" t="inlineStr">
        <is>
          <t>Software Engineer/ IDAM - Active TS/SCI with CI POLY</t>
        </is>
      </c>
      <c r="C102" t="inlineStr">
        <is>
          <t>ENS Solutions, LLC</t>
        </is>
      </c>
      <c r="D102" t="inlineStr">
        <is>
          <t>indeed</t>
        </is>
      </c>
      <c r="E102">
        <f>HYPERLINK("https://www.indeed.com/viewjob?jk=04664bc61764e024", "https://www.indeed.com/viewjob?jk=04664bc61764e024")</f>
        <v/>
      </c>
      <c r="F102">
        <f>HYPERLINK("https://apply.workable.com/j/06EB54F5FF", "https://apply.workable.com/j/06EB54F5FF")</f>
        <v/>
      </c>
      <c r="G102" t="inlineStr">
        <is>
          <t>Colorado Springs, CO, US</t>
        </is>
      </c>
      <c r="H102" s="2" t="n">
        <v>46083</v>
      </c>
      <c r="I102" t="inlineStr">
        <is>
          <t>As a Software Development Engineer with a focus on Identity and Access Management (IDAM), you will leverage your expertise in both software development and IDAM to provide operational support and advanced engineering solutions for Identity Access Management, including provisioning, authentication, and access management for both cloud and on\-premise environments.
In this role, a typical day will include:
* Participating in system development to include design, modeling, security, integration, and formal testing of an IDAM solution such as Radiant Logic and/or SailPoint
* Supporting an Attribute Based Access Control ABAC application development, integration, deployment, and maintenance. Design, develop, build, and test IT engineering solutions utilize for aggregation of attributes from authoritative sources, integration with Virtual LDAP Directory, Web Services
* Developing advanced engineering ideas and guiding their development into a final product
* Creating and maintaining programmatic and technical documentation
* Implementing system enhancements resulting in improved IT enterprise performance
* Analyzing customer requirements, specifications, and proposing solutions that fit to standards, compliance, and operational requirements
* Create, manage and update issues related to development tasks in JIRA
* Version control and source code management with Bitbucket
* Code testing and integration with CI/CD pipelines
**Requirements**  
* Master's degree with 8\+ years of experience / Bachelor's degree with 10\+ years of experience.
* Active TS/SCI clearance and ability to obtain and maintain a CI poly.
* Must meet DoD 8570 IAT Level II requirements including one of the following: Security\+ CE, CND, SSCP, GSEC, GICSP, CySA\+, or CCNA Security
* Experience supporting commercial\-off\-the\-shelf (COTS) Identity Access Management (IAM) tools within an IT enterprise environment
* Knowledge of Java, JavaScript, XML, SOAP, and REST development
* Knowledge of Oracle Database
* Knowledge of Docker Containers and Ansible
* Knowledge of Active Directory, Lightweight Directory Access Protocol, and Single\-Sign\-On across multiple domains, as well as Multi\-Factor Authentication and Personal Identity Verification authentication
* Experience with Linux based systems and Bash scripting
* Ability to diagnose and solve complex issues
* DevOps principles for developing, testing and deploying applications
* Knowledge of Oracle OID
* Experience working within government enterprise environment
Nice to Have:
* Experience with Radiant Logic and/or SailPoint products
* Experience with supporting IAM in a Cloud environment, including Azure or AWS
* Experience with SQL database administration or management
* Experience with integrating Radiant Logic with third party data sources
**Benefits** ***Essential Network Security (ENS) Solutions, LLC*** is a service\-disabled veteran owned, highly regarded IT consulting and management firm. ENS consults for the Department of Defense (DoD) and Intelligence Community (IC) providing innovative solutions in the core competency area of Identity, Credential and Access Management (ICAM), Software Development, Cyber and Network Security, System Engineering, Program/Project Management, IT support, Solutions, and Services that yield enduring results. Our strong technical and management experts have been able to maintain a standard of excellence in their relationships while delivering innovative, scalable and collaborative infrastructure to our clients.
**Why ENS?**
* Free Platinum\-Level Medical/Dental/Vision coverage, 100% paid for by ENS
* 401k Contribution from Day 1
* PTO \+ 11 Paid Federal Holidays
* Long \&amp; Short Term Disability Insurance
* Group Term Life Insurance
* Tuition, Certification \&amp; Professional Development Assistance
* Workers’ Compensation
* Relocation Assistance</t>
        </is>
      </c>
    </row>
    <row r="103">
      <c r="A103" t="inlineStr">
        <is>
          <t>in-d4fde64c29e047bf</t>
        </is>
      </c>
      <c r="B103" t="inlineStr">
        <is>
          <t>Research and Development Software Engineer (Innovation Engineer)</t>
        </is>
      </c>
      <c r="C103" t="inlineStr">
        <is>
          <t>CONVERGIX Automation Solutions</t>
        </is>
      </c>
      <c r="D103" t="inlineStr">
        <is>
          <t>indeed</t>
        </is>
      </c>
      <c r="E103">
        <f>HYPERLINK("https://www.indeed.com/viewjob?jk=d4fde64c29e047bf", "https://www.indeed.com/viewjob?jk=d4fde64c29e047bf")</f>
        <v/>
      </c>
      <c r="F103">
        <f>HYPERLINK("https://convergix.rec.pro.ukg.net/CON1096CVAU/JobBoard/52250257-f25d-4ad3-b69e-53bc735d981a/OpportunityDetail?opportunityId=60f13b27-b039-4da9-a3c8-18e5b7f1f7d6&amp;postingId=8c44fe9f-f20c-4188-8151-59b42fe87585", "https://convergix.rec.pro.ukg.net/CON1096CVAU/JobBoard/52250257-f25d-4ad3-b69e-53bc735d981a/OpportunityDetail?opportunityId=60f13b27-b039-4da9-a3c8-18e5b7f1f7d6&amp;postingId=8c44fe9f-f20c-4188-8151-59b42fe87585")</f>
        <v/>
      </c>
      <c r="G103" t="inlineStr">
        <is>
          <t>Bridgman, MI, US</t>
        </is>
      </c>
      <c r="H103" s="2" t="n">
        <v>46083</v>
      </c>
      <c r="I103" t="inlineStr">
        <is>
          <t>**Research and Development Software Engineer (Innovation Engineer)**
**Lakeshore/ Bridgman, MI**
***We are seeking talented and energetic individuals to join our growing team!***
***Greatness takes continuous evolution.***
*That's why we're bringing together relentless problem solvers, proven processes, and audacious thinkers. We are driving to become one unrivaled force in automation \- pushing what's possible for ourselves and our customers.*
***One team. Any challenge.***
Convergix is a global automation systems integrator that serves diverse end markets. We design, build, test, and integrate custom solutions to automate our customers’ operations with a focus on solving unique challenges that others struggle to address. As a team, we are on an improvement journey in pursuit of our vision: *to* *become the ultimate trusted partner to our customers, capable of solving any industrial automation challenge with our passionate people, world renowned processes and diverse experience*. If you want to join a team whose mission is to elevate the automation industry, we want to hear from you! **Learn more about us:** **https://convergixautomation.com/**
**The Role**
An Innovation Engineer develops and implements advanced programming tools to streamline and enhance the workflows of electrical, mechanical, robotics, and controls engineers. By leveraging artificial intelligence and a strong foundation in object\-oriented programming, this role researches emerging technologies, gathers requirements from stakeholders, and prototypes creative solutions to engineering challenges. The Innovation Engineer bridges the gap between technical possibilities and user needs, ensuring new tools are practical, impactful, and aligned with business objectives, while also providing support, documentation, and training to drive adoption and continuous improvement.
**Key Responsibilities**
* **Tool and Application Development**
* Design, develop, and maintain software tools that streamline and enhance the workflows of electrical, mechanical, robotics, and controls engineers.
* Utilize object\-oriented programming languages (such as Python, Java, or C\#) to build robust, scalable, and user\-friendly engineering tools.
* **AI Integration and Utilization**
* Incorporate artificial intelligence and machine learning techniques to automate repetitive engineering tasks, aid design processes, or optimize system performance.
* Research and experiment with new AI technologies, applying them to create innovative solutions within the engineering toolset.
* **Stakeholder Collaboration and Requirement Gathering**
* Engage with engineering teams and key stakeholders to identify pain points, gather user requirements, and prioritize features for new tools and applications.
* Translate complex stakeholder needs into actionable software development tasks and user stories.
* **Research and Prototyping**
* Stay current with emerging technologies, trends, and best practices in software development, automation, and AI.
* Rapidly prototype new ideas, evaluate feasibility, and iterate based on feedback and data.
* **Process Innovation and Continuous Improvement**
* Analyze existing engineering workflows to identify bottlenecks and opportunities for process automation and improvement.
* Implement solutions that increase efficiency, accuracy, and collaboration across engineering disciplines.
* **Technical Documentation**
* Prepare clear, concise documentation including user guides, API references, and workflow diagrams for developed tools and processes.
* Contribute to knowledge sharing and best practices within the engineering team.
* **Testing and Quality Assurance**
* Develop and execute test plans to validate tool functionality, reliability, and usability.
* Troubleshoot issues, gather user feedback, and drive continuous refinement of developed solutions.
* **Training and Support**
* Provide training and technical support for engineering teams adopting new tools.
* Create learning resources and promote knowledge transfer to maximize the value of innovation initiatives.
* **Cross\-Functional Collaboration**
* Work alongside IT, engineering, and operations teams to ensure seamless integration and deployment of new tools.
* **Ethics, Security, and Compliance**
* Adhere to ethical and secure AI and software development practices, ensuring compliance with company and regulatory requirements.
**Qualifications and Experience**
**Essential**
* Bachelor’s degree in Computer Science, Electrical Engineering, Information Systems, Mechanical Engineering, or related field (or equivalent experience)
* Relevant industry experience
* Technical document creation experience
* Experience performing user acceptance testing and working with end\-users to validate data
* Excellent problem\-solving skills and attention to detail.
* Strong communication skills and ability to work collaboratively with both technical and non\-technical stakeholders.
* Highly coachable and trustworthy
**Desirable**
* An ambitious and persuasive achiever with a casual and direct communication style
* Experience in training
**Physical Demands**
* While performing the duties of this position, the employee is regularly required to stand, walk, sit, use hands to feel objects, reach with hands and arms, stoop, kneel, talk and hear.
* Occasionally lifts or move up to 25 pounds.
**Perks of Being Part of the Team**
Here at CONVERGIX, we offer a generous compensation and benefits package including:
* Comprehensive Medical, Dental, and Vision insurance plans
* 401K, including company match
* Company\-paid life insurance with optional supplemental coverage for you and your spouse/children
* Company\-paid short and long\-term disability
* Employee Assistance Program
* Paid\-time off and company\-paid holidays
* Profit Sharing
**What does CONVERGIX value?**
Our values are the foundation on which we build CONVERGIX; we adhere to these no matter what mountain we climb.
* **Integrity \- Respect, Transparency, Commitment**
* **Excellence \- Continuous Improvement, Innovation, Collaboration, Communication**
* **Passion \- Momentum, Sense of Urgency, Growth, Success, Velocity**
*We thank all candidates for their interest, however only those considered for an interview will be contacted.*
CONVERGIX Automation Solutions has an accommodation program in place that provides reasonable accommodations for employees with disabilities. If you require a specific accommodation because of a disability or a medical need, please contact Human Resources.</t>
        </is>
      </c>
    </row>
    <row r="104">
      <c r="A104" t="inlineStr">
        <is>
          <t>in-f5b23147f1037240</t>
        </is>
      </c>
      <c r="B104" t="inlineStr">
        <is>
          <t>Senior Software Engineer</t>
        </is>
      </c>
      <c r="C104" t="inlineStr">
        <is>
          <t>Credify Services</t>
        </is>
      </c>
      <c r="D104" t="inlineStr">
        <is>
          <t>indeed</t>
        </is>
      </c>
      <c r="E104">
        <f>HYPERLINK("https://www.indeed.com/viewjob?jk=f5b23147f1037240", "https://www.indeed.com/viewjob?jk=f5b23147f1037240")</f>
        <v/>
      </c>
      <c r="F104">
        <f>HYPERLINK("http://www.indeed.com/job/senior-software-engineer-f5b23147f1037240", "http://www.indeed.com/job/senior-software-engineer-f5b23147f1037240")</f>
        <v/>
      </c>
      <c r="G104" t="inlineStr">
        <is>
          <t>Remote, US</t>
        </is>
      </c>
      <c r="H104" s="2" t="n">
        <v>46083</v>
      </c>
      <c r="I104" t="inlineStr">
        <is>
          <t>We are looking to add a Senior Backend / Full Stack Engineer to our talented team of Engineers, with a strong focus on backend architecture and cloud infrastructure.
We are targeting a Senior Engineer who seeks challenges, loves solving complex backend problems, and enjoys architecting scalable systems in a cloud\-native environment. If you enjoy working in a startup environment having the ability to wear multiple hats and solving complicated tasks with fresh new ideas, we are the right place for you!
As a Senior Full Stack Engineer with Credify Services, you would work collaboratively with other members of the Development team to design, build, test, deploy, and operate secure, scalable backend systems and supporting infrastructure for the lending industry. You will be part of a cross\-functional team that is responsible for the full software development life cycle, from conception to deployment. We are targeting people with the ability to write clean and functional code and can teach and mentor other engineers. You should have excellent communication skills and the desire to be part of a great team.
**Responsibilities include:**
* Design, develop, and maintain scalable backend services using Python (Fast API) and Go; contribute to React front\-end features when needed.
* Architect distributed systems and cloud\-native services running in AWS (ECS, Fargate, RDS, S3, IAM)
* Apply solid OOP, design patterns, and data structure principles to ensure maintainable code
* Write unit, integration, and system\-level tests to guarantee reliability of backend services and infrastructure components.
* Own deployment pipelines, containerization (Docker), and infrastructure configurations to ensure reliable CI/CD and production stability.
* Collaborate on database performance tuning, schema evolution, migrations, and operational SQL optimization.
* Integrate with third\-party financial and data services (e.g., credit bureaus, KYC providers, telephony / contact center)
* Build and maintain reusable libraries and components for long\-term efficiency
* Optimize backend services, API’s, and database queries for performance, scalability, cost\-efficiency, and security.
* Ensure all development follows compliance and security best practices (handling PII, encryption, auditability)
* Collaborate effectively and communicate technical concepts clearly across teams
* Work with stakeholders to deliver solutions for financial systems and lending workflows
**Areas of technical expertise should include:**
* Languages/Frameworks: Python (Fast API), Go (Golang), JavaScript/TypeScript (React), HTML, CSS
* Databases: MySQL and/or Postgres; strong SQL, schema design, query optimization, indexing strategies, and database migration experience
* Cloud/DevOps: AWS (ECS, Fargate, RDS, S3, IAM, EC2\), containerization (Docker), CI/CD pipelines, infrastructure\-as\-code concepts, Git/GitHub
* Frontend: Working knowledge of React and modern frontend development; ability to contribute to UI features when needed (backend\-focused role)
* Systems Architecture: Experience designing API’s, microservices, and event\-driven systems in production environments
* Testing: Unit, integration, and functional test automation
* Security/Compliance: Experience building systems that handle sensitive financial/PII data securely
* Experience working with financial systems
**Qualifications:**
* 5\+ years of relevant experience
* Bachelor’s degree in computer science or similar or equivalent experience
**Experience:**
* Python: 5 years (Required)
* Go: 2\+ years (Preferred)
* React: 2\+ years (Preferred)
* AWS / Cloud Infrastructure: 3\+ years (Required)
* SQL / Relational Databases: 3\+ years (Required)
* Financial services: 2 years (Required)
Job Type: Full\-time
Pay: $120,000\.00 \- $200,000\.00 per year
Experience:
* Python: 5 years (Required)
* Financial services: 2 years (Required)
* SQL: 3 years (Required)
* Go: 2 years (Preferred)
* React: 2 years (Preferred)
* AWS: 3 years (Required)
Work Location: Remote</t>
        </is>
      </c>
    </row>
    <row r="105">
      <c r="A105" t="inlineStr">
        <is>
          <t>in-cdd68b2d71f4b69f</t>
        </is>
      </c>
      <c r="B105" t="inlineStr">
        <is>
          <t>Software Engineer</t>
        </is>
      </c>
      <c r="C105" t="inlineStr">
        <is>
          <t>Broadway Infotech</t>
        </is>
      </c>
      <c r="D105" t="inlineStr">
        <is>
          <t>indeed</t>
        </is>
      </c>
      <c r="E105">
        <f>HYPERLINK("https://www.indeed.com/viewjob?jk=cdd68b2d71f4b69f", "https://www.indeed.com/viewjob?jk=cdd68b2d71f4b69f")</f>
        <v/>
      </c>
      <c r="F105">
        <f>HYPERLINK("http://www.indeed.com/job/software-engineer-cdd68b2d71f4b69f", "http://www.indeed.com/job/software-engineer-cdd68b2d71f4b69f")</f>
        <v/>
      </c>
      <c r="G105" t="inlineStr">
        <is>
          <t>Remote, US</t>
        </is>
      </c>
      <c r="H105" s="2" t="n">
        <v>46083</v>
      </c>
      <c r="I105" t="inlineStr">
        <is>
          <t>**Position\- Rust Developer**
**Location\- 100 % Remote**
**Type\- Contract**
Rust Developer with 5\+ years’ experience in Rust Development
**Essential Skills:** 
Strong Rust systems programming experience
Ownership\| borrowing\| lifetimes\| and unsafe boundaries
Proven experience removing or redesigning unsafe Rust code
Must align with Clients Secure Development Lifecycle (SDL)
Deep understanding of secure coding practices
Experience with XML parsing strategies (DOM vs streaming)
Background working on security sensitive or reviewed codebases
Strong written communication for design and technical documentation
Comfortable collaborating in an open source environment
Familiarity with accessibility technologies or MathML
Exposure to screen readers (NVDA\| JAWS\| Narrator)
Experience maintaining libraries with Multilanguage bindings (CC\| Python\| Java\| WASM) Rust Developer Math CAT
Desirable Skills:
Keyword:
Skills: Rust Programming Language, C\+\+
Experience Required: 4\-6
Job Types: Full\-time, Contract
Pay: $80\.00 \- $85\.00 per hour
Experience:
* Rust (programming language): 5 years (Required)
Work Location: Remote</t>
        </is>
      </c>
    </row>
    <row r="106">
      <c r="A106" t="inlineStr">
        <is>
          <t>in-ff1df13ca639541d</t>
        </is>
      </c>
      <c r="B106" t="inlineStr">
        <is>
          <t>BSP Software Developer</t>
        </is>
      </c>
      <c r="C106" t="inlineStr">
        <is>
          <t>DDC-I</t>
        </is>
      </c>
      <c r="D106" t="inlineStr">
        <is>
          <t>indeed</t>
        </is>
      </c>
      <c r="E106">
        <f>HYPERLINK("https://www.indeed.com/viewjob?jk=ff1df13ca639541d", "https://www.indeed.com/viewjob?jk=ff1df13ca639541d")</f>
        <v/>
      </c>
      <c r="F106">
        <f>HYPERLINK("http://www.indeed.com/job/bsp-software-developer-ff1df13ca639541d", "http://www.indeed.com/job/bsp-software-developer-ff1df13ca639541d")</f>
        <v/>
      </c>
      <c r="G106" t="inlineStr">
        <is>
          <t>Phoenix, AZ, US</t>
        </is>
      </c>
      <c r="H106" s="2" t="n">
        <v>46083</v>
      </c>
      <c r="I106" t="inlineStr">
        <is>
          <t>Job Description:
We are seeking a highly skilled and experienced BSP Developer to join our team. As a BSP Developer, you will be responsible for developing, customizing, and maintaining the Board Support Packages (BSPs) for our hardware platforms and embedded systems. You will work closely with our software engineers and customers to ensure seamless integration of the operating system with the target hardware. If you have a strong background in low\-level software development, device drivers, and system architecture, along with a passion for embedded systems, we want to hear from you!
Responsibilities:
* Develop and customize BSPs for our hardware platforms, including system\-on\-chips (SoCs), microcontrollers, and embedded systems.
* Collaborate with our customers and board manufacturer support to understand the system architecture, peripheral interfaces, and memory mapping.
* Design, develop, and maintain device drivers for various hardware components, such as network interfaces, storage devices, and peripherals.
* Implement and optimize boot loaders and boot\-time initialization routines to ensure reliable system startup.
* Perform hardware bring\-up activities, including debugging and troubleshooting of hardware and software integration issues.
* Conduct testing and verification of the BSP components, ensuring compatibility, stability, and performance.
* Stay updated with the latest technologies, industry standards, and best practices related to BSP development.
Requirements:
* Bachelor's or Master's degree in Computer Science, Electrical Engineering, or a related field.
* Proven experience in BSP development, embedded systems, or low\-level software development is desired
* Strong programming skills in C/C\+\+ and familiarity with assembly language.
* Proficient in debugging and troubleshooting hardware and software integration issues.
* Solid understanding of system architecture, memory management, and peripheral interfaces.
* Experience with device driver development and kernel\-level programming.
* Knowledge of boot loaders, firmware, and real\-time operating systems (RTOS).
* Excellent problem\-solving skills and ability to work independently as well as part of a team.
* Effective communication skills and the ability to collaborate with cross\-functional teams.
Job Type: Full\-time
Pay: $100,000\.00 \- $130,000\.00 per year
Benefits:
* 401(k)
* 401(k) matching
* Dental insurance
* Flexible schedule
* Health insurance
* Health savings account
* Paid time off
* Vision insurance
Application Question(s):
* B.S. or M.S. degree in Software Engineering, Computer Science or Electrical Engineering.
Education:
* Bachelor's (Required)
Experience:
* C\+\+: 3 years (Required)
* software development at hardware level: 2 years (Required)
Work Location: Hybrid remote in Phoenix, AZ 85028</t>
        </is>
      </c>
    </row>
    <row r="107">
      <c r="A107" t="inlineStr">
        <is>
          <t>in-5effd558c347fd74</t>
        </is>
      </c>
      <c r="B107" t="inlineStr">
        <is>
          <t>Software Engineer / Programmer</t>
        </is>
      </c>
      <c r="C107" t="inlineStr">
        <is>
          <t>Signature Science, LLC</t>
        </is>
      </c>
      <c r="D107" t="inlineStr">
        <is>
          <t>indeed</t>
        </is>
      </c>
      <c r="E107">
        <f>HYPERLINK("https://www.indeed.com/viewjob?jk=5effd558c347fd74", "https://www.indeed.com/viewjob?jk=5effd558c347fd74")</f>
        <v/>
      </c>
      <c r="F107">
        <f>HYPERLINK("https://signaturescience.exacthire.com/job/193536?source=335", "https://signaturescience.exacthire.com/job/193536?source=335")</f>
        <v/>
      </c>
      <c r="G107" t="inlineStr">
        <is>
          <t>Charlottesville, VA, US</t>
        </is>
      </c>
      <c r="H107" s="2" t="n">
        <v>46083</v>
      </c>
      <c r="I107" t="inlineStr">
        <is>
          <t>**Position Purpose:**
The Software Engineer creates applications, configures operating systems, and tests his/her code to verify adherence to established specifications and requirements. Develops, researches, designs, implements, tests, and evaluates software and systems, in conjunction with hardware product development, that enable hardware and instrumentation to perform their applications, applying principles and techniques of computer science, engineering, and mathematical analysis. The Software Engineering supports several projects, and will develop intuitive GUIs and associated applications to enable non\-technical users to control a wide range of scientific systems, from analytical instruments, distributed sensor networks and perform automated analysis of complex datasets to provide actionable information to end users.
**Essential Duties \&amp; Responsibilities:**
* Perform development efforts and work with teammates on various projects. To include working with customers to understand requirements, leading technical development, collaborating with designers to translate wireframes into applications, and integrate with back end layers/hardware interfaces.
* Develop intuitive Graphical User Interfaces (GUIs) using Qt /C\+\+.
* Configure applications on Linux variants implemented on x64 based architectures to support custom boards designed for unique applications and markets.
* Test device drivers and tools, to include touchscreen drivers, high\-speed digitizers, and calibration tools.
* Writes programs according to specifications, which may be provided by Senior Software Engineers, Systems Engineers, or other computer scientists.
* Formulates and designs software system, using scientific analysis and mathematical models to predict and measure outcome and consequences of design.
* Converts project specifications, using flowcharts and diagrams, into sequence of detailed instructions and logical steps; and codes language that can be processed by computer, applying knowledge of computer programming techniques and computer languages.
* Confers with IPT lead and customer concerned with program to resolve questions of program intent, data input, output requirements, and inclusion of internal checks and controls.
* Corrects program errors using methods such as modifying program or altering sequence of program steps.
* Identifies and suggests optimizations and features to improve hardware/software capabilities.
* Recreates steps taken by user to locate source of problem and rewrites program to correct errors.
* Analyzes, reviews, and rewrites programs to increase operating efficiency or to adapt program to new requirements.
* Compiles and writes documentation of program development and subsequent revisions.
* Writes manual for users to describe installation and operating procedures.
* Assists users to solve operating problems.
**Required Knowledge, Skills, and Abilities:**
* Understanding of the development process and testing cycle including bug tracking and formal code documentation and releases.
* Analytical, diagnostic/debugging/troubleshooting, and problem\-solving skills required for integrating applications, systems, and hardware.
* Strong programming experience with C/C\+\+ and Java.
* Knowledge of Qt framework and development environment.
* Knowledge of Linux kernel and device driver development.
* Experience with database technologies (SQL etc.).
* Experience in Debian\-based Linux, specifically tailoring OS for custom boards.
* Experience with common development and repository tools (i.e. GIT, JIRA, etc.)
* Experience cross compiling of C/C\+\+ code and Java.
* Knowledge of fundamentals of Chemistry, Analytical Chemisty, and Data science.
**Education/Experience:**
* BS in Computer Science, Electrical Engineering with programming focus, or equivalent.
* 3 to 5 years of experience.
**Clearance:**
* Ability to obtain a U.S. DoD SECRET Security Clearance.
**Supervisory Responsibilities:**
None
**Working Conditions:**
* Ability to sit at a computer for long periods of time, travel up to 25% may be necessary.
Applicant Tracking Software by ExactHire: pzg60mrl4odddn42w9xo</t>
        </is>
      </c>
    </row>
    <row r="108">
      <c r="A108" t="inlineStr">
        <is>
          <t>in-ce4b626aa056238d</t>
        </is>
      </c>
      <c r="B108" t="inlineStr">
        <is>
          <t>Senior Backend Software Engineer</t>
        </is>
      </c>
      <c r="C108" t="inlineStr">
        <is>
          <t>tennr</t>
        </is>
      </c>
      <c r="D108" t="inlineStr">
        <is>
          <t>indeed</t>
        </is>
      </c>
      <c r="E108">
        <f>HYPERLINK("https://www.indeed.com/viewjob?jk=ce4b626aa056238d", "https://www.indeed.com/viewjob?jk=ce4b626aa056238d")</f>
        <v/>
      </c>
      <c r="F108">
        <f>HYPERLINK("https://jobs.ashbyhq.com/tennr/3989dc49-5e46-466a-ab74-837ad7e7f0e1?utm_source=pwqAqd7j9k", "https://jobs.ashbyhq.com/tennr/3989dc49-5e46-466a-ab74-837ad7e7f0e1?utm_source=pwqAqd7j9k")</f>
        <v/>
      </c>
      <c r="G108" t="inlineStr">
        <is>
          <t>New York, NY, US</t>
        </is>
      </c>
      <c r="H108" s="2" t="n">
        <v>46082</v>
      </c>
      <c r="I108" t="inlineStr">
        <is>
          <t>**Company Description**
=======================
Today, when you go to your doctor and get referred to a specialist (e.g., for sleep apnea), your doctor sends out a referral and tells you, “They’ll be in touch soon.” So you wait. And wait. Sometimes days, weeks, or even months. Why? Because too often specialists and medical services are overwhelmed with referrals and the painstakingly manual process it takes to qualify your referral prevents them from getting around to it on time, or sometimes at all. Tennr prevents these delays and denials by making sure every referral gets where it needs to go, with the right info, at the right time. Powered by RaeLM Tennr reads, extracts, and acts on every piece of patient information so providers can capture more referrals, slash denials, and reduce delays.
**Role Description**
====================
We’re seeking a Senior **Backend Engineer** with a passion for **systems architecture, data modeling, and large\-scale workflow orchestration**. In this role, you’ll **architect and implement features end\-to\-end** across our backend services and infrastructure, ensuring they deliver direct customer value. You’ll design and optimize **data schemas**, build resilient backend services, and ensure seamless **integration with third\-party systems**.
You’ll lead initiatives in **high\-volume workflow automation**, with a strong focus on building and optimizing **scalable data processing and machine learning infrastructure**. This includes designing and maintaining complex workflows that leverage ML to drive automation, as well as driving **performance optimization efforts** to ensure scalability, reliability, and adherence to best practices across all layers of the stack.
Collaboration is key—you’ll work closely with **sales and customer experience teams** to incorporate customer feedback, and with engineering teammates to bring robust solutions to life. We’re looking for someone who **embraces a founder’s mindset**, thrives on **systems\-wide thinking**, and proactively drives projects from conception to completion.
The ideal candidate has experience with **backend architecture, event\-driven systems, and orchestration frameworks**, along with a proven track record of **building production\-ready systems**. You’ll play a key role in shaping the **technical foundation of our platform**, ensuring reliability, scalability, and adaptability as we expand.
**Responsibilities**
====================
* Architect and implement features that drive direct customer value end\-to\-end across our backend services and infrastructure.
* Lead initiatives in high\-volume workflow automation, with a strong focus on building and optimizing scalable data processing and machine learning infrastructure.
* Design and maintain complex workflows that leverage machine learning to drive automation.
* Drive performance optimization efforts, ensuring scalability, reliability, and adherence to best practices across all layers of our stack.
* Collaborate with sales and customer success teams to respond to feedback from our customers and prospects.
* Embrace a founder’s mindset, proactively driving projects from conception to completion, and contributing significantly to our company’s growth and success.
**Candidate Qualifications**
============================
* 3\+ years of experience in backend development, with a strong focus on JavaScript and familiarity with TypeScript.
* Proven track record of building and maintaining scalable web applications, particularly in high\-volume workflow automation and data processing.
* Experience with integrating machine learning models into production environments and optimizing data pipelines.
* Excellent problem\-solving skills and a knack for efficient, clean coding practices.
* Outstanding communication skills, capable of articulating complex technical concepts to a diverse audience.
* A team player who thrives in collaborative environments and values diverse perspectives.
* Prior experience in a startup or fast\-paced tech environment is a plus.
**Why Tennr?**
==============
* Drive Impact: one of our company values is Cowboy, meaning you set the pace. You won’t just talk about things, you’ll get them done. And feel the impact.
* Develop Operational Expertise: learn the inner workings of scaling systems, tools, and infrastructure
* Innovate with Purpose: we’re not just doing this for fun (although we do have a lot of fun). At Tennr, you’ll join a high\-caliber team maniacally focused on reducing patient delays across the U.S. healthcare system.
* Build Relationships: collaborate and connect with like\-minded, driven individuals in our Chelsea office 4 days/week (preferred)
* Free lunch! Plus a pantry full of snacks.
**Benefits**
============
* Chelsea office
* Unlimited PTO
* 100% paid employee health benefit options
* Employer\-funded 401(k) match
* Competitive parental leave
Compensation Range: $190K \- $215K</t>
        </is>
      </c>
    </row>
    <row r="109">
      <c r="A109" t="inlineStr">
        <is>
          <t>in-512a0544158b5064</t>
        </is>
      </c>
      <c r="B109" t="inlineStr">
        <is>
          <t>Senior Backend Engineer</t>
        </is>
      </c>
      <c r="C109" t="inlineStr">
        <is>
          <t>Palette Labs</t>
        </is>
      </c>
      <c r="D109" t="inlineStr">
        <is>
          <t>indeed</t>
        </is>
      </c>
      <c r="E109">
        <f>HYPERLINK("https://www.indeed.com/viewjob?jk=512a0544158b5064", "https://www.indeed.com/viewjob?jk=512a0544158b5064")</f>
        <v/>
      </c>
      <c r="F109">
        <f>HYPERLINK("https://jobs.ashbyhq.com/palettelabs/5304a309-a4fa-443f-8356-1aae9cad1aa7?utm_source=9R0y8NdOml", "https://jobs.ashbyhq.com/palettelabs/5304a309-a4fa-443f-8356-1aae9cad1aa7?utm_source=9R0y8NdOml")</f>
        <v/>
      </c>
      <c r="G109" t="inlineStr">
        <is>
          <t>US</t>
        </is>
      </c>
      <c r="H109" s="2" t="n">
        <v>46082</v>
      </c>
      <c r="I109" t="inlineStr">
        <is>
          <t>**About Palette Labs**
----------------------
Palette Labs is building a decentralized protocol for commerce. Our first major use case is food delivery. We run a profitable, growing network where customers order from restaurants, drivers deliver food, and local operators spin up their own marketplaces. Think Uber Eats, but permissionless and owned by the people who use it.
We’re now focused on furthering the development of our protocol, and making it easier for businesses to participate in it. That means designing verifiable data models, interoperable onchain/offchain infrastructure, economic incentives, and the core primitives that allow anyone to build on top of Palette’s decentralized commerce network.
To learn more about Palette Labs and read our whitepaper take a look at: https://palette\-labs\-inc.github.io/
**About the role**
------------------
This Senior Backend Engineer role is essential to building and scaling the core Palette Labs platform from early foundations to a robust, production\-grade system.
You will own the design, development, and reliability of backend services that serve as nodes in our protocol or participants in it. You’ll be primarily focused on building well\-architected web services, REST APIs, and foundational data systems that power our applications and partner integrations. We’re looking for someone who has built systems from scratch in startup environments and understands how to make pragmatic architectural decisions under ambiguity.
We don’t have a strong language preference, but our current stack is primarily **Rust**. You should be comfortable working across languages and excited to write production Rust if you haven’t already.
You will partner closely with the founders and product team to define long\-term backend architecture, establish engineering best practices, and lay the groundwork for scale. Success will be measured by the quality, reliability, and extensibility of the services you build, and your ability to drive major technical milestones in the first 6–12 months.
**Responsibilities**
--------------------
* Design and build production\-grade web services and REST APIs from first principles.
* Architect clean, maintainable service boundaries, data models, and internal interfaces.
* Own backend systems end\-to\-end — from schema design to deployment and production reliability.
* Implement best practices around transactional consistency, concurrency, and fault tolerance.
* Establish observability standards (metrics, tracing, logging), SLOs, and operational playbooks.
* Lead technical execution across major initiatives, ensuring systems are extensible and scalable.
* Partner with product to translate ambiguous requirements into clean backend abstractions.
* Raise the bar on engineering rigor, testing strategy, and long\-term maintainability.
**Requirements**
----------------
### **Must\-haves**
* 5\+ years of experience in backend software engineering, with a strong track record of shipping production systems.
* Significant experience building and operating web services and RESTful APIs.
* Experience in startup or early\-stage environments where you’ve built systems 0 1\.
* Deep understanding of backend architecture fundamentals: service design, data modeling, API design, and distributed systems basics.
* Strong experience with databases (schema design, indexing, query optimization, safe migrations).
* Experience owning systems in production (observability, incident response, performance tuning).
* Proficiency in at least one modern backend language (e.g., Rust, Go, TypeScript/Node, Java, C\#, Python) and comfort learning new ones.
### **Nice\-to\-haves**
* Production experience with **Rust**.
* Experience designing service\-oriented or microservice architectures.
* Familiarity with event\-driven systems (queues, pub/sub, async processing).
* Experience working in high\-transaction or financially sensitive systems.
* Experience with modern cloud infrastructure (AWS/GCP), containers, and Infrastructure as Code.
* Strong product intuition and ability to operate autonomously in ambiguous environments.
### **Compensation \&amp; Details**
**Total Rewards Package**
We believe in a comprehensive and competitive compensation strategy that rewards talent and drive. Our flexible Total Rewards Package typically includes:
**Component** **Description** Base Salary A competitive annual salary, commensurate with your experience and industry standards. Performance Bonus Eligible for our company semi\-annual performance bonus, which is tied directly to individual achievements. Equity / Stock Options We offer stock options to all full‑time employees, allowing you to share directly in the company's success and long\-term growth.
**Comprehensive Benefits**
We are committed to the health, well‑being, and long‑term financial security of our team. Benefits coverage typically begins on the first day of employment.
* **Health \&amp; Wellness:** 100% employer‑covered premium options for Medical, Dental, and Vision insurance for employees.
* **Time Off:** Flexible Paid Time Off (PTO) policy
*Unless otherwise stated, all roles with Palette Labs are remote\-based in the United States with a preference to hire in New York City. We require that you overlap some working hours with Eastern Standard Time (EST).*</t>
        </is>
      </c>
    </row>
    <row r="110">
      <c r="A110" t="inlineStr">
        <is>
          <t>in-eb78bd9397197288</t>
        </is>
      </c>
      <c r="B110" t="inlineStr">
        <is>
          <t>Senior Software Engineer - Remote</t>
        </is>
      </c>
      <c r="C110" t="inlineStr">
        <is>
          <t>Optum</t>
        </is>
      </c>
      <c r="D110" t="inlineStr">
        <is>
          <t>indeed</t>
        </is>
      </c>
      <c r="E110">
        <f>HYPERLINK("https://www.indeed.com/viewjob?jk=eb78bd9397197288", "https://www.indeed.com/viewjob?jk=eb78bd9397197288")</f>
        <v/>
      </c>
      <c r="F110">
        <f>HYPERLINK("https://uhg.taleo.net/careersection/10000/jobdetail.ftl?job=2335042&amp;lang=en", "https://uhg.taleo.net/careersection/10000/jobdetail.ftl?job=2335042&amp;lang=en")</f>
        <v/>
      </c>
      <c r="G110" t="inlineStr">
        <is>
          <t>Brentwood, TN, US</t>
        </is>
      </c>
      <c r="H110" s="2" t="n">
        <v>46082</v>
      </c>
      <c r="I110"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The health solutions marketplace is hungry for new ideas, innovative products and software that drives elevated performance for the business and the customer. Optum, part of the UnitedHealth Group family of businesses, is feeding incredible solutions to that marketplace every day by bringing out the best in our software engineering teams. We serve customers across the health system. Not only do we have more of them every day, we also have more technology, greater data resources and far broader expertise than any competitor anywhere. We're out to change the way our businesses and consumers engage with technology. If you're in, you'll be challenged like never before. It's time to join this history making.
You'll enjoy the flexibility to work remotely \* from anywhere within the U.S. as you take on some tough challenges.
 **Primary Responsibilities:**
* Design, develop, and deploy AI\-powered solutions to address complex business challenges with emphasis on responsible use of AI
* Leverage enterprise\-approved AI tools to streamline workflows, automate tasks, and drive continuous improvement
* Evaluate emerging trends to inform solution design and strategic innovation
* Actively engaged as a scrum team member in all agile mechanisms
* Completes stories within definition of done, on time and with original estimates
* Promptly seeks unblocking assistance and maintains consistent velocity
* Delivers solutions devoid of significant security vulnerabilities
* Solves straightforward problems with high productivity
* Solutions are testable and maintainable
* Meets code coverage and static analysis targets where applicable
You'll be rewarded and recognized for your performance in an environment that will challenge you and give you clear direction on what it takes to succeed in your role as well as provide development for other roles you may be interested in.
**Required Qualifications:**
* 5\+ years of experience working with teams that leveraged three or more of the following: continuous integration / continuous delivery tools, REST API development, serverless architecture, containerization, IaC, public / private cloud, web applications, web services, application observability and/or messaging/ stream architecture
* 5\+ years of IT full\-stack engineering experience
* 5\+ years of current experience with C\#, Python
* 3\+ years of production experience with cloud technologies
* 3\+ years writing unit or integration tests
* 1\+ years ReactJs, Angular, NodeJs and object oriented programming experience
* 1\+ years of experience in AI, Python, Langchain
* 1\+ years of experience working with CoPilot, Microsoft Copilot 365
* 1\+ years of experience Azure Synapse, ETL, Azure Storage
* Development experience with .NetCore/Python and linux
 **Preferred Qualifications:**
* Instrumenting apps with Prometheus/Grafana, and creating effective alarms and dashboards
* Log indexing tools (e.g. ELK stack, Datadog, Splunk, Sumologic)
* SRE principles (error budgets, alarming practices, etc)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111">
      <c r="A111" t="inlineStr">
        <is>
          <t>in-6c8add64b9180c0a</t>
        </is>
      </c>
      <c r="B111" t="inlineStr">
        <is>
          <t>Associate Software Engineer</t>
        </is>
      </c>
      <c r="C111" t="inlineStr">
        <is>
          <t>Optum</t>
        </is>
      </c>
      <c r="D111" t="inlineStr">
        <is>
          <t>indeed</t>
        </is>
      </c>
      <c r="E111">
        <f>HYPERLINK("https://www.indeed.com/viewjob?jk=6c8add64b9180c0a", "https://www.indeed.com/viewjob?jk=6c8add64b9180c0a")</f>
        <v/>
      </c>
      <c r="F111">
        <f>HYPERLINK("https://uhg.taleo.net/careersection/10000/jobdetail.ftl?job=2340149&amp;lang=en", "https://uhg.taleo.net/careersection/10000/jobdetail.ftl?job=2340149&amp;lang=en")</f>
        <v/>
      </c>
      <c r="G111" t="inlineStr">
        <is>
          <t>Eden Prairie, MN, US</t>
        </is>
      </c>
      <c r="H111" s="2" t="n">
        <v>46082</v>
      </c>
      <c r="I111"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best.Here, you will find a culture guided by inclusion, talented peers, comprehensive benefits and career development opportunities. Come make an impact on the communities we serve as you help us advance health optimization on a global scale.Join us to start **Caring. Connecting. Growing together.**
You will enjoy the flexibility to telecommute\* from anywhere within the U.S. as you take on some tough challenges.
**Primary Responsibilities:**
* Build and maintain CI/CD pipelines in Azure DevOps/GitHub Actions
* Implement IaC with Terraform for Azure services (compute, storage, networking, Key Vault, databases)
* Automate operational tasks using PowerShell/shell/Power Automate, leverage Copilot for code and test generation
* Configure monitoring/logging (Azure Monitor, Log Analytics, App Insights); support incident response
* Enforce security and compliance (RBAC, Key Vault, HIPAA\-aligned practices); assist with vulnerability remediation
* Optimize performance and cost; document architecture; create azure runbooks; collaborate across teams.
* Leverage enterprise\-approved AI tools to enhance productivity and innovation by streamlining workflows and automating repetitive tasks. Evaluate emerging trends to drive continuous improvement and strategic innovation.
You'll be rewarded and recognized for your performance in an environment that will challenge you and give you clear directions on what it takes to succeed in your role as well as provide development for other roles you may be interested in.
**Required Qualifications:**
* Bachelor's Degree in CS or IT related field
* 1\+ years of experience in software development with programming in either Python, .NET/C\# or Java
* 1\+ years of hands\-on experience with CI/CD (Cloud DevOps/GitHub Actions) and IaC (Terraform)
**Preferred Qualifications:**
* 1\+ years of experience with Windows \&amp; Unix/Linux administration
* 1\+ years of healthcare domain experience and familiarity with HIPAA
* Strong communication, debugging, data analysis, and vulnerability management; thrives in dynamic environments
* Tableau administration (Server/Cloud) basic governance
* Copilot Studio, AKS/containers, Azure security tools, front\-end familiarity, certifications
* All Telecommuters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rangefrom $60,200 to $107,400 annually based on full\-time employment. We comply with all minimum wage laws as applicable.
Pursuant to the San Francisco Fair Chance Ordinance, we will consider for employment qualified applicants with arrest and conviction records.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\#RPO \#GREEN</t>
        </is>
      </c>
    </row>
    <row r="112">
      <c r="A112" t="inlineStr">
        <is>
          <t>in-12f5a08796b32acb</t>
        </is>
      </c>
      <c r="B112" t="inlineStr">
        <is>
          <t>Senior Software Engineer</t>
        </is>
      </c>
      <c r="C112" t="inlineStr">
        <is>
          <t>Optum</t>
        </is>
      </c>
      <c r="D112" t="inlineStr">
        <is>
          <t>indeed</t>
        </is>
      </c>
      <c r="E112">
        <f>HYPERLINK("https://www.indeed.com/viewjob?jk=12f5a08796b32acb", "https://www.indeed.com/viewjob?jk=12f5a08796b32acb")</f>
        <v/>
      </c>
      <c r="F112">
        <f>HYPERLINK("https://uhg.taleo.net/careersection/10000/jobdetail.ftl?job=2301429&amp;lang=en", "https://uhg.taleo.net/careersection/10000/jobdetail.ftl?job=2301429&amp;lang=en")</f>
        <v/>
      </c>
      <c r="G112" t="inlineStr">
        <is>
          <t>Brentwood, TN, US</t>
        </is>
      </c>
      <c r="H112" s="2" t="n">
        <v>46082</v>
      </c>
      <c r="I112"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You'll enjoy the flexibility to telecommute\* from anywhere within the U.S. as you take on some tough challenges.
**Primary Responsibilities:**
* Applies Software Engineering Patterns to Solve Problems
* C\# or Java and Javascript/Typescript proficiency with Web Services (Rest and GRPC) and Single Page Application Technologies
* Specification and management of coding, usability and quality standards
* Interpreting requirements into application designs
* Agile development through collaborating with QA and Business Analysis team members
* Evaluating and learning new technologies that would provide business value
* Ensuring the quality, architecture and accuracy of released code
* Take ownership of the assigned applications
* Be an individual contributor (very hands on) as well as able to guide and mentor team members
* Drive development team to achieve key business objectives
* Collaborate with the team on application architecture design and decision\-making
* Design and implement application capabilities in collaboration with different teams
* Troubleshoot production support issues post release deployment and come up with solutions \- solve complex production issues
* Function as a mentor for junior developers, providing assistance where needed
* Grow with development team to strong agile maturity
* Drive migration from Private to Public cloud
* Engineer automation of end to end quality processes. Identify, design and code automated tests (unit, functional, integration, end to end, performance, smoke, etc.)
* Contribute to and maintain full and robust automation of CI/CD pipeline
* Design, develop, and deploy AI\-powered solutions using no\-code, low\-code, and advanced platforms, translating business needs into scalable applications that enhance products, workflows and decision\-making
You'll be rewarded and recognized for your performance in an environment that will challenge you and give you clear direction on what it takes to succeed in your role as well as provide development for other roles you may be interested in.
**Required Qualifications:**
* High School Diploma/GED (or higher)
* 5\+ years of application development experience (UI, Middle tier, backend)
* 5\+ years of web development experience
* 5\+ years of development experience with JavaScript/Typescript and React
* 5\+ years of SQL Server or other RDBMS development experience
* 3\+ years of development experience with C\# / .NET or Java or any other programming language
* 2\+ years of strong Agile understanding and experience
**Preferred Qualifications:**
* Bachelor's degree
* 1\+ years of production Cloud experience (Private or Public)
* Ability and willingness to work on new development as well as maintenance and production support
* All Telecommuters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$89,900 to $160,600 annually based on full\-time employment. We comply with all minimum wage laws as applicable.
Pursuant to the San Francisco Fair Chance Ordinance, we will consider for employment qualified applicants with arrest and conviction records.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\#RPO \#GREEN</t>
        </is>
      </c>
    </row>
    <row r="113">
      <c r="A113" t="inlineStr">
        <is>
          <t>in-5719d1b83e2fddb4</t>
        </is>
      </c>
      <c r="B113" t="inlineStr">
        <is>
          <t>Software Engineer III</t>
        </is>
      </c>
      <c r="C113" t="inlineStr">
        <is>
          <t>Electronic Arts</t>
        </is>
      </c>
      <c r="D113" t="inlineStr">
        <is>
          <t>indeed</t>
        </is>
      </c>
      <c r="E113">
        <f>HYPERLINK("https://www.indeed.com/viewjob?jk=5719d1b83e2fddb4", "https://www.indeed.com/viewjob?jk=5719d1b83e2fddb4")</f>
        <v/>
      </c>
      <c r="F113">
        <f>HYPERLINK("https://jobs.ea.com/en_US/careers/JobDetail/Software-Engineer-III/212820", "https://jobs.ea.com/en_US/careers/JobDetail/Software-Engineer-III/212820")</f>
        <v/>
      </c>
      <c r="G113" t="inlineStr">
        <is>
          <t>Austin, TX, US</t>
        </is>
      </c>
      <c r="H113" s="2" t="n">
        <v>46082</v>
      </c>
      <c r="I113" t="inlineStr">
        <is>
          <t>### **General Information**
**Locations**: Austin, Texas, United States of America
* Location: Austin
* State: Texas
* Country: United States of America
Role ID
212820
Worker Type
Regular Employee
Studio/Department
CT \- IT
Work Model
Hybrid
### **Description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Software Engineer III \- EAIT\-BizApps\- Austin
**Position:**
=============
This Full Stack position will involve working with a highly innovative and quick moving team of Developers, Architects and Designers to work on scalable, highly performant web applications based on modern tech stack. You will be building UI modules, backend APIs, and designing scalable systems. Work with other Engineering and cross functional teams in the company in order to determine needs for new software, platforms and applications
**Key Responsibilities:**
=========================
* Work with producers, architects, designers and business partners to understand the requirements and track engineering tasks.
* As a tech lead, work with a distributed team of Software engineers, collaborate and coordinate the project deliverables.
* Develop and implement software systems, validation procedures, and documentation.
* Understand the UI mockups and design/UX artifacts.
* Develop, debug and design APIs using java following REST standards.
* Code and unit test UI modules, backend APIs and scripts.
* Work with other developers and white board the approach to develop the technical task.
* Integrate research and best practices into problem avoidance and continuous improvement.
* Evaluate new software solutions, and develop quick POCs.
* Understand and participate in Build and configuration management process
* Work with Quality assurance team in fixing bugs
* Work with project management team in following the software development lifecycle
**Qualifications:**
===================
* Master’s Degree in Computer Science, Computer engineering or a related field.
* A background in Data Structures, Algorithms, Design patterns \&amp; System design
* Understanding the full web architecture and the application development technologies such as HTML, CSS, Javascript, Java, NodeJs, Python, etc.
* Experience working with RESTful Web Services using programming languages such as Java, Javascript, Python.
* Knowledge of modern web development and javascript frameworks such as Angular, NextJs/React, Django.
* Experience with cloud platforms such as AWS, Azure, or Google Cloud.
* Familiarity with containerization technologies like Docker and Kubernetes.
* Knowledge of CI/CD pipelines and DevOps practices.
* Understanding of security best practices and application performance optimization.
* Strong written and verbal communication skills.
* Results oriented self\-starter who is able to assume responsibility and ownership of active projects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114">
      <c r="A114" t="inlineStr">
        <is>
          <t>in-7c93fa2a825b18a8</t>
        </is>
      </c>
      <c r="B114" t="inlineStr">
        <is>
          <t>Software Engineer, Workday Integration</t>
        </is>
      </c>
      <c r="C114" t="inlineStr">
        <is>
          <t>Insperity</t>
        </is>
      </c>
      <c r="D114" t="inlineStr">
        <is>
          <t>indeed</t>
        </is>
      </c>
      <c r="E114">
        <f>HYPERLINK("https://www.indeed.com/viewjob?jk=7c93fa2a825b18a8", "https://www.indeed.com/viewjob?jk=7c93fa2a825b18a8")</f>
        <v/>
      </c>
      <c r="F114">
        <f>HYPERLINK("https://insperity.wd12.myworkdayjobs.com/NSP/job/TX-Home-Office/Software-Engineer--Workday_JR101525", "https://insperity.wd12.myworkdayjobs.com/NSP/job/TX-Home-Office/Software-Engineer--Workday_JR101525")</f>
        <v/>
      </c>
      <c r="G114" t="inlineStr">
        <is>
          <t>TX, US</t>
        </is>
      </c>
      <c r="H114" s="2" t="n">
        <v>46082</v>
      </c>
      <c r="I114" t="inlineStr">
        <is>
          <t>**Insperity** provides the most comprehensive suite of scalable HR solutions available in the marketplace with an optimal blend of premium HR service and technology. With more than 90 locations throughout the U.S., Insperity is currently making a difference for thousands of businesses and communities nationwide.
Behind our success is the unshakeable belief in the value of our people. We value diversity, inclusivity and a sense of belonging. We celebrate work and life events, and we partner with our clients and communities to make great things happen.
We have received recognition numerous times as a top place to work, most recently ranking on Glassdoor’s “Best Places to Work in the U.S. 2024” list, and U.S. News \&amp; World Report’s “Best Companies to Work for 2024” list. In addition, we have been recognized for having one of the country’s Top 50 Midsize Early Talent Programs by RippleMatch’s 2024 Campus Forward Awards. There is no better time to be a part of Insperity, and our best work is yet to come. Learn more at Insperity.com.
**Why Insperity?**
**Flexibility:** Over 80% of Insperity’s jobs have flexibility. We want your time to have balance, whether it’s spent with coworkers, clients, family or your community.
**Career Growth:** Insperity provides many ways to grow with the company. We offer continuous learning programs, mentorship opportunities and ongoing training.
**Well\-Being:** Our total rewards package includes generous paid time off, top\-tier medical, dental and vision benefits, health \&amp; wellness support, paid volunteer hours and much more. We take care of our people so that you can do your best work.
This position is responsible for working with constituent departments to fulfill application design, development, configuration, integration, support, and maintenance requests. Operates with minimal latitude for un\-reviewed action or decision.
**Responsibilities:**
* Works with constituent departments to fulfill design, application development, configuration, integration, support, and maintenance requests.
* Assists in scope definition and estimation of work effort.
* Contributes to the business requirements gathering process.
* Works with the architecture team to ensure that design standards are followed.
* Adheres to defined processes.
* Develops application code to fulfill project requests.
* Creates technical documentation as required.
* Drives incremental improvements to team technical processes and practices.
* Mentors development team members in technical complexities of assigned work.
* Stays up to date with Workday releases, updates, and new features, and applies this knowledge to improve integration/extend solutions, design and performance.
**Qualifications:**
* Bachelor’s Degree in Computer Science, a related field, or four years of related work experience is required.
* Three to five years of professional experience is required.
* Strong understanding of web, mobile, API, and SQL technologies.
* Broad knowledge of software development practices and procedures.
* Experience working with Workday modules such as HCM, Benefits, Time Tracking, Payroll and Security.
* Good understanding of Workday Business Process Framework.
* Good knowledge of Workday integration tools such as EIB, Connectors, Workday Studio.
* Working knowledge of Workday Extend.
* Working knowledge of Workday Report Writer, calculated fields, Prism.
* Working knowledge of Web Services, APIs (WSDL, SOAP, REST) and RaaS.
* Knowledge of Workday data conversion patterns and toolset.
* Aptitude for continuous learning and improvement.
* Strong teamwork skills.
*Insperity provides a reasonable range of minimum compensation. Actual compensation is influenced by a wide array of factors including but not limited to skill set, level of experience, and specific office location. The range of pay for this role is:*
$78,100 \- $88,950*At Insperity, we celebrate the diversity of our employees and our leadership. Insperity is an equal opportunity employer, and all qualified applicants will receive consideration for employment without regard to race, color, religion, sex, national origin, disability status, protected veteran status or any other characteristic protected by law, including criminal arrest and/or conviction records.*</t>
        </is>
      </c>
    </row>
    <row r="115">
      <c r="A115" t="inlineStr">
        <is>
          <t>in-11c9999d5f143af3</t>
        </is>
      </c>
      <c r="B115" t="inlineStr">
        <is>
          <t>Senior Software Engineer</t>
        </is>
      </c>
      <c r="C115" t="inlineStr">
        <is>
          <t>Wellington Management</t>
        </is>
      </c>
      <c r="D115" t="inlineStr">
        <is>
          <t>indeed</t>
        </is>
      </c>
      <c r="E115">
        <f>HYPERLINK("https://www.indeed.com/viewjob?jk=11c9999d5f143af3", "https://www.indeed.com/viewjob?jk=11c9999d5f143af3")</f>
        <v/>
      </c>
      <c r="F115">
        <f>HYPERLINK("https://wellington.wd5.myworkdayjobs.com/en-US/External/job/Boston-MA-United-States/Senior-Software-Engineer_R93737", "https://wellington.wd5.myworkdayjobs.com/en-US/External/job/Boston-MA-United-States/Senior-Software-Engineer_R93737")</f>
        <v/>
      </c>
      <c r="G115" t="inlineStr">
        <is>
          <t>Boston, MA, US</t>
        </is>
      </c>
      <c r="H115" s="2" t="n">
        <v>46082</v>
      </c>
      <c r="I115" t="inlineStr">
        <is>
          <t>About Us
Wellington Management offers comprehensive investment management capabilities that span nearly all segments of the global capital markets. Our investment solutions, tailored to the unique return and risk objectives of institutional clients in more than 60 countries, draw on a robust body of proprietary research and a collaborative culture that encourages independent thought and healthy debate. As a private partnership, we believe our ownership structure fosters a long\-term view that aligns our perspectives with those of our clients.
About the Role
Senior Software Engineer – IBOR  
We are growing our engineering team and looking for highly motivated engineers to make an impact at Wellington. This is a great opportunity for an engineer to build a career and learn about IBOR (Investor Book of Record). This position requires a high level of collaboration and interaction with our other technology partners across the department, and an ability to deliver in a fast\-paced and evolving environment. The individual must be a self\-starter with the ability to multi\-task and work on a variety of assignments with people at all levels of the organization.  
Qualifications* 7 to 10\+ years in systems development using Java and J2EE (currently working with Java 17; experience with version 11 will work)
* Strong experience with Spring and Spring Boot frameworks
* Solid understanding of multi\-threaded applications and high\-performance systems
* Experience developing and deploying RESTful APIs
* Experience with WebSockets, AWS, and CI/CD pipelines (especially using Jenkins) is a strong plus
* Demonstrated use of GenAI\-assisted development tools (e.g., GitHub Copilot, Claude Code)
* Strong motivation and ability to work in a fast\-paced, team\-oriented environment supporting a business\-critical production environment
* Strong analysis, design, and modeling skills
* Knowledge of software development and testing methodologies and their effective application; experience with JMeter is a plus
* Bachelor’s degree in Computer Science or a related field
Responsibilities* Lead the technical design, implementation, deployment, and support of the IBOR platform
* Develop and maintain robust, scalable, and secure backend services using Java, Spring, and Spring Boot
* Collaborate with Business Analysts to review and implement business requirements
* Work closely with Project Managers, Technical Leads, and QA Leads on estimates, statuses, issue identification, and risk management
* Partner with the Architecture team to ensure alignment with the strategic direction of the enterprise
* Stay current with evolving industry and technical trends, including AI\-assisted development tools, to ensure systems and team are of the highest caliber
Not sure you meet 100% of our qualifications? That’s ok. If you believe that you could excel in this role, we encourage you to apply and welcome a chance to review your background. We are dedicated to building and maintaining a diversified workforce and considering a broad array of candidates with a variety of skill, workplace experiences, and backgrounds.*As an equal opportunity employer, Wellington Management ensures that all qualified applicants will receive equal consideration for employment without regard to* *r**ace, color, sex, sexual orientation, gender identity, gender expression, religion, creed, national origin, age, ancestry, disability (physical or mental), medical condition, citizenship, marital status, pregnancy, veteran or military status, genetic information or any other characteristic* *protected by applicable law**.* *If you are a candidate with a disability, or are assisting a candidate with a disability, and require an accommodation to apply for one of our jobs, please email us at* *GMWTalentOperations@wellington.com**.*
At Wellington Management, our approach to compensation is designed to help us attract, inspire and retain the best talent in our industry. We strive to pay employees fairly and competitively across all levels and roles. Our approach to compensation considers all aspects of total compensation; all employees are eligible to receive salary, variable compensation, and benefits. The base salary range for this position is:
USD 80,000 \- 150,000
This range takes into account the wide range of factors that are considered when making compensation decisions, including but not limited to skill sets; role; skills and experience; certifications; and education. This range is an estimate, and further details on salary and total compensation aspects will be shared with candidates during the recruitment process.  
Base salary is only one component of Wellington’s total compensation approach. Other rewards may include a discretionary Corporate Bonus and/ or Incentives, if eligible. In addition, we offer a comprehensive and high value benefit package to meet the unique needs of our employees and their families, and we are committed to fostering a flexible work environment that enables employees to thrive personally and professionally. Examples of our benefits include retirement plan, health and wellbeing, dental, vision, and pharmacy coverage, health savings account, flexible spending accounts and commuter program, employee assistance program, life and disability insurance, adoption assistance, back\-up childcare, tuition/CFA reimbursement and paid time off (leave of absence, paid holidays, volunteer, sick and vacation time)
We believe that in person interactions inspire and energize our community and are essential to our culture. In support of this commitment, our employees work from our offices 4 days a week with flexibility to work remotely 1 day a week. We believe that this approach ultimately supports our mission to deliver investment excellence to our clients and their beneficiaries over the long term.</t>
        </is>
      </c>
    </row>
    <row r="116">
      <c r="A116" t="inlineStr">
        <is>
          <t>in-49ce529fd66cf4ba</t>
        </is>
      </c>
      <c r="B116" t="inlineStr">
        <is>
          <t>Sr Software Engineer, BE Python</t>
        </is>
      </c>
      <c r="C116" t="inlineStr">
        <is>
          <t>PayPal</t>
        </is>
      </c>
      <c r="D116" t="inlineStr">
        <is>
          <t>indeed</t>
        </is>
      </c>
      <c r="E116">
        <f>HYPERLINK("https://www.indeed.com/viewjob?jk=49ce529fd66cf4ba", "https://www.indeed.com/viewjob?jk=49ce529fd66cf4ba")</f>
        <v/>
      </c>
      <c r="F116">
        <f>HYPERLINK("https://paypal.eightfold.ai/careers/job/274918256705", "https://paypal.eightfold.ai/careers/job/274918256705")</f>
        <v/>
      </c>
      <c r="G116" t="inlineStr">
        <is>
          <t>Austin, TX, US</t>
        </is>
      </c>
      <c r="H116" s="2" t="n">
        <v>46082</v>
      </c>
      <c r="I116"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delivers complete solutions spanning all phases of the Software Development Lifecycle (SDLC). It involves advising management on project\-level issues, guiding junior engineers, operating with little supervision, and applying knowledge of technical best practices.**Job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\&amp; Preferred Qualifications****:**
Python
Search
Amazon Neptune
Amazon OpenSearch Service
**Subsidiary:**
PayPal**Travel Percent:**
0* 
The base pay for this role will depend on where you work and the relevant experience and expertise you bring. The expected range of pay for this role by location is:**Primary Location \| Pay Range:**
San Jose, California \| ($143,500\.00 \- $212,850\.00 Annually)**Additional Location(s) \| Pay Range:**
Austin, Texas \| ($130,500\.00 \- $193,600\.00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17">
      <c r="A117" t="inlineStr">
        <is>
          <t>in-698bb590e278518d</t>
        </is>
      </c>
      <c r="B117" t="inlineStr">
        <is>
          <t>Senior Software Engineer</t>
        </is>
      </c>
      <c r="C117" t="inlineStr">
        <is>
          <t>Fidelity Investments</t>
        </is>
      </c>
      <c r="D117" t="inlineStr">
        <is>
          <t>indeed</t>
        </is>
      </c>
      <c r="E117">
        <f>HYPERLINK("https://www.indeed.com/viewjob?jk=698bb590e278518d", "https://www.indeed.com/viewjob?jk=698bb590e278518d")</f>
        <v/>
      </c>
      <c r="F117">
        <f>HYPERLINK("https://jobs.fidelity.com/en/jobs/2124892/senior-software-engineer/", "https://jobs.fidelity.com/en/jobs/2124892/senior-software-engineer/")</f>
        <v/>
      </c>
      <c r="G117" t="inlineStr">
        <is>
          <t>Merrimack, NH, US</t>
        </is>
      </c>
      <c r="H117" s="2" t="n">
        <v>46082</v>
      </c>
      <c r="I117" t="inlineStr">
        <is>
          <t>### **Job Description:**
Fidelity Investments is seeking a Senior Software Engineer in Test with a strong software development background.
This role is part of the Quality Engineering organization within the Workplace Investing division, where you’ll design and build test automation frameworks and internal utilities to support scalable, high\-quality software delivery. You’ll also contribute to E2E, Performance testing, CI/CD pipeline integration, and shift\-left testing strategies to ensure early defect detection and continuous quality improvement. This role will be based out of Westlake, TX
**The Expertise and Skills You Bring**
* Bachelor’s degree in Computer Science or equivalent experience is required
* 5\+ years of test automation development using Java or similar languages, to develop and maintain automated test scripts.
* Experience in testing distributed applications at multiple layers of the technology stack.
* Experience using REST, Java, Web Services, SOAP, Git, Jenkins
* Proven expertise with Cucumber, Selenium/Playwright, REST Assured or similar test automation tools.
* Hands on experience with crafting and maintaining testing frameworks like Junit, Selenium (TestNG).
* Experience with defining and configuring test automation pipelines, including integration of automated tests into CI/CD workflows.
* Experience with DB/SQL testing and expertise in data comparison tools such as ICEDQ.
* Familiarity with Azure cloud technologies, version control systems like Gitlab and CI/CD pipelines.
* Practical experience working with both functional and regression testing including test automation within an agile environment.
* Ability to work collaboratively in a fast\-paced agile development environment.
* Ability to interpret business requirements and translate them into clear, testable user stories and acceptance criteria. This includes collaborating closely with squad members to ensure comprehensive test coverage, identifying edge cases, and aligning quality goals with business outcomes .
* Identify risks and develop contingency plans in anticipation of quality issues
* Proven understanding of software engineering lifecycle to be able to identify quality risks, contribute to test strategy design, and ensure validation activities are aligned with business and technical requirements throughout the development process.
* Ability and skills to research and evaluate new testing tools, methodologies and best practices in Quality Engineering.
**The Team**
In this role, you’ll be a key member of an agile squad composed cross functional highly skilled professionals, working autonomously to deliver high\-impact solutions. You’ll play a critical part in project execution by designing and implementing robust test coverage and automation that ensures our products meet the highest standards of quality and reliability.
As part of a broader Quality Engineering organization, you’ll contribute to a culture of innovation and continuous improvement, leveraging cutting\-edge testing strategies to validate application functionality and performance.
### **Certifications:**
### **Category:**
Information Technology
Most roles at Fidelity are Hybrid, requiring associates to work onsite every other week (all business days, M\-F) in a Fidelity office. This does not apply to Remote or fully Onsite roles. Some roles may have unique onsite requirements. Please consult with your recruiter for the specific expectations for this position.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118">
      <c r="A118" t="inlineStr">
        <is>
          <t>in-6fad606d6bc8a9ba</t>
        </is>
      </c>
      <c r="B118" t="inlineStr">
        <is>
          <t>Embedded Software Engineer II (Andover, MA)</t>
        </is>
      </c>
      <c r="C118" t="inlineStr">
        <is>
          <t>Smith+Nephew</t>
        </is>
      </c>
      <c r="D118" t="inlineStr">
        <is>
          <t>indeed</t>
        </is>
      </c>
      <c r="E118">
        <f>HYPERLINK("https://www.indeed.com/viewjob?jk=6fad606d6bc8a9ba", "https://www.indeed.com/viewjob?jk=6fad606d6bc8a9ba")</f>
        <v/>
      </c>
      <c r="F118">
        <f>HYPERLINK("https://smithnephew.wd5.myworkdayjobs.com/en-US/External/job/Andover-MA/Embedded-Software-Engineer-II--Andover--MA-_R88671", "https://smithnephew.wd5.myworkdayjobs.com/en-US/External/job/Andover-MA/Embedded-Software-Engineer-II--Andover--MA-_R88671")</f>
        <v/>
      </c>
      <c r="G118" t="inlineStr">
        <is>
          <t>Andover, MA, US</t>
        </is>
      </c>
      <c r="H118" s="2" t="n">
        <v>46082</v>
      </c>
      <c r="I118" t="inlineStr">
        <is>
          <t>**Embedded Software Engineer II (Andover, MA)**
**Life Unlimited.** At Smith\+Nephew we design and manufacture technology that takes the limits off living.
Our Sports Medicine team is building a next\-generation surgical endoscopic system to transform sports medicine. We are seeking a skilled **Embedded Software Engineer II** You will design and develop high\-quality C/C\+\+ based software. You will solve complex problems autonomously and contribute to architectural decisions.
As part of a multi\-site agile team, you will collaborate with colleagues and stakeholders to deliver software that provides real value to surgeons and patients.
**What will you be doing?**
* **Develop proof‑of‑concepts for computer vision applications** to support endoscopic, surgical navigation and electro\-mechanical products, ensuring they meet customer needs and usability expectations.
* **Design and implement production‑quality C/C\+\+ software** for medical devices, including automated testing.
* **Collaborate with cross‑functional teams** to define requirements and drive the design and development of embedded software.
* **Own the full lifecycle of each software increment** , from defining requirements and acceptance criteria to documenting and testing completed work.
* **Create and maintain automation frameworks** tailored for C/C\+\+ codebases.
* **Provide debugging support and perform root‑cause analysis** for software issues.
* **Promote a strong quality‑first mindset** and encourage best practices across teams.
* **Execute design control activities** to ensure compliance with IEC 62304\.
**What will you need to be successful?**
* A **Bachelor’s or Master’s degree** in Electronics/Electrical Engineering, Computer Engineering, Computer Science, or equivalent hands‑on experience in embedded Linux software development.
* **At least 2\+ years of professional software development experience** , with strong emphasis on C/C\+\+ and Linux; experience in embedded systems, ideally within medical devices.
* **Expertise in C/C\+\+ for embedded systems** , with experience in microcontroller and FPGA based soft cores like Microblaze, real‑time operating systems (e.g., FreeRTOS), or bare‑metal development.
* A strong understanding of electrical concepts and control loops is required.
* **Experience working with and troubleshooting multiple hardware interfaces** , such as PCIe, CAN, I2C, I2S, UART, SPI, USB etc.
* Experience with MATLAB is desired.
* **Solid understanding of CI/CD pipelines and tools** such as Jenkins or GitLab CI.
* **Ability to write unit and component‑level tests** for C/C\+\+ applications.
* **Experience with Python or Shell scripting** for automation, testing, and tooling is a plus.
* **Familiarity with modern testing frameworks** is advantageous.
* **Strong problem‑solving abilities** and comfort working in a fast‑paced, dynamic environment.
* **Excellent communication skills** , including experience collaborating with external contractors and reviewing technical deliverables.
**Competencies:**
* Strong problem\-solving, critical thinking, troubleshooting, and analytical skills.
* Excellent interpersonal and communication skills, with the ability to influence cross\-functional teams.
* Passion for learning emerging technologies and applying innovation in testing.
* Collaborative team player, self\-driven, adaptable, and capable of handling multiple priorities.
* Experience working in regulated, safety\-critical, or compliance\-driven environments is a strong advantage.
* Hands\-on experience in any of the following domains are encouraged to apply,
* + Medical Devices / Healthcare Software (highly preferred)
* + Automotive / ADAS / AUTOSAR\-based systems
* + Industrial Automation / Robotics
* + Biomedical
**You Unlimited.** We believe in creating the greatest good for society. Our strongest investments are in our people and the patients we serve.
* **Inclusion and Belonging\-** Committed to Welcoming, Celebrating and Thriving on Inclusion and Belonging, Learn more about Employee Inclusion Groups on our website ( https://www.smith\-nephew.com/).
* **Your Future:** 401k Matching Program, 401k Plus Program, Discounted Stock Options, Tuition Reimbursement
* **Work/Life Balance:** Flexible Personal/Vacation Time Off, Paid Holidays, Flex Holidays, Paid Community Service Day
* **Your Wellbeing:** Medical, Dental, Vision, Health Savings Account (Employer Contribution of $500\+ annually), Employee Assistance Program, Parental Leave, Fertility and Adoption Assistance Program
* **Training:** Hands\-On, Team\-Customized, Mentorship
* **Extra Perks:** Discounts on fitness clubs, travel and more!
**\#LI\-ON\-SITE**
"The anticipated base compensation range for this position is $90,000 \- $134,750 USD annually.
The actual base pay offered to the successful candidate will be based on multiple factors, including but not limited to job\-related knowledge/skills, experience, geographical location, and internal equity. It is not typical for an individual to be hired at the high end of the range for their role at Smith \+ Nephew. Compensation decisions are dependent upon the facts and circumstances of each position and candidate.
In addition to base pay, we provide competitive bonus and benefits, which include medical, dental, and vision coverage, 401k, tuition reimbursement, medical leave programs, and a variety of wellness offerings. "
Smith\+Nephew provides equal employment opportunities to applicants and employees without regard to race, color, religion, sex, sexual orientation, gender identity, national origin, protected veteran status, or disability.
Stay connected by joining our Talent Community .
We're more than just a company \- we're a community! Follow us on L inkedIn to see how we support and empower our employees and patients every day.
Check us out on Glassdoor for a glimpse behind the scenes and a sneak peek into **You** **.** **Unlimited** **.** , life, culture, and benefits at S\+N.
Explore our website and learn more about our mission, our team, and the opportunities we offer.</t>
        </is>
      </c>
    </row>
    <row r="119">
      <c r="A119" t="inlineStr">
        <is>
          <t>in-9d2fe6b5391f2234</t>
        </is>
      </c>
      <c r="B119" t="inlineStr">
        <is>
          <t>Senior Spacecraft Software Engineer</t>
        </is>
      </c>
      <c r="C119" t="inlineStr">
        <is>
          <t>Spire Global</t>
        </is>
      </c>
      <c r="D119" t="inlineStr">
        <is>
          <t>indeed</t>
        </is>
      </c>
      <c r="E119">
        <f>HYPERLINK("https://www.indeed.com/viewjob?jk=9d2fe6b5391f2234", "https://www.indeed.com/viewjob?jk=9d2fe6b5391f2234")</f>
        <v/>
      </c>
      <c r="F119">
        <f>HYPERLINK("https://spire.com/careers/job-openings/job/?gh_jid=7663049", "https://spire.com/careers/job-openings/job/?gh_jid=7663049")</f>
        <v/>
      </c>
      <c r="G119" t="inlineStr">
        <is>
          <t>Boulder, CO, US</t>
        </is>
      </c>
      <c r="H119" s="2" t="n">
        <v>46082</v>
      </c>
      <c r="I119" t="inlineStr">
        <is>
          <t>We are looking for a **Spacecraft Software Engineer (GNSS)** to join our team working at the intersection of satellite payloads, scientific computing, and data delivery systems. In this role, you'll be responsible for developing and maintaining both the flight and ground software that powers our satellite\-based GNSS missions. You’ll work across system layers—from embedded software to cloud data pipelines—to help ensure the accurate and timely delivery of mission\-critical scientific data to our customers.
This is a high\-impact role where autonomy, creativity, and technical breadth are key.
**What You'll Do as a Senior Software Engineer:**
* Develop and maintain scientific and command \&amp; control software for GNSS\-based satellite payloads using a variety of software stacks.
* Build and operate ground\-based automation systems for efficient data extraction, transformation, and delivery from the satellite to end users.
* Collaborate closely with flight operations to troubleshoot and ensure consistent, high\-quality data delivery.
* Engage with other system engineers, payload developers, and mission operators to continuously evolve the software in support of scientific objectives.
* Participate in code reviews, testing, and documentation to uphold software reliability and traceability.
**Who You Are (Required Qualifications):**
We're looking for someone with **at least 5 of the following** qualifications:
* Proficient in at least one of **C\+\+ or Python**, and capable of picking up new tools and languages as needed.
* Experience in **FPGA development** (VHDL or HLS) for signal processing or control systems.
* Solid background in **DSP techniques and theory**, especially in the context of RF or GNSS.
* Familiarity with **GNSS signal processing** and/or scientific applications such as **GNSS\-RO, GNSS\-R**, or **PNT algorithms**.
* Skilled in **cloud\-based systems** (e.g., AWS), backend development, and managing data via scalable storage/database solutions.
* A lifelong learner—**curious, adaptable, and open to new challenges** outside your immediate expertise.
* Demonstrates **strong work ethics** and a focus on impactful contributions to the mission and team.
* Capable of **independently navigating technical challenges** and making forward progress without constant direction.
 **Preferred Skills:**
* Prior experience working on satellite payloads or in the aerospace domain.
* Experience building telemetry and data visualization tools.
* Contribution to open\-source scientific or aerospace\-related software projects.
Spire operates a hybrid work model, and this position will require you to work a minimum of three days per week in the office.
Access to US export\-controlled software and/or technology may be required for this role. If needed, Spire will arrange the necessary licenses—this is not something candidates need to have before applying. \#LI\-RK1
The anticipated base salary range for this position is listed below. Final base salary for this role will be based on the location, skills, experience and qualifications. In addition to base compensation, this role may be eligible for annual equity awards and our employee benefits program, including vacation, sick, and personal time off; optional medical, dental, vision, life, and disability coverage; a 401(K) plan; health and wellness reimbursement program; and participation in Spire’s Employee Stock Purchase Plan.
Salary Range
$130,500—$171,000 USD **Global Perks**
️ Name Your Satellite Program (NYSP)  
 Launch Attendance  
 Generous Time Off Policy  
 Education Assistance Program  
 Employee Assistance Program (EAP)  
 Employee Stock Purchase Program (ESPP)  
 Family Leave  
 Fitness Reimbursement  
 Employee Referral Program  
 Healthy snacks \&amp; beverages in every office
 **About Spire**
*We* *improve life on Earth with data from space.*
Spire Global is a space\-to\-cloud analytics company that owns and operates the largest multi\-purpose constellation of satellites. Its proprietary data and algorithms provide the most advanced maritime, aviation, and weather tracking in the world. In addition to its constellation, Spire’s data infrastructure includes a global ground station network and 24/7 operations that provide real\-time global coverage of every point on Earth.
 *Spire is Global and our success draws upon the diverse viewpoints, skills and experiences of our employees. We are proud to be an equal opportunity employer and are committed to equal employment opportunity regardless of race, color, ancestry, religion, sex, national origin, sexual orientation, age, marital status, disability, gender identity or veteran status.*
*To help* *maintain* *a safe and secure workplace for Spire employees, all candidates who receive a conditional offer will* *be required**to complete a background check**. This* *may include criminal history and employment verification.*
*Please take a moment to review* *Spire's Global Data Privacy Notice for Employees, Contractors, Candidates and Visitors**, as well as**Spire's Privacy Policy.*
 *Kindly be advised that communication regarding your application may come from @spire.com, @recruiting.spire.com, or from Candidate.fyi (our scheduling tool).*</t>
        </is>
      </c>
    </row>
    <row r="120">
      <c r="A120" t="inlineStr">
        <is>
          <t>in-054e123e538a7288</t>
        </is>
      </c>
      <c r="B120" t="inlineStr">
        <is>
          <t>Senior Software Engineer (Ruby)</t>
        </is>
      </c>
      <c r="C120" t="inlineStr">
        <is>
          <t>Reserv</t>
        </is>
      </c>
      <c r="D120" t="inlineStr">
        <is>
          <t>indeed</t>
        </is>
      </c>
      <c r="E120">
        <f>HYPERLINK("https://www.indeed.com/viewjob?jk=054e123e538a7288", "https://www.indeed.com/viewjob?jk=054e123e538a7288")</f>
        <v/>
      </c>
      <c r="F120">
        <f>HYPERLINK("https://ats.rippling.com/reserv/jobs/5d2545f6-6455-40ab-8105-8de449e61cea?jobSite=Indeed", "https://ats.rippling.com/reserv/jobs/5d2545f6-6455-40ab-8105-8de449e61cea?jobSite=Indeed")</f>
        <v/>
      </c>
      <c r="G120" t="inlineStr">
        <is>
          <t>Atlanta, GA, US</t>
        </is>
      </c>
      <c r="H120" s="2" t="n">
        <v>46061</v>
      </c>
      <c r="I120" t="inlineStr">
        <is>
          <t>**About Reserv**
Reserv is an insurtech creating and incubating cutting\-edge AI and automation technology to bring efficiency and simplicity to claims. Founded by insurtech veterans with deep experience in SaaS and digital claims, Reserv is venture\-backed by Bain Capital and Altai Ventures and began operations in May 2022\. We are focused on automating highly manual tasks to tackle long\-standing problems in claims and set a new standard for TPAs, insurance technology providers, and adjusters alike.
We have ambitious (but attainable!) goals and need people who can work in an evolving environment. If building a leading TPA and the prospect of tackling the long\-standing challenges of the claims role sounds exciting, we can’t wait to meet you.
 **About the role**
* As a full stack engineer at Reserv, you'll be at the heart of our growth journey, shaping the future of our technology and platform. You are a passionate engineer with strong backend skills, and the desire to build high\-quality, scalable, and maintainable applications. You thrive on bringing user stories to life, delivering exceptional end\-to\-end experiences. Collaboration is key at Reserv, and we value team members who are eager to work cross\-functionally and drive innovation. If you're excited about molding the future of our product and making a lasting impact, we want you on our team. Join us on this exciting journey to revolutionize the industry!
**What you'll do**
* Work with our tech stack: Ruby/Ruby on Rails, React, Typescript, and others when needed
* Help distill the core interactions a customer of Reserv will need to be successful in using our product, from the homepage, to the developer dashboard, to documentation centers and SDKs
* Ship frontend and backend components that improve the Reserv product experience
* Commit on your first day, and deploy code continuously
* As we scale our product \&amp; engineering teams, collaborate closely with our product ops, design, and sales teams, as well as mentor junior engineers
* Communicate ideas and specifications through detailed, precise writing
* Influence the culture, values, and processes of a growing engineering team
* Enjoy and have fun being creative and thinking outside of the box. You will need to draw on analogous situations you’ve worked on before, but we are not traversing well\-traveled roads. “Where we’re going, we don’t need roads!”
**Qualifications**
* 5\+ years of hands\-on experience designing, building, and deploying production\-ready software using Ruby (and frameworks such as Ruby on Rails) and some familiarity or willingness to work with modern front\-end technologies (React, Typescript) when needed.
* Proven track record of delivering high\-quality, reliable software. We appreciate engineers who explore side projects, contribute to open\-source, or publish technical content, demonstrating a passion for continuous learning.
* Deep expertise in backend development. You understand API design, data modeling, performance optimization, and security best practices \- while still keeping the user experience in mind.
* Versatility and willingness to learn. You’re primarily focused on the backend, but you’re comfortable stepping into front\-end or infrastructure tasks when needed \- whether its debugging a React component, fixing a security vulnerability, or helping optimize CI/CD pipelines.
* Excellent collaboration and communication skills, comfortable partnering with cross\-functional teams to deliver seamless product experiences.
* **Bonus**: Ruby (Ruby on Rails), Python, React, Typescript
 **Benefits**
* Generous health\-insurance package with nationwide coverage, vision, \&amp; dental
* 401(k) retirement plan with employer matching
* Competitive PTO policy – we want our employees fresh, healthy, happy, and energized!
* Generous family leave policy after 8 months of continuous work
* Work from anywhere to facilitate your work life balance
* Apple laptop, large second monitor, and other quality\-of\-life equipment you may want. Technology is something that should make your life easier, not harder!
 **Additionally, we will**
* Listen to your feedback to enhance and improve upon the long\-standing challenges of an adjuster and the claims role
* Work toward reducing and eliminating all the administrative work from an adjuster role
* Foster a culture of empathy, transparency, and empowerment in a remote\-first environment
At Reserv, we value diversity in backgrounds, perspectives, and life experiences and believe that diversity in viewpoints and critical thinking drives innovation, first\-principles thinking, and success. We welcome applicants from all backgrounds and encourage those from all walks of life to apply. If you believe you are a good fit for this role, we would love to hear from you!</t>
        </is>
      </c>
    </row>
    <row r="121">
      <c r="A121" t="inlineStr">
        <is>
          <t>in-ab3a7df80c4b0264</t>
        </is>
      </c>
      <c r="B121" t="inlineStr">
        <is>
          <t>Software Engineer II, Android</t>
        </is>
      </c>
      <c r="C121" t="inlineStr">
        <is>
          <t>Amazon.com</t>
        </is>
      </c>
      <c r="D121" t="inlineStr">
        <is>
          <t>indeed</t>
        </is>
      </c>
      <c r="E121">
        <f>HYPERLINK("https://www.indeed.com/viewjob?jk=ab3a7df80c4b0264", "https://www.indeed.com/viewjob?jk=ab3a7df80c4b0264")</f>
        <v/>
      </c>
      <c r="F121">
        <f>HYPERLINK("https://www.amazon.jobs/jobs/3166054/software-engineer-ii-android?cmpid=DA_INAD200785B", "https://www.amazon.jobs/jobs/3166054/software-engineer-ii-android?cmpid=DA_INAD200785B")</f>
        <v/>
      </c>
      <c r="G121" t="inlineStr">
        <is>
          <t>San Francisco, CA, US</t>
        </is>
      </c>
      <c r="H121" s="2" t="n">
        <v>46044</v>
      </c>
      <c r="I1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122">
      <c r="A122" t="inlineStr">
        <is>
          <t>in-dff14dddb2ee6826</t>
        </is>
      </c>
      <c r="B122" t="inlineStr">
        <is>
          <t>Software Engineer II, Android</t>
        </is>
      </c>
      <c r="C122" t="inlineStr">
        <is>
          <t>Amazon.com</t>
        </is>
      </c>
      <c r="D122" t="inlineStr">
        <is>
          <t>indeed</t>
        </is>
      </c>
      <c r="E122">
        <f>HYPERLINK("https://www.indeed.com/viewjob?jk=dff14dddb2ee6826", "https://www.indeed.com/viewjob?jk=dff14dddb2ee6826")</f>
        <v/>
      </c>
      <c r="F122">
        <f>HYPERLINK("https://www.amazon.jobs/jobs/3166054/software-engineer-ii-android?cmpid=DA_INAD200785B", "https://www.amazon.jobs/jobs/3166054/software-engineer-ii-android?cmpid=DA_INAD200785B")</f>
        <v/>
      </c>
      <c r="G122" t="inlineStr">
        <is>
          <t>Seattle, WA, US</t>
        </is>
      </c>
      <c r="H122" s="2" t="n">
        <v>46044</v>
      </c>
      <c r="I1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123">
      <c r="A123" t="inlineStr">
        <is>
          <t>in-f786250c565b0db3</t>
        </is>
      </c>
      <c r="B123" t="inlineStr">
        <is>
          <t>Software Engineer II, Android</t>
        </is>
      </c>
      <c r="C123" t="inlineStr">
        <is>
          <t>Amazon.com</t>
        </is>
      </c>
      <c r="D123" t="inlineStr">
        <is>
          <t>indeed</t>
        </is>
      </c>
      <c r="E123">
        <f>HYPERLINK("https://www.indeed.com/viewjob?jk=f786250c565b0db3", "https://www.indeed.com/viewjob?jk=f786250c565b0db3")</f>
        <v/>
      </c>
      <c r="F123">
        <f>HYPERLINK("https://www.amazon.jobs/jobs/3166054/software-engineer-ii-android?cmpid=DA_INAD200785B", "https://www.amazon.jobs/jobs/3166054/software-engineer-ii-android?cmpid=DA_INAD200785B")</f>
        <v/>
      </c>
      <c r="G123" t="inlineStr">
        <is>
          <t>Irvine, CA, US</t>
        </is>
      </c>
      <c r="H123" s="2" t="n">
        <v>46044</v>
      </c>
      <c r="I1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124">
      <c r="A124" t="inlineStr">
        <is>
          <t>in-74e83d6e6022c263</t>
        </is>
      </c>
      <c r="B124" t="inlineStr">
        <is>
          <t>Software Engineer I</t>
        </is>
      </c>
      <c r="C124" t="inlineStr">
        <is>
          <t>Amazon.com</t>
        </is>
      </c>
      <c r="D124" t="inlineStr">
        <is>
          <t>indeed</t>
        </is>
      </c>
      <c r="E124">
        <f>HYPERLINK("https://www.indeed.com/viewjob?jk=74e83d6e6022c263", "https://www.indeed.com/viewjob?jk=74e83d6e6022c263")</f>
        <v/>
      </c>
      <c r="F124">
        <f>HYPERLINK("https://www.amazon.jobs/jobs/3141336/software-engineer-i?cmpid=DA_INAD200785B", "https://www.amazon.jobs/jobs/3141336/software-engineer-i?cmpid=DA_INAD200785B")</f>
        <v/>
      </c>
      <c r="G124" t="inlineStr">
        <is>
          <t>San Francisco, CA, US</t>
        </is>
      </c>
      <c r="H124" s="2" t="n">
        <v>46001</v>
      </c>
      <c r="I1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in-2fc3666a37d09998</t>
        </is>
      </c>
      <c r="B125" t="inlineStr">
        <is>
          <t>Software Engineer I</t>
        </is>
      </c>
      <c r="C125" t="inlineStr">
        <is>
          <t>Amazon.com</t>
        </is>
      </c>
      <c r="D125" t="inlineStr">
        <is>
          <t>indeed</t>
        </is>
      </c>
      <c r="E125">
        <f>HYPERLINK("https://www.indeed.com/viewjob?jk=2fc3666a37d09998", "https://www.indeed.com/viewjob?jk=2fc3666a37d09998")</f>
        <v/>
      </c>
      <c r="F125">
        <f>HYPERLINK("https://www.amazon.jobs/jobs/3141336/software-engineer-i?cmpid=DA_INAD200785B", "https://www.amazon.jobs/jobs/3141336/software-engineer-i?cmpid=DA_INAD200785B")</f>
        <v/>
      </c>
      <c r="G125" t="inlineStr">
        <is>
          <t>Seattle, WA, US</t>
        </is>
      </c>
      <c r="H125" s="2" t="n">
        <v>46001</v>
      </c>
      <c r="I1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in-5fefa0c36ee58799</t>
        </is>
      </c>
      <c r="B126" t="inlineStr">
        <is>
          <t>Software Engineer II, Android</t>
        </is>
      </c>
      <c r="C126" t="inlineStr">
        <is>
          <t>Amazon.com</t>
        </is>
      </c>
      <c r="D126" t="inlineStr">
        <is>
          <t>indeed</t>
        </is>
      </c>
      <c r="E126">
        <f>HYPERLINK("https://www.indeed.com/viewjob?jk=5fefa0c36ee58799", "https://www.indeed.com/viewjob?jk=5fefa0c36ee58799")</f>
        <v/>
      </c>
      <c r="F126">
        <f>HYPERLINK("https://www.amazon.jobs/jobs/3138330/software-engineer-ii-android?cmpid=DA_INAD200785B", "https://www.amazon.jobs/jobs/3138330/software-engineer-ii-android?cmpid=DA_INAD200785B")</f>
        <v/>
      </c>
      <c r="G126" t="inlineStr">
        <is>
          <t>San Francisco, CA, US</t>
        </is>
      </c>
      <c r="H126" s="2" t="n">
        <v>45995</v>
      </c>
      <c r="I1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in-a23db22eaa4db8b5</t>
        </is>
      </c>
      <c r="B127" t="inlineStr">
        <is>
          <t>Software Engineer II, Android</t>
        </is>
      </c>
      <c r="C127" t="inlineStr">
        <is>
          <t>Amazon.com</t>
        </is>
      </c>
      <c r="D127" t="inlineStr">
        <is>
          <t>indeed</t>
        </is>
      </c>
      <c r="E127">
        <f>HYPERLINK("https://www.indeed.com/viewjob?jk=a23db22eaa4db8b5", "https://www.indeed.com/viewjob?jk=a23db22eaa4db8b5")</f>
        <v/>
      </c>
      <c r="F127">
        <f>HYPERLINK("https://www.amazon.jobs/jobs/3138330/software-engineer-ii-android?cmpid=DA_INAD200785B", "https://www.amazon.jobs/jobs/3138330/software-engineer-ii-android?cmpid=DA_INAD200785B")</f>
        <v/>
      </c>
      <c r="G127" t="inlineStr">
        <is>
          <t>Seattle, WA, US</t>
        </is>
      </c>
      <c r="H127" s="2" t="n">
        <v>45995</v>
      </c>
      <c r="I1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in-9d8ef1c0a94cf4ea</t>
        </is>
      </c>
      <c r="B128" t="inlineStr">
        <is>
          <t>Software Engineer II, Android</t>
        </is>
      </c>
      <c r="C128" t="inlineStr">
        <is>
          <t>Amazon.com</t>
        </is>
      </c>
      <c r="D128" t="inlineStr">
        <is>
          <t>indeed</t>
        </is>
      </c>
      <c r="E128">
        <f>HYPERLINK("https://www.indeed.com/viewjob?jk=9d8ef1c0a94cf4ea", "https://www.indeed.com/viewjob?jk=9d8ef1c0a94cf4ea")</f>
        <v/>
      </c>
      <c r="F128">
        <f>HYPERLINK("https://www.amazon.jobs/jobs/3138330/software-engineer-ii-android?cmpid=DA_INAD200785B", "https://www.amazon.jobs/jobs/3138330/software-engineer-ii-android?cmpid=DA_INAD200785B")</f>
        <v/>
      </c>
      <c r="G128" t="inlineStr">
        <is>
          <t>Irvine, CA, US</t>
        </is>
      </c>
      <c r="H128" s="2" t="n">
        <v>45995</v>
      </c>
      <c r="I1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in-f24fd7a770db9f98</t>
        </is>
      </c>
      <c r="B129" t="inlineStr">
        <is>
          <t>Senior Embedded Software Engineer, Amazon Leo Digital RF Systems</t>
        </is>
      </c>
      <c r="C129" t="inlineStr">
        <is>
          <t>Amazon.com</t>
        </is>
      </c>
      <c r="D129" t="inlineStr">
        <is>
          <t>indeed</t>
        </is>
      </c>
      <c r="E129">
        <f>HYPERLINK("https://www.indeed.com/viewjob?jk=f24fd7a770db9f98", "https://www.indeed.com/viewjob?jk=f24fd7a770db9f98")</f>
        <v/>
      </c>
      <c r="F129">
        <f>HYPERLINK("https://www.amazon.jobs/jobs/3130773/senior-embedded-software-engineer-amazon-leo-digital-rf-systems?cmpid=DA_INAD200785B", "https://www.amazon.jobs/jobs/3130773/senior-embedded-software-engineer-amazon-leo-digital-rf-systems?cmpid=DA_INAD200785B")</f>
        <v/>
      </c>
      <c r="G129" t="inlineStr">
        <is>
          <t>Redmond, WA, US</t>
        </is>
      </c>
      <c r="H129" s="2" t="n">
        <v>45981</v>
      </c>
      <c r="I12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130">
      <c r="A130" t="inlineStr">
        <is>
          <t>in-5798cb95c1641a49</t>
        </is>
      </c>
      <c r="B130" t="inlineStr">
        <is>
          <t>Senior Embedded Software Engineer, Amazon Leo Digital RF Systems</t>
        </is>
      </c>
      <c r="C130" t="inlineStr">
        <is>
          <t>Amazon.com</t>
        </is>
      </c>
      <c r="D130" t="inlineStr">
        <is>
          <t>indeed</t>
        </is>
      </c>
      <c r="E130">
        <f>HYPERLINK("https://www.indeed.com/viewjob?jk=5798cb95c1641a49", "https://www.indeed.com/viewjob?jk=5798cb95c1641a49")</f>
        <v/>
      </c>
      <c r="F130">
        <f>HYPERLINK("https://www.amazon.jobs/jobs/3130773/senior-embedded-software-engineer-amazon-leo-digital-rf-systems?cmpid=DA_INAD200785B", "https://www.amazon.jobs/jobs/3130773/senior-embedded-software-engineer-amazon-leo-digital-rf-systems?cmpid=DA_INAD200785B")</f>
        <v/>
      </c>
      <c r="G130" t="inlineStr">
        <is>
          <t>San Diego, CA, US</t>
        </is>
      </c>
      <c r="H130" s="2" t="n">
        <v>45981</v>
      </c>
      <c r="I13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131">
      <c r="A131" t="inlineStr">
        <is>
          <t>in-16f89248f1e16406</t>
        </is>
      </c>
      <c r="B131" t="inlineStr">
        <is>
          <t>Sr. Device Software Engineer, Amazon Leo Government</t>
        </is>
      </c>
      <c r="C131" t="inlineStr">
        <is>
          <t>Amazon.com</t>
        </is>
      </c>
      <c r="D131" t="inlineStr">
        <is>
          <t>indeed</t>
        </is>
      </c>
      <c r="E131">
        <f>HYPERLINK("https://www.indeed.com/viewjob?jk=16f89248f1e16406", "https://www.indeed.com/viewjob?jk=16f89248f1e16406")</f>
        <v/>
      </c>
      <c r="F131">
        <f>HYPERLINK("https://www.amazon.jobs/jobs/3082545/sr-device-software-engineer-amazon-leo-government-?cmpid=DA_INAD200785B", "https://www.amazon.jobs/jobs/3082545/sr-device-software-engineer-amazon-leo-government-?cmpid=DA_INAD200785B")</f>
        <v/>
      </c>
      <c r="G131" t="inlineStr">
        <is>
          <t>Redmond, WA, US</t>
        </is>
      </c>
      <c r="H131" s="2" t="n">
        <v>45911</v>
      </c>
      <c r="I13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32">
      <c r="A132" t="inlineStr">
        <is>
          <t>in-225a0c6f8ebd4cc9</t>
        </is>
      </c>
      <c r="B132" t="inlineStr">
        <is>
          <t>Sr. Device Software Engineer, Amazon Leo Government</t>
        </is>
      </c>
      <c r="C132" t="inlineStr">
        <is>
          <t>Amazon.com</t>
        </is>
      </c>
      <c r="D132" t="inlineStr">
        <is>
          <t>indeed</t>
        </is>
      </c>
      <c r="E132">
        <f>HYPERLINK("https://www.indeed.com/viewjob?jk=225a0c6f8ebd4cc9", "https://www.indeed.com/viewjob?jk=225a0c6f8ebd4cc9")</f>
        <v/>
      </c>
      <c r="F132">
        <f>HYPERLINK("https://www.amazon.jobs/jobs/3082545/sr-device-software-engineer-amazon-leo-government-?cmpid=DA_INAD200785B", "https://www.amazon.jobs/jobs/3082545/sr-device-software-engineer-amazon-leo-government-?cmpid=DA_INAD200785B")</f>
        <v/>
      </c>
      <c r="G132" t="inlineStr">
        <is>
          <t>Northridge, CA, US</t>
        </is>
      </c>
      <c r="H132" s="2" t="n">
        <v>45911</v>
      </c>
      <c r="I132"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33">
      <c r="A133" t="inlineStr">
        <is>
          <t>in-8c1e7ef405edc2a1</t>
        </is>
      </c>
      <c r="B133" t="inlineStr">
        <is>
          <t>Sr. Device Software Engineer, Amazon Leo Government</t>
        </is>
      </c>
      <c r="C133" t="inlineStr">
        <is>
          <t>Amazon.com</t>
        </is>
      </c>
      <c r="D133" t="inlineStr">
        <is>
          <t>indeed</t>
        </is>
      </c>
      <c r="E133">
        <f>HYPERLINK("https://www.indeed.com/viewjob?jk=8c1e7ef405edc2a1", "https://www.indeed.com/viewjob?jk=8c1e7ef405edc2a1")</f>
        <v/>
      </c>
      <c r="F133">
        <f>HYPERLINK("https://www.amazon.jobs/jobs/3082545/sr-device-software-engineer-amazon-leo-government-?cmpid=DA_INAD200785B", "https://www.amazon.jobs/jobs/3082545/sr-device-software-engineer-amazon-leo-government-?cmpid=DA_INAD200785B")</f>
        <v/>
      </c>
      <c r="G133" t="inlineStr">
        <is>
          <t>Arlington, VA, US</t>
        </is>
      </c>
      <c r="H133" s="2" t="n">
        <v>45911</v>
      </c>
      <c r="I133"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34">
      <c r="A134" t="inlineStr">
        <is>
          <t>in-fb9d33cbec1e10d1</t>
        </is>
      </c>
      <c r="B134" t="inlineStr">
        <is>
          <t>Sr. Device Software Engineer, Amazon Leo Government</t>
        </is>
      </c>
      <c r="C134" t="inlineStr">
        <is>
          <t>Amazon.com</t>
        </is>
      </c>
      <c r="D134" t="inlineStr">
        <is>
          <t>indeed</t>
        </is>
      </c>
      <c r="E134">
        <f>HYPERLINK("https://www.indeed.com/viewjob?jk=fb9d33cbec1e10d1", "https://www.indeed.com/viewjob?jk=fb9d33cbec1e10d1")</f>
        <v/>
      </c>
      <c r="F134">
        <f>HYPERLINK("https://www.amazon.jobs/jobs/3082545/sr-device-software-engineer-amazon-leo-government-?cmpid=DA_INAD200785B", "https://www.amazon.jobs/jobs/3082545/sr-device-software-engineer-amazon-leo-government-?cmpid=DA_INAD200785B")</f>
        <v/>
      </c>
      <c r="G134" t="inlineStr">
        <is>
          <t>El Segundo, CA, US</t>
        </is>
      </c>
      <c r="H134" s="2" t="n">
        <v>45911</v>
      </c>
      <c r="I134"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35">
      <c r="A135" t="inlineStr">
        <is>
          <t>in-214eeaabbb21de86</t>
        </is>
      </c>
      <c r="B135" t="inlineStr">
        <is>
          <t>Device Software Engineer, Amazon Leo Government</t>
        </is>
      </c>
      <c r="C135" t="inlineStr">
        <is>
          <t>Amazon.com</t>
        </is>
      </c>
      <c r="D135" t="inlineStr">
        <is>
          <t>indeed</t>
        </is>
      </c>
      <c r="E135">
        <f>HYPERLINK("https://www.indeed.com/viewjob?jk=214eeaabbb21de86", "https://www.indeed.com/viewjob?jk=214eeaabbb21de86")</f>
        <v/>
      </c>
      <c r="F135">
        <f>HYPERLINK("https://www.amazon.jobs/jobs/3083623/device-software-engineer-amazon-leo-government-?cmpid=DA_INAD200785B", "https://www.amazon.jobs/jobs/3083623/device-software-engineer-amazon-leo-government-?cmpid=DA_INAD200785B")</f>
        <v/>
      </c>
      <c r="G135" t="inlineStr">
        <is>
          <t>Arlington, VA, US</t>
        </is>
      </c>
      <c r="H135" s="2" t="n">
        <v>45910</v>
      </c>
      <c r="I135"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136">
      <c r="A136" t="inlineStr">
        <is>
          <t>in-851475eb3a2a09a8</t>
        </is>
      </c>
      <c r="B136" t="inlineStr">
        <is>
          <t>Device Software Engineer, Amazon Leo Government</t>
        </is>
      </c>
      <c r="C136" t="inlineStr">
        <is>
          <t>Amazon.com</t>
        </is>
      </c>
      <c r="D136" t="inlineStr">
        <is>
          <t>indeed</t>
        </is>
      </c>
      <c r="E136">
        <f>HYPERLINK("https://www.indeed.com/viewjob?jk=851475eb3a2a09a8", "https://www.indeed.com/viewjob?jk=851475eb3a2a09a8")</f>
        <v/>
      </c>
      <c r="F136">
        <f>HYPERLINK("https://www.amazon.jobs/jobs/3083623/device-software-engineer-amazon-leo-government-?cmpid=DA_INAD200785B", "https://www.amazon.jobs/jobs/3083623/device-software-engineer-amazon-leo-government-?cmpid=DA_INAD200785B")</f>
        <v/>
      </c>
      <c r="G136" t="inlineStr">
        <is>
          <t>El Segundo, CA, US</t>
        </is>
      </c>
      <c r="H136" s="2" t="n">
        <v>45910</v>
      </c>
      <c r="I13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137">
      <c r="A137" t="inlineStr">
        <is>
          <t>in-df952c70bef46c3d</t>
        </is>
      </c>
      <c r="B137" t="inlineStr">
        <is>
          <t>Device Software Engineer, Amazon Leo Government</t>
        </is>
      </c>
      <c r="C137" t="inlineStr">
        <is>
          <t>Amazon.com</t>
        </is>
      </c>
      <c r="D137" t="inlineStr">
        <is>
          <t>indeed</t>
        </is>
      </c>
      <c r="E137">
        <f>HYPERLINK("https://www.indeed.com/viewjob?jk=df952c70bef46c3d", "https://www.indeed.com/viewjob?jk=df952c70bef46c3d")</f>
        <v/>
      </c>
      <c r="F137">
        <f>HYPERLINK("https://www.amazon.jobs/jobs/3083623/device-software-engineer-amazon-leo-government-?cmpid=DA_INAD200785B", "https://www.amazon.jobs/jobs/3083623/device-software-engineer-amazon-leo-government-?cmpid=DA_INAD200785B")</f>
        <v/>
      </c>
      <c r="G137" t="inlineStr">
        <is>
          <t>Northridge, CA, US</t>
        </is>
      </c>
      <c r="H137" s="2" t="n">
        <v>45910</v>
      </c>
      <c r="I13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138">
      <c r="A138" t="inlineStr">
        <is>
          <t>in-7ae6d269757205e7</t>
        </is>
      </c>
      <c r="B138" t="inlineStr">
        <is>
          <t>Device Software Engineer, Amazon Leo Government</t>
        </is>
      </c>
      <c r="C138" t="inlineStr">
        <is>
          <t>Amazon.com</t>
        </is>
      </c>
      <c r="D138" t="inlineStr">
        <is>
          <t>indeed</t>
        </is>
      </c>
      <c r="E138">
        <f>HYPERLINK("https://www.indeed.com/viewjob?jk=7ae6d269757205e7", "https://www.indeed.com/viewjob?jk=7ae6d269757205e7")</f>
        <v/>
      </c>
      <c r="F138">
        <f>HYPERLINK("https://www.amazon.jobs/jobs/3083623/device-software-engineer-amazon-leo-government-?cmpid=DA_INAD200785B", "https://www.amazon.jobs/jobs/3083623/device-software-engineer-amazon-leo-government-?cmpid=DA_INAD200785B")</f>
        <v/>
      </c>
      <c r="G138" t="inlineStr">
        <is>
          <t>Redmond, WA, US</t>
        </is>
      </c>
      <c r="H138" s="2" t="n">
        <v>45910</v>
      </c>
      <c r="I138"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139">
      <c r="A139" t="inlineStr">
        <is>
          <t>in-0e924b9add0693b5</t>
        </is>
      </c>
      <c r="B139" t="inlineStr">
        <is>
          <t>Software Developer Engineer - iOS, Ring</t>
        </is>
      </c>
      <c r="C139" t="inlineStr">
        <is>
          <t>Amazon.com</t>
        </is>
      </c>
      <c r="D139" t="inlineStr">
        <is>
          <t>indeed</t>
        </is>
      </c>
      <c r="E139">
        <f>HYPERLINK("https://www.indeed.com/viewjob?jk=0e924b9add0693b5", "https://www.indeed.com/viewjob?jk=0e924b9add0693b5")</f>
        <v/>
      </c>
      <c r="F139">
        <f>HYPERLINK("https://www.amazon.jobs/jobs/3011028/software-developer-engineer--ios-ring?cmpid=DA_INAD200785B", "https://www.amazon.jobs/jobs/3011028/software-developer-engineer--ios-ring?cmpid=DA_INAD200785B")</f>
        <v/>
      </c>
      <c r="G139" t="inlineStr">
        <is>
          <t>Irvine, CA, US</t>
        </is>
      </c>
      <c r="H139" s="2" t="n">
        <v>45812</v>
      </c>
      <c r="I139"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in-3e83a8251e42fd34</t>
        </is>
      </c>
      <c r="B140" t="inlineStr">
        <is>
          <t>Software Developer Engineer - iOS, Ring</t>
        </is>
      </c>
      <c r="C140" t="inlineStr">
        <is>
          <t>Amazon.com</t>
        </is>
      </c>
      <c r="D140" t="inlineStr">
        <is>
          <t>indeed</t>
        </is>
      </c>
      <c r="E140">
        <f>HYPERLINK("https://www.indeed.com/viewjob?jk=3e83a8251e42fd34", "https://www.indeed.com/viewjob?jk=3e83a8251e42fd34")</f>
        <v/>
      </c>
      <c r="F140">
        <f>HYPERLINK("https://www.amazon.jobs/jobs/3011028/software-developer-engineer--ios-ring?cmpid=DA_INAD200785B", "https://www.amazon.jobs/jobs/3011028/software-developer-engineer--ios-ring?cmpid=DA_INAD200785B")</f>
        <v/>
      </c>
      <c r="G140" t="inlineStr">
        <is>
          <t>Hawthorne, CA, US</t>
        </is>
      </c>
      <c r="H140" s="2" t="n">
        <v>45812</v>
      </c>
      <c r="I140"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in-81db74029b3f5486</t>
        </is>
      </c>
      <c r="B141" t="inlineStr">
        <is>
          <t>Software Developer Engineer - iOS, Ring</t>
        </is>
      </c>
      <c r="C141" t="inlineStr">
        <is>
          <t>Amazon.com</t>
        </is>
      </c>
      <c r="D141" t="inlineStr">
        <is>
          <t>indeed</t>
        </is>
      </c>
      <c r="E141">
        <f>HYPERLINK("https://www.indeed.com/viewjob?jk=81db74029b3f5486", "https://www.indeed.com/viewjob?jk=81db74029b3f5486")</f>
        <v/>
      </c>
      <c r="F141">
        <f>HYPERLINK("https://www.amazon.jobs/jobs/3011028/software-developer-engineer--ios-ring?cmpid=DA_INAD200785B", "https://www.amazon.jobs/jobs/3011028/software-developer-engineer--ios-ring?cmpid=DA_INAD200785B")</f>
        <v/>
      </c>
      <c r="G141" t="inlineStr">
        <is>
          <t>Austin, TX, US</t>
        </is>
      </c>
      <c r="H141" s="2" t="n">
        <v>45812</v>
      </c>
      <c r="I141"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in-2e3c4868082c45b9</t>
        </is>
      </c>
      <c r="B142" t="inlineStr">
        <is>
          <t>Senior Software Engineer - Query Processing, Aurora DSQL</t>
        </is>
      </c>
      <c r="C142" t="inlineStr">
        <is>
          <t>Amazon Web Services</t>
        </is>
      </c>
      <c r="D142" t="inlineStr">
        <is>
          <t>indeed</t>
        </is>
      </c>
      <c r="E142">
        <f>HYPERLINK("https://www.indeed.com/viewjob?jk=2e3c4868082c45b9", "https://www.indeed.com/viewjob?jk=2e3c4868082c45b9")</f>
        <v/>
      </c>
      <c r="F142">
        <f>HYPERLINK("https://www.amazon.jobs/jobs/2987643/senior-software-engineer--query-processing-aurora-dsql?cmpid=DA_INAD200785B", "https://www.amazon.jobs/jobs/2987643/senior-software-engineer--query-processing-aurora-dsql?cmpid=DA_INAD200785B")</f>
        <v/>
      </c>
      <c r="G142" t="inlineStr">
        <is>
          <t>East Palo Alto, CA, US</t>
        </is>
      </c>
      <c r="H142" s="2" t="n">
        <v>45796</v>
      </c>
      <c r="I14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in-28c14c1743bdee98</t>
        </is>
      </c>
      <c r="B143" t="inlineStr">
        <is>
          <t>Senior Software Engineer - Query Processing, Aurora DSQL</t>
        </is>
      </c>
      <c r="C143" t="inlineStr">
        <is>
          <t>Amazon Web Services</t>
        </is>
      </c>
      <c r="D143" t="inlineStr">
        <is>
          <t>indeed</t>
        </is>
      </c>
      <c r="E143">
        <f>HYPERLINK("https://www.indeed.com/viewjob?jk=28c14c1743bdee98", "https://www.indeed.com/viewjob?jk=28c14c1743bdee98")</f>
        <v/>
      </c>
      <c r="F143">
        <f>HYPERLINK("https://www.amazon.jobs/jobs/2987643/senior-software-engineer--query-processing-aurora-dsql?cmpid=DA_INAD200785B", "https://www.amazon.jobs/jobs/2987643/senior-software-engineer--query-processing-aurora-dsql?cmpid=DA_INAD200785B")</f>
        <v/>
      </c>
      <c r="G143" t="inlineStr">
        <is>
          <t>Seattle, WA, US</t>
        </is>
      </c>
      <c r="H143" s="2" t="n">
        <v>45796</v>
      </c>
      <c r="I14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2"/>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li-4378347944</t>
        </is>
      </c>
      <c r="B2" t="inlineStr">
        <is>
          <t>Software Engineer</t>
        </is>
      </c>
      <c r="C2" t="inlineStr">
        <is>
          <t>Gem</t>
        </is>
      </c>
      <c r="D2" t="inlineStr">
        <is>
          <t>linkedin</t>
        </is>
      </c>
      <c r="E2" t="inlineStr"/>
      <c r="F2" t="inlineStr"/>
      <c r="G2" t="inlineStr">
        <is>
          <t>San Francisco, CA</t>
        </is>
      </c>
      <c r="H2" t="inlineStr"/>
      <c r="I2" t="inlineStr">
        <is>
          <t>Role Details
* Location: This role is based 3 days per week out of our San Francisco, HQ and is not eligible for full\-time remote work.
* Compensation: The annual cash compensation range for this position is $190,000–$260,000 based on level in addition to equity \&amp; benefits.
*The range displayed on this job posting reflects the minimum and maximum compensation. Factors including location, level, job\-related knowledge, skills, and experience will determine compensation.*
**About Gem**
 Gem is the only AI\-first all\-in\-one recruiting platform. It brings together your ATS, CRM, sourcing, scheduling, and analytics — plus 650\+ million profiles to source from — with AI built into every workflow. By eliminating the headaches of juggling multiple tools, Gem helps customers boost recruiter productivity by up to 5x while saving 30\-50% on technology costs. Over 1,000 organizations — from startups to industry leaders like Zillow, DoorDash, and Asana — trust Gem to fuel their growth. With an industry\-leading 4\.8/5 rating on G2, Gem is the platform recruiters actually love to use. Gem has raised $148M from renown investors including Accel, Greylock, ICONIQ, Sapphire, and Meritech.
 With Gem, You Can Experience The Power Of a Truly Connected Recruiting Platform — One Consistent Interface, Unified Data, Smarter AI Recommendations, And Simplified Permissions. Our Customers Achieve Remarkable Results
 Just as we strive to help our customers find great talent, we also invest in our own people and culture. We are proud of the culture we’ve built and have recently been recognized as:
* Forbes America's Best Startup Employers 2025
* Great Place to Work Certified, 2024
* Fortune Best Workplaces for Millennials, 2023
 The Team and Role
* Gem engineers work closely with product managers and designers to influence product direction, company roadmap, and business outcomes.
* We stay close to customers by joining customer calls, and reading customer feedback.
* We enjoy shipping features, moving fast, and being scrappy.
* We are receptive to feedback and continuously work on improving both our product and our craft.
* We work out of our San Francisco office.
* Read more about our company values.
 What You’ll Do Day\-to\-Day
* Own product features end\-to\-end alongside your product manager, engineering manager and designer.
* Work primarily with Typescript, React, Python, GraphQL, Node, PostgreSQL.
* Collaborate with engineers on your team and across Gem on code reviews, data model, architecture, and product decisions.
* Stay close to our customers.
* Embody our company values of ownership, velocity, customer centricity, diversity and transparency.
* Influence decisions and have direct impact on business outcomes.
**About You**
* You have industry experience as a software engineer, building user\-facing products.
* You move with velocity and invest in improving your craft.
* You are good at driving solutions by communicating and working cross\-functionally.
* You are energized by collaborating in\-office with your peers.
**Benefits**
* Highly competitive salary \&amp; equity
* 10\-year window to exercise your stock options
* Supportive Flexible Time Off program
* 16 paid holidays, including regular company\-wide wellness days
* Best\-in\-class medical, dental \&amp; vision insurance
* $1,200 annual stipend for learning and development opportunities
* 16 weeks of Paid Parental Leave for birthing and non\-birthing parents
* New Parent Perks totaling $1,500 and flexibility upon return to work
 Gem is an equal opportunity employer. We celebrate our inclusive work environment and encourage folks of all backgrounds and perspectives to apply. At Gem, we’re committed to having an inclusive and transparent environment where every voice is heard and acknowledged. We embrace our differences, and know that our diverse team is a strength that drives our success.
 Gem is committed to developing a barrier\-free recruitment process and work environment. If you require any accommodation, please email us at accommodations@gem.com and we’ll work with you to meet your accessibility needs.
**Gem’s Candidate Privacy Notice**
 By clicking “Submit Application”, you acknowledge and agree that you have read and understand Gem’s Candidate Privacy Statement, including the information provided on how Gem processes your personal data and your related rights as set forth therein.</t>
        </is>
      </c>
    </row>
    <row r="3">
      <c r="A3" t="inlineStr">
        <is>
          <t>li-4365588041</t>
        </is>
      </c>
      <c r="B3" t="inlineStr">
        <is>
          <t>Software Engineering Manager, Mobile (Android), Google Messages</t>
        </is>
      </c>
      <c r="C3" t="inlineStr">
        <is>
          <t>Google</t>
        </is>
      </c>
      <c r="D3" t="inlineStr">
        <is>
          <t>linkedin</t>
        </is>
      </c>
      <c r="E3" t="inlineStr"/>
      <c r="F3" t="inlineStr"/>
      <c r="G3" t="inlineStr">
        <is>
          <t>San Jose, CA</t>
        </is>
      </c>
      <c r="H3" t="inlineStr"/>
      <c r="I3" t="inlineStr">
        <is>
          <t>**Minimum qualifications:**
* Bachelor’s degree, or equivalent practical experience.
* 8 years of experience in software development (e.g., Java, Kotlin).
* 3 years of experience with android application development.
* 3 years of experience in a technical leadership role.
* 2 years of experience in a people management or team leadership role.
**Preferred qualifications:**
* Master's degree or PhD in Computer Science or a related technical field.
* 3 years of experience working in a complex, matrixed organization.
* Experience building mobile applications on android.
* Experience with mobile apps with a large user\-base.
* Experience managing 6 engineers as an engineering manager or technical lead manager.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App Basics team is a core part of Google Messages, delivering a seamless and engaging messaging experience to over 1 billion monthly active users. The team is responsible for key user journeys and user interface (UI) surfaces within Google Messages.
 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Support a team of 10 engineers responsible for several key UI surfaces within the Google Messages app.
* Advocate for the team, helping individuals grow and succeed while aligning team strategy, processes, and decision\-making.
* Work with cross\-functional product manager/user experience peers and technical leads on the team to set the product roadmap, plan, and deliver features.
* Balance the need to build new features while proactively identifying areas for improvement and advocating for quality and reliability efforts.
* Develop and drive the engineering execution plan for both new initiatives and long\-running projects while providing technical leadership to the team.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
      <c r="A4" t="inlineStr">
        <is>
          <t>li-4309831113</t>
        </is>
      </c>
      <c r="B4" t="inlineStr">
        <is>
          <t>Staff Software Engineer - Data Cloud</t>
        </is>
      </c>
      <c r="C4" t="inlineStr">
        <is>
          <t>Rippling</t>
        </is>
      </c>
      <c r="D4" t="inlineStr">
        <is>
          <t>linkedin</t>
        </is>
      </c>
      <c r="E4" t="inlineStr"/>
      <c r="F4" t="inlineStr"/>
      <c r="G4" t="inlineStr">
        <is>
          <t>New York, NY</t>
        </is>
      </c>
      <c r="H4" t="inlineStr"/>
      <c r="I4" t="inlineStr">
        <is>
          <t>**About Rippling**
 Rippling is the first way for businesses to manage all of their HR \&amp; IT—payroll, benefits, computers, apps, and more—in one unified workforce platform.
 By connecting every business system to one source of truth for employee data, businesses can automate all of the manual work they normally need to do to make employee changes. Take onboarding, for example. With Rippling, you can just click a button and set up a new employees’ payroll, health insurance, work computer, and third\-party apps—like Slack, Zoom, and Office 365—all within 90 seconds.
 Based in San Francisco, CA, Rippling has raised $1\.2B from the world’s top investors—including Kleiner Perkins, Founders Fund, Sequoia, Greenoaks, and Bedrock—and was named one of America's best startup employers by Forbes.
 We prioritize candidate safety. Please be aware that official communication will only be sent from @Rippling.com addresses.
****About the Role:****
 The Data Cloud team is building an end\-to\-end analytics and business intelligence system for our customers and will replace their need for Data Lakes, Data Warehouses and data pipelines. We are building systems for ingestion, transformation, lineage, data catalogs and visualization. Most companies cobble together data pipelines from Fivetran, Airbyte, Airflow, DBT, Snowflake, DataBricks, Kafka and a host of other technologies. Rippling is in the unique position of being the source of the vast majority of this data, hence we can provide an all encompassing solution out of the box.
 In addition, we are exploring the use of ML and LLMs to provide automated insight generation and conversational experiences to allow data consumers to have a virtual data scientist as their analytics copilot.
****What You'll Do:****
* Develop high\-quality software with attention to detail using tech stacks like Python, Apache Trino, Iceberg, Temporal.
* Create Data visualization and query processing products used at large scale.
* Create data platforms, data lakes, and data ingestion systems that work at scale
* Have clear ownership of one or many products, APIs or platform spaces
* Build and grow your engineering skills in different challenging areas and solve hard technical problems
* Influence architecture, technology selections, and trends of the whole company
****Qualifications:****
* 8\+ years of experience in software development, preferably in fast\-paced, dynamic environments.
* Solid understanding of CS fundamentals, architectures, and design patterns.
* Proven track record in building large\-scale applications, APIs, and developer tools.
* Excellent at cross\-functional collaboration, able to articulate technical concepts to non\-technical partners.
* You thrive in a product\-focused environment and are passionate about making an impact on customer experience.
* Bonus Points: for contributing to open\-source projects (Apache Iceberg, Parquet, Spark, Hive, Flink, Delta Lake, Presto, Trino, Avro)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40 mile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180,000 \- 315,000 USD per year(US Tier 1\)</t>
        </is>
      </c>
    </row>
    <row r="5">
      <c r="A5" t="inlineStr">
        <is>
          <t>li-4377382456</t>
        </is>
      </c>
      <c r="B5" t="inlineStr">
        <is>
          <t>Software Engineer - Machine Learning</t>
        </is>
      </c>
      <c r="C5" t="inlineStr">
        <is>
          <t>Meltwater</t>
        </is>
      </c>
      <c r="D5" t="inlineStr">
        <is>
          <t>linkedin</t>
        </is>
      </c>
      <c r="E5" t="inlineStr"/>
      <c r="F5" t="inlineStr"/>
      <c r="G5" t="inlineStr">
        <is>
          <t>New York, NY</t>
        </is>
      </c>
      <c r="H5" t="inlineStr"/>
      <c r="I5" t="inlineStr">
        <is>
          <t>**Description**
 Meltwater, a pioneer of media intelligence and now Outside Insight, gives businesses the information advantage they need to stay ahead. More than 30,000 companies have used Meltwater’s media intelligence to stay on top of billions of online conversations and extract relevant insights to strategically manage their brands. Meltwater is dedicated to personal, global service built on the local expertise of 55 offices across six continents. Meltwater is also committed to fostering the data science ecosystem through MEST, a pan\-African entrepreneurial program and incubator, and Shack15, a global data science community.
 Our AI team is young, ambitious and focused on innovation.
 With Meltwater, we are more than 2000 people across the globe, so there is a lot going on. We believe in diversity and inclusion, and building teams with a wide variety of backgrounds and perspectives. This approach not only raises the quality of our products for our customers, but makes collaboration along the way much more fun.
 Read our underthehood blog to see which problems our engineers are solving.
**What We're Looking For:**
 Meltwater’s Consumer Intelligence AI Team is looking for a Software Engineer in Machine Learning to help improve the multimodal semantic layer of MIRA, our AI assistant, while also developing innovative new features that power the next generation of applied generative AI in the Consumer Intelligence industry. This includes building agentic capabilities that allow MIRA to reason across data sources, orchestrate multi\-agent/multi\-step workflows, and generate complex, use\-case driven reports for customers.
 We are looking for someone with a creative, proactive, collaborative, and innovation focused mindset. You will work alongside a team of passionate machine learning engineers driven by enthusiasm for adopting new technologies and excitement about making the difference for customers using applied AI.
 As a Software Engineer in Machine Learning, you will own the software systems that power machine\-learning\-driven features from idea to production, with a strong focus on scalability, reliability, and operational excellence. You will work closely with ML\-focused engineers and product teams to bring models and experiments into robust, real\-world systems operating at massive scale.
 Our team is organized over 3 objectives : innovation, research and production.
**Innovation:** 
 We leverage our AI expertise to constantly imagine new business oriented features to enhance our products.
**Research:** 
 To implement our algorithms, we need to stay up\-to\-date to the latest breakthroughs over the Machine Learning world as well as the latest frameworks.
**Production:** 
 We make a point of designing and developing our algorithms with production\-grade best practices. Scalability is our goal. The models and systems that we develop are running over billions of documents (text or image) per day.
**Who is this role for?**
 This role is ideal for candidates with a strong background in software engineering or computer science who enjoy building scalable, reliable systems and want to work deeply with machine learning in production. You have some familiarity with core machine learning concepts (such as training, inference, and evaluation), but you may not be an ML expert yet. You are excited to grow your modeling, experimentation, and evaluation skills while owning production ML systems end to end.
**Responsibilities:**
* Design and evolve production\-ready systems, evaluation, and deployment at scale.
* Drive the development of industrial ML projects from ideation to deployment, with a primary focus on system design, infrastructure, scalability, and reliability, while progressively contributing to modeling, evaluation, and experimentation with support from the team.
* Own reliability, performance, monitoring, and operational quality of ML\-powered systems in production.
* You’ll write efficient, well\-tested and design code, build clean systems to empower MIRA with new advanced generative AI capabilities.
* Collaborate closely with product teams in their domains, building domain expertise, and leveraging ML to solve critical business problems
**Preferred Experience**
* 2\+ years of experience as a Software Engineer or Machine Learning Engineer building data\-intensive, distributed, or ML\-adjacent systems
* You have strong software engineering fundamentals, including system design, data pipelines, APIs, and production debugging, with experience taking systems from prototype to production
* Advanced knowledge in a least one programming language (Python or other e.g. Rust, Scala, Java)
* Passion for AI (in particular Generative AI), with a constant drive to stay updated and ahead of the curve
* You are a team\-player, self\-learner and autonomous
* MS, PhD, or equivalent practical experience in computer science, software engineering, or a related technical field.
* Nice to have:
* Experience building industry\-scale user\-facing ML/AI/Agentic applications
* Experience with MLOps and DevOps principles and technologies (e.g. CI/CD, Terraform, Containerization, Kubernetes)
* Demonstrable experience with the full lifecycle of machine learning models \- from development to deployment and monitoring
* Experience with Information Retrieval systems in a production environment (Elasticsearch, Quickwit, Vespa, …) is a plus
**What We Offer:**
* You will work with a team of passionate people who are always willing to help and learn from others
* You will have the opportunity to apply the most recent literature to concrete AI projects with a real impact on business
* As a growing company, we combine a startup mindset with the resources necessary to commit to exciting new initiatives. At Meltwater, everyone has an opportunity to make a difference
* Enjoy flexible paid time off that allows you to have an enhanced work\-life balance.
* Excellent medical, dental, and vision options
* 401(k) matching, life insurance, commuter benefits, and parental leave plans
* Complimentary CalmApp subscription for you and your loved ones, because mental wellness matters.
* Energetic work environment with a hybrid work style, providing the balance you need.
* Thrive within our inclusive community and seize ongoing professional development opportunities to elevate your career.
* Total compensation range for this position: $126,000 \- $210,000 USD per year.
**Where You'll Work:**
 New York
**When you'll join:**
 April/May 2026
**Our Story**
 At Meltwater, we believe that when you have the right people in the right environment, great things happen.
 Our best\-in\-class technology empowers our
 **27,000 customers** 
 around the world to make better business decisions through data. But we can’t do that without our global team of developers, innovators, problem\-solvers, and high\-performers who embrace challenges and find new solutions for our customers.
 Our award\-winning global culture drives everything we do and creates an environment where our employees can make an impact, learn every day, feel a sense of belonging, and celebrate each other’s successes along the way.
 We are innovators at the core who see the potential in people, ideas and technologies. Together, we challenge ourselves to go big, be bold, and build best\-in\-class solutions for our customers.
 We’re proud of our diverse team of
 **2,200\+ employees** 
 in
 **50 locations** 
 across
 **25 countries** 
 around the world. No matter where you are, you’ll work with people who care about your success and get the support you need to unlock new heights in your career.
**We are Meltwater. Inspired by innovation, powered by people.**
**Our Team**
 Our AI team is young, ambitious and focused on innovation. With Meltwater, we are more than 2000 people across the globe, so there is a lot going on. We believe in diversity and inclusion, and building teams with a wide variety of backgrounds and perspectives. This approach not only raises the quality of our products for our customers, but makes collaboration along the way much more fun.
 Read our under\-the\-hood blog to see which problems our engineers are solving.
*Equal Employment Opportunity Statement*
*Meltwater is an Equal Opportunity Employer and Prohibits Discrimination and Harassment of Any Kind: At Meltwater, we are dedicated to fostering an inclusive and diverse workplace where every employee feels valued, respected, and empowered. We are committed to the principle of equal employment opportunity and strive to provide a work environment that is free from discrimination and harassment.*
*All employment decisions at Meltwater are made based on business needs, job requirements, and individual qualifications, without regard to race, color, religion or belief, gender, gender identity or expression, sexual orientation, national origin, genetics, disability, age, marital status, veteran status, or any other status protected by the applicable laws and regulations.*
*Meltwater does not tolerate discrimination or harassment of any kind, and we actively promote a culture of respect, fairness, and inclusivity. We encourage applicants of all backgrounds, experiences, and abilities to apply and join us in our mission to drive innovation and make a positive impact in the world.
 We may use AI to assist in aspects of our hiring process, such as reviewing candidate information and supporting evaluation activities. These tools are used only to assist our team through increased efficiencies. Every output continues to be reviewed by humans, and all hiring decisions are made by humans. We remain committed to evaluating candidates fairly, consistently, and in compliance with all applicable laws*</t>
        </is>
      </c>
    </row>
    <row r="6">
      <c r="A6" t="inlineStr">
        <is>
          <t>li-4379921709</t>
        </is>
      </c>
      <c r="B6" t="inlineStr">
        <is>
          <t>AI Software Engineer</t>
        </is>
      </c>
      <c r="C6" t="inlineStr">
        <is>
          <t>People In AI</t>
        </is>
      </c>
      <c r="D6" t="inlineStr">
        <is>
          <t>linkedin</t>
        </is>
      </c>
      <c r="E6" t="inlineStr"/>
      <c r="F6" t="inlineStr"/>
      <c r="G6" t="inlineStr"/>
      <c r="H6" t="inlineStr"/>
      <c r="I6" t="inlineStr">
        <is>
          <t>**Job Title:** 
 AI Software Engineer
**Compensation:** 
 $180,000 \- $220,000 base \+ equity
**Location:** 
 Remote (US)
 This high\-growth startup is building the backbone for high\-assurance Generative AI applications. As GenAI systems become more intricate and business\-critical, engineering teams need transparent, reliable infrastructure to validate performance, monitor behavior, and ensure real\-world reliability. Backed by top\-tier investors, this team is moving fast to build tools that make GenAI development more predictable, trustworthy, and scalable.
**About the Role:** 
 This is a high\-impact opportunity for an experienced full\-stack AI engineer who thrives in fast\-paced, early\-stage environments. You’ll work across the stack \- from UI to backend to AI integrations \- owning feature delivery end\-to\-end. You'll play a key role in shaping the architecture, contributing to core platform capabilities, and bringing new GenAI\-powered features to production.
**What You’ll Do:** 
* Design and ship production\-grade Generative AI capabilities
* Build full\-stack features using TypeScript, React, and Node.js
* Develop observability and AI\-tracing systems for complex AI workflows
* Own feature delivery from requirements to implementation and iteration
* Collaborate cross\-functionally with product, design, and leadership
* Improve performance, reliability, and quality of AI\-driven systems
* Contribute to internal frameworks and reusable components
* Lead and participate in technical discussions and code reviews
**What You’ll Bring:** 
* Ample full\-stack software engineering experience
* Proven experience with LLM\-powered applications, agents, or workflows
* Strong skills in TypeScript, React, and Node.js
* Familiarity with GenAI development patterns (RAG, embeddings, vector search)
* Hands\-on with orchestration tools (LangChain, LangGraph, LlamaIndex, etc.)
* Ability to operate autonomously and make pragmatic technical decisions
* Strong debugging, architecture, and performance tuning skills
**Tech Stack:** 
* TypeScript / React / Node.js/Python
* LLM orchestration tools: LangChain, LangGraph, LlamaIndex
* Observability: OpenTelemetry, custom tracing systems
* GenAI integrations and evaluation frameworks
**Why Join?** 
* Work on real\-world AI systems with a major impact on production reliability
* Join an ambitious, fast\-growing team tackling foundational challenges in GenAI
* Fully remote with flexible hours and generous PTO
* Employee equity and regular team off\-sites
* Big growth potential in a critical emerging space
**About People In AI:** 
 People In AI connects top\-tier talent with the most ambitious companies in artificial intelligence. We work with founders, VCs, and engineering leaders to build world\-class teams shaping the future of machine learning and AI infrastructure.</t>
        </is>
      </c>
    </row>
    <row r="7">
      <c r="A7" t="inlineStr">
        <is>
          <t>li-4378805976</t>
        </is>
      </c>
      <c r="B7" t="inlineStr">
        <is>
          <t>Software Engineer</t>
        </is>
      </c>
      <c r="C7" t="inlineStr">
        <is>
          <t>Haystack</t>
        </is>
      </c>
      <c r="D7" t="inlineStr">
        <is>
          <t>linkedin</t>
        </is>
      </c>
      <c r="E7" t="inlineStr"/>
      <c r="F7" t="inlineStr"/>
      <c r="G7" t="inlineStr"/>
      <c r="H7" t="inlineStr"/>
      <c r="I7" t="inlineStr">
        <is>
          <t>**AI Engineer \| New York \| Hybrid** 
 We're working with a Fortune 500 financial powerhouse and leader in the life insurance sector on this exciting opportunity.
 Shape the future of an industry by building sophisticated Agentic AI and Generative AI systems from the ground up. This isn't just about prompt engineering; you’ll be working alongside PhDs in physics and math to deploy production\-grade LLM applications, RAG pipelines, and multi\-step agentic workflows that drive multi\-billion dollar strategic decisions.
**The Role** 
 • Lead the end\-to\-end development of scalable AI solutions, from initial ideation and prototyping to full\-scale production deployment using Python and cloud\-native architectures.
 • Design and implement advanced Agentic AI systems involving tool\-use, multi\-step workflows, and autonomous behavior evaluation across various foundation models.
 • Collaborate with cross\-functional teams to build robust, production\-grade AI pipelines and APIs while establishing enterprise\-wide best practices for Responsible AI.
 • Architect and optimize data strategies using vector databases, semantic search, and complex SQL database design to power LLM\-based applications.
 • Prototype impactful AI\-powered applications, including interactive web dashboards and sophisticated visualizations, to translate complex data into business intelligence.
**What You'll Need** 
 • 5\+ years of a strong foundation in Python, SQL, and statistical modeling, with a Master’s degree in a quantitative field like Computer Science, Math, or Physics.
 • 3\+ years of dedicated experience in AI Engineering or Data Science, with a proven track record of shipping end\-to\-end ML/AI solutions in an enterprise environment.
 • 2\+ years of hands\-on expertise with LLM orchestration frameworks such as LangChain, AgentCore, MCP, or Strands, specifically focusing on RAG and prompt management.
 • Deep technical experience with containerization and cloud\-native technologies, specifically Docker and Kubernetes, for deploying high\-availability AI services.
 • Advanced knowledge of Natural Language Processing (NLP), deep learning, and evaluation benchmarks to measure agentic behavior and model performance.
**What's On Offer** 
 • Join a high\-performing Data Science team at the forefront of the life insurance industry's digital transformation.
 • Collaborative environment working with world\-class experts in applied mathematics, statistics, and computer science.
 • Flexible hybrid work model with a premium office presence in the heart of New York City.
 • Opportunity to work with cutting\-edge tech stacks and the latest foundation models at an enterprise scale.
**Apply via Haystack today!**</t>
        </is>
      </c>
    </row>
    <row r="8">
      <c r="A8" t="inlineStr">
        <is>
          <t>li-4378807897</t>
        </is>
      </c>
      <c r="B8" t="inlineStr">
        <is>
          <t>Software Engineer</t>
        </is>
      </c>
      <c r="C8" t="inlineStr">
        <is>
          <t>Haystack</t>
        </is>
      </c>
      <c r="D8" t="inlineStr">
        <is>
          <t>linkedin</t>
        </is>
      </c>
      <c r="E8" t="inlineStr"/>
      <c r="F8" t="inlineStr"/>
      <c r="G8" t="inlineStr">
        <is>
          <t>New York, United States</t>
        </is>
      </c>
      <c r="H8" t="inlineStr"/>
      <c r="I8" t="inlineStr">
        <is>
          <t>**AI Engineer \| New York \| Hybrid** 
 We're working with a Fortune 500 financial powerhouse and leader in the life insurance sector on this exciting opportunity.
 Shape the future of an industry by building sophisticated Agentic AI and Generative AI systems from the ground up. This isn't just about prompt engineering; you’ll be working alongside PhDs in physics and math to deploy production\-grade LLM applications, RAG pipelines, and multi\-step agentic workflows that drive multi\-billion dollar strategic decisions.
**The Role** 
 • Lead the end\-to\-end development of scalable AI solutions, from initial ideation and prototyping to full\-scale production deployment using Python and cloud\-native architectures.
 • Design and implement advanced Agentic AI systems involving tool\-use, multi\-step workflows, and autonomous behavior evaluation across various foundation models.
 • Collaborate with cross\-functional teams to build robust, production\-grade AI pipelines and APIs while establishing enterprise\-wide best practices for Responsible AI.
 • Architect and optimize data strategies using vector databases, semantic search, and complex SQL database design to power LLM\-based applications.
 • Prototype impactful AI\-powered applications, including interactive web dashboards and sophisticated visualizations, to translate complex data into business intelligence.
**What You'll Need** 
 • 5\+ years of a strong foundation in Python, SQL, and statistical modeling, with a Master’s degree in a quantitative field like Computer Science, Math, or Physics.
 • 3\+ years of dedicated experience in AI Engineering or Data Science, with a proven track record of shipping end\-to\-end ML/AI solutions in an enterprise environment.
 • 2\+ years of hands\-on expertise with LLM orchestration frameworks such as LangChain, AgentCore, MCP, or Strands, specifically focusing on RAG and prompt management.
 • Deep technical experience with containerization and cloud\-native technologies, specifically Docker and Kubernetes, for deploying high\-availability AI services.
 • Advanced knowledge of Natural Language Processing (NLP), deep learning, and evaluation benchmarks to measure agentic behavior and model performance.
**What's On Offer** 
 • Join a high\-performing Data Science team at the forefront of the life insurance industry's digital transformation.
 • Collaborative environment working with world\-class experts in applied mathematics, statistics, and computer science.
 • Flexible hybrid work model with a premium office presence in the heart of New York City.
 • Opportunity to work with cutting\-edge tech stacks and the latest foundation models at an enterprise scale.
**Apply via Haystack today!**</t>
        </is>
      </c>
    </row>
    <row r="9">
      <c r="A9" t="inlineStr">
        <is>
          <t>li-4379952030</t>
        </is>
      </c>
      <c r="B9" t="inlineStr">
        <is>
          <t>Software Engineer</t>
        </is>
      </c>
      <c r="C9" t="inlineStr">
        <is>
          <t>Hyra</t>
        </is>
      </c>
      <c r="D9" t="inlineStr">
        <is>
          <t>linkedin</t>
        </is>
      </c>
      <c r="E9" t="inlineStr"/>
      <c r="F9" t="inlineStr"/>
      <c r="G9" t="inlineStr">
        <is>
          <t>New York, United States</t>
        </is>
      </c>
      <c r="H9" t="inlineStr"/>
      <c r="I9" t="inlineStr">
        <is>
          <t>AI Engineer
 Location: New York, New York, 10012 \| Type: Hybrid \| Salary: Competitive salary
 A leading financial services and insurance organization known for its commitment to innovation and data\-driven strategy is looking for an AI Engineer. This role involves joining a high\-performing Data Science team to develop and deploy advanced AI solutions that drive strategic business transformation. You will collaborate with experts in mathematics and computer science to solve complex problems using generative AI and machine learning.
 What you'll be doing
 • Develop end\-to\-end ML/AI solutions using LLMs, deep learning, and probabilistic modeling.
 • Deploy scalable GenAI and Agentic AI systems that support enterprise business goals.
 • Build robust, production\-grade AI pipelines and APIs in collaboration with engineering teams.
 • Prototype AI\-powered applications including web apps, dashboards, and visualizations.
 • Establish best practices for responsible AI deployment and development across the organization.
 What we're looking for
 • M.S. in Computer Science, Statistics, Mathematics, Physics, or a related quantitative field.
 • 5\+ years of proficiency in Python and SQL with deep understanding of ML and NLP.
 • 3\+ years of professional experience in data science or AI engineering roles.
 • 2\+ years of experience with AI agents, LLM systems, RAG, and prompt management.
 • 2\+ years of experience with Docker, Kubernetes, and cloud\-native development.
 What's on offer
 • Opportunity to work on cutting\-edge generative AI and LLM projects.
 • Collaborative environment with experts in applied mathematics and computer science.
 • Professional development within a well\-established, industry\-leading organization.
 • Competitive compensation and benefits package in a hybrid work setting.
 Apply via Hyra to be considered for this opportunity.</t>
        </is>
      </c>
    </row>
    <row r="10">
      <c r="A10" t="inlineStr">
        <is>
          <t>li-4334158613</t>
        </is>
      </c>
      <c r="B10" t="inlineStr">
        <is>
          <t>Software Engineer, Fullstack, Early Career</t>
        </is>
      </c>
      <c r="C10" t="inlineStr">
        <is>
          <t>Notion</t>
        </is>
      </c>
      <c r="D10" t="inlineStr">
        <is>
          <t>linkedin</t>
        </is>
      </c>
      <c r="E10" t="inlineStr"/>
      <c r="F10" t="inlineStr"/>
      <c r="G10" t="inlineStr">
        <is>
          <t>San Francisco, CA</t>
        </is>
      </c>
      <c r="H10" t="inlineStr"/>
      <c r="I10"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As an Early Career Software Engineer at Notion, you’ll help shape core user experiences and accelerate how people discover value in Notion. You'll tackle meaningful challenges with increasing autonomy, crafting code that millions of users will experience. You'll take ownership of projects that matter, make critical technical decisions, and contribute your unique perspective to our product vision. Working alongside passionate experts across design, product, and data, you'll help shape the future of how people work.
 We’re hiring early career engineers to join us across several teams at Notion. Your recruiter will partner with you to find the team that best aligns with your interests and where you can make the highest impact.
 What You’ll Achieve
* Plan, build, and ship product features from conception to launch, then iterate based on insights and user feedback.
* Improve performance, reliability, and quality of key experiences used by millions of users and thousands of organizations.
* Run experiments that drive activation, retention, collaboration, and revenue, partnering with design, data science, and research.
* Build internal tools and platform improvements that help all engineers ship quickly and safely.
* Contribute to team norms, code quality, and a culture of learning and thoughtful tradeoffs.
 Areas you might work on
* Core Notion product features: Help develop, improve, and maintain features for our flagship product, focusing on the editor, databases, sharing, or other key areas that power millions of workflows.
* AI and automation: Help develop and integrate intelligent features that make Notion more powerful, contextual, and efficient for our users.
* Growth and activation: Work on features that help new users discover Notion's value, improve onboarding experiences, and increase user engagement.
* Platform and infrastructure: Contribute to the systems that power Notion's backend services, ensuring reliability, scalability, and performance as our user base grows.
 Skills You’ll Bring
* Proven track record of execution: You have a minimum of 1 year (and up to 3 years) of full\-time professional engineering experience, including building world\-class product experiences as part of an engineering team. You have solid fundamentals in data structures, algorithms, and distributed systems, with a product\-minded, pragmatic approach to solving problems.
* Thoughtful problem\-solving: You approach problems holistically, starting with a clear and accurate understanding of the context. You think about the implications of what you're building and how it will impact real people's lives. You can navigate ambiguity successfully, decompose complex problems into clean solutions, while also balancing the business impact of what you’re building.
* Impact\-driven approach to technology: You see technologies as tools to achieve user impact rather than ends in themselves. You care more about building successful systems that solve real problems than about using specific tech stacks or following trends. You stay current with the latest tools like Cursor, Claude Code, and other AI\-assisted development environments, you're pragmatic about choosing the right tool for the job, focusing on what delivers the most value to users and the business.
* Proactive communication and high agency: You own your work, communicating clearly about progress and blockers. You don't wait for instructions for every step but rather show initiative in identifying what needs to be done and driving projects forward. You ask questions when needed while independently finding solutions to problems.
* You don’t need to be an AI expert, but you’re curious and willing to adopt AI tools to work smarter and deliver better results
 Nice to Have
* Experience with parts of our stack like React, TypeScript, Node.js, Postgres, or with experimentation and analytics tooling.
* Exposure to distributed systems, observability, CI/CD, or infrastructure fundamentals.
* An interest in product quality and craft, and in helping others stay in flow.
* You've heard of computing pioneers like Ada Lovelace, Douglas Engelbart, Alan Kay, and others—and understand why we're big fans of their work.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$126,000 \- $180,000 per year.
 By clicking “Submit Application”, I understand and agree that Notion and its affiliates and subsidiaries will collect and process my information in accordance with Notion’s Global Recruiting Privacy Policy and NYLL 144\.</t>
        </is>
      </c>
    </row>
    <row r="11">
      <c r="A11" t="inlineStr">
        <is>
          <t>li-4370317193</t>
        </is>
      </c>
      <c r="B11" t="inlineStr">
        <is>
          <t>Software Engineer (New Grads) - San Francisco</t>
        </is>
      </c>
      <c r="C11" t="inlineStr">
        <is>
          <t>Giga</t>
        </is>
      </c>
      <c r="D11" t="inlineStr">
        <is>
          <t>linkedin</t>
        </is>
      </c>
      <c r="E11" t="inlineStr"/>
      <c r="F11" t="inlineStr"/>
      <c r="G11" t="inlineStr">
        <is>
          <t>San Francisco, CA</t>
        </is>
      </c>
      <c r="H11" t="inlineStr"/>
      <c r="I11" t="inlineStr">
        <is>
          <t>**About Giga**
 Giga has recently raised a $61M Series A and has several paying customers, including DoorDash. We’re building the next generation of customer experience — real\-time AI agents that can understand emotion, resolve issues instantly, and scale across the world’s largest enterprises.
 It’s an exciting inflection point for the company. While we have been successful, we have larger ambitions. Our goal is to become the go\-to AI platform for all enterprise automation, powered by our voice superintelligence. To achieve this, we need more great engineers.
 The work affects millions of people every day and our engineers have autonomy and make true impact. This opportunity is unique because we have brilliant founders, have found commercial success, and see a clear path to becoming a generational company. Some further info about us:
* Voice AI startup Giga raises $61M Series A
* DoorDash and Giga Partnership
 Giga builds AI agents trusted by the largest B2C companies in the world. Industry leaders like DoorDash trust Giga with their most complex support and operations workflows across voice, chat, and email. If being a part of this resonates with you, please apply!
**The Role**
 We're looking for new grad engineers to help build the systems that power our AI agents. You'll work across the backend, from data pipelines and integrations to agent infrastructure, shipping features alongside experienced engineers.
 This is a role where you'll contribute to real problems from day one. We expect you to ramp up quickly, take ownership of your work, and operate with increasing independence as you learn the codebase.
**What You'll Work On**
 You'll contribute to projects across our stack. Some examples:
* Atlas: Building features for our AI assistant: charts and alerts in Slack, natural language queries, and expanding Atlas to manage platform resources
* Activity Stream: Log visualization with filters, timestamps, and frequency charts to give visibility into agent behavior
* Dynamic knowledge: Adding time\-based knowledge (like ongoing incidents) that auto\-updates from sources like status pages
* Agent memory: Conversation awareness and recent interaction lookups so agents remember context across sessions
 You'll be paired with senior engineers on larger initiatives while also owning smaller projects end\-to\-end as you ramp up.
**You Might Be a Fit If You**
* Are graduating (or recently graduated) with a CS degree or equivalent background
* Have internship experience or significant projects where you wrote production\-quality code
* Can take a problem, figure out an approach, and unblock yourself when you get stuck
* Prefer shipping over perfection but still care about quality
* Want to work at a startup where you'll have real responsibility early
**Perks \&amp; Benefits**
* Catered lunch daily
* Dinner stipend
* $150/month wellness benefit (gym, fitness classes, mental health)
* 401(k) plan
* Commuter benefits
* Medical, dental, and vision coverage
 Giga is an equal opportunity employer. We're committed to providing equal employment opportunities regardless of race, color, religion, sex, sexual orientation, gender identity, national origin, age, disability, veteran status, or any other characteristic protected by law.
 Compensation Range: $160K \- $250K</t>
        </is>
      </c>
    </row>
    <row r="12">
      <c r="A12" t="inlineStr">
        <is>
          <t>li-4379935037</t>
        </is>
      </c>
      <c r="B12" t="inlineStr">
        <is>
          <t>Senior Software Engineer, Infrastructure</t>
        </is>
      </c>
      <c r="C12" t="inlineStr">
        <is>
          <t>Decagon</t>
        </is>
      </c>
      <c r="D12" t="inlineStr">
        <is>
          <t>linkedin</t>
        </is>
      </c>
      <c r="E12" t="inlineStr"/>
      <c r="F12" t="inlineStr"/>
      <c r="G12" t="inlineStr">
        <is>
          <t>New York, NY</t>
        </is>
      </c>
      <c r="H12" t="inlineStr"/>
      <c r="I12" t="inlineStr">
        <is>
          <t>**About Decagon**
 Decagon is the leading conversational AI platform empowering every brand to deliver concierge customer experiences.
 Our technology enables industry\-defining enterprises like Avis Budget Group, Block’s Cash App and Square, Chime, Oura Health, and Hunter Douglas to deploy AI agents that power personalized, deeply satisfying interactions across voice, chat, email, SMS, and every other channel.
 We’re building a future where customer experiences are being redefined from support tickets and hold music to faster resolutions, richer conversations, and deeper relationships. We’re proud to be backed by world\-class investors who share that vision, including a16z, Accel, Bain Capital Ventures, Coatue, and Index Ventures, along with many others.
 We’re an in\-office company, driven by a shared commitment to excellence and velocity. Our values — Just Get It Done, Invent What Customers Want, Winner’s Mindset, and The Polymath Principle — shape how we work and grow as a team.
**About The Team**
 The
 **Infrastructure** 
 team builds and operates the foundations that power Decagon: networking, data, ML serving, developer platform, and real‑time voice. We partner closely with product, data, and ML to deliver high‑scale, low‑latency systems with clear SLOs and great developer ergonomics.
 We organize around five focus areas:
* Core Infra: The foundational cloud stack—networking, compute, storage, security, and infrastructure‑as‑code—to ensure reliability, scale, and cost efficiency.
* Data Infra: Streaming/batch data platforms powering analytics/BI and customer‑facing telemetry, including for customer‑managed and on‑prem environments.
* ML Infra: GPU and model‑serving platforms for LLM inference with multi‑provider routing and support for on‑prem/air‑gapped deployments.
* Platform (DevEx): CI/CD, paved paths, and core services that make shipping fast, safe, and consistent across teams.
* Voice Infra: Telephony/WebRTC stack and observability enabling ultra‑low‑latency, high‑quality voice experiences.
 Our mission is to
 **deliver magical support experiences** 
 — AI agents working alongside humans to resolve issues quickly and accurately.
**About The Role**
 We’re hiring a Senior Infrastructure Engineer to design, build, and operate production infrastructure for high‑scale, low‑latency systems. You’ll own critical services end‑to‑end, improve reliability and performance, and create paved‑paths that let every Decagon engineer ship confidently.
**In this role, you will**
* Design and implement critical infrastructure services with strong SLOs, clear runbooks, and actionable telemetry.
* Partner with research and product teams to architect solutions, set up prototypes, evaluate performance, and scale new features.
* Tune service latencies: optimize networking paths, apply smart caching/queuing, and tune CPU/memory/I/O for tight p95/p99s.
* Evolve CI/CD, golden paths, and self‑service tooling to improve developer velocity and safety.
* Support various deployment architectures for customers with robust observability and upgrade paths.
* Lead infrastructure‑as‑code (Terraform) and GitOps practices; reduce drift with reusable modules and policy‑as‑code.
* Participate in on‑call and drive down toil through automation and elimination of recurring issues.
**Your background looks something like this**
* 5\+ years building and operating production infrastructure at scale.
* Depth in at least one area across Core/Data/AI‑ML/Platform/Voice, with curiosity to learn the rest.
* Proven track record meeting high availability and low latency targets (owning SLOs, p95/p99, and load testing).
* Excellent observability chops (OpenTelemetry, Prometheus/Grafana, Datadog) and incident response (PagerDuty, SLO/error budgets).
* Clear written communication and the ability to turn ambiguous requirements into simple, reliable designs.
**Even better if you have**
* Experience being an early backend/platform/infrastructure engineer at another company
* Strong Kubernetes experience (GKE/EKS/AKS) and experience across multiple cloud providers (GCP, AWS, and Azure)
* Experience with customer‑managed deployments
**Benefits**
* Medical, dental, and vision benefits
* Take what you need vacation policy
* Daily lunches, dinners and snacks in the office to keep you at your best
**Compensation**
 $250K – $330K \+ Offers Equity
 Compensation Range: $250K \- $330K</t>
        </is>
      </c>
    </row>
    <row r="13">
      <c r="A13" t="inlineStr">
        <is>
          <t>li-4214694436</t>
        </is>
      </c>
      <c r="B13" t="inlineStr">
        <is>
          <t>Software Engineer - Backend</t>
        </is>
      </c>
      <c r="C13" t="inlineStr">
        <is>
          <t>Snowflake</t>
        </is>
      </c>
      <c r="D13" t="inlineStr">
        <is>
          <t>linkedin</t>
        </is>
      </c>
      <c r="E13" t="inlineStr"/>
      <c r="F13" t="inlineStr"/>
      <c r="G13" t="inlineStr">
        <is>
          <t>Menlo Park, CA</t>
        </is>
      </c>
      <c r="H13" t="inlineStr"/>
      <c r="I13"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We’re at the forefront of the data revolution, committed to building the world’s greatest data and applications platform. Snowflake started with a clear vision: develop a cloud data platform that is effective, affordable, and accessible to all data users. Data Cloud allows sharing live data in governed and secure ways so our customers can solve their business problems.
 Data Cloud allows sharing live data in governed and secure ways so our customers can solve their business problems. Come join our world\-class team as a Software Engineer to build the backend services for data cloud to help our customers to share data internally within their company or outside with external organizations.
 We are investing in initiatives across multiple engineering areas that include: Data Engineering \&amp; Open Lakehouse, Database Engineering, Engineering Systems, Product Experiences, Apps \&amp; Collaboration,Platform Engineering, and Public Sector, Security and Governance
**AS A SOFTWARE ENGINEER, YOU WILL:**
* Design and build features, and/or distributed platforms at scale.
* Drive impactful initiatives for the globally distributed infrastructure
* Collaborate with product managers, architects, other engineering teams, and business groups, to drive end\-to\-end solutions.
* Contribute to improving our engineering processes, tooling, and standards.
**OUR IDEAL CANDIDATE WILL HAVE:**
* 2\-5 years’ of industry experience designing, building, and supporting large\-scale systems in production.
* Strong fundamental computer science skills. Knowledge of algorithms and data structures.
* Fluency in Java, Python, C\+\+, or SQL
* Deep multi\-faceted appreciation in building end\-to\-end customer facing products.
* BS/MS/PhD in Computer Science or related majors, or equivalent experience.
**BONUS POINTS IF YOU HAVE:**
* Familiarity with database internals or data governance, and/or payment systems is a plus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$160,000 \- $230,000\.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14">
      <c r="A14" t="inlineStr">
        <is>
          <t>li-4378843342</t>
        </is>
      </c>
      <c r="B14" t="inlineStr">
        <is>
          <t>Founding Software Engineer</t>
        </is>
      </c>
      <c r="C14" t="inlineStr">
        <is>
          <t>AlphaX</t>
        </is>
      </c>
      <c r="D14" t="inlineStr">
        <is>
          <t>linkedin</t>
        </is>
      </c>
      <c r="E14" t="inlineStr"/>
      <c r="F14" t="inlineStr"/>
      <c r="G14" t="inlineStr">
        <is>
          <t>San Francisco, CA</t>
        </is>
      </c>
      <c r="H14" t="inlineStr"/>
      <c r="I14" t="inlineStr">
        <is>
          <t>We are seeking a highly driven
 **Founding Engineer** 
 to join an early\-stage AI startup redefining how top talent connects with high\-growth companies. This is a full\-time, onsite role in San Francisco for a builder who thrives in fast\-moving environments and wants to shape product, architecture, and company trajectory from day one.
 You will work directly with the founding team to design, build, and scale an AI\-powered talent platform focused on discovery, coaching, and high\-quality hiring outcomes. As one of the first engineering hires, you will have significant ownership across product development, technical decisions, and infrastructure.
 This role is ideal for an engineer who wants to operate with autonomy, ship quickly, and contribute to a talent\-first future of recruiting.
**What You'll Do**
* Architect, build, and ship core product features across the full stack
* Develop AI\-powered workflows that improve candidate discovery and matching
* Design scalable backend systems and APIs
* Build intuitive, high\-performance frontend user experiences
* Collaborate closely with founders on product strategy and technical roadmap
* Rapidly prototype, test, and iterate based on user feedback
* Own deployment, infrastructure, and system reliability
* Contribute to hiring, engineering culture, and long\-term technical vision
**Requirements**
* Strong experience as a Full\-Stack Engineer, Product Engineer, or Startup Engineer
* Proficiency in modern web technologies (e.g., React, TypeScript, Node.js, Python, or similar stacks)
* Experience building scalable backend systems and APIs
* Familiarity with AI/ML integrations, LLMs, or AI product features preferred
* Startup mindset — comfortable with ambiguity and rapid iteration
* Strong product intuition and user\-first thinking
* Ability to work onsite full\-time in San Francisco
* High ownership mentality and bias toward execution
**Ideal Candidate**
* Previously worked at an early\-stage startup (pre\-seed to Series A)
* Experience in marketplace, recruiting tech, or AI\-driven products
* Has built and shipped 0→1 products
* Excited about building in\-person with a small, high\-performing team
* Motivated by long\-term impact and equity upside
**Benefits**
* Competitive equity participation
* Health insurance coverage
* Flexible work hours
* Learning and development budget
* Opportunity to work alongside experienced founders and operators
* High\-performance, builder\-focused culture
**Why Join**
 This is an opportunity to help build a category\-defining AI talent platform from the ground up. You will work directly with experienced founders, influence core product decisions, and shape both the technical foundation and company culture.
 If you are energized by ownership, speed, and meaningful impact, this role offers a rare chance to build something foundational from day one.
**Apply directly to be considered for immediate review.**</t>
        </is>
      </c>
    </row>
    <row r="15">
      <c r="A15" t="inlineStr">
        <is>
          <t>li-4379939005</t>
        </is>
      </c>
      <c r="B15" t="inlineStr">
        <is>
          <t>Senior Software Engineer, Infrastructure</t>
        </is>
      </c>
      <c r="C15" t="inlineStr">
        <is>
          <t>Decagon</t>
        </is>
      </c>
      <c r="D15" t="inlineStr">
        <is>
          <t>linkedin</t>
        </is>
      </c>
      <c r="E15" t="inlineStr"/>
      <c r="F15" t="inlineStr"/>
      <c r="G15" t="inlineStr">
        <is>
          <t>San Francisco, CA</t>
        </is>
      </c>
      <c r="H15" t="inlineStr"/>
      <c r="I15" t="inlineStr">
        <is>
          <t>**About Decagon**
 Decagon is the leading conversational AI platform empowering every brand to deliver concierge customer experiences.
 Our technology enables industry\-defining enterprises like Avis Budget Group, Block’s Cash App and Square, Chime, Oura Health, and Hunter Douglas to deploy AI agents that power personalized, deeply satisfying interactions across voice, chat, email, SMS, and every other channel.
 We’re building a future where customer experiences are being redefined from support tickets and hold music to faster resolutions, richer conversations, and deeper relationships. We’re proud to be backed by world\-class investors who share that vision, including a16z, Accel, Bain Capital Ventures, Coatue, and Index Ventures, along with many others.
 We’re an in\-office company, driven by a shared commitment to excellence and velocity. Our values — Just Get It Done, Invent What Customers Want, Winner’s Mindset, and The Polymath Principle — shape how we work and grow as a team.
**About The Team**
 The
 **Infrastructure** 
 team builds and operates the foundations that power Decagon: networking, data, ML serving, developer platform, and real‑time voice. We partner closely with product, data, and ML to deliver high‑scale, low‑latency systems with clear SLOs and great developer ergonomics.
 We organize around five focus areas:
* Core Infra: The foundational cloud stack—networking, compute, storage, security, and infrastructure‑as‑code—to ensure reliability, scale, and cost efficiency.
* Data Infra: Streaming/batch data platforms powering analytics/BI and customer‑facing telemetry, including for customer‑managed and on‑prem environments.
* ML Infra: GPU and model‑serving platforms for LLM inference with multi‑provider routing and support for on‑prem/air‑gapped deployments.
* Platform (DevEx): CI/CD, paved paths, and core services that make shipping fast, safe, and consistent across teams.
* Voice Infra: Telephony/WebRTC stack and observability enabling ultra‑low‑latency, high‑quality voice experiences.
 Our mission is to
 **deliver magical support experiences** 
 — AI agents working alongside humans to resolve issues quickly and accurately.
**About The Role**
 We’re hiring a Senior Infrastructure Engineer to design, build, and operate production infrastructure for high‑scale, low‑latency systems. You’ll own critical services end‑to‑end, improve reliability and performance, and create paved‑paths that let every Decagon engineer ship confidently.
**In this role, you will**
* Design and implement critical infrastructure services with strong SLOs, clear runbooks, and actionable telemetry.
* Partner with research and product teams to architect solutions, set up prototypes, evaluate performance, and scale new features.
* Tune service latencies: optimize networking paths, apply smart caching/queuing, and tune CPU/memory/I/O for tight p95/p99s.
* Evolve CI/CD, golden paths, and self‑service tooling to improve developer velocity and safety.
* Support various deployment architectures for customers with robust observability and upgrade paths.
* Lead infrastructure‑as‑code (Terraform) and GitOps practices; reduce drift with reusable modules and policy‑as‑code.
* Participate in on‑call and drive down toil through automation and elimination of recurring issues.
**Your background looks something like this**
* 5\+ years building and operating production infrastructure at scale.
* Depth in at least one area across Core/Data/AI‑ML/Platform/Voice, with curiosity to learn the rest.
* Proven track record meeting high availability and low latency targets (owning SLOs, p95/p99, and load testing).
* Excellent observability chops (OpenTelemetry, Prometheus/Grafana, Datadog) and incident response (PagerDuty, SLO/error budgets).
* Clear written communication and the ability to turn ambiguous requirements into simple, reliable designs.
**Even better if you have**
* Experience being an early backend/platform/infrastructure engineer at another company
* Strong Kubernetes experience (GKE/EKS/AKS) and experience across multiple cloud providers (GCP, AWS, and Azure)
* Experience with customer‑managed deployments
**Benefits**
* Medical, dental, and vision benefits
* Take what you need vacation policy
* Daily lunches, dinners and snacks in the office to keep you at your best
**Compensation**
 $250K – $330K \+ Offers Equity
 Compensation Range: $250K \- $330K</t>
        </is>
      </c>
    </row>
    <row r="16">
      <c r="A16" t="inlineStr">
        <is>
          <t>li-4378825848</t>
        </is>
      </c>
      <c r="B16" t="inlineStr">
        <is>
          <t>Software Engineer - Full Stack</t>
        </is>
      </c>
      <c r="C16" t="inlineStr">
        <is>
          <t>TrueMeter</t>
        </is>
      </c>
      <c r="D16" t="inlineStr">
        <is>
          <t>linkedin</t>
        </is>
      </c>
      <c r="E16" t="inlineStr"/>
      <c r="F16" t="inlineStr"/>
      <c r="G16" t="inlineStr">
        <is>
          <t>San Francisco, CA</t>
        </is>
      </c>
      <c r="H16" t="inlineStr"/>
      <c r="I16" t="inlineStr">
        <is>
          <t>**About TrueMeter**
 The US power grid was not built for the AI era.
 Energy costs are volatile. Utility data is fragmented. Businesses operate across dozens of meters accounts and rate plans with no clear system of record.
 TrueMeter is building the AI Energy Agent, the default way businesses manage and pay for power. We consolidate messy multi utility bills into a single intelligent platform that reduces cost and complexity.
 We launched our MVP in May 2024\. Since then we have onboarded millions in annual energy spend from major brands. We are seed stage backed by top Silicon Valley investors and building fast.
 If you want more ownership, more scope and real world impact this is that move.
**The Role**
 We are hiring an experienced Full\-Stack Engineer to own product features end to end from React UI to Python APIs to analytical SQL.
 This is not a narrow frontend role. This is product engineering at the core of the company.
 You will work on the customer dashboard that businesses rely on to track bills, monitor usage, download financial reports, and make energy decisions. You will design systems that scale from 10 customers to 10000 securely, reliably and fast.
 You will work directly with the CTO and a small high intensity team. High ownership. High visibility. High expectations.
**What You Will Build**
* Customer Dashboard: React
* Multi tenant role based SaaS UI
* Data heavy views powered by BigQuery
* Secure file downloads using short lived GCS signed URLs
* High performance filtering pagination and caching
* Backend Services: Python
* FastAPI services deployed on Cloud Run
* Cloud Functions powering product endpoints
* Authentication and authorization using Firebase
* Production grade APIs with logging monitoring and strong reliability
* Data Layer SQL First
* Write performant BigQuery SQL
* Design tenant safe data access patterns
* Collaborate on dbt models and transformation logic
* Optimize queries for cost and latency
* Cloud Infrastructure: GCP including BigQuery Firestore GCS Cloud Run IAM Secret Manager
* Infrastructure as code with Terraform
* Observability monitoring and cost awareness
* Data stack building to handle AI agentic workflows
**Our Stack**
* Frontend: React, Vite, TailwindCSS, Webflow
* Backend: Python, FastAPI, Cloud Functions
* Data: BigQuery SQL dbt
* Infra: GCP Cloud Run GCS IAM Secret Manager Terraform
* Auth: Firebase based
* Python and SQL are required.
**Who You Are**
* 2\+ plus years building production full stack systems
* Strong in Python and SQL
* Familiar with GCP or AWS
* Strong in React with experience building real SaaS dashboards
* Multi tenant SaaS experience
* Comfortable shipping features end\-to\-end without handholding
* Experienced in fast moving startup environments
* You care about product quality not just ticket completion
* You connect technical decisions to business impact
**Why Join TrueMeter**
 At larger companies you often own a slice of a system. Here you will own entire surfaces and have direct access to founders.
* Immediate impact on revenue driving product
* Ability to shape architecture early
* Small team elite standards
* Real world impact on energy costs and emissions
 We value ownership, clarity of thought, intellectual honesty, customer obsession and building AI\-powered systems that scale.
 If you want to help define the AI\-native energy platform, not just maintain one we should talk.
**Compensation Range**
 Final compensation depends on experience, scope and impact.
 \&lt;2 years of experience: $120\-$150k
 2\-5 years of experience: $150 \- $190k
 5\+ years of experience: $190\-$220k
* The compensation ranges listed above are estimates and may vary based on factors such as skills, experience, location, and role scope. Final compensation will be determined based on individual qualifications and business needs.</t>
        </is>
      </c>
    </row>
    <row r="17">
      <c r="A17" t="inlineStr">
        <is>
          <t>li-4262577338</t>
        </is>
      </c>
      <c r="B17" t="inlineStr">
        <is>
          <t>Software Engineer - Ads Product</t>
        </is>
      </c>
      <c r="C17" t="inlineStr">
        <is>
          <t>xAI</t>
        </is>
      </c>
      <c r="D17" t="inlineStr">
        <is>
          <t>linkedin</t>
        </is>
      </c>
      <c r="E17" t="inlineStr"/>
      <c r="F17" t="inlineStr"/>
      <c r="G17" t="inlineStr">
        <is>
          <t>Palo Alto, CA</t>
        </is>
      </c>
      <c r="H17" t="inlineStr"/>
      <c r="I17"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We’re looking for exceptional ads engineers who want to join us on a new project to integrate xAI’s advanced AI infrastructure deeply into the Ads Platform. We’re looking for individuals who have built exceptional advertising products and systems at massive scale. We’re bringing and using xAI’s technology stack to transform our advertising stack.
**What You'll Do** 
* Be involved in the full array of xAI’s work, including ideation, experimentation, implementation, and maintenance of distributed systems and product features.
* Leverage all of xAI’s infra and AI stacks to dramatically enhance advertising products.
* Own and operate systems and products driving the majority of X’s revenue.
**Who You Are** 
* 3\+ years of industry experience building large scale and high\-performance advertising products.
* Strong software engineering fundamentals with expertise in full stack development.
* Proven ability to write clean, scalable, and maintainable code in a collaborative environment
* Experience with ads delivery, targeting, measurement, or optimization systems is a strong plus.
* Solid understanding of backend technologies, distributed systems, and data processing pipelines
* Excellent problem\-solving skills and a passion for performance, reliability, and product impact
* Obsessed with building great product experiences.
**Tech Stack** 
 React, Golang, Python, Rust, gRPC, Java/Scala
**Interview Process:** 
 After submitting your application, the team reviews your CV and statement of exceptional work. If your application passes this stage, you will be invited to a 15\-30 minutes phone interview, during which a member of our team will ask technical questions. If you clear the phone interview, you will proceed to next steps:
* Coding challenge
* Ads Domain assessment
* Meet and greet with the wider team
 Our goal is to complete the process within one week. All interviews will be conducted in person when applicable.
**Location** 
 The role is based in Palo Alto. Candidates are expected to be located near the Bay Area or open to relocation.
*xAI is an equal opportunity employer.* 
 California Consumer Privacy Act (CCPA) Notice</t>
        </is>
      </c>
    </row>
    <row r="18">
      <c r="A18" t="inlineStr">
        <is>
          <t>li-4297756001</t>
        </is>
      </c>
      <c r="B18" t="inlineStr">
        <is>
          <t>Senior Software Engineer - Backend</t>
        </is>
      </c>
      <c r="C18" t="inlineStr">
        <is>
          <t>Databricks</t>
        </is>
      </c>
      <c r="D18" t="inlineStr">
        <is>
          <t>linkedin</t>
        </is>
      </c>
      <c r="E18" t="inlineStr"/>
      <c r="F18" t="inlineStr"/>
      <c r="G18" t="inlineStr">
        <is>
          <t>Mountain View, CA</t>
        </is>
      </c>
      <c r="H18" t="inlineStr"/>
      <c r="I18" t="inlineStr">
        <is>
          <t>P\-78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solve technical challenges, from designing next\-gen UI/UX for interfacing with data to scaling our services and infrastructure across millions of virtual machines. And we're only getting started.
 As a software engineer with a backend focus, you will work with your team to build infrastructure and products for the Databricks platform at scale.
****The Impact You'll Have:****
 Our backend teams span many domains, from our core compute fabric resource management infrastructure, to service platforms, to machine learning infrastructure. For instance, you might work on challenges such as:
* Resource management infrastructure powering the big data and machine learning workloads on the Databricks platform in a scalable, secure, and cloud\-agnostic way
* Develop reliable, scalable services and client libraries that work with massive amounts of data on the cloud, across geographic regions and Cloud providers
* Build tools to allow Databricks engineers to operate their services across different clouds and environments
* Build services, products and infrastructure at the intersection of machine learning and distributed systems.
****What We Look For:****
* BS (or higher) in Computer Science, or a related field
* 5\+ years of production level experience in one of: Java, Scala, C\+\+, or similar language.
* Experience developing large\-scale distributed systems.
* Experience working on a SaaS platform or with Service\-Oriented Architectures.
* Experience with cloud technologies, e.g. AWS, Azure, GCP, Docker, or Kubernetes.
* Experience with security and systems that handle sensitive data.
* Good knowledge of SQL.
****Benefits****
* Comprehensive health coverage including medical, dental, and vision
* 401(k) Plan
* Equity awards
* Flexible time off
* Paid parental leave
* Family Planning
* Gym reimbursement
* Annual personal development fund
* Work headphones reimbursement
* Employee Assistance Program (EAP)
* Business travel accident insurance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$166,000—$225,000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19">
      <c r="A19" t="inlineStr">
        <is>
          <t>li-4192502576</t>
        </is>
      </c>
      <c r="B19" t="inlineStr">
        <is>
          <t>Backend Software Engineer, AI Platform for User Experiences</t>
        </is>
      </c>
      <c r="C19" t="inlineStr">
        <is>
          <t>Snowflake</t>
        </is>
      </c>
      <c r="D19" t="inlineStr">
        <is>
          <t>linkedin</t>
        </is>
      </c>
      <c r="E19" t="inlineStr"/>
      <c r="F19" t="inlineStr"/>
      <c r="G19" t="inlineStr">
        <is>
          <t>Menlo Park, CA</t>
        </is>
      </c>
      <c r="H19" t="inlineStr"/>
      <c r="I19"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The
 **Apps \&amp; Experiences (AppEx)** 
 organization powers the unified user experience for Snowflake. Every major Snowflake customer interacts with our platform through these surfaces, making AppEx central to both customer satisfaction and revenue growth.
 Within Appex, our team sits at the intersection of
 **AI, platform, and user experience** 
 . We are on a mission to create an
 **AI‑first, scalable, maintainable, and extensible platform** 
 to build all Snowflake user experience features. The team owns:
* The entire serving layer that powers Snowsight, Snowflake Intelligence, and UX features
* Frontend infrastructure and shared services for product teams
* Storage and metadata systems backing UX features and AI workflows
* Testing and reliability systems, including CI/CD pipelines and release tooling
 The
 **monitoring and logging stack** 
 that ensures observability and trust
 AS A
 **BACKEND SOFTWARE ENGINEER** 
 ON THIS TEAM, YOU WILL:
* Build AI\-first platform services that power Snowflake’s user experiences, including APIs, orchestration services, and storage layers that are safe, scalable, and easy to extend.
* Design and implement agentic systems and tools that automate complex coding, migration, and testing workflows (e.g., SQL/ETL migration, refactoring, and validation for customers adopting Snowflake).
* Own the full backend lifecycle: design, implementation, testing, deployment, monitoring, and continuous improvement of production services.
* Scale automated coding agents and backend workflows to dramatically reduce human effort.
* Define and improve evaluation loops: build golden datasets, rubrics, and metrics to measure quality of AI\- and agent\-driven systems, then “hillclimb” on those metrics.
* Evolve the serving \&amp; infra layer for Snowsight and related experiences (routing, configuration, permissions, performance tuning, resiliency).
* Improve platform reliability by investing in observability, alerting, SLOs, and automated remediation across our serving, storage, and AI systems.
* Collaborate cross\-functionally with forward deployed engineers, product managers, designers, data scientists, and other PE and Cortex teams to turn real\-world customer problems into robust, shipped product features.
* Contribute to technical vision for an AI\-first user experience platform and help set best practices for backend and AI engineering within the org.
 OUR IDEAL SOFTWARE ENGINEER WILL HAVE:
* 3\+ years of industry experience designing and building backend systems or large\-scale web applications.
* Strong programming skills in at least one of: Java, Go, Python
* Solid experience building and operating distributed systems and microservices:
+ REST/gRPC APIs, service\-to\-service communication, configuration management
+ Performance tuning, caching, and scalability patterns
* Strong SQL skills and experience with relational databases; experience with Snowflake, SQL Server, Oracle, or Teradata is a plus.
* Deep computer science fundamentals in data structures, algorithms, concurrency, and system design.
* Experience with or strong interest in:
+ AI/ML or LLM\-based applications (agents, prompt/tool engineering, evals, or productionized AI features)
+ Building evaluation frameworks, metrics, and “golden sets” for AI or automation systems
* Familiarity with modern web application architectures, including:
+ Backend\-for\-frontend patterns, API gateways, authentication/authorization, and secure service design
+ Optional: exposure to TypeScript/Node.js or React is a plus, especially when collaborating closely with frontend teams.
* Experience building highly reliable, observable systems:
+ Logging, tracing, metrics, dashboards, and on\-call best practices
+ Testing at multiple levels (unit, integration, end\-to\-end, load/regression)
* Passion for AI\-first user experiences and for building platforms that enable many teams to move faster while keeping systems maintainable and safe.
* Strong communication and collaboration skills, with the ability to work across disciplines and drive cross\-functional initiatives.
* BS/MS in Computer Science, Engineering, or a related field, or equivalent practical experience.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$160,000 \- $230,000\.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20">
      <c r="A20" t="inlineStr">
        <is>
          <t>li-4378846459</t>
        </is>
      </c>
      <c r="B20" t="inlineStr">
        <is>
          <t>Associate Software Engineer</t>
        </is>
      </c>
      <c r="C20" t="inlineStr">
        <is>
          <t>Metron Inc.</t>
        </is>
      </c>
      <c r="D20" t="inlineStr">
        <is>
          <t>linkedin</t>
        </is>
      </c>
      <c r="E20" t="inlineStr"/>
      <c r="F20" t="inlineStr"/>
      <c r="G20" t="inlineStr">
        <is>
          <t>Reston, VA</t>
        </is>
      </c>
      <c r="H20" t="inlineStr"/>
      <c r="I20" t="inlineStr">
        <is>
          <t>**About Metron**
 Metron is an employee\-owned company dedicated to delivering innovative solutions for the most challenging national security problems. For over 40 years, our principled approach to problem\-solving has yielded creative solutions at the intersection of advanced mathematics, computer science, physics, and engineering. Our people are leaders in their technical fields and are passionate about solving challenging problems. We look for individuals who share this same passion and can apply their experience in real\-world settings.
 We are seeking talented programmers with strong computer science, math, and/or physics backgrounds for complex and challenging projects. As a Software Engineer you will be responsible for writing backend infrastructure and frontend web applications for simulation and optimization software that incorporates probabilistic models of physical systems. Project teams range from 2 to 20 people and include a mix of Research Scientists and Software Engineers. Each team member is involved in the entire problem\-solving process, from initial concept through data visualization and analysis, algorithm design, exploratory prototyping, software implementation, demonstration, and deployment. Roles within a team are flexible, giving employees space to contribute to their areas of strength, and to develop new skills. The ideal candidate has experience writing well\-designed, maintainable, and extensible code.
**Required Qualifications**
* Bachelor’s degree in Computer Science, Mathematics, Physics, Applied Math, or related field
* Java, TypeScript, Python or C\+\+ programming experience
* Proficiency in object\-oriented programming
* Familiarity with full\-stack web application development in any frameworks/languages
* Ability to communicate design concepts and performance metrics clearly
* US CITIZENSHIP REQUIRED; Successful candidates will be subject to a security investigation and must meet eligibility requirements for access to classified information
**Desired Qualifications**
* Experience with MongoDB, RabbitMQ, Spring Boot, React, Redux, WebGL and/or OpenGL
* Experience writing algorithmic code, including complexity analysis, performance optimization, and multithreading
* Math background including Probability/Statistics, Linear Algebra, Multivariate Calculus
* Experience designing and implementing user interfaces
 Position Location:
 **Reston, VA**
* The selected individual(s) will be required to work from the Reston, VA office however we are flexible with our relocation timelines.
* Expected Start dates for this role are Spring 2026 and later
**Perks and Benefits**
* Medical, Dental and Vision Insurance
* Accompanying FSA and HSA options
* Additional Voluntary Benefits
* Paid Time Off
* 9 Observed Holidays and 2 Floating Holidays
* Paid Parental Leave
* Tuition Reimbursement
* Relocation Assistance
* Professional Development Reimbursement
* Annual Salary Reviews
* Profit Sharing
* 401(k) Traditional and Roth Options
* Gym and Fitness Reimbursement
* Employee Assistance Program
* Employee Referral Program
* Military Leave
**Metron is an Equal** 
**Employment** 
**Opportunity (EEO) employer. It is the policy of the company to provide equal employment opportunities to all qualified applicants without regard to race, color, religious, sex, sexual orientation, gender identity, national origin, age, protected veteran or disabled status, or genetic information.**
**VEVRAA Federal Contractor**</t>
        </is>
      </c>
    </row>
    <row r="21">
      <c r="A21" t="inlineStr">
        <is>
          <t>li-4332205894</t>
        </is>
      </c>
      <c r="B21" t="inlineStr">
        <is>
          <t>Backend Engineer - AI</t>
        </is>
      </c>
      <c r="C21" t="inlineStr">
        <is>
          <t>Anything</t>
        </is>
      </c>
      <c r="D21" t="inlineStr">
        <is>
          <t>linkedin</t>
        </is>
      </c>
      <c r="E21" t="inlineStr"/>
      <c r="F21" t="inlineStr"/>
      <c r="G21" t="inlineStr">
        <is>
          <t>San Francisco, CA</t>
        </is>
      </c>
      <c r="H21" t="inlineStr"/>
      <c r="I21" t="inlineStr">
        <is>
          <t>**Anything**
 Anything is the AI product engineer for the next wave of entrepreneurs.
 It's an AI agent that turns English into apps. Everything you need make money on the internet built in \- mobile, web, design, AI, backend, infra, payments.
 Launched Aug 7th. https://x.com/anything
 Hit $5m rev and growing quickly
 Try it at anything.com
**Role**
**What This Role Is**
 This role is for people who want to grow faster than they could anywhere else. You will work on real AI systems from day one and take ownership of meaningful product work. You will tackle challenging problems, learn new tools constantly, and operate in an environment where speed, ambition, and personal growth are core expectations. You will be supported by senior engineers but trusted to figure things out, push through ambiguity, and build systems that reach millions of users. This is a place for people who want to develop world class skills early in their career.
 You will be expected to move fast with clarity–reasoning through tradeoffs, writing things down when helpful, and choosing solutions that fit the broader system.
 How you will operate
* Break down complex or unclear problems into clear steps and propose practical solutions
* Make thoughtful tradeoffs between speed, correctness, and long\-term maintainability
* Build AI powered features using TypeScript and modern AI frameworks
* Collaborate closely with product and design to align on goals and ship with confidence
* Talk with users and use the product yourself to understand real\-world needs and opportunities
* Push through obstacles with resourcefulness and a strong problem\-solving mindset
* Learn new concepts quickly and apply them to real production challenges
* Stay up to date on the latest in AI research and engineering
* Take on tasks that stretch your abilities and work hard to close skill gaps quickly
* Contribute to a culture of ownership, ambition, and fast\-paced learning
 AI is a rapidly evolving field, and no one here has all the answers. We value humility, openness to feedback, and a willingness to revise your thinking as you learn. Strong opinions are welcome when they are paired with curiosity and respect for evidence.
 Primary outcomes
 Your success will be measured by:
* Independent problem\-solving and execution You take goals, investigate unknowns, evaluate options, and deliver solutions without waiting for extensive guidance.
* Fast skill growth You significantly expand your technical range within your first months through hands\-on work and deliberate learning.
* Shipped product impact Your features improve user experience, performance, and product depth in measurable and well\-reasoned ways
**Required Background**
 Candidates typically show:
* A strong technical foundation from a top CS program or equivalent hands\-on experience building real systems
* Evidence of ambitious, self\-driven projects or internships that required problem solving and ownership
* Solid programming fundamentals and comfort with TypeScript
* Exceptional ability to read deeply, reason clearly, and communicate complex ideas
* Curiosity about AI systems and a desire to push beyond easy or obvious solutions
* A personal track record of learning quickly and putting in real effort to master difficult skills
* Experience working in fast\-paced environments while balancing care with urgency.
****Nice to have****
* Prior internships in AI, backend, or infrastructure engineering
* Previously been one of the first 10 hires at startup
* Personal projects that show initiative, creativity, and independent thinking
* Backgrounds or interests that span technical and non\-technical domains (e.g. writing, design, philosophy, economics, etc)
****Why this role matters****
 We are building products on the frontier of AI and that requires a team that learns fast, thinks clearly, and works hard. You will grow more in one year here than in several years at a typical company. You will take on challenges that stretch your abilities and solve problems that materially shape the future of the product.
**In all roles**
 We look for:
**Intense** 
 . Ship fast. Cycles are hours, not weeks. Hard to outwork.
**Ownership** 
 . Grab the \#1 priority and relentless to deliver.
**Fearlessness** 
 . Risk on. Do the unknown / uncomfortable. Say "good" to bad news.
**Taste** 
 . Obsess over quality. Know what “great” looks like. No slop.
**Play** 
 . Curiosity, joy, and energy.
 Sound like you?
 Come do the most meaningful work of your career.
**Applying**
 Submit here and we'll reach out if it's a fit.
 Compensation Range: $125K \- $200K</t>
        </is>
      </c>
    </row>
    <row r="22">
      <c r="A22" t="inlineStr">
        <is>
          <t>li-4365569923</t>
        </is>
      </c>
      <c r="B22" t="inlineStr">
        <is>
          <t>Software Engineer III, Chrome</t>
        </is>
      </c>
      <c r="C22" t="inlineStr">
        <is>
          <t>Google</t>
        </is>
      </c>
      <c r="D22" t="inlineStr">
        <is>
          <t>linkedin</t>
        </is>
      </c>
      <c r="E22" t="inlineStr"/>
      <c r="F22" t="inlineStr"/>
      <c r="G22" t="inlineStr">
        <is>
          <t>Mountain View, CA</t>
        </is>
      </c>
      <c r="H22" t="inlineStr"/>
      <c r="I22" t="inlineStr">
        <is>
          <t>**Minimum qualifications:**
* Bachelor’s degree or equivalent practical experience.
* 2 years of experience programming in C\+\+, Java or Python.
**Preferred qualifications:**
* Master's degree or PhD in Computer Science or related technical fields.
* 2 years of experience with data structures or algorithms in either an academic or industry setting.
* 2 years of experience with performance, large 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Chrome is dedicated to building a better, more open web. We’re focused on making a better browser (on both desktop and mobile) to help users take advantage of all the web has to offer in a safe and secure way.Chrome is available across all major platforms — iOS, Android, Windows, Mac, Linux and Chrome OS. We also built Chrome as an open source project so the entire web ecosystem could benefit from the latest innovations in speed, simplicity and security.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
      <c r="A23" t="inlineStr">
        <is>
          <t>li-4340691774</t>
        </is>
      </c>
      <c r="B23" t="inlineStr">
        <is>
          <t>Software Engineer, ML</t>
        </is>
      </c>
      <c r="C23" t="inlineStr">
        <is>
          <t>Twitch</t>
        </is>
      </c>
      <c r="D23" t="inlineStr">
        <is>
          <t>linkedin</t>
        </is>
      </c>
      <c r="E23" t="inlineStr"/>
      <c r="F23" t="inlineStr"/>
      <c r="G23" t="inlineStr">
        <is>
          <t>New York, NY</t>
        </is>
      </c>
      <c r="H23" t="inlineStr"/>
      <c r="I23"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**You Have:**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 Bachelor's degree in Computer Science, Engineering, or equivalent real\-world experience
**Bonus Points**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**Perks**
* Medical, Dental, Vision \&amp; Disability Insurance
* 401(k)
* Maternity \&amp; Parental Leave
* Flexible PTO
* Amazon Employee Discount
 Job ID: TW8973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$99,500—$200,000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24">
      <c r="A24" t="inlineStr">
        <is>
          <t>li-4192503326</t>
        </is>
      </c>
      <c r="B24" t="inlineStr">
        <is>
          <t>Software Engineer - Database Engineering</t>
        </is>
      </c>
      <c r="C24" t="inlineStr">
        <is>
          <t>Snowflake</t>
        </is>
      </c>
      <c r="D24" t="inlineStr">
        <is>
          <t>linkedin</t>
        </is>
      </c>
      <c r="E24" t="inlineStr"/>
      <c r="F24" t="inlineStr"/>
      <c r="G24" t="inlineStr">
        <is>
          <t>Menlo Park, CA</t>
        </is>
      </c>
      <c r="H24" t="inlineStr"/>
      <c r="I24"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We’re hiring talented Software Engineers to join the Snowflake Database Engineering team! In this role you will work directly with our team to evolve our elastic, large scale, high\-performance data processing system. We need smart engineers who can pick up and understand complex technical areas quickly – and who are enthusiastic about building new technologies!
**AS A SOFTWARE ENGINEER AT SNOWFLAKE, YOU WILL:**
* Design, develop, and support a petabyte\-scale cloud database that is highly parallel and fault\-tolerant.
* Build high\-quality and highly reliable software to meet the needs of some of the largest companies on the planet.
* Analyze and understand performance and scalability bottlenecks in the system and solve them.
* Pinpoint problems, instrument relevant components as needed, and ultimately implement solutions.
* Design and implement novel query optimization or distributed data processing algorithms which allow Snowflake to provide industry leading data warehousing capabilities.
* Design and implement the new service architecture required to enable the Snowflake Data Cloud
* Develop tools for improving our customers' insights into their workloads.
**OUR IDEAL SOFTWARE ENGINEER WILL HAVE:**
* 2\+ years industry experience working on commercial or open\-source software.
* Fluency in Java or C\+\+.
* Familiarity with development in a Linux environment.
* Excellent problem solving skills, and strong CS fundamentals including data structures, algorithms, and distributed systems.
* Systems programming skills including multi\-threading, concurrency, etc.
* Experience with implementation testing, debugging and documentation.
* Bachelor’s degree or foreign equivalent in Computer Science, Software Engineering or related field; Masters or PhD preferred.
* Ability to work on\-site in our Menlo Park / Bellevue / Berlin office.
**BONUS POINTS FOR EXPERIENCE WITH THE FOLLOWING:**
* SQL or other database technologies including internal design and implementation.
* Query optimization, query execution, compiler design and implementation.
* Experience with internals of distributed key value stores like FoundationDB and storage engines like RocksDB, InnoDB, BerkeleyDB etc.
* Experience with MySQL, PostgreSQL internals
* Data warehouse design, database systems, and large\-scale data processing solutions like Hadoop and Spark.
* Large scale distributed systems, transactions and consistency models.
* Experience in database replication technology
* Big data storage technologies and their applications, e.g., HDFS, Cassandra, Columnar Databases, etc.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$160,000 \- $230,000\.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25">
      <c r="A25" t="inlineStr">
        <is>
          <t>li-4378831478</t>
        </is>
      </c>
      <c r="B25" t="inlineStr">
        <is>
          <t>Software Engineer (Full Stack)</t>
        </is>
      </c>
      <c r="C25" t="inlineStr">
        <is>
          <t>Cornell University</t>
        </is>
      </c>
      <c r="D25" t="inlineStr">
        <is>
          <t>linkedin</t>
        </is>
      </c>
      <c r="E25" t="inlineStr"/>
      <c r="F25" t="inlineStr"/>
      <c r="G25" t="inlineStr">
        <is>
          <t>Ithaca, NY</t>
        </is>
      </c>
      <c r="H25" t="inlineStr"/>
      <c r="I25" t="inlineStr">
        <is>
          <t>**Working Title: Software Engineer (Full Stack) – Remote**
* Visa Sponsorship is not available for this position.
**About The Cornell Lab Of Ornithology**
 The Cornell Lab of Ornithology is a world leader in the study and protection of biodiversity. Our team powers
 **AllAboutBirds.org** 
 , one of the most visited bird and nature enthusiast resources. We are evolving our digital ecosystem into a high\-scale, data\-driven platform designed to translate scientific discovery into engaging, accessible knowledge for millions of people globally.
**The Opportunity**
 Join the team behind
 **AllAboutBirds.org** 
 , a digital gateway bringing birds and nature to
 **20\+ million people annually.** 
 You will build the bridge between complex scientific data and a massive community of nature lovers—creating high\-performance tools that turn raw information into a journey of discovery.
 You will
 **architect and build t
 *he modern* 
 web and data services** 
 powering our
 **next\-generation user experiences.** 
 Working within a collaborative, iterative team, you will integrate diverse data streams to design dynamic personalized features, self\-service tools, and interactive learning capabilities that drive global engagement with the natural world.
**Team Culture**
* Join a mission\-aligned team creating tools used by millions of bird enthusiasts
* Engage in high\-impact work supporting conservation and scientific outreach
**Essential Duties \&amp; Responsibilities**
* Develop and optimize APIs and data\-integration pipelines that link user engagement metrics with educational resources
* Architect enterprise\-grade technology services in line with Cornell Lab infrastructure
* Develop and maintain web apps, data integration pipelines, CMS, and cloud environments
* Manage platform components: web servers, JS frameworks, container platforms, databases, cloud services, and AI integrations
* Lead full software development lifecycle from requirements through QA and deployment
* Design and maintain application\-level data services
* Implement quality assurance and testing processes
**Remote Opportunity And Required Travel**
* This position is eligible for remote work within the United States; however, preference will be given to candidates located in the Ithaca, New York area. An on\-site presence in Ithaca is required approximately 2–3 times per year to support departmental and university initiatives and travel for these visits will be at the employee’s expense. The university reserves the right to modify, suspend, or terminate the remote or hybrid work arrangement at any time.
**What We Need**
**Required Qualifications:**
* Bachelor’s degree with three (3\) to five (5\) years in computer science, information science, or equivalent combination of education and experience.
* Experience managing enterprise systems and/or services that serve medium to large organizations
* Experience architecting and planning applications and web services
* Proven experience writing application requirements, architecting applications, and documenting code.
* A thorough understanding of object\-oriented programming (OOP) and web applications is essential, as well as experience with the complete software development lifecycle (SDLC)
* Demonstrable experience in the following areas: 1\) interactive asynchronous web application development using modern web application frameworks i.e., Vue, React, etc.; 2\) database\-driven application development
* Good interpersonal skills and diplomacy required with a variety of domain experts, as well as the ability to help establish realistic goals and deliver work on schedule
* Must be self\-motivated and able to work independently and be equally capable of working with the supervisor to prioritize projects and to regularly communicate status and progress
* Experience integrating remote applications and third\-party utilities with resident web applications
* Ability to translate design and functional requirements into technology and web design options
* Demonstrated proficiency in relational database design, resolving access and security issues. Familiarity with QA/QC conventions
* Experience building applications that comply with web usability and accessibility standards
* Strong service orientation. Excellent oral and written communication skills. Ability to work in a fast\-paced, multi\-tasked, team\-based environment
* Experience with agile methodologies and QA/QC practices
* Prior training experience; ability to express highly technical terms in layman’s terms
* Must be able to manage multiple competing deadlines and be able to prioritize work with minimal input from supervisor
* Ability to build working relationships to solve problems and achieve common goals.
* Able to adapt to changing priorities, situations, and demands.
* Proven ability to translate stakeholder needs into technical specifications
* Must have demonstrated ability for working collaboratively and inclusively
* Proven ability to work in a team environment where cooperation between colleagues and flexibility to different styles and approaches is required
* Strong communication skills for cross\-functional collaboration
* Self\-motivated, organized, and capable of independent and collaborative work
* Excellent oral and written communication skills
* Ability to travel to Ithaca, NY for required visits
**If you have all those things, great! We have a few more things that we would prefer you to have, but it’s ok if you don’t.**
**Preferred Qualifications**
* Master’s degree in computer or information science preferred
* Full stack development experience (front\-end, back\-end, cloud\-native)
* Familiarity with CMS platforms, container orchestration, and AI service integration
* Experience with marketing platform integrations and scalable application architecture
* Ability to customize and maintain content management systems (CMS) such as WordPress and experience in syndicating content to other websites with RESTful API
* Experience with modern data platforms integrating data from various sources to allow analysts to create reports for managers
* Experience in fundraising technology, advocacy platforms, or marketing technology (MarTech) is highly desirable; passion for conservation, nature, wildlife, and non\-profit technology is desirable
**Application Information**
* A resume is required for further consideration for this position. A cover letter expressing alignment with Cornell’s Lab mission and this role is strongly encouraged. When applying through our system, please remember to attach your application materials (Cover Letter and Resume) in PDF format.
* Visa Sponsorship of any kind is not available for this position.
* Relocation assistance will not be provided for this position.
**Rewards And Benefits**
* This position is based in Ithaca, New York, however, the successful applicant may perform this role remotely anywhere within the United States. Employees who work remotely may receive multiple W\-2 Forms depending on their work location.
 The New York Convenience of employer guidelines require New York State individual tax reporting and withholding for this position. Additional individual state income tax filings may also be required if working temporarily outside of New York State.
* Cornell receives national recognition as an award\-winning workplace for our health, wellbeing, and sustainability.
* Our benefits programs include comprehensive health care options, generous retirement contributions, access to wellness programs, and employee discounts with local and national retail brands. We invite you to follow this link to get more information about our benefits: Understand Your Benefits \| Working at Cornell.
* Our leave provisions include health and personal leave, three weeks of vacation and 13 holidays: Martin Luther King, Jr. Day, Memorial Day, Juneteenth, Independence Day, Labor Day, Thanksgiving and the day after, and an end of the year winter break from December 25\-January 1\. To offer greater flexibility for observing faiths and traditions we also offer two additional floating holidays. Learn more about our generous leave provisions: Holiday and Accrued Time Off \| Working at Cornell
* Cornell's impressive educational benefits include tuition\-free Extramural Study and Employee Degree Program, tuition aid for external education, and Cornell Children's Tuition Assistance Program. Learn more about our extensive educational benefits: Education Benefits \| Working at Cornell
* Follow this link to learn more about the Total Rewards of Working at Cornell:
 Total Rewards \| Working at Cornell.
***Visa sponsorship is not available for this position.***
**University Job Title**
 Software Engineer III
**Job Family**
 Information Technology
**Level**
 F
**Pay Rate Type**
 Salary
**Pay Range**
 $98,548\.00 \- $114,529\.00
**Remote Option Availability**
 Remote
**Company**
 Contract College
**Contact Name**
 Maria Avila
**Contact Email**
 mia28@cornell.edu
**Job Titles And Pay Ranges**
**Non\-Union Positions**
 Noted Pay Ranges Reflect The Potential Pay Opportunity For Each Job Profile. The Hiring Rate Of Pay For The Successful Candidate Will Be Determined Considering The Following Criteria
* Prior relevant work or industry experience
* Education level to the extent education is relevant to the position
* Unique applicable skills
* Academic Discipline
 To learn more about Cornell’s non\-union staff job titles and pay ranges, see Career Navigator.
**Union Positions**
 The hiring rate of pay for the successful candidate will be determined in accordance with the rates in the respective collective bargaining agreement. To learn more about Cornell’s union wages, see Union Pay Rates.
**Current Employees**
 If you currently work at Cornell University, please exit this website and log in to Workday using your Net ID and password. Select the Career icon on your
 **Home** 
 dashboard to view jobs at Cornell.
**Online Submission Guidelines**
 Most positions at Cornell will require you to apply online and submit both a resume/CV and cover letter. You can upload documents either by “dragging and dropping” them into the dropbox or by using the “upload” icon on the application page. For more detailed instructions on how to apply to a job at Cornell, visit How We Hire on the HR website.
**Employment Assistance**
 For general questions about the position or the application process, please contact the Recruiter listed in the job posting or email mycareer@cornell.edu.
 If you require an accommodation for a disability in order to complete an employment application or to participate in the recruiting process, you are encouraged to contact Cornell Office of Civil Rights at voice (607\) 255\-2242, or email at accommodations@cornell.edu.
 Applicants that do not have internet access are encouraged to visit your local library, or local Department of Labor. You may also request an appointment to use a dedicated workstation in the Office of Talent Attraction and Recruitment, at the Ithaca campus, by emailing mycareer@cornell.edu.
**Notice To Applicants**
 Please read the required Notice to Applicants statement by
 **clicking here** 
 . This notice contains important information about applying for a position at Cornell as well as some of your rights and responsibilities as an applicant.
**EEO Statement**
 Cornell welcomes students, faculty, and staff with diverse backgrounds from across the globe to pursue world\-class education and career opportunities, to further the founding principle of “... any person ... any study.” No person shall be denied employment on the basis of any legally protected status or subjected to prohibited discrimination involving, but not limited to, such factors as race, ethnic or national origin, citizenship and immigration status, color, sex,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Cornell University embraces diversity in its workforce and seeks job candidates who will contribute to a climate that supports students, faculty, and staff of all identities and backgrounds. We hire based on merit, and encourage people from historically underrepresented and/or marginalized identities to apply. Consistent with federal law, Cornell engages in affirmative action in employment for qualified protected veterans as defined in the Vietnam Era Veterans’ Readjustment Assistance Act (VEVRAA) and qualified individuals with disabilities under Section 503 of the Rehabilitation Act. We also recognize a lawful preference in employment practices for Native Americans living on or near Indian reservations in accordance with applicable law.
 2026\-02\-18</t>
        </is>
      </c>
    </row>
    <row r="26">
      <c r="A26" t="inlineStr">
        <is>
          <t>li-4127688518</t>
        </is>
      </c>
      <c r="B26" t="inlineStr">
        <is>
          <t>Senior Software Engineer, Backend</t>
        </is>
      </c>
      <c r="C26" t="inlineStr">
        <is>
          <t>Oscar Health</t>
        </is>
      </c>
      <c r="D26" t="inlineStr">
        <is>
          <t>linkedin</t>
        </is>
      </c>
      <c r="E26" t="inlineStr"/>
      <c r="F26" t="inlineStr"/>
      <c r="G26" t="inlineStr">
        <is>
          <t>New York, NY</t>
        </is>
      </c>
      <c r="H26" t="inlineStr"/>
      <c r="I26" t="inlineStr">
        <is>
          <t>Hi, we're Oscar. We're hiring a Senior Software Engineer, Backend to join our Engineering team.
 Oscar is the first health insurance company built around a full stack technology platform and a focus on serving our members. We started Oscar in 2012 to create the kind of health insurance company we would want for ourselves—one that behaves like a doctor in the family.
**About The Role**
 As a Senior Software Engineer, you will build reliable and maintainable applications, infrastructure, and interfaces that make interacting with the health care system easier for members and providers. You will work with partners, product managers, and designers to solve challenging problems. Senior Engineers collaborate with other engineers on the team to improve technology and apply best practices.
**Work Location:** 
 This position is based in our New York City office, requiring a hybrid work schedule with 3 days of in\-office work per week. Thursdays are a required in\-office day for team meetings and events, while your other two office days are flexible to suit your schedule.
**Pay Transparency:** 
 The base pay for this role is: $158,400 \- $207,900 per year. You are also eligible for employee benefits, participation in Oscar's unlimited vacation program, company equity grants, and annual performance bonuses.
**Responsibilities**
* Become the expert on your team's business and technical domains.
* Lead the planning, execution and release of complex technical projects.
* Work with partners, product managers, and designers to solve challenging problems.
* Collaborate with other engineers on the team to improve technology and apply best practices.
* Implement step\-wise technical migrations of our existing services and applications.
* Own small to medium features or infrastructure projects from technical design through completion with little required guidance.
* Independent contributor to their team. Work effectively across the codebase with appropriate guidance from code owners.
* Make steady, well\-paced progress without requiring frequent significant feedback from more senior engineers.
* Compliance with all applicable laws and regulations
* Other duties as assigned
**Qualifications**
* 5\+ years of professional software engineering experience, working with a variety of technologies, and have increasingly impactful accomplishments
* Experience proposing, experimenting, and iterating, whether it be a new shiny technology or an arcane, ill\-conceived data structure; our company may be new, but the health industry isn't!
* Experience with technical contributions, improving the quality of what you create, and are excited to build fault\-tolerant, and scalable software systems.
* Demonstrates solid understanding of the practical application of CS concepts within their team.
* Consistently writes stable, correct, and maintainable code with little oversight; writes modular, adaptable code with guidance.
 Bonus Points
* Experience supporting libraries and writing in Python and Golang.
* Experience owning observability stack tooling, e.g. Grafana, BigQuery, Kubernetes.
* Experience working in data and engineering tooling, e.g. discovery libraries, data replication, data transfer tools, authentication, authorization libraries.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27">
      <c r="A27" t="inlineStr">
        <is>
          <t>li-4297730991</t>
        </is>
      </c>
      <c r="B27" t="inlineStr">
        <is>
          <t>Senior Software Engineer - Backend</t>
        </is>
      </c>
      <c r="C27" t="inlineStr">
        <is>
          <t>Databricks</t>
        </is>
      </c>
      <c r="D27" t="inlineStr">
        <is>
          <t>linkedin</t>
        </is>
      </c>
      <c r="E27" t="inlineStr"/>
      <c r="F27" t="inlineStr"/>
      <c r="G27" t="inlineStr">
        <is>
          <t>Bellevue, WA</t>
        </is>
      </c>
      <c r="H27" t="inlineStr"/>
      <c r="I27" t="inlineStr">
        <is>
          <t>P\-939
 (Position Location is open to both our Seattle \&amp; Bellevue offices.)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solve technical challenges, from designing next\-gen UI/UX for interfacing with data to scaling our services and infrastructure across millions of virtual machines. And we're only getting started.
**The Impact You'll Have**
 As a software engineer with a backend focus, you will work with your team to build infrastructure and products for the Databricks platform at scale. Our backend teams span many domains, from OS/container systems, to serverless infrastructure, to partner integration, and to machine learning infrastructure.
 Below are some example projects and the
* Serverless platform: Build Databricks serverless platform that powers the big data, machine learning and Gen AI workloads. Automatically improve the performance and efficiency of workloads running on the platform while also ensuring they scale to millions of machines across a multi\-cloud environment.
* Core cloud platform: Build cutting\-edge OS, container and networking technologies that power the entire Databricks infrastructure, from internal infrastructure, to serverful, and to serverless platform. Improve the security, efficiency and reliability across the fleet.
* Partner ecosystem: Build and grow a partner ecosystem for Databricks SQL. Build and offer a variety of toolkits to support partners and customers’ deep and seamless integrations with Databricks. Maintain and nurture productive and beneficial partnerships within the ecosystem.
* Notebook dataplane: Build multi\-language multi\-user collaborative REPL experience for Databricks users with high level of reliability and responsiveness, with a focus on Data Science and AI/ML authoring and experimentation experiences in notebooks.
* Application platform. Build tools, frameworks and platforms to allow Databricks engineers to build, deploy and operate services with "batteries included". Improve the scale, observability and safety of all Databricks services across different clouds while improving every engineer's developer experience.
**What We Look For** 
* 
+ BS (or higher) in Computer Science, or a related field
+ 5\+ years of production level experience in one of: Java, Scala, Golang, C\+\+, or similar language
+ Experience developing large\-scale distributed systems
+ Experience working on a SaaS platform or with Service\-Oriented Architectures
+ Experience with cloud technologies, e.g. AWS, Azure, GCP, or Kubernetes
+ Experience with security and systems that handle sensitive data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$157,700—$213,800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28">
      <c r="A28" t="inlineStr">
        <is>
          <t>li-4340561625</t>
        </is>
      </c>
      <c r="B28" t="inlineStr">
        <is>
          <t>Full-Stack Software Engineer 5 - Ecosystem and Operational Insights</t>
        </is>
      </c>
      <c r="C28" t="inlineStr">
        <is>
          <t>Netflix</t>
        </is>
      </c>
      <c r="D28" t="inlineStr">
        <is>
          <t>linkedin</t>
        </is>
      </c>
      <c r="E28" t="inlineStr"/>
      <c r="F28" t="inlineStr"/>
      <c r="G28" t="inlineStr">
        <is>
          <t>Los Gatos, CA</t>
        </is>
      </c>
      <c r="H28" t="inlineStr"/>
      <c r="I28"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Client and Partner Technologies (CPT) team builds tools and services to scale the Netflix application platform to over half a billion devices while maintaining high quality standards. The Ecosystem and Operational Insights team within CPT is looking for a senior full\-stack engineer with a front\-end focus to help us revamp our suite of developer productivity tools.
 This team accelerates the software developer lifecycle at Netflix by building tools and services that improve feedback loops and enable confident code delivery. We work closely with our device labs which span iOS, Android, TV and web platforms, to provide reliable, real\-world validation at scale.
 We are looking for versatile specialists who think beyond implementation details, who can empathize with fellow developers, challenge assumptions, and help shape the "why" behind what we build. You should bring a strong perspective on product direction and design, not just execution, and be comfortable working at the intersection of user experience, design, and modern web application development.
 You will excel if you are comfortable with the ambiguity that comes with innovation, can deliver scalable technical solutions, remove technical debt, make strategic decisions for long\-term effectiveness, and approach problems with a curiosity\-driven lens.
**What You Will Do**
* Drive new technical solutions across teams, from system design to deployment
* Design, build, and refine custom developer tooling from the ground up, providing insights that go beyond those available in off\-the\-shelf business intelligence dashboards
* Revamp and update existing tools and services for integration into developer workflows
* Troubleshoot and resolve issues across the stack, including back\-end services, to ensure smooth operation and high reliability of our tools
* Work with our product manager, design team, and stakeholders across Netflix to gather insights, identify opportunities, and define solutions that will scope and shape our product decisions
* Operate in a cross\-functional and dynamic environment where you will collaborate and learn with stunning colleagues from a variety of technical domains and backgrounds to achieve the common goal of entertaining the world
**What We Are Looking For**
* 7\+ years of experience in a software development role
* Demonstrable technical expertise to critically evaluate front\-end architectures and user experience flows, form well\-reasoned recommendations for the best path forward, and navigate ambiguity by iteratively refining solutions based on stakeholder feedback and evolving requirements
* Strong full\-stack development skills with an emphasis in front\-end UI work focused on building scalable, maintainable, and high\-quality developer tools
* Experience with at least several UI frameworks
* Deep experience with React \&amp; GraphQL
* Strong programming skills in JavaScript, TypeScript, and experience with Java and Node.js
* Experience collaborating closely with designers to translate UX/UI designs into delightful developer experiences
* Ability to learn and leverage in\-house software frameworks/components/services to build scalable solutions
* Outstanding communicators who are curious, flexible, and selfless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29">
      <c r="A29" t="inlineStr">
        <is>
          <t>li-4087628442</t>
        </is>
      </c>
      <c r="B29" t="inlineStr">
        <is>
          <t>Senior/Staff Software Engineer, Data Platform</t>
        </is>
      </c>
      <c r="C29" t="inlineStr">
        <is>
          <t>Nuro</t>
        </is>
      </c>
      <c r="D29" t="inlineStr">
        <is>
          <t>linkedin</t>
        </is>
      </c>
      <c r="E29" t="inlineStr"/>
      <c r="F29" t="inlineStr"/>
      <c r="G29" t="inlineStr">
        <is>
          <t>Mountain View, CA</t>
        </is>
      </c>
      <c r="H29" t="inlineStr"/>
      <c r="I29" t="inlineStr">
        <is>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scale—empowering a safer, richer, and more connected future.
**About The Role**
 Nuro takes a machine\-learning\-first approach to autonomous driving technology. In an ML\-first system, the overall system performance depends heavily on the quantity and diversity of its training and evaluation data.
 The team plays a crucial role in the advancement of autonomous driving systems by creating a scalable and reliable data infrastructure. This infrastructure is designed to produce training and evaluation data derived from both on\-road collected logs and simulation logs. Additionally, the team collaborates closely with system engineers to thoroughly validate the autonomous driving system before its deployment.
**About The Work**
* Design and develop unified, introspectable, large\-scale batch and streaming data processing systems that can ingest and process data across a wide range of use cases relevant to evaluation.
* Create and implement a storage system capable of accommodating both the large volume and diverse range of evaluation and performance metrics.
* Construct intuitive dashboards and reports to present evaluation results, facilitating straightforward comparisons that highlight both improvements and regressions.
* Design and develop comprehensive end\-to\-end data pipelines that streamline the flow from data ingestion to final consumption.
* Develop and maintain continuous testing and monitoring systems to guarantee the integrity and resilience of our data and associated data pipelines
**About You**
* B.Sc or M.Sc. plus 4\+ years of relevant work experience
* Strong proficiency in Python, C\+\+, or similar languages
* Domain experience: Experience working with large scale data and building scalable \&amp; reliable systems / data pipelines; ability to understand and design complex systems
* Engineering leadership: Experience setting team or project product and technical vision, timelines and prioritization; formally or informally being a Tech Lead, mentoring and support junior engineers
* Technical excellence: Ability and willingness to deep dive into implementation, driving technical standards and best practices across broader software organization
* A bachelor's degree in Computer Science, Electrical Engineering, or a closely related field
**Bonus Points**
* Strong knowledge of GCP, GCS, BigQuery, or PostgreSQL
* Knowledge of data engineering, and its tooling and best practices
* Knowledge of batch and streaming data processing, warehousing, and analytics solutions
* Experience working with large scale distributed data systems
* Experience with system \&amp; framework design
* Experience with data workflow orchestration platforms
 At Nuro, your base pay is one part of your total compensation package. For this position, the reasonably expected pay range is between $193,930 and $352,290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is>
      </c>
    </row>
    <row r="30">
      <c r="A30" t="inlineStr">
        <is>
          <t>li-4379790571</t>
        </is>
      </c>
      <c r="B30" t="inlineStr">
        <is>
          <t>Software Engineer - Early Career</t>
        </is>
      </c>
      <c r="C30" t="inlineStr">
        <is>
          <t>Lensa</t>
        </is>
      </c>
      <c r="D30" t="inlineStr">
        <is>
          <t>linkedin</t>
        </is>
      </c>
      <c r="E30" t="inlineStr"/>
      <c r="F30" t="inlineStr"/>
      <c r="G30" t="inlineStr">
        <is>
          <t>Mountain View, CA</t>
        </is>
      </c>
      <c r="H30" t="inlineStr"/>
      <c r="I3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General Motors. Clicking "Apply Now" or "Read more" on Lensa redirects you to the job board/employer site. Any information collected there is subject to their terms and privacy notice.
**Job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To help facilitate administration of relocation benefits if you are selected, please apply using the permanent address you would move from.
**Work Arrangement:** 
 Hybrid: This role is categorized as hybrid. This means the successful candidate is expected to report to the office three times per week, at minimum.
**Location:**
 Mt. View, California \- Mountain View Technical Center
 Warren, Michigan \- GM Global Technical Center – Cole Engineering Center
**The Team**
 Software\-defined vehicles are revolutionizing the automotive industry, driven by technological advancements and the growing demand for intelligent, safer, and more environmentally sustainable transportation solutions. At the heart of this transformation is software—the driving force behind communication, security enhancements, real\-time updates, data processing, and a seamless user experience. These innovations extend beyond consumer benefits, offering significant advantages for business owners.
 The adoption of advanced software solutions serves as a catalyst for increased efficiency, cost reduction, enhanced safety, improved decision\-making, and higher employee satisfaction. This enables businesses to achieve their goals and stay competitive in a rapidly evolving market. Additionally, our solutions are designed to accelerate the transition to electric vehicles, contributing to the decarbonization of the transportation sector.
 At General Motors, we are on an ambitious journey to lead the development of next\-generation software solutions for commercial fleet owners and drivers, from small and medium\-sized businesses to large enterprises. As a leading OEM, our vast fleet of GM vehicles operates globally, giving us a unique advantage in controlling both in\-vehicle and cloud software. This allows us to deliver seamless solutions in fleet management, energy optimization, transportation logistics, safety systems, and more.
**What You’ll Do:** 
 \*\* \*\*
 We are seeking highly motivated and passionate engineering students and recent graduates to join our team as Software Engineers. As part of our team, you will have the opportunity to work on cutting\-edge software solutions that enhance the intelligence, safety, and sustainability of our vehicles, ultimately helping business owners achieve their objectives in a rapidly evolving market.
**Key Responsibilities Could Include**
* Backend Development and distributed systems: Develop robust distributed systems, high available infrastructure, scalable backend systems, craft business logic, and expose data through scalable. APIs. Collaborate with frontend teams to ensure seamless integration and deliver optimal user experiences.
* Mobile and Web Development: Design, develop, and maintain high\-performance mobile and web applications. Drive product innovation by architecting, implementing, and testing robust solutions.
* Android In\-Vehicle Development: Create cutting\-edge digital experiences using General Motors' vehicle hardware, pioneering the future of in\-vehicle technology.
* AI Development: Leverage AI to create groundbreaking user experiences. Research, develop, and deploy AI solutions that drive business value and delight customers.
**Minimum Qualifications**
* Pursuing a BS or MS in Computer Science or Computer Engineering
* Must be graduating between December 2025 and August 2026
* Able to work full time, 40 hours a week
**What Will Give You a Competitive Edge (Preferred Qualifications)**
* Strong object\-oriented design skills and in\-depth knowledge of data structures and algorithms.
* Proficiency in one or more of the following: Java, C/C\+\+, Golang, Python, Linux, SQL, JavaScript, CSS, HTML5\.
* Experience with distributed systems implementation
* Experience with web frameworks such as ReactJS, NodeJS
* Expertise in client\-server protocol and API design.
* Ability to translate multi\-functional requirements into practical engineering tasks.
* Strong debugging, analytical, and problem\-solving skills.
* Excellent collaboration and communication skills.
* Ability to thrive in a fast\-paced, team\-oriented environment.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$100,000 \- $140,000\. The actual base salary a successful candidate will be offered within this range will vary based on factors relevant to the position.
* Bonus Potential: An incentive pay program offers payouts based on company performance, job level, and individual 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(https://search\-careers.gm.com/en/working\-at\-gm/total\-rewards)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(https://search\-careers.gm.com/en/how\-we\-hire) .
**Accommodations**
 General Motors offers opportunities to all job seekers including individuals with disabilities. If you need a reasonable accommodation to assist with your job search or application for employment, email (Careers.Accommodations@GM.com) us or call us at 1\-800\-865\-7580\. In your email, please include a description of the specific accommodation you are requesting as well as the job title and requisition number of the position for which you are applying.
**About**
 We are leading the change to make our world better, safer and more equitable for all through our actions and how we behave. Learn more about:
**Our Company (https://search\-careers.gm.com/en/working\-at\-gm/)**
**Our Culture**
**How we hire (https://search\-careers.gm.com/en/how\-we\-hire/)**
 Our diverse team of employees bring their collective passion for engineering, technology and design to deliver on our vision of a world with Zero Crashes, Zero Emissions and Zero Congestion. We are looking for adventure\-seekers and imaginative thought leaders to help us transform mobility.
 Explore our global locations (https://search\-careers.gm.com/en/locations/)
 We are determined to lead change for the world through technology, ingenuity and harnessing the creativity of our diverse team. Join us to help lead the change that will make our world better, safer and more equitable for all by becoming a member of GM’s Talent Community (beamery.com) (https://flows.beamery.com/generalmotors/talcom) . As a part of our Talent Community, you will receive updates about GM, open roles, career insights and more.
 Please note that filling out the form below will not add you to our Talent Community automatically; you will need to use the link above. If you are seeking to apply to a specific role, we encourage you to click “Apply Now” on the job posting of interest.
 The policy of General Motors is to extend opportunities to qualified applicants and employees on an equal basis regardless of an individual's age, race, color, sex, religion, national origin, disability, sexual orientation, gender identity/expression or veteran status. Additionally, General Motors is committed to being an Equal Employment Opportunity Employer and offers opportunities to all job seekers including individuals with disabilities. If you need a reasonable accommodation to assist with your job search or application for employment, email us at Careers.Accommodations@GM.com .In your email, please include a description of the specific accommodation you are requesting as well as the job title and requisition number of the position for which you are applying.
 If you have questions about this posting, please contact support@lensa.com</t>
        </is>
      </c>
    </row>
    <row r="31">
      <c r="A31" t="inlineStr">
        <is>
          <t>li-4379797865</t>
        </is>
      </c>
      <c r="B31" t="inlineStr">
        <is>
          <t>Software Engineer I</t>
        </is>
      </c>
      <c r="C31" t="inlineStr">
        <is>
          <t>Lensa</t>
        </is>
      </c>
      <c r="D31" t="inlineStr">
        <is>
          <t>linkedin</t>
        </is>
      </c>
      <c r="E31" t="inlineStr"/>
      <c r="F31" t="inlineStr"/>
      <c r="G31" t="inlineStr">
        <is>
          <t>Seattle, WA</t>
        </is>
      </c>
      <c r="H31" t="inlineStr"/>
      <c r="I3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
 If you have questions about this posting, please contact support@lensa.com</t>
        </is>
      </c>
    </row>
    <row r="32">
      <c r="A32" t="inlineStr">
        <is>
          <t>li-4365590011</t>
        </is>
      </c>
      <c r="B32" t="inlineStr">
        <is>
          <t>Software Engineer III, Full Stack, Core</t>
        </is>
      </c>
      <c r="C32" t="inlineStr">
        <is>
          <t>Google</t>
        </is>
      </c>
      <c r="D32" t="inlineStr">
        <is>
          <t>linkedin</t>
        </is>
      </c>
      <c r="E32" t="inlineStr"/>
      <c r="F32" t="inlineStr"/>
      <c r="G32" t="inlineStr">
        <is>
          <t>Sunnyvale, CA</t>
        </is>
      </c>
      <c r="H32" t="inlineStr"/>
      <c r="I3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3">
      <c r="A33" t="inlineStr">
        <is>
          <t>li-4378808488</t>
        </is>
      </c>
      <c r="B33" t="inlineStr">
        <is>
          <t>Software Engineer - AI/ML</t>
        </is>
      </c>
      <c r="C33" t="inlineStr">
        <is>
          <t>NISC</t>
        </is>
      </c>
      <c r="D33" t="inlineStr">
        <is>
          <t>linkedin</t>
        </is>
      </c>
      <c r="E33" t="inlineStr"/>
      <c r="F33" t="inlineStr"/>
      <c r="G33" t="inlineStr">
        <is>
          <t>Austin, TX</t>
        </is>
      </c>
      <c r="H33" t="inlineStr"/>
      <c r="I33" t="inlineStr">
        <is>
          <t>**Company Overview:**
 For more than 50 years, NISC has worked to develop technology solutions for our customers, who we call our "Members". Those Members are comprised primarily of 960\+ energy (utility) and communication (broadband) organizations across North America. Our mission is to deliver technology solutions and services that are Member\-focused, quality driven and valued priced. Our Members have over 18 million end customers (residential and businesses who receive power, internet, television and/or telephone services) that our enterprise software solution enables our Member's employees to compete effectively in the industry, while excelling in providing customer service to their end customers.
 NISC exists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**Position Overview:**
 We are looking for a high\-agency, AI\-native Software Engineer who loves building real\-world AI systems that make a measurable difference.
 This is not a research role. This is not a "play with models in a lab" role. This is a builder role.
 You will design, build, ship, and continuously improve production\-grade AI applications that are embedded directly into mission\-critical software used by utilities and broadband providers across North America. Your work will power customer service interactions, operational workflows, and intelligent automation at scale.
 We are looking for someone who:
* Gets excited about taking AI from idea → prototype → production → scale
* Loves experimenting with new models, frameworks, and agentic patterns
* Has a "there's a way" mindset when solving hard technical problems
* Believes AI should drive tangible business impact, not just technical novelty
* Thrives in ambiguity and moves fast while maintaining engineering discipline
 At NISC, AI is not a side initiative — it is a core strategic priority. You will help shape how AI transforms the way our Members serve their communities.
 If you've built and deployed AI systems that real users depend on — and you want to do it in an organization that values ownership, innovation, and meaningful impact — we encourage you to apply.
**Essential Functions:**
* Design \&amp; Build Production AI Systems: Architect, develop, and deploy AI\-powered features and applications using LLMs, RAG pipelines, agentic workflows, and modern ML techniques.
* Own Outcomes, Not Just Code: Take ideas from concept to production. Prototype quickly, validate with users, iterate based on feedback, and optimize for reliability and performance.
* LLM \&amp; Agent Integration: Integrate foundation models, fine\-tuned models, and multi\-agent systems into enterprise\-grade applications in secure, scalable environments.
* Data \&amp; Retrieval Engineering: Design and optimize data ingestion pipelines, embeddings workflows, and vector database implementations that support high\-quality AI responses.
* Performance \&amp; Scalability: Deploy AI systems that are resilient, observable, and cost\-efficient in production environments.
* Mission Alignment: Ensure solutions are practical, intuitive, and aligned with the operational realities of cooperatives, utilities, and broadband providers.
* Continuous Innovation: Actively explore new AI capabilities and rapidly evaluate how they can improve our products and development practices.
* Collaborative Execution: Partner with product, architecture, and engineering teams to embed AI capabilities across our enterprise platform.
* Follow all established software development methodologies and procedures.
* Other duties as assigned
**Desired Experience \&amp; Skills:** 
* 8\-10\+ years experience in software development, preferably with at least 3\+ years in AI/ML software development.
* Demonstrated experience shipping AI solutions used by real customers — not just prototypes or academic projects
* Experience integrating LLMs into applications (prompt engineering, evaluation, fine\-tuning, API orchestration)
* Experience designing RAG pipelines, embeddings workflows, and working with vector databases
* Experience deploying AI systems in cloud environments (AWS, Azure, GCP)
* Technical Expertise:
+ Strong Python proficiency and familiarity with ML frameworks (PyTorch, TensorFlow, or equivalent)
+ Experience building scalable APIs and backend services
+ Understanding of agentic architectures, orchestration frameworks, or multi\-agent systems
+ Experience optimizing AI performance, cost, and latency in production
+ Familiarity with observability, evaluation frameworks, and model monitoring
* Mindset \&amp; Attributes (Critical for Success)
+ Builder mentality — you love shipping
+ High ownership — you see problems and move toward them
+ Curiosity about emerging AI capabilities and how to apply them pragmatically
+ Bias toward action and experimentation
+ Comfort operating in evolving AI landscapes
+ Ability to balance speed with engineering discipline
+ Strong communicator who can translate AI capabilities into business value
* Bonus Experience
+ Experience in utilities, broadband, cooperatives, or enterprise SaaS
+ Knowledge of AI safety, evaluation strategies, or explainability techniques
+ Full\-stack experience or ability to deliver end\-to\-end AI features
+ Portfolio, GitHub, or case studies demonstrating deployed AI systems
* Experience working with utilities, broadband providers, or cooperatives, preferred.
* Commitment to NISC's Statement of Shared Values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 Virtual Office Location: Fully remote candidates will be considered for candidates who have a background in providing AI/ML solutions that work in real world applications, not just conceptual understanding or research based projects.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Bachelor's Degree in a Computer Science, Computer Engineering,  or a related field and/or equivalent experience.
 Master's Degree in Artificial Intelligence or Machine Learning, preferred.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Employees must be able to see, speak, and hear, to operate computer keyboards or office equipment, and are required to stand, walk, and sit.
**Disclaimer:**
 Management may modify this job description by assigning or reassigning duties and responsibilities at any time.</t>
        </is>
      </c>
    </row>
    <row r="34">
      <c r="A34" t="inlineStr">
        <is>
          <t>li-4377754434</t>
        </is>
      </c>
      <c r="B34" t="inlineStr">
        <is>
          <t>Software Engineer - Python</t>
        </is>
      </c>
      <c r="C34" t="inlineStr">
        <is>
          <t>PayPal</t>
        </is>
      </c>
      <c r="D34" t="inlineStr">
        <is>
          <t>linkedin</t>
        </is>
      </c>
      <c r="E34" t="inlineStr"/>
      <c r="F34" t="inlineStr"/>
      <c r="G34" t="inlineStr">
        <is>
          <t>San Jose, CA</t>
        </is>
      </c>
      <c r="H34" t="inlineStr"/>
      <c r="I3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At PayPal, Backend Software Engineers play a pivotal role in building the systems that power millions of global transactions every day. As a Backend Python Engineer on the Venmo Identity Engineering team, you will develop secure, scalable backend solutions that enable authentication and authorization for millions of customers. You’ll write clean, efficient code, collaborate with experienced engineers, and contribute to building high\-performance systems that enhance customer trust and experience. This role is ideal for engineers eager to grow their technical expertise while working on mission\-critical identity services.
**Job Description:**
**Essential Responsibilities:**
* Implements tasks within the Software Development Lifecycle (SDLC), receiving structure and oversight from more experienced staff
* Follows well\-established internal conventions and standard procedures
* Understands internal standards \&amp; processes an applies them to make technical decisions
* Collaborates with peers, manager, and project lead to gain understanding of tasks and review solutions
* May contribute to code \&amp; design reviews
**Expected Qualifications:**
* 1\+ years relevant experience and a Bachelor’s degree OR Any equivalent combination of education and experience.
**Additional Qualifications**
**Additional Responsibilities and Preferred Qualifications**
* Strong foundation in programming concepts, data structures, and algorithms.
* Proficiency in Python and experience with frameworks such as Django or Flask.
* Build and maintain backend services for identity and authentication workflows.
* Collaborate with product managers and senior engineers to deliver impactful business outcomes.
* Participate in code reviews, design discussions, and contribute to improving development processes.
* Troubleshoot and resolve technical issues across distributed systems.
* Understanding of web services, REST APIs, and Service\-Oriented Architecture (SOA).
* Familiarity with relational and/or NoSQL databases.
* Experience with version control systems (e.g., Git) and collaborative development workflows.
**Preferred Qualifications**
* Exposure to identity and authentication technologies, including OAuth2 and secure token management.
* Interest in large\-scale, high\-performance distributed systems.
* Familiarity with cloud platforms such as AWS, GCP, or Azure.
* Awareness of the payments industry and related compliance or regulatory standards.
**About The Team**
* The Venmo Identity Engineering team powers the authentication and authorization experiences that millions of Venmo customers rely on every day. We design and build secure, high\-performance systems that drive trust and simplicity across Venmo's ecosystem. Our team partners closely with product, design, and security to deliver innovative, customer\-first solutions.
 The base pay for this role will depend on where you work and the relevant experience and expertise you bring. The expected range of pay for this role by location is:
**Primary Location : Pay Range:**
 San Jose, California : ($116,500\.00 \- $173,250\.00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R0134423</t>
        </is>
      </c>
    </row>
    <row r="35">
      <c r="A35" t="inlineStr">
        <is>
          <t>li-4374082532</t>
        </is>
      </c>
      <c r="B35" t="inlineStr">
        <is>
          <t>Junior Software Engineer</t>
        </is>
      </c>
      <c r="C35" t="inlineStr">
        <is>
          <t>MetLife</t>
        </is>
      </c>
      <c r="D35" t="inlineStr">
        <is>
          <t>linkedin</t>
        </is>
      </c>
      <c r="E35" t="inlineStr"/>
      <c r="F35" t="inlineStr"/>
      <c r="G35" t="inlineStr">
        <is>
          <t>Cary, NC</t>
        </is>
      </c>
      <c r="H35" t="inlineStr"/>
      <c r="I35" t="inlineStr">
        <is>
          <t>**Requirements**
**Description and Requirements**
**The Team You Will Join**
 When you join MetLife’s Global Technology team, you’ll be part of a forward\-thinking group dedicated to shaping the future of digital solutions for customers worldwide. You’ll develop, maintain and support technology applications and delivery, leveraging AI, automation, and contemporary ways of working to enhance experiences and drive business outcomes. Your work will simplify complex processes, improve tech resiliency, and ensure high\-performing, seamless solutions that power life’s most important moments. In this dynamic environment, you’ll collaborate with talented peers across teams and functions, expanding your skills in impactful ways. Ready to push boundaries and set new industry standards? Join us and help drive the future of technology forward.
**The Opportunity**
 As an Early Career Technologist, you will contribute to the development and support of software applications and platforms that help people build a more confident future. This is an ideal opportunity for new college graduates and early\-career technologists passionate about building scalable, secure, and intelligent solutions. You’ll work in a collaborative, agile environment and gain exposure to modern software engineering practices and AI\-enabling technologies.
 Employees hired for this role are expected to start full\-time in Cary, NC in mid\-June 2026\.
**How You’ll Help Us Build a Confident Future (Key Responsibilities)**
* Assist in gathering and refining product requirements and user stories.
* Support the design, development, testing, and deployment of full stack software applications (UI, API, Data) while leveraging AI tools.
* Participate in peer reviews of code, solution designs, and configurations.
* Help investigate and resolve production incidents and service requests.
* Collaborate with cross\-functional teams to identify innovative solutions.
* Contribute to the integration of AI capabilities into applications (e.g., GenAI APIs, ML models).
**What You Need To Succeed (Required Qualifications)**
* A bachelor's degree in Computer Science, Information Systems, Engineering, or a closely related discipline must be conferred prior to start date.
* Internship or academic project experience in software development or AI/ML.
* Demonstrated ability to quickly learn and apply new skills to deliver high quality software as evidenced by academic or project experience.
* Proficiency in at least one programming language (e.g., Java, Python, C\#, JavaScript/TypeScript, COBOL, etc.).
* Basic understanding of software design principles and coding best practices.
* Familiarity with Database concepts, design, and development.
* Familiarity with cloud\-native technologies (e.g., Azure, AWS, GCP).
* Basic knowledge of secure coding practices and automated testing.
* Strong communication, collaboration, and problem\-solving skills.
**What Can Give You An Edge (Preferred Qualifications)**
* Understanding of Agile practices, DevSecOps, and CI/CD pipelines.
* Familiarity with tools like GitHub CoPilot, Azure DevOps, Docker, or Kubernetes.
* Exposure to AI/ML and other technology concepts such as:
+ Prompt engineering and LLM APIs (e.g., Azure OpenAI)
+ AI SDKs and frameworks (e.g., LangChain, Hugging Face, TensorFlow, Semantic Kernel)
+ Responsive UI/UX development
+ Microservice vs. Monolithic architectures
+ Containerization
+ Relational vs. NoSQL databases
 Location Expectation: This is a hybrid role
 **requiring a minimum of 3 days per week** 
 in office.
 The expected salary range for this position is 55800\-76000\.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55800\-76000</t>
        </is>
      </c>
    </row>
    <row r="36">
      <c r="A36" t="inlineStr">
        <is>
          <t>li-4378802499</t>
        </is>
      </c>
      <c r="B36" t="inlineStr">
        <is>
          <t>Software Engineer - AI/ML</t>
        </is>
      </c>
      <c r="C36" t="inlineStr">
        <is>
          <t>NISC</t>
        </is>
      </c>
      <c r="D36" t="inlineStr">
        <is>
          <t>linkedin</t>
        </is>
      </c>
      <c r="E36" t="inlineStr"/>
      <c r="F36" t="inlineStr"/>
      <c r="G36" t="inlineStr">
        <is>
          <t>Indianapolis, IN</t>
        </is>
      </c>
      <c r="H36" t="inlineStr"/>
      <c r="I36" t="inlineStr">
        <is>
          <t>**Company Overview:**
 For more than 50 years, NISC has worked to develop technology solutions for our customers, who we call our "Members". Those Members are comprised primarily of 960\+ energy (utility) and communication (broadband) organizations across North America. Our mission is to deliver technology solutions and services that are Member\-focused, quality driven and valued priced. Our Members have over 18 million end customers (residential and businesses who receive power, internet, television and/or telephone services) that our enterprise software solution enables our Member's employees to compete effectively in the industry, while excelling in providing customer service to their end customers.
 NISC exists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**Position Overview:**
 We are looking for a high\-agency, AI\-native Software Engineer who loves building real\-world AI systems that make a measurable difference.
 This is not a research role. This is not a "play with models in a lab" role. This is a builder role.
 You will design, build, ship, and continuously improve production\-grade AI applications that are embedded directly into mission\-critical software used by utilities and broadband providers across North America. Your work will power customer service interactions, operational workflows, and intelligent automation at scale.
 We are looking for someone who:
* Gets excited about taking AI from idea → prototype → production → scale
* Loves experimenting with new models, frameworks, and agentic patterns
* Has a "there's a way" mindset when solving hard technical problems
* Believes AI should drive tangible business impact, not just technical novelty
* Thrives in ambiguity and moves fast while maintaining engineering discipline
 At NISC, AI is not a side initiative — it is a core strategic priority. You will help shape how AI transforms the way our Members serve their communities.
 If you've built and deployed AI systems that real users depend on — and you want to do it in an organization that values ownership, innovation, and meaningful impact — we encourage you to apply.
**Essential Functions:**
* Design \&amp; Build Production AI Systems: Architect, develop, and deploy AI\-powered features and applications using LLMs, RAG pipelines, agentic workflows, and modern ML techniques.
* Own Outcomes, Not Just Code: Take ideas from concept to production. Prototype quickly, validate with users, iterate based on feedback, and optimize for reliability and performance.
* LLM \&amp; Agent Integration: Integrate foundation models, fine\-tuned models, and multi\-agent systems into enterprise\-grade applications in secure, scalable environments.
* Data \&amp; Retrieval Engineering: Design and optimize data ingestion pipelines, embeddings workflows, and vector database implementations that support high\-quality AI responses.
* Performance \&amp; Scalability: Deploy AI systems that are resilient, observable, and cost\-efficient in production environments.
* Mission Alignment: Ensure solutions are practical, intuitive, and aligned with the operational realities of cooperatives, utilities, and broadband providers.
* Continuous Innovation: Actively explore new AI capabilities and rapidly evaluate how they can improve our products and development practices.
* Collaborative Execution: Partner with product, architecture, and engineering teams to embed AI capabilities across our enterprise platform.
* Follow all established software development methodologies and procedures.
* Other duties as assigned
**Desired Experience \&amp; Skills:** 
* 8\-10\+ years experience in software development, preferably with at least 3\+ years in AI/ML software development.
* Demonstrated experience shipping AI solutions used by real customers — not just prototypes or academic projects
* Experience integrating LLMs into applications (prompt engineering, evaluation, fine\-tuning, API orchestration)
* Experience designing RAG pipelines, embeddings workflows, and working with vector databases
* Experience deploying AI systems in cloud environments (AWS, Azure, GCP)
* Technical Expertise:
+ Strong Python proficiency and familiarity with ML frameworks (PyTorch, TensorFlow, or equivalent)
+ Experience building scalable APIs and backend services
+ Understanding of agentic architectures, orchestration frameworks, or multi\-agent systems
+ Experience optimizing AI performance, cost, and latency in production
+ Familiarity with observability, evaluation frameworks, and model monitoring
* Mindset \&amp; Attributes (Critical for Success)
+ Builder mentality — you love shipping
+ High ownership — you see problems and move toward them
+ Curiosity about emerging AI capabilities and how to apply them pragmatically
+ Bias toward action and experimentation
+ Comfort operating in evolving AI landscapes
+ Ability to balance speed with engineering discipline
+ Strong communicator who can translate AI capabilities into business value
* Bonus Experience
+ Experience in utilities, broadband, cooperatives, or enterprise SaaS
+ Knowledge of AI safety, evaluation strategies, or explainability techniques
+ Full\-stack experience or ability to deliver end\-to\-end AI features
+ Portfolio, GitHub, or case studies demonstrating deployed AI systems
* Experience working with utilities, broadband providers, or cooperatives, preferred.
* Commitment to NISC's Statement of Shared Values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 Virtual Office Location: Fully remote candidates will be considered for candidates who have a background in providing AI/ML solutions that work in real world applications, not just conceptual understanding or research based projects.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Bachelor's Degree in a Computer Science, Computer Engineering,  or a related field and/or equivalent experience.
 Master's Degree in Artificial Intelligence or Machine Learning, preferred.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Employees must be able to see, speak, and hear, to operate computer keyboards or office equipment, and are required to stand, walk, and sit.
**Disclaimer:**
 Management may modify this job description by assigning or reassigning duties and responsibilities at any time.</t>
        </is>
      </c>
    </row>
    <row r="37">
      <c r="A37" t="inlineStr">
        <is>
          <t>li-4379905781</t>
        </is>
      </c>
      <c r="B37" t="inlineStr">
        <is>
          <t>Software Engineer I</t>
        </is>
      </c>
      <c r="C37" t="inlineStr">
        <is>
          <t>Lensa</t>
        </is>
      </c>
      <c r="D37" t="inlineStr">
        <is>
          <t>linkedin</t>
        </is>
      </c>
      <c r="E37" t="inlineStr"/>
      <c r="F37" t="inlineStr"/>
      <c r="G37" t="inlineStr">
        <is>
          <t>Washington, DC</t>
        </is>
      </c>
      <c r="H37" t="inlineStr"/>
      <c r="I3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Renaissance Services. Clicking "Apply Now" or "Read more" on Lensa redirects you to the job board/employer site. Any information collected there is subject to their terms and privacy notice.
**About Renaissance**
 When you join Renaissance®, you join a global leader in pre\-K–12 education technology! Renaissance’s solutions help educators analyze, customize, and plan personalized learning paths for students, allowing time for what matters—creating energizing learning experiences in the classroom. Our fiercely passionate employees and educational partners have helped drive phenomenal student growth, with Renaissance solutions being used in over one\-third of US schools and in more than 100 countries worldwide.
 Every day, we are connected to our mission by exemplifying our values: trust each other, win together, strive for the best, own our actions, and grow and evolve.
**Job Description**
 We’re looking for a motivated
 **Software Engineer I** 
 to join our agile, multi\-disciplinary engineering team. You’ll play a key role in an impact\-driven culture where your creativity, curiosity, and technical skill help shape how we build and scale our highly available SaaS platform used by millions of K\-12 students every month worldwide.
**In this role as a Software Engineer I, you will:**
* Collaborate closely within an agile, cross\-functional team to deliver high\-quality software and develop your skills.
* Communicate effectively in a distributed remote work environment.
* Contribute to the design, development and maintenance of frontend and backend systems serving millions of users and thousands of requests per second.
* Contribute your unique perspective and technical expertise to achieve shared goals.
* Continuously learn, experiment, test, and iterate to improve both product and process.
**For this role as a Software Engineer I, you should have:**
* BS in Computer Science, Computer Engineering , or equivalent experience.
* 1\-2\+ years of professional software development experience utilizing web technologies.
* Hands\-on experience with React or a comparable single\-page application framework.
* Familiarity with js for backend or API development.
* Exposure to static types systems (TypeScript \-preferred, Java, C\#, etc.).
* Familiarity working with relational databases.
* Strong written and verbal communication skills, especially in collaborative environments.
**Bonus Points**
* Professional experience with functional programming languages (Haskell, Scala, Clojure, etc.).
* Professional experience in NodeJS.
* Familiarity with Event based architecture.
**Additional Information**
 All your information will be kept confidential according to EEO guidelines.
**The below compensation range is based on national market data and may vary by experience and location.**
 Salary Range
 $68,000—$80,000 USD
**Benefits For Eligible US Employees Include**
* World Class Health Benefits: Medical, Prescription, Dental, Vision, Telehealth
* Health Savings and Flexible Spending Accounts
* 401(k) and Roth 401(k) with company match
* Paid Vacation and Sick Time Off
* 12 Paid Holidays
* Parental Leave (20 total weeks with 14 weeks paid) \&amp; Milk Stork program
* Tuition Reimbursement
* Life \&amp; Disability Insurance
* Well\-being and Employee Assistance Programs
 Frequently cited statistics show that some women, underrepresented individuals, protected veterans and individuals with disabilities may only apply to roles if they meet 100% of the qualifications. At Renaissance, we encourage all applications. Roles evolve over time, especially with innovation, and you may be just the person we need for the future!
**Equal Opportunity Employer**
 Renaissance is an equal opportunity employer and does not discriminate with respect to any term, condition or privilege of employment based on race, color, religion, sex, sexual orientation, gender identity or expression, age, disability, military or veteran status, marital status, or status of an individual in any group or class protected by applicable federal, state, or local law.
 For California Residents, please see our Privacy Notice for California Job Candidates here .
**Reasonable Accommodations**
 Renaissance also provides reasonable accommodations for qualified individuals with disabilities in accordance with the Americans with Disabilities Act and applicable state and local laws. If accommodation is needed to participate in the job application or interview process, please contact Talent Acquisition (TATeam@renlearnCRM.onmicrosoft.com) .
**Employment Authorization**
 Applicants must be authorized to work for any employer in the United States. We are unable to sponsor or take over sponsorship of an employment Visa at this time.
 For more information about Renaissance, visit: https://www.renaissance.com
 If you have questions about this posting, please contact support@lensa.com</t>
        </is>
      </c>
    </row>
    <row r="38">
      <c r="A38" t="inlineStr">
        <is>
          <t>li-4379916702</t>
        </is>
      </c>
      <c r="B38" t="inlineStr">
        <is>
          <t>Software Engineer I</t>
        </is>
      </c>
      <c r="C38" t="inlineStr">
        <is>
          <t>Lensa</t>
        </is>
      </c>
      <c r="D38" t="inlineStr">
        <is>
          <t>linkedin</t>
        </is>
      </c>
      <c r="E38" t="inlineStr"/>
      <c r="F38" t="inlineStr"/>
      <c r="G38" t="inlineStr">
        <is>
          <t>Boston, MA</t>
        </is>
      </c>
      <c r="H38" t="inlineStr"/>
      <c r="I3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Renaissance Services. Clicking "Apply Now" or "Read more" on Lensa redirects you to the job board/employer site. Any information collected there is subject to their terms and privacy notice.
**About Renaissance**
 When you join Renaissance®, you join a global leader in pre\-K–12 education technology! Renaissance’s solutions help educators analyze, customize, and plan personalized learning paths for students, allowing time for what matters—creating energizing learning experiences in the classroom. Our fiercely passionate employees and educational partners have helped drive phenomenal student growth, with Renaissance solutions being used in over one\-third of US schools and in more than 100 countries worldwide.
 Every day, we are connected to our mission by exemplifying our values: trust each other, win together, strive for the best, own our actions, and grow and evolve.
**Job Description**
 We’re looking for a motivated
 **Software Engineer I** 
 to join our agile, multi\-disciplinary engineering team. You’ll play a key role in an impact\-driven culture where your creativity, curiosity, and technical skill help shape how we build and scale our highly available SaaS platform used by millions of K\-12 students every month worldwide.
**In this role as a Software Engineer I, you will:**
* Collaborate closely within an agile, cross\-functional team to deliver high\-quality software and develop your skills.
* Communicate effectively in a distributed remote work environment.
* Contribute to the design, development and maintenance of frontend and backend systems serving millions of users and thousands of requests per second.
* Contribute your unique perspective and technical expertise to achieve shared goals.
* Continuously learn, experiment, test, and iterate to improve both product and process.
**For this role as a Software Engineer I, you should have:**
* BS in Computer Science, Computer Engineering , or equivalent experience.
* 1\-2\+ years of professional software development experience utilizing web technologies.
* Hands\-on experience with React or a comparable single\-page application framework.
* Familiarity with js for backend or API development.
* Exposure to static types systems (TypeScript \-preferred, Java, C\#, etc.).
* Familiarity working with relational databases.
* Strong written and verbal communication skills, especially in collaborative environments.
**Bonus Points**
* Professional experience with functional programming languages (Haskell, Scala, Clojure, etc.).
* Professional experience in NodeJS.
* Familiarity with Event based architecture.
**Additional Information**
 All your information will be kept confidential according to EEO guidelines.
**The below compensation range is based on national market data and may vary by experience and location.**
 Salary Range
 $68,000—$80,000 USD
**Benefits For Eligible US Employees Include**
* World Class Health Benefits: Medical, Prescription, Dental, Vision, Telehealth
* Health Savings and Flexible Spending Accounts
* 401(k) and Roth 401(k) with company match
* Paid Vacation and Sick Time Off
* 12 Paid Holidays
* Parental Leave (20 total weeks with 14 weeks paid) \&amp; Milk Stork program
* Tuition Reimbursement
* Life \&amp; Disability Insurance
* Well\-being and Employee Assistance Programs
 Frequently cited statistics show that some women, underrepresented individuals, protected veterans and individuals with disabilities may only apply to roles if they meet 100% of the qualifications. At Renaissance, we encourage all applications. Roles evolve over time, especially with innovation, and you may be just the person we need for the future!
**Equal Opportunity Employer**
 Renaissance is an equal opportunity employer and does not discriminate with respect to any term, condition or privilege of employment based on race, color, religion, sex, sexual orientation, gender identity or expression, age, disability, military or veteran status, marital status, or status of an individual in any group or class protected by applicable federal, state, or local law.
 For California Residents, please see our Privacy Notice for California Job Candidates here .
**Reasonable Accommodations**
 Renaissance also provides reasonable accommodations for qualified individuals with disabilities in accordance with the Americans with Disabilities Act and applicable state and local laws. If accommodation is needed to participate in the job application or interview process, please contact Talent Acquisition (TATeam@renlearnCRM.onmicrosoft.com) .
**Employment Authorization**
 Applicants must be authorized to work for any employer in the United States. We are unable to sponsor or take over sponsorship of an employment Visa at this time.
 For more information about Renaissance, visit: https://www.renaissance.com
 If you have questions about this posting, please contact support@lensa.com</t>
        </is>
      </c>
    </row>
    <row r="39">
      <c r="A39" t="inlineStr">
        <is>
          <t>li-4378819358</t>
        </is>
      </c>
      <c r="B39" t="inlineStr">
        <is>
          <t>Software Engineer - AI/ML</t>
        </is>
      </c>
      <c r="C39" t="inlineStr">
        <is>
          <t>NISC</t>
        </is>
      </c>
      <c r="D39" t="inlineStr">
        <is>
          <t>linkedin</t>
        </is>
      </c>
      <c r="E39" t="inlineStr"/>
      <c r="F39" t="inlineStr"/>
      <c r="G39" t="inlineStr">
        <is>
          <t>Columbus, OH</t>
        </is>
      </c>
      <c r="H39" t="inlineStr"/>
      <c r="I39" t="inlineStr">
        <is>
          <t>**Company Overview:**
 For more than 50 years, NISC has worked to develop technology solutions for our customers, who we call our "Members". Those Members are comprised primarily of 960\+ energy (utility) and communication (broadband) organizations across North America. Our mission is to deliver technology solutions and services that are Member\-focused, quality driven and valued priced. Our Members have over 18 million end customers (residential and businesses who receive power, internet, television and/or telephone services) that our enterprise software solution enables our Member's employees to compete effectively in the industry, while excelling in providing customer service to their end customers.
 NISC exists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**Position Overview:**
 We are looking for a high\-agency, AI\-native Software Engineer who loves building real\-world AI systems that make a measurable difference.
 This is not a research role. This is not a "play with models in a lab" role. This is a builder role.
 You will design, build, ship, and continuously improve production\-grade AI applications that are embedded directly into mission\-critical software used by utilities and broadband providers across North America. Your work will power customer service interactions, operational workflows, and intelligent automation at scale.
 We are looking for someone who:
* Gets excited about taking AI from idea → prototype → production → scale
* Loves experimenting with new models, frameworks, and agentic patterns
* Has a "there's a way" mindset when solving hard technical problems
* Believes AI should drive tangible business impact, not just technical novelty
* Thrives in ambiguity and moves fast while maintaining engineering discipline
 At NISC, AI is not a side initiative — it is a core strategic priority. You will help shape how AI transforms the way our Members serve their communities.
 If you've built and deployed AI systems that real users depend on — and you want to do it in an organization that values ownership, innovation, and meaningful impact — we encourage you to apply.
**Essential Functions:**
* Design \&amp; Build Production AI Systems: Architect, develop, and deploy AI\-powered features and applications using LLMs, RAG pipelines, agentic workflows, and modern ML techniques.
* Own Outcomes, Not Just Code: Take ideas from concept to production. Prototype quickly, validate with users, iterate based on feedback, and optimize for reliability and performance.
* LLM \&amp; Agent Integration: Integrate foundation models, fine\-tuned models, and multi\-agent systems into enterprise\-grade applications in secure, scalable environments.
* Data \&amp; Retrieval Engineering: Design and optimize data ingestion pipelines, embeddings workflows, and vector database implementations that support high\-quality AI responses.
* Performance \&amp; Scalability: Deploy AI systems that are resilient, observable, and cost\-efficient in production environments.
* Mission Alignment: Ensure solutions are practical, intuitive, and aligned with the operational realities of cooperatives, utilities, and broadband providers.
* Continuous Innovation: Actively explore new AI capabilities and rapidly evaluate how they can improve our products and development practices.
* Collaborative Execution: Partner with product, architecture, and engineering teams to embed AI capabilities across our enterprise platform.
* Follow all established software development methodologies and procedures.
* Other duties as assigned
**Desired Experience \&amp; Skills:** 
* 8\-10\+ years experience in software development, preferably with at least 3\+ years in AI/ML software development.
* Demonstrated experience shipping AI solutions used by real customers — not just prototypes or academic projects
* Experience integrating LLMs into applications (prompt engineering, evaluation, fine\-tuning, API orchestration)
* Experience designing RAG pipelines, embeddings workflows, and working with vector databases
* Experience deploying AI systems in cloud environments (AWS, Azure, GCP)
* Technical Expertise:
+ Strong Python proficiency and familiarity with ML frameworks (PyTorch, TensorFlow, or equivalent)
+ Experience building scalable APIs and backend services
+ Understanding of agentic architectures, orchestration frameworks, or multi\-agent systems
+ Experience optimizing AI performance, cost, and latency in production
+ Familiarity with observability, evaluation frameworks, and model monitoring
* Mindset \&amp; Attributes (Critical for Success)
+ Builder mentality — you love shipping
+ High ownership — you see problems and move toward them
+ Curiosity about emerging AI capabilities and how to apply them pragmatically
+ Bias toward action and experimentation
+ Comfort operating in evolving AI landscapes
+ Ability to balance speed with engineering discipline
+ Strong communicator who can translate AI capabilities into business value
* Bonus Experience
+ Experience in utilities, broadband, cooperatives, or enterprise SaaS
+ Knowledge of AI safety, evaluation strategies, or explainability techniques
+ Full\-stack experience or ability to deliver end\-to\-end AI features
+ Portfolio, GitHub, or case studies demonstrating deployed AI systems
* Experience working with utilities, broadband providers, or cooperatives, preferred.
* Commitment to NISC's Statement of Shared Values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 Virtual Office Location: Fully remote candidates will be considered for candidates who have a background in providing AI/ML solutions that work in real world applications, not just conceptual understanding or research based projects.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Bachelor's Degree in a Computer Science, Computer Engineering,  or a related field and/or equivalent experience.
 Master's Degree in Artificial Intelligence or Machine Learning, preferred.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Employees must be able to see, speak, and hear, to operate computer keyboards or office equipment, and are required to stand, walk, and sit.
**Disclaimer:**
 Management may modify this job description by assigning or reassigning duties and responsibilities at any time.</t>
        </is>
      </c>
    </row>
    <row r="40">
      <c r="A40" t="inlineStr">
        <is>
          <t>li-4365580322</t>
        </is>
      </c>
      <c r="B40" t="inlineStr">
        <is>
          <t>Software Engineer III, Full Stack, Core</t>
        </is>
      </c>
      <c r="C40" t="inlineStr">
        <is>
          <t>Google</t>
        </is>
      </c>
      <c r="D40" t="inlineStr">
        <is>
          <t>linkedin</t>
        </is>
      </c>
      <c r="E40" t="inlineStr"/>
      <c r="F40" t="inlineStr"/>
      <c r="G40" t="inlineStr">
        <is>
          <t>Seattle, WA</t>
        </is>
      </c>
      <c r="H40" t="inlineStr"/>
      <c r="I40"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1">
      <c r="A41" t="inlineStr">
        <is>
          <t>li-4378803461</t>
        </is>
      </c>
      <c r="B41" t="inlineStr">
        <is>
          <t>Software Engineer - AI/ML</t>
        </is>
      </c>
      <c r="C41" t="inlineStr">
        <is>
          <t>NISC</t>
        </is>
      </c>
      <c r="D41" t="inlineStr">
        <is>
          <t>linkedin</t>
        </is>
      </c>
      <c r="E41" t="inlineStr"/>
      <c r="F41" t="inlineStr"/>
      <c r="G41" t="inlineStr">
        <is>
          <t>Ann Arbor, MI</t>
        </is>
      </c>
      <c r="H41" t="inlineStr"/>
      <c r="I41" t="inlineStr">
        <is>
          <t>**Company Overview:**
 For more than 50 years, NISC has worked to develop technology solutions for our customers, who we call our "Members". Those Members are comprised primarily of 960\+ energy (utility) and communication (broadband) organizations across North America. Our mission is to deliver technology solutions and services that are Member\-focused, quality driven and valued priced. Our Members have over 18 million end customers (residential and businesses who receive power, internet, television and/or telephone services) that our enterprise software solution enables our Member's employees to compete effectively in the industry, while excelling in providing customer service to their end customers.
 NISC exists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**Position Overview:**
 We are looking for a high\-agency, AI\-native Software Engineer who loves building real\-world AI systems that make a measurable difference.
 This is not a research role. This is not a "play with models in a lab" role. This is a builder role.
 You will design, build, ship, and continuously improve production\-grade AI applications that are embedded directly into mission\-critical software used by utilities and broadband providers across North America. Your work will power customer service interactions, operational workflows, and intelligent automation at scale.
 We are looking for someone who:
* Gets excited about taking AI from idea → prototype → production → scale
* Loves experimenting with new models, frameworks, and agentic patterns
* Has a "there's a way" mindset when solving hard technical problems
* Believes AI should drive tangible business impact, not just technical novelty
* Thrives in ambiguity and moves fast while maintaining engineering discipline
 At NISC, AI is not a side initiative — it is a core strategic priority. You will help shape how AI transforms the way our Members serve their communities.
 If you've built and deployed AI systems that real users depend on — and you want to do it in an organization that values ownership, innovation, and meaningful impact — we encourage you to apply.
**Essential Functions:**
* Design \&amp; Build Production AI Systems: Architect, develop, and deploy AI\-powered features and applications using LLMs, RAG pipelines, agentic workflows, and modern ML techniques.
* Own Outcomes, Not Just Code: Take ideas from concept to production. Prototype quickly, validate with users, iterate based on feedback, and optimize for reliability and performance.
* LLM \&amp; Agent Integration: Integrate foundation models, fine\-tuned models, and multi\-agent systems into enterprise\-grade applications in secure, scalable environments.
* Data \&amp; Retrieval Engineering: Design and optimize data ingestion pipelines, embeddings workflows, and vector database implementations that support high\-quality AI responses.
* Performance \&amp; Scalability: Deploy AI systems that are resilient, observable, and cost\-efficient in production environments.
* Mission Alignment: Ensure solutions are practical, intuitive, and aligned with the operational realities of cooperatives, utilities, and broadband providers.
* Continuous Innovation: Actively explore new AI capabilities and rapidly evaluate how they can improve our products and development practices.
* Collaborative Execution: Partner with product, architecture, and engineering teams to embed AI capabilities across our enterprise platform.
* Follow all established software development methodologies and procedures.
* Other duties as assigned
**Desired Experience \&amp; Skills:** 
* 8\-10\+ years experience in software development, preferably with at least 3\+ years in AI/ML software development.
* Demonstrated experience shipping AI solutions used by real customers — not just prototypes or academic projects
* Experience integrating LLMs into applications (prompt engineering, evaluation, fine\-tuning, API orchestration)
* Experience designing RAG pipelines, embeddings workflows, and working with vector databases
* Experience deploying AI systems in cloud environments (AWS, Azure, GCP)
* Technical Expertise:
+ Strong Python proficiency and familiarity with ML frameworks (PyTorch, TensorFlow, or equivalent)
+ Experience building scalable APIs and backend services
+ Understanding of agentic architectures, orchestration frameworks, or multi\-agent systems
+ Experience optimizing AI performance, cost, and latency in production
+ Familiarity with observability, evaluation frameworks, and model monitoring
* Mindset \&amp; Attributes (Critical for Success)
+ Builder mentality — you love shipping
+ High ownership — you see problems and move toward them
+ Curiosity about emerging AI capabilities and how to apply them pragmatically
+ Bias toward action and experimentation
+ Comfort operating in evolving AI landscapes
+ Ability to balance speed with engineering discipline
+ Strong communicator who can translate AI capabilities into business value
* Bonus Experience
+ Experience in utilities, broadband, cooperatives, or enterprise SaaS
+ Knowledge of AI safety, evaluation strategies, or explainability techniques
+ Full\-stack experience or ability to deliver end\-to\-end AI features
+ Portfolio, GitHub, or case studies demonstrating deployed AI systems
* Experience working with utilities, broadband providers, or cooperatives, preferred.
* Commitment to NISC's Statement of Shared Values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 Virtual Office Location: Fully remote candidates will be considered for candidates who have a background in providing AI/ML solutions that work in real world applications, not just conceptual understanding or research based projects.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Bachelor's Degree in a Computer Science, Computer Engineering,  or a related field and/or equivalent experience.
 Master's Degree in Artificial Intelligence or Machine Learning, preferred.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Employees must be able to see, speak, and hear, to operate computer keyboards or office equipment, and are required to stand, walk, and sit.
**Disclaimer:**
 Management may modify this job description by assigning or reassigning duties and responsibilities at any time.</t>
        </is>
      </c>
    </row>
    <row r="42">
      <c r="A42" t="inlineStr">
        <is>
          <t>li-4378821353</t>
        </is>
      </c>
      <c r="B42" t="inlineStr">
        <is>
          <t>Software Engineer - AI/ML</t>
        </is>
      </c>
      <c r="C42" t="inlineStr">
        <is>
          <t>NISC</t>
        </is>
      </c>
      <c r="D42" t="inlineStr">
        <is>
          <t>linkedin</t>
        </is>
      </c>
      <c r="E42" t="inlineStr"/>
      <c r="F42" t="inlineStr"/>
      <c r="G42" t="inlineStr">
        <is>
          <t>San Antonio, TX</t>
        </is>
      </c>
      <c r="H42" t="inlineStr"/>
      <c r="I42" t="inlineStr">
        <is>
          <t>**Company Overview:**
 For more than 50 years, NISC has worked to develop technology solutions for our customers, who we call our "Members". Those Members are comprised primarily of 960\+ energy (utility) and communication (broadband) organizations across North America. Our mission is to deliver technology solutions and services that are Member\-focused, quality driven and valued priced. Our Members have over 18 million end customers (residential and businesses who receive power, internet, television and/or telephone services) that our enterprise software solution enables our Member's employees to compete effectively in the industry, while excelling in providing customer service to their end customers.
 NISC exists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**Position Overview:**
 We are looking for a high\-agency, AI\-native Software Engineer who loves building real\-world AI systems that make a measurable difference.
 This is not a research role. This is not a "play with models in a lab" role. This is a builder role.
 You will design, build, ship, and continuously improve production\-grade AI applications that are embedded directly into mission\-critical software used by utilities and broadband providers across North America. Your work will power customer service interactions, operational workflows, and intelligent automation at scale.
 We are looking for someone who:
* Gets excited about taking AI from idea → prototype → production → scale
* Loves experimenting with new models, frameworks, and agentic patterns
* Has a "there's a way" mindset when solving hard technical problems
* Believes AI should drive tangible business impact, not just technical novelty
* Thrives in ambiguity and moves fast while maintaining engineering discipline
 At NISC, AI is not a side initiative — it is a core strategic priority. You will help shape how AI transforms the way our Members serve their communities.
 If you've built and deployed AI systems that real users depend on — and you want to do it in an organization that values ownership, innovation, and meaningful impact — we encourage you to apply.
**Essential Functions:**
* Design \&amp; Build Production AI Systems: Architect, develop, and deploy AI\-powered features and applications using LLMs, RAG pipelines, agentic workflows, and modern ML techniques.
* Own Outcomes, Not Just Code: Take ideas from concept to production. Prototype quickly, validate with users, iterate based on feedback, and optimize for reliability and performance.
* LLM \&amp; Agent Integration: Integrate foundation models, fine\-tuned models, and multi\-agent systems into enterprise\-grade applications in secure, scalable environments.
* Data \&amp; Retrieval Engineering: Design and optimize data ingestion pipelines, embeddings workflows, and vector database implementations that support high\-quality AI responses.
* Performance \&amp; Scalability: Deploy AI systems that are resilient, observable, and cost\-efficient in production environments.
* Mission Alignment: Ensure solutions are practical, intuitive, and aligned with the operational realities of cooperatives, utilities, and broadband providers.
* Continuous Innovation: Actively explore new AI capabilities and rapidly evaluate how they can improve our products and development practices.
* Collaborative Execution: Partner with product, architecture, and engineering teams to embed AI capabilities across our enterprise platform.
* Follow all established software development methodologies and procedures.
* Other duties as assigned
**Desired Experience \&amp; Skills:** 
* 8\-10\+ years experience in software development, preferably with at least 3\+ years in AI/ML software development.
* Demonstrated experience shipping AI solutions used by real customers — not just prototypes or academic projects
* Experience integrating LLMs into applications (prompt engineering, evaluation, fine\-tuning, API orchestration)
* Experience designing RAG pipelines, embeddings workflows, and working with vector databases
* Experience deploying AI systems in cloud environments (AWS, Azure, GCP)
* Technical Expertise:
+ Strong Python proficiency and familiarity with ML frameworks (PyTorch, TensorFlow, or equivalent)
+ Experience building scalable APIs and backend services
+ Understanding of agentic architectures, orchestration frameworks, or multi\-agent systems
+ Experience optimizing AI performance, cost, and latency in production
+ Familiarity with observability, evaluation frameworks, and model monitoring
* Mindset \&amp; Attributes (Critical for Success)
+ Builder mentality — you love shipping
+ High ownership — you see problems and move toward them
+ Curiosity about emerging AI capabilities and how to apply them pragmatically
+ Bias toward action and experimentation
+ Comfort operating in evolving AI landscapes
+ Ability to balance speed with engineering discipline
+ Strong communicator who can translate AI capabilities into business value
* Bonus Experience
+ Experience in utilities, broadband, cooperatives, or enterprise SaaS
+ Knowledge of AI safety, evaluation strategies, or explainability techniques
+ Full\-stack experience or ability to deliver end\-to\-end AI features
+ Portfolio, GitHub, or case studies demonstrating deployed AI systems
* Experience working with utilities, broadband providers, or cooperatives, preferred.
* Commitment to NISC's Statement of Shared Values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 Virtual Office Location: Fully remote candidates will be considered for candidates who have a background in providing AI/ML solutions that work in real world applications, not just conceptual understanding or research based projects.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Bachelor's Degree in a Computer Science, Computer Engineering,  or a related field and/or equivalent experience.
 Master's Degree in Artificial Intelligence or Machine Learning, preferred.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Employees must be able to see, speak, and hear, to operate computer keyboards or office equipment, and are required to stand, walk, and sit.
**Disclaimer:**
 Management may modify this job description by assigning or reassigning duties and responsibilities at any time.</t>
        </is>
      </c>
    </row>
    <row r="43">
      <c r="A43" t="inlineStr">
        <is>
          <t>li-4379086556</t>
        </is>
      </c>
      <c r="B43" t="inlineStr">
        <is>
          <t>Software Developer</t>
        </is>
      </c>
      <c r="C43" t="inlineStr">
        <is>
          <t>Schaeffler</t>
        </is>
      </c>
      <c r="D43" t="inlineStr">
        <is>
          <t>linkedin</t>
        </is>
      </c>
      <c r="E43" t="inlineStr"/>
      <c r="F43" t="inlineStr"/>
      <c r="G43" t="inlineStr">
        <is>
          <t>Troy, MI</t>
        </is>
      </c>
      <c r="H43" t="inlineStr"/>
      <c r="I43" t="inlineStr">
        <is>
          <t>**Your Key Responsibilities**
* Develop and integrate software solutions (systems, applications and/or application components) according to its technical specifications in chassis business unit.
* Clarify and review requirements and specifications to understand software engineering requirements.
* Plan and define work packages to create/change logical functions.
* Ensure proper coding in cooperation with other team members, and perform bug verification and testing.
* Design and realize interfaces between business applications, and execute software (unit and integration) tests.
* Support migration, and ensure change documentation, plan and release upgrades, if required.
**Your Qualifications**
* Bachelors Degree in Computer Science, Applied Computer Science, Software Engineering; Masters degree preferred.
* 3 to 5 years for software development experience in automotive industry applications.
* Strong knowledge of C/C\+\+, embedded C coding; Knowledge of Perl, Python preferred.
* Knowledge of ASPICE standards preferred.
* Experience working in Agile environment.
* Understanding of Electronic Motors would be a plus.
* Knowledge of the Product Development Process.
* Strong English communication skills.
* Customer focus.
* Experience with new and emerging technologies.
**Our Offering**
 We look forward to your application.
**Your contact**
 Schaeffler Group USA Inc.
 Kim Korttila
 Schaeffler is an equal employment opportunity / affirmative action employer. All qualified candidates will receive equal employment opportunities and consideration for employment without regard to unlawful consideration of race, color, sex, sexual orientation, gender identity, age, religion, national origin, disability, protected veteran status, or any other status protected by applicable law.
 Keywords: Digitalization \&amp; Information Technology;</t>
        </is>
      </c>
    </row>
    <row r="44">
      <c r="A44" t="inlineStr">
        <is>
          <t>li-4378815423</t>
        </is>
      </c>
      <c r="B44" t="inlineStr">
        <is>
          <t>Software Engineer - AI/ML</t>
        </is>
      </c>
      <c r="C44" t="inlineStr">
        <is>
          <t>NISC</t>
        </is>
      </c>
      <c r="D44" t="inlineStr">
        <is>
          <t>linkedin</t>
        </is>
      </c>
      <c r="E44" t="inlineStr"/>
      <c r="F44" t="inlineStr"/>
      <c r="G44" t="inlineStr">
        <is>
          <t>Minot, ND</t>
        </is>
      </c>
      <c r="H44" t="inlineStr"/>
      <c r="I44" t="inlineStr">
        <is>
          <t>**Company Overview:**
 For more than 50 years, NISC has worked to develop technology solutions for our customers, who we call our "Members". Those Members are comprised primarily of 960\+ energy (utility) and communication (broadband) organizations across North America. Our mission is to deliver technology solutions and services that are Member\-focused, quality driven and valued priced. Our Members have over 18 million end customers (residential and businesses who receive power, internet, television and/or telephone services) that our enterprise software solution enables our Member's employees to compete effectively in the industry, while excelling in providing customer service to their end customers.
 NISC exists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**Position Overview:**
 We are looking for a high\-agency, AI\-native Software Engineer who loves building real\-world AI systems that make a measurable difference.
 This is not a research role. This is not a "play with models in a lab" role. This is a builder role.
 You will design, build, ship, and continuously improve production\-grade AI applications that are embedded directly into mission\-critical software used by utilities and broadband providers across North America. Your work will power customer service interactions, operational workflows, and intelligent automation at scale.
 We are looking for someone who:
* Gets excited about taking AI from idea → prototype → production → scale
* Loves experimenting with new models, frameworks, and agentic patterns
* Has a "there's a way" mindset when solving hard technical problems
* Believes AI should drive tangible business impact, not just technical novelty
* Thrives in ambiguity and moves fast while maintaining engineering discipline
 At NISC, AI is not a side initiative — it is a core strategic priority. You will help shape how AI transforms the way our Members serve their communities.
 If you've built and deployed AI systems that real users depend on — and you want to do it in an organization that values ownership, innovation, and meaningful impact — we encourage you to apply.
**Essential Functions:**
* Design \&amp; Build Production AI Systems: Architect, develop, and deploy AI\-powered features and applications using LLMs, RAG pipelines, agentic workflows, and modern ML techniques.
* Own Outcomes, Not Just Code: Take ideas from concept to production. Prototype quickly, validate with users, iterate based on feedback, and optimize for reliability and performance.
* LLM \&amp; Agent Integration: Integrate foundation models, fine\-tuned models, and multi\-agent systems into enterprise\-grade applications in secure, scalable environments.
* Data \&amp; Retrieval Engineering: Design and optimize data ingestion pipelines, embeddings workflows, and vector database implementations that support high\-quality AI responses.
* Performance \&amp; Scalability: Deploy AI systems that are resilient, observable, and cost\-efficient in production environments.
* Mission Alignment: Ensure solutions are practical, intuitive, and aligned with the operational realities of cooperatives, utilities, and broadband providers.
* Continuous Innovation: Actively explore new AI capabilities and rapidly evaluate how they can improve our products and development practices.
* Collaborative Execution: Partner with product, architecture, and engineering teams to embed AI capabilities across our enterprise platform.
* Follow all established software development methodologies and procedures.
* Other duties as assigned
**Desired Experience \&amp; Skills:** 
* 8\-10\+ years experience in software development, preferably with at least 3\+ years in AI/ML software development.
* Demonstrated experience shipping AI solutions used by real customers — not just prototypes or academic projects
* Experience integrating LLMs into applications (prompt engineering, evaluation, fine\-tuning, API orchestration)
* Experience designing RAG pipelines, embeddings workflows, and working with vector databases
* Experience deploying AI systems in cloud environments (AWS, Azure, GCP)
* Technical Expertise:
+ Strong Python proficiency and familiarity with ML frameworks (PyTorch, TensorFlow, or equivalent)
+ Experience building scalable APIs and backend services
+ Understanding of agentic architectures, orchestration frameworks, or multi\-agent systems
+ Experience optimizing AI performance, cost, and latency in production
+ Familiarity with observability, evaluation frameworks, and model monitoring
* Mindset \&amp; Attributes (Critical for Success)
+ Builder mentality — you love shipping
+ High ownership — you see problems and move toward them
+ Curiosity about emerging AI capabilities and how to apply them pragmatically
+ Bias toward action and experimentation
+ Comfort operating in evolving AI landscapes
+ Ability to balance speed with engineering discipline
+ Strong communicator who can translate AI capabilities into business value
* Bonus Experience
+ Experience in utilities, broadband, cooperatives, or enterprise SaaS
+ Knowledge of AI safety, evaluation strategies, or explainability techniques
+ Full\-stack experience or ability to deliver end\-to\-end AI features
+ Portfolio, GitHub, or case studies demonstrating deployed AI systems
* Experience working with utilities, broadband providers, or cooperatives, preferred.
* Commitment to NISC's Statement of Shared Values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 Virtual Office Location: Fully remote candidates will be considered for candidates who have a background in providing AI/ML solutions that work in real world applications, not just conceptual understanding or research based projects.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Bachelor's Degree in a Computer Science, Computer Engineering,  or a related field and/or equivalent experience.
 Master's Degree in Artificial Intelligence or Machine Learning, preferred.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Employees must be able to see, speak, and hear, to operate computer keyboards or office equipment, and are required to stand, walk, and sit.
**Disclaimer:**
 Management may modify this job description by assigning or reassigning duties and responsibilities at any time.</t>
        </is>
      </c>
    </row>
    <row r="45">
      <c r="A45" t="inlineStr">
        <is>
          <t>li-4377725267</t>
        </is>
      </c>
      <c r="B45" t="inlineStr">
        <is>
          <t>Software Engineer, AI Enablement</t>
        </is>
      </c>
      <c r="C45" t="inlineStr">
        <is>
          <t>Fluidstack</t>
        </is>
      </c>
      <c r="D45" t="inlineStr">
        <is>
          <t>linkedin</t>
        </is>
      </c>
      <c r="E45" t="inlineStr"/>
      <c r="F45" t="inlineStr"/>
      <c r="G45" t="inlineStr">
        <is>
          <t>San Francisco, CA</t>
        </is>
      </c>
      <c r="H45" t="inlineStr"/>
      <c r="I45" t="inlineStr">
        <is>
          <t>**About Fluidstack**
 At Fluidstack, we’re building the infrastructure for abundant intelligence. We partner with top AI labs, governments, and enterprises \- including Mistral, Poolside, Black Forest Labs, Meta, and more \- to unlock compute at the speed of light.
 We’re working with urgency to make AGI a reality. As such, our team is highly motivated and committed to delivering world\-class infrastructure. We treat our customers’ outcomes as our own, taking pride in the systems we build and the trust we earn. If you’re motivated by purpose, obsessed with excellence, and ready to work very hard to accelerate the future of intelligence, join us in building what's next.
**Overview**
 We are hiring AI Software Engineers to serve as an internal force multiplier, building tools that make every team member significantly more productive. In this role, you will develop and deploy AI\-powered applications and establish shared infrastructure that enables teams to leverage AI effectively. You'll work directly with engineering, product, operations, and business teams to identify high\-impact opportunities for AI augmentation, then ship tools that drive measurable productivity gains. This is a unique opportunity to define how a fast\-growing infrastructure company integrates AI into every aspect of its operations.
**Responsibilities**
* Build internal tools and applications leveraging frontier models to automate workflows, accelerate decision\-making, and reduce manual toil across all functions
* Design and maintain shared AI infrastructure including AGENTS.md and SKILLS.md, and build shared skills for the organization
* Integrate AI capabilities into existing products and internal tools, identifying where augmentation delivers measurable impact
* Build custom integrations between LLMs and internal systems (GitHub, Slack, Notion, JIRA, Salesforce, internal APIs)
* Stay current with rapidly evolving AI capabilities and proactively identify new opportunities to apply emerging techniques to organizational challenges
* Create documentation and provide support to enable teams to adopt and extend the tools you build
**Requirements**
* 3\+ years of software engineering experience with production\-grade code in Go, Python, and TypeScript (but also the ability to work in an arbitrary language, primarily using AI coding tools to drive)
* Strong full\-stack development skills with experience building web applications (React, Next.js, or similar frameworks)
* Hands\-on experience building applications with LLM APIs (OpenAI, Anthropic, or open\-weight models), creating and using MCP servers, and agentic frameworks
* Deep understanding of AI coding agent tools including Claude Code, Cursor, Antigravity, etc., and agent frameworks around them
* Proven ability to work autonomously (and get their agents to work autonomously for them): identifying problems, designing solutions, and shipping results with minimal direction and high impact
* Great product and design taste: as the barrier to building gets lower, taste matters more
* Strong systems thinking and product intuition to balance rapid iteration with building maintainable, scalable foundations that others can build off
* Excellent communication skills with ability to translate technical concepts for non\-technical stakeholders and drive adoption
**Compensation**
 Our cash compensation range for this role is $150,000\-$350,000\. Final offers may vary from the amount listed based on geography, candidate experience and expertise, relevant licenses/credentials, and other factors. We welcome compensation discussions if this range doesn't meet your requirements. Outstanding candidates may be eligible for adjusted terms, plus meaningful equity that ensures you benefit directly from the company's long\-term performance.
 To provide greater transparency to candidates, we share base pay ranges for all US\-based job postings. Our compensation package includes base salary, equity for all full time roles, benefits, and, for applicable roles, commissions plans.
**Benefits**
* Competitive total compensation package (cash \+ equity)
* Health, dental, and vision insurance
* Retirement plan
* Generous PTO policy
 We are committed to pay equity and transparency.
 Fluidstack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Fluidstack will consider for employment qualified applicants with arrest and conviction records pursuant to applicable law.
*You will receive a confirmation email once your application has successfully been accepted. If there is an error with your submission and you
 **did not** 
 receive a confirmation email, please email careers@fluidstack.io with your resume/CV, the role you've applied for, and the date you submitted your application\-\- someone from our recruiting team will be in touch.*
 Compensation Range: $150K \- $350K</t>
        </is>
      </c>
    </row>
    <row r="46">
      <c r="A46" t="inlineStr">
        <is>
          <t>li-4262024720</t>
        </is>
      </c>
      <c r="B46" t="inlineStr">
        <is>
          <t>Senior Software Engineer, Software Integration</t>
        </is>
      </c>
      <c r="C46" t="inlineStr">
        <is>
          <t>Bot Auto</t>
        </is>
      </c>
      <c r="D46" t="inlineStr">
        <is>
          <t>linkedin</t>
        </is>
      </c>
      <c r="E46" t="inlineStr"/>
      <c r="F46" t="inlineStr"/>
      <c r="G46" t="inlineStr">
        <is>
          <t>Houston, TX</t>
        </is>
      </c>
      <c r="H46" t="inlineStr"/>
      <c r="I46" t="inlineStr">
        <is>
          <t>Company Introduction
 At Bot Auto, we are revolutionizing the transportation of goods with our cutting\-edge autonomous trucks, enhancing the quality of life for communities around the globe. With the agility of a startup and the wisdom of seasoned experts, our team has achieved numerous world\-firsts and unparalleled innovations. United by a shared vision, we create groundbreaking solutions that propel the future of transportation. Join us and transform your ideas into reality.
 We are seeking a highly skilled Senior Software Engineer to join our Integration team. In this role, you will be responsible for building robust internal tools to manage the release and deployment of autonomous driving software and context data. You will play a critical role in our daily development and operations while helping improve development efficiency across the entire company.
**Key Responsibilities**
* Design, develop, and maintain build \&amp; release pipelines for autonomous driving software packages
* Architect and implement continuous integration and continuous deployment (CI/CD) pipelines
* Create and maintain version control systems for autonomous driving software and contextual data (configuration files, map data, etc.)
* Manage third\-party and open source dependencies across our technology stack
* Collaborate with algorithm and operations teams to ensure smooth development and testing workflows
* Optimize testing and verification processes across cross\-functional teams
* Implement best practices for software integration in a fast\-paced autonomous vehicle environment
**Required Qualifications**
* 3\+ years of experience in software development with focus on build systems and package management
* Strong proficiency in Python and C\+\+ programming
* Solid understanding of computer science fundamentals and data structures
* Demonstrated experience with C\+\+ building tools like CMake and Bazel
* Knowledge of containerization technologies (Docker)
* Experience with Git workflows and branching strategies
* Excellent problem\-solving skills with strong attention to detail
* Outstanding communication abilities and collaborative mindset
**Preferred Qualifications**
* Experience with compilers, linkers, and assemblers
* Full\-stack development experience
* Background in autonomous vehicle systems or robotics
* Experience with distributed version control systems at scale
* Knowledge of deployment strategies in safety\-critical systems</t>
        </is>
      </c>
    </row>
    <row r="47">
      <c r="A47" t="inlineStr">
        <is>
          <t>li-4378814430</t>
        </is>
      </c>
      <c r="B47" t="inlineStr">
        <is>
          <t>Software Engineer - AI/ML</t>
        </is>
      </c>
      <c r="C47" t="inlineStr">
        <is>
          <t>NISC</t>
        </is>
      </c>
      <c r="D47" t="inlineStr">
        <is>
          <t>linkedin</t>
        </is>
      </c>
      <c r="E47" t="inlineStr"/>
      <c r="F47" t="inlineStr"/>
      <c r="G47" t="inlineStr">
        <is>
          <t>Bismarck, ND</t>
        </is>
      </c>
      <c r="H47" t="inlineStr"/>
      <c r="I47" t="inlineStr">
        <is>
          <t>**Company Overview:**
 For more than 50 years, NISC has worked to develop technology solutions for our customers, who we call our "Members". Those Members are comprised primarily of 960\+ energy (utility) and communication (broadband) organizations across North America. Our mission is to deliver technology solutions and services that are Member\-focused, quality driven and valued priced. Our Members have over 18 million end customers (residential and businesses who receive power, internet, television and/or telephone services) that our enterprise software solution enables our Member's employees to compete effectively in the industry, while excelling in providing customer service to their end customers.
 NISC exists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**Position Overview:**
 We are looking for a high\-agency, AI\-native Software Engineer who loves building real\-world AI systems that make a measurable difference.
 This is not a research role. This is not a "play with models in a lab" role. This is a builder role.
 You will design, build, ship, and continuously improve production\-grade AI applications that are embedded directly into mission\-critical software used by utilities and broadband providers across North America. Your work will power customer service interactions, operational workflows, and intelligent automation at scale.
 We are looking for someone who:
* Gets excited about taking AI from idea → prototype → production → scale
* Loves experimenting with new models, frameworks, and agentic patterns
* Has a "there's a way" mindset when solving hard technical problems
* Believes AI should drive tangible business impact, not just technical novelty
* Thrives in ambiguity and moves fast while maintaining engineering discipline
 At NISC, AI is not a side initiative — it is a core strategic priority. You will help shape how AI transforms the way our Members serve their communities.
 If you've built and deployed AI systems that real users depend on — and you want to do it in an organization that values ownership, innovation, and meaningful impact — we encourage you to apply.
**Essential Functions:**
* Design \&amp; Build Production AI Systems: Architect, develop, and deploy AI\-powered features and applications using LLMs, RAG pipelines, agentic workflows, and modern ML techniques.
* Own Outcomes, Not Just Code: Take ideas from concept to production. Prototype quickly, validate with users, iterate based on feedback, and optimize for reliability and performance.
* LLM \&amp; Agent Integration: Integrate foundation models, fine\-tuned models, and multi\-agent systems into enterprise\-grade applications in secure, scalable environments.
* Data \&amp; Retrieval Engineering: Design and optimize data ingestion pipelines, embeddings workflows, and vector database implementations that support high\-quality AI responses.
* Performance \&amp; Scalability: Deploy AI systems that are resilient, observable, and cost\-efficient in production environments.
* Mission Alignment: Ensure solutions are practical, intuitive, and aligned with the operational realities of cooperatives, utilities, and broadband providers.
* Continuous Innovation: Actively explore new AI capabilities and rapidly evaluate how they can improve our products and development practices.
* Collaborative Execution: Partner with product, architecture, and engineering teams to embed AI capabilities across our enterprise platform.
* Follow all established software development methodologies and procedures.
* Other duties as assigned
**Desired Experience \&amp; Skills:** 
* 8\-10\+ years experience in software development, preferably with at least 3\+ years in AI/ML software development.
* Demonstrated experience shipping AI solutions used by real customers — not just prototypes or academic projects
* Experience integrating LLMs into applications (prompt engineering, evaluation, fine\-tuning, API orchestration)
* Experience designing RAG pipelines, embeddings workflows, and working with vector databases
* Experience deploying AI systems in cloud environments (AWS, Azure, GCP)
* Technical Expertise:
+ Strong Python proficiency and familiarity with ML frameworks (PyTorch, TensorFlow, or equivalent)
+ Experience building scalable APIs and backend services
+ Understanding of agentic architectures, orchestration frameworks, or multi\-agent systems
+ Experience optimizing AI performance, cost, and latency in production
+ Familiarity with observability, evaluation frameworks, and model monitoring
* Mindset \&amp; Attributes (Critical for Success)
+ Builder mentality — you love shipping
+ High ownership — you see problems and move toward them
+ Curiosity about emerging AI capabilities and how to apply them pragmatically
+ Bias toward action and experimentation
+ Comfort operating in evolving AI landscapes
+ Ability to balance speed with engineering discipline
+ Strong communicator who can translate AI capabilities into business value
* Bonus Experience
+ Experience in utilities, broadband, cooperatives, or enterprise SaaS
+ Knowledge of AI safety, evaluation strategies, or explainability techniques
+ Full\-stack experience or ability to deliver end\-to\-end AI features
+ Portfolio, GitHub, or case studies demonstrating deployed AI systems
* Experience working with utilities, broadband providers, or cooperatives, preferred.
* Commitment to NISC's Statement of Shared Values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 Virtual Office Location: Fully remote candidates will be considered for candidates who have a background in providing AI/ML solutions that work in real world applications, not just conceptual understanding or research based projects.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Bachelor's Degree in a Computer Science, Computer Engineering,  or a related field and/or equivalent experience.
 Master's Degree in Artificial Intelligence or Machine Learning, preferred.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Employees must be able to see, speak, and hear, to operate computer keyboards or office equipment, and are required to stand, walk, and sit.
**Disclaimer:**
 Management may modify this job description by assigning or reassigning duties and responsibilities at any time.</t>
        </is>
      </c>
    </row>
    <row r="48">
      <c r="A48" t="inlineStr">
        <is>
          <t>li-4378845537</t>
        </is>
      </c>
      <c r="B48" t="inlineStr">
        <is>
          <t>Software Engineer</t>
        </is>
      </c>
      <c r="C48" t="inlineStr">
        <is>
          <t>eSense Incorporated</t>
        </is>
      </c>
      <c r="D48" t="inlineStr">
        <is>
          <t>linkedin</t>
        </is>
      </c>
      <c r="E48" t="inlineStr"/>
      <c r="F48" t="inlineStr"/>
      <c r="G48" t="inlineStr">
        <is>
          <t>Richmond, VA</t>
        </is>
      </c>
      <c r="H48" t="inlineStr"/>
      <c r="I48" t="inlineStr">
        <is>
          <t>**What you will do:** 
* Design and engineer a robust and highly responsive front\-end architecture to facilitate clear and engaging visualizations of analysis outcomes, providing a seamless UI/UX that empowers engineers to interpret and evaluate security analysis data effectively
* Design and integrate AI\-powered features into enterprise applications
* Implement LLM\-based solutions using RESTful integrations
* Work closely with cross\-functional teams to design and engineer a scalable API solution for Amida's cutting\-edge analysis engine
* Interface with internal and external stakeholders to identify key features and requirements for future product releases
* Translate UI/UX and API designs into high\-quality code that is easy to maintain, test, and deploy
* Troubleshoot interface software and monitor application services to improve end\-to\-end performance and robustness across the entire platform
* Deploy applications to Azure Kubernetes Service (AKS)
* Configure routing and API management using Azure API Management
* Build and maintain CI/CD pipelines using GitHub Actions, Jenkins
* Document application and API updates and facilitate user training
* Other duties as assigned
**Required Education:** 
* Bachelor's Degree, certification, or equivalent work experience in software development
**Required Experience:** 
* 3\-5 years of experience in full stack development.
* Proficiency with front\-end technologies (HTML, CSS, JavaScript, React, Angular, etc.).
* Experience with back\-end technologies (Node.js, Express, databases like MongoDB or MySQL).
* Strong problem\-solving and debugging skills.
* Ability to work in an agile environment and adapt to evolving requirements.
**Required Skills:** 
* 3 years of experience working on front\-end development using JavaScript frameworks such as React to produce HTML, CSS, and JavaScript web application interfaces
* 3 years of experience working with microservices architectures, RESTful APIs, and back\-end development using Node.js or similar technologies
* Experience deploying and monitoring cloud\-native applications and microservices using Docker and Kubernetes
* Proficiency in applying Agile, DevOps, and Cloud Computing tools and best practices to drive iterative development and facilitate continuous on\-demand delivery of high\-quality software solutions
* Strong communication skills, attention to detail, and demonstrated ability to deliver best\-in\-class software products
**Preferred:** 
* Familiary with building Test Automation tool
* Working knowledge of modern AI/ML concepts including supervised and unsupervised learning, NLP, and LLM\-based applications
* Experience using the D3 JavaScript library to create interactive data visualizations
* Experience with standard EDA products for RTL simulation and emulation</t>
        </is>
      </c>
    </row>
    <row r="49">
      <c r="A49" t="inlineStr">
        <is>
          <t>li-4377740090</t>
        </is>
      </c>
      <c r="B49" t="inlineStr">
        <is>
          <t>Software Engineer</t>
        </is>
      </c>
      <c r="C49" t="inlineStr">
        <is>
          <t>SR2 | Socially Responsible Recruitment | Certified B Corporation™</t>
        </is>
      </c>
      <c r="D49" t="inlineStr">
        <is>
          <t>linkedin</t>
        </is>
      </c>
      <c r="E49" t="inlineStr"/>
      <c r="F49" t="inlineStr"/>
      <c r="G49" t="inlineStr">
        <is>
          <t>Austin, TX</t>
        </is>
      </c>
      <c r="H49" t="inlineStr"/>
      <c r="I49" t="inlineStr">
        <is>
          <t>Software Engineer
 We are a venture\-backed defense technology startup building next\-generation autonomous defense systems. Founded by former Navy electrical engineers with deep expertise in robotics and software, our team is developing an autonomous platform that leverages advanced computer vision, control systems, and real\-time decision\-making to counter emerging aerial threats.
 This is a true engineering\-first environment where technical rigor, speed, and ownership matter. Backed by founders with multiple successful exits totaling $180M\+, we are building mission\-critical technology designed to operate in the most demanding real\-world conditions.
 If you enjoy solving complex, high\-stakes engineering challenges and want your work to have direct operational impact, you’ll thrive here.
 The Role
 We’re looking for a highly skilled Software Engineer with strong proficiency in C\+\+ and/or Python to design and build high\-performance, real\-time systems.
 You’ll work at the intersection of robotics, autonomy, and systems engineering — solving difficult technical problems that require performance, reliability, and precision.
 What You’ll Do
* Design, develop, and maintain high\-performance software applications (primarily C\+\+)
* Build scalable, efficient, and reliable real\-time systems
* Optimize code for speed, memory efficiency, and robustness
* Implement multi\-threaded and concurrent software architectures
* Collaborate closely with mechanical, electrical, and computer vision engineers
* Develop algorithms and data structures to solve complex computational challenges
* Debug, profile, and resolve performance bottlenecks
* Contribute to code reviews, testing frameworks, and documentation
* Work with Git\-based workflows and CI/CD pipelines
* Ensure security and reliability standards are upheld in mission\-critical systems
 What We’re Looking For
* Bachelor’s or Master’s degree in Computer Science, Software Engineering, or related field
* Strong proficiency in modern C\+\+ (C\+\+11/14/17/20\) and/or Python
* Experience with multi\-threading, concurrency, and performance optimization
* Solid understanding of memory management and system\-level programming
* Familiarity with debugging and profiling tools
* Experience with Git and modern development workflows
* Strong problem\-solving ability and comfort working in a fast\-paced, technical environment
* Professional software engineering experience preferred
 Nice to Have
* GPU programming experience (CUDA, OpenCL) or parallel computing
* Knowledge of networking protocols or distributed systems
* Experience with machine learning frameworks (PyTorch, TensorFlow)
* Scientific computing background
* DevOps experience (Docker, Kubernetes, CI/CD pipelines)
 What We Offer
* Competitive base salary
* Meaningful equity package
* Health, dental, and vision insurance
* Paid time off</t>
        </is>
      </c>
    </row>
    <row r="50">
      <c r="A50" t="inlineStr">
        <is>
          <t>li-4379903802</t>
        </is>
      </c>
      <c r="B50" t="inlineStr">
        <is>
          <t>Software Engineer I</t>
        </is>
      </c>
      <c r="C50" t="inlineStr">
        <is>
          <t>Lensa</t>
        </is>
      </c>
      <c r="D50" t="inlineStr">
        <is>
          <t>linkedin</t>
        </is>
      </c>
      <c r="E50" t="inlineStr"/>
      <c r="F50" t="inlineStr"/>
      <c r="G50" t="inlineStr">
        <is>
          <t>Chicago, IL</t>
        </is>
      </c>
      <c r="H50" t="inlineStr"/>
      <c r="I5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Renaissance Services. Clicking "Apply Now" or "Read more" on Lensa redirects you to the job board/employer site. Any information collected there is subject to their terms and privacy notice.
**About Renaissance**
 When you join Renaissance®, you join a global leader in pre\-K–12 education technology! Renaissance’s solutions help educators analyze, customize, and plan personalized learning paths for students, allowing time for what matters—creating energizing learning experiences in the classroom. Our fiercely passionate employees and educational partners have helped drive phenomenal student growth, with Renaissance solutions being used in over one\-third of US schools and in more than 100 countries worldwide.
 Every day, we are connected to our mission by exemplifying our values: trust each other, win together, strive for the best, own our actions, and grow and evolve.
**Job Description**
 We’re looking for a motivated
 **Software Engineer I** 
 to join our agile, multi\-disciplinary engineering team. You’ll play a key role in an impact\-driven culture where your creativity, curiosity, and technical skill help shape how we build and scale our highly available SaaS platform used by millions of K\-12 students every month worldwide.
**In this role as a Software Engineer I, you will:**
* Collaborate closely within an agile, cross\-functional team to deliver high\-quality software and develop your skills.
* Communicate effectively in a distributed remote work environment.
* Contribute to the design, development and maintenance of frontend and backend systems serving millions of users and thousands of requests per second.
* Contribute your unique perspective and technical expertise to achieve shared goals.
* Continuously learn, experiment, test, and iterate to improve both product and process.
**For this role as a Software Engineer I, you should have:**
* BS in Computer Science, Computer Engineering , or equivalent experience.
* 1\-2\+ years of professional software development experience utilizing web technologies.
* Hands\-on experience with React or a comparable single\-page application framework.
* Familiarity with js for backend or API development.
* Exposure to static types systems (TypeScript \-preferred, Java, C\#, etc.).
* Familiarity working with relational databases.
* Strong written and verbal communication skills, especially in collaborative environments.
**Bonus Points**
* Professional experience with functional programming languages (Haskell, Scala, Clojure, etc.).
* Professional experience in NodeJS.
* Familiarity with Event based architecture.
**Additional Information**
 All your information will be kept confidential according to EEO guidelines.
**The below compensation range is based on national market data and may vary by experience and location.**
 Salary Range
 $68,000—$80,000 USD
**Benefits For Eligible US Employees Include**
* World Class Health Benefits: Medical, Prescription, Dental, Vision, Telehealth
* Health Savings and Flexible Spending Accounts
* 401(k) and Roth 401(k) with company match
* Paid Vacation and Sick Time Off
* 12 Paid Holidays
* Parental Leave (20 total weeks with 14 weeks paid) \&amp; Milk Stork program
* Tuition Reimbursement
* Life \&amp; Disability Insurance
* Well\-being and Employee Assistance Programs
 Frequently cited statistics show that some women, underrepresented individuals, protected veterans and individuals with disabilities may only apply to roles if they meet 100% of the qualifications. At Renaissance, we encourage all applications. Roles evolve over time, especially with innovation, and you may be just the person we need for the future!
**Equal Opportunity Employer**
 Renaissance is an equal opportunity employer and does not discriminate with respect to any term, condition or privilege of employment based on race, color, religion, sex, sexual orientation, gender identity or expression, age, disability, military or veteran status, marital status, or status of an individual in any group or class protected by applicable federal, state, or local law.
 For California Residents, please see our Privacy Notice for California Job Candidates here .
**Reasonable Accommodations**
 Renaissance also provides reasonable accommodations for qualified individuals with disabilities in accordance with the Americans with Disabilities Act and applicable state and local laws. If accommodation is needed to participate in the job application or interview process, please contact Talent Acquisition (TATeam@renlearnCRM.onmicrosoft.com) .
**Employment Authorization**
 Applicants must be authorized to work for any employer in the United States. We are unable to sponsor or take over sponsorship of an employment Visa at this time.
 For more information about Renaissance, visit: https://www.renaissance.com
 If you have questions about this posting, please contact support@lensa.com</t>
        </is>
      </c>
    </row>
    <row r="51">
      <c r="A51" t="inlineStr">
        <is>
          <t>li-4379901757</t>
        </is>
      </c>
      <c r="B51" t="inlineStr">
        <is>
          <t>Software Engineer I</t>
        </is>
      </c>
      <c r="C51" t="inlineStr">
        <is>
          <t>Lensa</t>
        </is>
      </c>
      <c r="D51" t="inlineStr">
        <is>
          <t>linkedin</t>
        </is>
      </c>
      <c r="E51" t="inlineStr"/>
      <c r="F51" t="inlineStr"/>
      <c r="G51" t="inlineStr">
        <is>
          <t>Kansas City, MO</t>
        </is>
      </c>
      <c r="H51" t="inlineStr"/>
      <c r="I5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Renaissance Services. Clicking "Apply Now" or "Read more" on Lensa redirects you to the job board/employer site. Any information collected there is subject to their terms and privacy notice.
**About Renaissance**
 When you join Renaissance®, you join a global leader in pre\-K\-12 education technology! Renaissance's solutions help educators analyze, customize, and plan personalized learning paths for students, allowing time for what matters\-creating energizing learning experiences in the classroom. Our fiercely passionate employees and educational partners have helped drive phenomenal student growth, with Renaissance solutions being used in over one\-third of US schools and in more than 100 countries worldwide.
 Every day, we are connected to our mission by exemplifying our values: trust each other, win together, strive for the best, own our actions, and grow and evolve.
**Job Description**
 We're looking for a motivated
 **Software Engineer I** 
 to join our agile, multi\-disciplinary engineering team. You'll play a key role in an impact\-driven culture where your creativity, curiosity, and technical skill help shape how we build and scale our highly available SaaS platform used by millions of K\-12 students every month worldwide.
**In this role as a Software Engineer I, you will:**
* Collaborate closely within an agile, cross\-functional team to deliver high\-quality software and develop your skills.
* Communicate effectively in a distributed remote work environment.
* Contribute to the design, development and maintenance of frontend and backend systems serving millions of users and thousands of requests per second.
* Contribute your unique perspective and technical expertise to achieve shared goals.
* Continuously learn, experiment, test, and iterate to improve both product and process.
**For this role as a Software Engineer I, you should have:**
* BS in Computer Science, Computer Engineering , or equivalent experience.
* 1\-2\+ years of professional software development experience utilizing web technologies.
* Hands\-on experience with React or a comparable single\-page application framework.
* Familiarity with js for backend or API development.
* Exposure to static types systems (TypeScript \-preferred, Java, C\#, etc.).
* Familiarity working with relational databases.
* Strong written and verbal communication skills, especially in collaborative environments.
**Bonus Points**
* Professional experience with functional programming languages (Haskell, Scala, Clojure, etc.).
* Professional experience in NodeJS.
* Familiarity with Event based architecture.
**Additional Information**
 All your information will be kept confidential according to EEO guidelines.
**The below compensation range is based on national market data and may vary by experience and location.**
 Salary Range
 $68,000\-$80,000 USD
**Benefits For Eligible US Employees Include**
* World Class Health Benefits: Medical, Prescription, Dental, Vision, Telehealth
* Health Savings and Flexible Spending Accounts
* 401(k) and Roth 401(k) with company match
* Paid Vacation and Sick Time Off
* 12 Paid Holidays
* Parental Leave (20 total weeks with 14 weeks paid) \&amp; Milk Stork program
* Tuition Reimbursement
* Life \&amp; Disability Insurance
* Well\-being and Employee Assistance Programs
 Frequently cited statistics show that some women, underrepresented individuals, protected veterans and individuals with disabilities may only apply to roles if they meet 100% of the qualifications. At Renaissance, we encourage all applications. Roles evolve over time, especially with innovation, and you may be just the person we need for the future!
**Equal Opportunity Employer**
 Renaissance is an equal opportunity employer and does not discriminate with respect to any term, condition or privilege of employment based on race, color, religion, sex, sexual orientation, gender identity or expression, age, disability, military or veteran status, marital status, or status of an individual in any group or class protected by applicable federal, state, or local law.
 For California Residents, please see our Privacy Notice for California Job Candidates here .
**Reasonable Accommodations**
 Renaissance also provides reasonable accommodations for qualified individuals with disabilities in accordance with the Americans with Disabilities Act and applicable state and local laws. If accommodation is needed to participate in the job application or interview process, please contact Talent Acquisition (TATeam@renlearnCRM.onmicrosoft.com) .
**Employment Authorization**
 Applicants must be authorized to work for any employer in the United States. We are unable to sponsor or take over sponsorship of an employment Visa at this time.
 For more information about Renaissance, visit: https://www.renaissance.com
 If you have questions about this posting, please contact support@lensa.com</t>
        </is>
      </c>
    </row>
    <row r="52">
      <c r="A52" t="inlineStr">
        <is>
          <t>li-4331190638</t>
        </is>
      </c>
      <c r="B52" t="inlineStr">
        <is>
          <t>Senior Software Engineer</t>
        </is>
      </c>
      <c r="C52" t="inlineStr">
        <is>
          <t>The Nuclear Company</t>
        </is>
      </c>
      <c r="D52" t="inlineStr">
        <is>
          <t>linkedin</t>
        </is>
      </c>
      <c r="E52" t="inlineStr"/>
      <c r="F52" t="inlineStr"/>
      <c r="G52" t="inlineStr">
        <is>
          <t>Seattle, WA</t>
        </is>
      </c>
      <c r="H52" t="inlineStr"/>
      <c r="I52" t="inlineStr">
        <is>
          <t>The Nuclear Company is the fastest growing startup in the nuclear and energy space creating a never before seen fleet\-scale approach to building nuclear reactors. Through its design\-once, build\-many approach and coalition building across communities, regulators, and financial stakeholders, The Nuclear Company is committed to delivering safe and reliable electricity at the lowest cost, while catalyzing the nuclear industry toward rapid development in America and globally. The Nuclear Company (TNC) is at the forefront of America's nuclear renaissance, delivering the abundant, clean, reliable energy necessary for our nation to remain the world's leader. We're not just building nuclear plants – we're revolutionizing how they're built.
 Our Strategic Advantage: Nuclear OS will be built by the team that will use it. No other effort in the industry is embedding its technology staff alongside the engineering, procurement and construction teams responsible for execution. Others attempt to build software from the outside, disconnected from the realities of nuclear deployment. The Nuclear Company is building a system designed from the inside — ensuring Nuclear OS will address the challenges that have stalled nuclear projects for decades.
**About The Role**
 As a Senior Software Engineer, you will be instrumental in developing Nuclear OS, the first purpose\-built digital platform to digitize, automate, and streamline the development and deployment of fleet\-scale nuclear power plants. You'll work directly with nuclear engineers, construction teams, and procurement specialists to build software that solves real\-world challenges in nuclear deployment.
**Responsibilities**
**Core Development**
* Design and implement key components of Nuclear OS, including data integration, AI/ML systems, and workflow automation
* Build secure, scalable systems that consolidate formerly siloed data (engineering plans, project schedules, supply chain information, quality records, sensor feeds) onto a single platform
* Develop advanced analytics and AI capabilities that enable unprecedented real\-time visibility and proactive control over complex nuclear projects
**Cross\-Functional Collaboration**
* Work closely with nuclear engineers, construction workers, quality foremen, and planning teams to understand their workflows and pain points
* Collaborate with field teams to ensure Nuclear OS addresses real construction challenges, not theoretical problems
* Partner with regulatory compliance teams to build automated workflow systems
**Technical Excellence**
* Implement foundational architecture that combines Palantir's powerful data integration and modeling capabilities with nuclear\-specific functionality
* Ensure end\-to\-end system integration where improvements in one area immediately benefit all other areas through a common platform
* Build systems that are traceable, auditable, and compliant with nuclear industry standards
**Innovation \&amp; Problem\-Solving**
* Develop solutions for transmitting lessons learned from field installation back to nuclear reactor design authorities and sub\-vendors
* Create data\-centric requirement environments to interface with external parties while maintaining security and compliance
* Build segregated collaboration workspaces for partners with appropriate export control compliance
**Experience**
**Technical Skills**
* 5\+ years of software engineering experience with expertise in:
+ Cloud\-native architectures and distributed systems
+ Data integration and ETL pipelines
+ AI/ML frameworks and model deployment
+ API design and microservices architecture
+ DevSecOps practices and CI/CD pipelines
* Proficiency in modern programming languages (Python, Java, TypeScript, etc.)
* Experience with database technologies (SQL and NoSQL)
* Knowledge of containerization and orchestration (Docker, Kubernetes)
**Industry Experience**
* Experience building enterprise software for complex, regulated industries
* Understanding of project management workflows and construction processes
* Familiarity with quality assurance and compliance systems
* Experience with secure software development practices
**Collaboration \&amp; Communication**
* Strong problem\-solving skills with ability to work in cross\-functional teams
* Experience translating business requirements into technical solutions
* Ability to work effectively with non\-technical stakeholders
* Excellent written and verbal communication skills
**Preferred Qualifications**
* Bachelor's degree in Computer Science, Engineering, or related field
* Experience in nuclear, aerospace, defense, or other highly regulated industries
* Familiarity with Palantir technologies or similar data integration platforms
* Knowledge of construction management or industrial project execution
* Experience with regulatory compliance systems
* Security clearance eligibility
**Benefits**
* Competitive compensation packages
* 401k with company match
* Medical, dental, vision plans
* Generous vacation policy, plus holidays
* Annual company retreats
**Estimated Starting Salary Range**
 The estimated starting salary range for this role is $126,000 \- $182,000 annually less applicable withholdings and deductions, paid on a bi\-weekly basis. The actual salary offered may vary based on relevant factors as determined in the Company’s discretion, which may include experience, qualifications, tenure, skill set, availability of qualified candidates, geographic location, certifications held, and other criteria deemed pertinent to the particular role.
**EEO Statement**
 The Nuclear Company is an equal opportunity employer committed to fostering an environment of inclusion in the workplace. We provide equal employment opportunities to all qualified applicants and employees without regard to race, color, religion, sex, sexual orientation, gender identity, national origin, age, disability, veteran status, or any other protected characteristic. We prohibit discrimination in all aspects of employment, including hiring, promotion, demotion, transfer, compensation, and termination.
**Export Control**
 Certain positions at The Nuclear Company may involve access to information and technology subject to export controls under U.S. law. Compliance with these export controls may result in The Nuclear Company limiting its consideration of certain applicants.</t>
        </is>
      </c>
    </row>
    <row r="53">
      <c r="A53" t="inlineStr">
        <is>
          <t>li-4297756014</t>
        </is>
      </c>
      <c r="B53" t="inlineStr">
        <is>
          <t>Sr. Software Engineer - Performance</t>
        </is>
      </c>
      <c r="C53" t="inlineStr">
        <is>
          <t>Databricks</t>
        </is>
      </c>
      <c r="D53" t="inlineStr">
        <is>
          <t>linkedin</t>
        </is>
      </c>
      <c r="E53" t="inlineStr"/>
      <c r="F53" t="inlineStr"/>
      <c r="G53" t="inlineStr">
        <is>
          <t>San Francisco, CA</t>
        </is>
      </c>
      <c r="H53" t="inlineStr"/>
      <c r="I53" t="inlineStr">
        <is>
          <t>P\-97
 At Databricks, we are passionate about enabling data teams to solve the world's toughest problems. We do this by building and running the world's best data and AI infrastructure platform so our customers can use deep data insights to improve their business. We constantly push the boundaries of data and AI technology, while simultaneously operating with the resilience, security and scale that is critical to making customers successful on our platform. Databricks develops and operates one of the largest scale software platforms; the fleet consists of millions of virtual machines, generating terabytes of logs and processing exabytes of data per day. At our scale, we regularly observe cloud hardware, network, and operating system faults, and our software must gracefully shield our customers from any of the above.
 As a performance engineer, you will work closely with multiple teams across the company to evaluate the performance of products and features, identify performance bottlenecks, and partner with engineers to solve performance and scalability issues. This implies, among other teams, setting performance targets for various software releases, guiding teams to develop performance benchmarks, running competitive benchmark analysis for different Databricks products, doing deep dive analysis to identify performance issues and fix them.
**The Impact You Will Have**
* Identify performance limitations of the entire stack based on telemetry, customer signals, PoCs, and competitive benchmarks, that will result in the best performing system across the industry, when resolved. Dimensions include latency, data and compute scalability, concurrency, cost, and price to performance ratio. Impact spans all cloud providers and all major areas.
* Set the performance expectations for all cross\-cutting efforts early on through specialized benchmarks capturing the intended customer user journeys, and make sure they are met before deployed to customers.
* Understand the performance characteristics of the compute instance types, storage layers, and all cloud services Databricks depends on and deploy optimal solutions to meet the customer demand.
* Work with customers to root cause and mitigate performance problems during production, previews, and POCs.
**What We Look For**
* BS (or higher degree) in Computer Science, or a related field
* Experience in the performance analysis discipline. Ability to identify performance issues, root cause problems, and be able to come up with potential solutions.
* Experience in software development, preferably in large scale distributed systems
* Ability to measure and document the impact of performance features to existing customers, such as possible regressions for certain workloads, their extent, and which customers will be affected.
* Ability to build strong working relationships with developers and field engineers to facilitate triaging and mitigation of performance problems.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$166,000—$225,000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54">
      <c r="A54" t="inlineStr">
        <is>
          <t>li-4379922798</t>
        </is>
      </c>
      <c r="B54" t="inlineStr">
        <is>
          <t>Software Engineer in Hopkins MN</t>
        </is>
      </c>
      <c r="C54" t="inlineStr">
        <is>
          <t>HYR Global Source Inc</t>
        </is>
      </c>
      <c r="D54" t="inlineStr">
        <is>
          <t>linkedin</t>
        </is>
      </c>
      <c r="E54" t="inlineStr"/>
      <c r="F54" t="inlineStr"/>
      <c r="G54" t="inlineStr">
        <is>
          <t>Hopkins, MN</t>
        </is>
      </c>
      <c r="H54" t="inlineStr"/>
      <c r="I54" t="inlineStr">
        <is>
          <t>**Position Name : Software Engineer**
**Location: 3\-day onsite Hybrid position and will report to the office in Hopkins, MN.**
**Position Type: W2**
 We are seeking an engineer who is exceptional in Python, experienced with web frameworks (Flask, FastAPI, Django), comfortable building front end (React, Angular), and capable of delivering production\-grade GenAI solutions (LLMs, RAG, Agents/Agentic AI, MCP, guardrails).
 Follow us on LinkedIn \- https://www.linkedin.com/company/hyr\-global\-source\-inc</t>
        </is>
      </c>
    </row>
    <row r="55">
      <c r="A55" t="inlineStr">
        <is>
          <t>li-4379906032</t>
        </is>
      </c>
      <c r="B55" t="inlineStr">
        <is>
          <t>Software Developer Engineer</t>
        </is>
      </c>
      <c r="C55" t="inlineStr">
        <is>
          <t>Mercor</t>
        </is>
      </c>
      <c r="D55" t="inlineStr">
        <is>
          <t>linkedin</t>
        </is>
      </c>
      <c r="E55" t="inlineStr"/>
      <c r="F55" t="inlineStr"/>
      <c r="G55" t="inlineStr"/>
      <c r="H55" t="inlineStr"/>
      <c r="I55"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**Type:** 
**Contract**
**Compensation:** 
**$80–$120/hour**
**Location:** 
**Remote**
**Role Responsibilities**
* Ship production features across backend and frontend.
* Design and implement a scalable integrations framework.
* Build real\-time analytics experiences.
* Architect an agentic tool\-use layer compatible with MCP\-style patterns.
* Set up strong engineering hygiene: testing, observability, and on\-call readiness for the pilot.
* Iterate quickly and pragmatically.
**Qualifications**
**Must\-Have**
* Strong, practical software engineering skills; ability to ship end\-to\-end and unblock yourself.
* Experience building SaaS products with APIs, data models, and production constraints.
* Deep comfort with integrations (OAuth2, webhooks, API pagination, rate limiting, sync semantics).
* "Vibe coding" mindset: effective use of AI tools (Copilot, ChatGPT, etc.) without sacrificing correctness.
* Familiarity with MCP\-style tool interfaces and/or building tool servers.
* Clear communicator who can explain tradeoffs and keep stakeholders aligned.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56">
      <c r="A56" t="inlineStr">
        <is>
          <t>li-4379908778</t>
        </is>
      </c>
      <c r="B56" t="inlineStr">
        <is>
          <t>Software Engineer I</t>
        </is>
      </c>
      <c r="C56" t="inlineStr">
        <is>
          <t>Lensa</t>
        </is>
      </c>
      <c r="D56" t="inlineStr">
        <is>
          <t>linkedin</t>
        </is>
      </c>
      <c r="E56" t="inlineStr"/>
      <c r="F56" t="inlineStr"/>
      <c r="G56" t="inlineStr">
        <is>
          <t>Columbus, OH</t>
        </is>
      </c>
      <c r="H56" t="inlineStr"/>
      <c r="I5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Renaissance Services. Clicking "Apply Now" or "Read more" on Lensa redirects you to the job board/employer site. Any information collected there is subject to their terms and privacy notice.
**About Renaissance**
 When you join Renaissance®, you join a global leader in pre\-K–12 education technology! Renaissance’s solutions help educators analyze, customize, and plan personalized learning paths for students, allowing time for what matters—creating energizing learning experiences in the classroom. Our fiercely passionate employees and educational partners have helped drive phenomenal student growth, with Renaissance solutions being used in over one\-third of US schools and in more than 100 countries worldwide.
 Every day, we are connected to our mission by exemplifying our values: trust each other, win together, strive for the best, own our actions, and grow and evolve.
**Job Description**
 We’re looking for a motivated
 **Software Engineer I** 
 to join our agile, multi\-disciplinary engineering team. You’ll play a key role in an impact\-driven culture where your creativity, curiosity, and technical skill help shape how we build and scale our highly available SaaS platform used by millions of K\-12 students every month worldwide.
**In this role as a Software Engineer I, you will:**
* Collaborate closely within an agile, cross\-functional team to deliver high\-quality software and develop your skills.
* Communicate effectively in a distributed remote work environment.
* Contribute to the design, development and maintenance of frontend and backend systems serving millions of users and thousands of requests per second.
* Contribute your unique perspective and technical expertise to achieve shared goals.
* Continuously learn, experiment, test, and iterate to improve both product and process.
**For this role as a Software Engineer I, you should have:**
* BS in Computer Science, Computer Engineering , or equivalent experience.
* 1\-2\+ years of professional software development experience utilizing web technologies.
* Hands\-on experience with React or a comparable single\-page application framework.
* Familiarity with js for backend or API development.
* Exposure to static types systems (TypeScript \-preferred, Java, C\#, etc.).
* Familiarity working with relational databases.
* Strong written and verbal communication skills, especially in collaborative environments.
**Bonus Points**
* Professional experience with functional programming languages (Haskell, Scala, Clojure, etc.).
* Professional experience in NodeJS.
* Familiarity with Event based architecture.
**Additional Information**
 All your information will be kept confidential according to EEO guidelines.
**The below compensation range is based on national market data and may vary by experience and location.**
 Salary Range
 $68,000—$80,000 USD
**Benefits For Eligible US Employees Include**
* World Class Health Benefits: Medical, Prescription, Dental, Vision, Telehealth
* Health Savings and Flexible Spending Accounts
* 401(k) and Roth 401(k) with company match
* Paid Vacation and Sick Time Off
* 12 Paid Holidays
* Parental Leave (20 total weeks with 14 weeks paid) \&amp; Milk Stork program
* Tuition Reimbursement
* Life \&amp; Disability Insurance
* Well\-being and Employee Assistance Programs
 Frequently cited statistics show that some women, underrepresented individuals, protected veterans and individuals with disabilities may only apply to roles if they meet 100% of the qualifications. At Renaissance, we encourage all applications. Roles evolve over time, especially with innovation, and you may be just the person we need for the future!
**Equal Opportunity Employer**
 Renaissance is an equal opportunity employer and does not discriminate with respect to any term, condition or privilege of employment based on race, color, religion, sex, sexual orientation, gender identity or expression, age, disability, military or veteran status, marital status, or status of an individual in any group or class protected by applicable federal, state, or local law.
 For California Residents, please see our Privacy Notice for California Job Candidates here .
**Reasonable Accommodations**
 Renaissance also provides reasonable accommodations for qualified individuals with disabilities in accordance with the Americans with Disabilities Act and applicable state and local laws. If accommodation is needed to participate in the job application or interview process, please contact Talent Acquisition (TATeam@renlearnCRM.onmicrosoft.com) .
**Employment Authorization**
 Applicants must be authorized to work for any employer in the United States. We are unable to sponsor or take over sponsorship of an employment Visa at this time.
 For more information about Renaissance, visit: https://www.renaissance.com
 If you have questions about this posting, please contact support@lensa.com</t>
        </is>
      </c>
    </row>
    <row r="57">
      <c r="A57" t="inlineStr">
        <is>
          <t>li-4378810451</t>
        </is>
      </c>
      <c r="B57" t="inlineStr">
        <is>
          <t>Software Engineer - AI/ML</t>
        </is>
      </c>
      <c r="C57" t="inlineStr">
        <is>
          <t>NISC</t>
        </is>
      </c>
      <c r="D57" t="inlineStr">
        <is>
          <t>linkedin</t>
        </is>
      </c>
      <c r="E57" t="inlineStr"/>
      <c r="F57" t="inlineStr"/>
      <c r="G57" t="inlineStr">
        <is>
          <t>Miami, FL</t>
        </is>
      </c>
      <c r="H57" t="inlineStr"/>
      <c r="I57" t="inlineStr">
        <is>
          <t>**Company Overview:**
 For more than 50 years, NISC has worked to develop technology solutions for our customers, who we call our "Members". Those Members are comprised primarily of 960\+ energy (utility) and communication (broadband) organizations across North America. Our mission is to deliver technology solutions and services that are Member\-focused, quality driven and valued priced. Our Members have over 18 million end customers (residential and businesses who receive power, internet, television and/or telephone services) that our enterprise software solution enables our Member's employees to compete effectively in the industry, while excelling in providing customer service to their end customers.
 NISC exists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**Position Overview:**
 We are looking for a high\-agency, AI\-native Software Engineer who loves building real\-world AI systems that make a measurable difference.
 This is not a research role. This is not a "play with models in a lab" role. This is a builder role.
 You will design, build, ship, and continuously improve production\-grade AI applications that are embedded directly into mission\-critical software used by utilities and broadband providers across North America. Your work will power customer service interactions, operational workflows, and intelligent automation at scale.
 We are looking for someone who:
* Gets excited about taking AI from idea → prototype → production → scale
* Loves experimenting with new models, frameworks, and agentic patterns
* Has a "there's a way" mindset when solving hard technical problems
* Believes AI should drive tangible business impact, not just technical novelty
* Thrives in ambiguity and moves fast while maintaining engineering discipline
 At NISC, AI is not a side initiative — it is a core strategic priority. You will help shape how AI transforms the way our Members serve their communities.
 If you've built and deployed AI systems that real users depend on — and you want to do it in an organization that values ownership, innovation, and meaningful impact — we encourage you to apply.
**Essential Functions:**
* Design \&amp; Build Production AI Systems: Architect, develop, and deploy AI\-powered features and applications using LLMs, RAG pipelines, agentic workflows, and modern ML techniques.
* Own Outcomes, Not Just Code: Take ideas from concept to production. Prototype quickly, validate with users, iterate based on feedback, and optimize for reliability and performance.
* LLM \&amp; Agent Integration: Integrate foundation models, fine\-tuned models, and multi\-agent systems into enterprise\-grade applications in secure, scalable environments.
* Data \&amp; Retrieval Engineering: Design and optimize data ingestion pipelines, embeddings workflows, and vector database implementations that support high\-quality AI responses.
* Performance \&amp; Scalability: Deploy AI systems that are resilient, observable, and cost\-efficient in production environments.
* Mission Alignment: Ensure solutions are practical, intuitive, and aligned with the operational realities of cooperatives, utilities, and broadband providers.
* Continuous Innovation: Actively explore new AI capabilities and rapidly evaluate how they can improve our products and development practices.
* Collaborative Execution: Partner with product, architecture, and engineering teams to embed AI capabilities across our enterprise platform.
* Follow all established software development methodologies and procedures.
* Other duties as assigned
**Desired Experience \&amp; Skills:** 
* 8\-10\+ years experience in software development, preferably with at least 3\+ years in AI/ML software development.
* Demonstrated experience shipping AI solutions used by real customers — not just prototypes or academic projects
* Experience integrating LLMs into applications (prompt engineering, evaluation, fine\-tuning, API orchestration)
* Experience designing RAG pipelines, embeddings workflows, and working with vector databases
* Experience deploying AI systems in cloud environments (AWS, Azure, GCP)
* Technical Expertise:
+ Strong Python proficiency and familiarity with ML frameworks (PyTorch, TensorFlow, or equivalent)
+ Experience building scalable APIs and backend services
+ Understanding of agentic architectures, orchestration frameworks, or multi\-agent systems
+ Experience optimizing AI performance, cost, and latency in production
+ Familiarity with observability, evaluation frameworks, and model monitoring
* Mindset \&amp; Attributes (Critical for Success)
+ Builder mentality — you love shipping
+ High ownership — you see problems and move toward them
+ Curiosity about emerging AI capabilities and how to apply them pragmatically
+ Bias toward action and experimentation
+ Comfort operating in evolving AI landscapes
+ Ability to balance speed with engineering discipline
+ Strong communicator who can translate AI capabilities into business value
* Bonus Experience
+ Experience in utilities, broadband, cooperatives, or enterprise SaaS
+ Knowledge of AI safety, evaluation strategies, or explainability techniques
+ Full\-stack experience or ability to deliver end\-to\-end AI features
+ Portfolio, GitHub, or case studies demonstrating deployed AI systems
* Experience working with utilities, broadband providers, or cooperatives, preferred.
* Commitment to NISC's Statement of Shared Values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 Virtual Office Location: Fully remote candidates will be considered for candidates who have a background in providing AI/ML solutions that work in real world applications, not just conceptual understanding or research based projects.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Bachelor's Degree in a Computer Science, Computer Engineering,  or a related field and/or equivalent experience.
 Master's Degree in Artificial Intelligence or Machine Learning, preferred.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Employees must be able to see, speak, and hear, to operate computer keyboards or office equipment, and are required to stand, walk, and sit.
**Disclaimer:**
 Management may modify this job description by assigning or reassigning duties and responsibilities at any time.</t>
        </is>
      </c>
    </row>
    <row r="58">
      <c r="A58" t="inlineStr">
        <is>
          <t>li-4379940438</t>
        </is>
      </c>
      <c r="B58" t="inlineStr">
        <is>
          <t>Full-Stack Software Engineer</t>
        </is>
      </c>
      <c r="C58" t="inlineStr">
        <is>
          <t>Mercor</t>
        </is>
      </c>
      <c r="D58" t="inlineStr">
        <is>
          <t>linkedin</t>
        </is>
      </c>
      <c r="E58" t="inlineStr"/>
      <c r="F58" t="inlineStr"/>
      <c r="G58" t="inlineStr"/>
      <c r="H58" t="inlineStr"/>
      <c r="I58"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**Type:** 
**Full\-time**
**Compensation:** 
**$80–$110/hour**
**Location:** 
**Remote**
**Role Responsibilities**
* Develop and enhance AI\-powered interviewing tools and automation systems to optimize the hiring infrastructure.
* Implement frontend experiences using React and related frameworks to create intuitive user interfaces for recruiters, interviewers, and candidates.
* Build and maintain backend services supporting interview scheduling, AI transcription/summarization, and automation workflows.
* Collaborate with AI/ML teams to integrate GPT\-4o and other AI technologies for interview feedback automation and quality improvements.
* Leverage AI\-powered development tools including Cursor, Claude Code, and Devmate to accelerate development velocity.
* Support autonomous scheduling improvements and candidate\-driven experiences that reduce manual coordinator interventions.
**Qualifications**
**Must\-Have**
* Bachelor's degree in Computer Science, Computer Engineering, relevant technical field, or equivalent practical experience.
* 4\+ years of software engineering experience with object\-oriented programming languages such as Java, C\+\+, or C\#.
* Experience with scripting languages including Python, PHP, or JavaScript.
* Proficiency with frontend frameworks such as React, Vue, or similar modern JavaScript frameworks.
* Strong problem\-solving skills and ability to work independently on complex technical challenges.
**Preferred**
* Experience working with AI\-powered development tools such as Cursor, Claude Code, Devmate, or similar AI coding assistants.
* Familiarity with GraphQL and modern API design patterns.
* Experience with React ecosystem including Relay for data fetching.
* Knowledge of AI/ML technologies and experience integrating language models (GPT\-4o, Claude, etc.) into production applications.
**Compensation \&amp; Legal**
* Hourly contractor
* Paid weekly via Stripe Connect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59">
      <c r="A59" t="inlineStr">
        <is>
          <t>li-4370022469</t>
        </is>
      </c>
      <c r="B59" t="inlineStr">
        <is>
          <t>Software Engineer - Full Stack</t>
        </is>
      </c>
      <c r="C59" t="inlineStr">
        <is>
          <t>hackajob</t>
        </is>
      </c>
      <c r="D59" t="inlineStr">
        <is>
          <t>linkedin</t>
        </is>
      </c>
      <c r="E59" t="inlineStr"/>
      <c r="F59" t="inlineStr"/>
      <c r="G59" t="inlineStr">
        <is>
          <t>Sunrise, FL</t>
        </is>
      </c>
      <c r="H59" t="inlineStr"/>
      <c r="I59" t="inlineStr">
        <is>
          <t>***hackajob** 
 is collaborating with
 **American Express** 
 to connect them with exceptional tech professionals for this role.*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**How will you make an impact on this role?**
* Function as an active member of a software engineering team by contributing to software builds through consistent development practices (tools, common components, and documentation)
* Delivery of business requirements by developing on enterprise frameworks in Java
* Participate in code reviews and automated testing
* Debug basic software components and identify code defects for remediation
* Support and monitoring of software through test, integration, and production environments
* Automate deployments in test or production environments
* Adhere to security and regulatory best practices
**Minimum Qualifications**
* Expert\-level knowledge of Java and building REST APIs; experience with Spring Boot preferred.
* Keen understanding of application architecture and design, preferably in a cloud\-native environment
* Ability to identify coding and environmental issues relating to design, stability, and scalability
* Strong experience with developing code for Relational and NoSQL databases
* Experience in Agile development, automated testing, and Continuous Integration/Continuous Delivery (CI/CD)
* Willingness and ability to lead complex cross\-team initiatives without direct authority
* Learn new technologies quickly and be able to leverage their benefits to enhance existing software
* Bachelor’s degree in computer science, computer engineering, or related field required
**Preferred Qualifications**
* Experience in building component\-based applications with modern frontend frameworks, with preference of React/Redux
* Experience in building component\-based applications with modern backend frameworks, with preference of Spring Boot and Vertx
* Strong sense of extreme ownership and a big proponent of DevOps culture.
* Performance testing experience including root cause analysis and resolution for complicated issues
* Experience with Scaled Agile Framework (SAFe) and working in a large matrixed organization.
* Business Product Knowledge \- Working knowledge of the finance and credit lending industry.
* Development skills in industry standard languages and tools such as Java, GitHub and IntelliJ
 Salary Range: $89,250\.00 to $150,250\.00 annually \+ bonus \+ benefits
 The above represents the expected salary range for this job requisition. Ultimately, in determining your pay, we’ll consider your location, experience, and other job\-related factors.
**Benefits**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Employment eligibility to work with American Express in the U.S. is required as the company will not pursue visa sponsorship for these positions.</t>
        </is>
      </c>
    </row>
    <row r="60">
      <c r="A60" t="inlineStr">
        <is>
          <t>li-4379902351</t>
        </is>
      </c>
      <c r="B60" t="inlineStr">
        <is>
          <t>Software Developer 1</t>
        </is>
      </c>
      <c r="C60" t="inlineStr">
        <is>
          <t>Lensa</t>
        </is>
      </c>
      <c r="D60" t="inlineStr">
        <is>
          <t>linkedin</t>
        </is>
      </c>
      <c r="E60" t="inlineStr"/>
      <c r="F60" t="inlineStr"/>
      <c r="G60" t="inlineStr">
        <is>
          <t>Raleigh, NC</t>
        </is>
      </c>
      <c r="H60" t="inlineStr"/>
      <c r="I6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Design, develop, troubleshoot, and debug web applications that extract meaning from analytics warehouses and present them as actionable visuals to help clients achieve better outcomes. As a member of the Oracle Health division, you will be part of a team that is passionate about improving the state of healthcare by creating, maintaining, and improving a complex web application that focuses on helping clients use their own data to identify potential areas for improvement and tracking the impact of their changes.
**Responsibilities**
 Duties include development in Python, Django, SQL, Javascript, and React; Using a distributed version control system (git).
 Other expectations: Working in a team environment (sharing knowledge, commenting on code, etc.), using containerized applications (Docker, Kubernetes), creating and calling RESTful APIs. Familiarity with analytics concepts and platforms a plus.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$61,200 to $141,200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IC1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61">
      <c r="A61" t="inlineStr">
        <is>
          <t>li-4365533795</t>
        </is>
      </c>
      <c r="B61" t="inlineStr">
        <is>
          <t>Software Engineer (Senior)</t>
        </is>
      </c>
      <c r="C61" t="inlineStr">
        <is>
          <t>Candid Health</t>
        </is>
      </c>
      <c r="D61" t="inlineStr">
        <is>
          <t>linkedin</t>
        </is>
      </c>
      <c r="E61" t="inlineStr"/>
      <c r="F61" t="inlineStr"/>
      <c r="G61" t="inlineStr">
        <is>
          <t>San Francisco, CA</t>
        </is>
      </c>
      <c r="H61" t="inlineStr"/>
      <c r="I61" t="inlineStr">
        <is>
          <t>**About Candid**
 At Candid Health, we're on a mission to revolutionize healthcare by solving one of its most complex and costly problems: the billing and revenue cycle management (RCM) process. The healthcare system has long been burdened by slow, inefficient workflows that waste valuable resources, leaving providers with less time and money to focus on patient care. With our cutting\-edge revenue cycle automation platform, we are transforming this space through an intelligent, data\-driven approach that simplifies billing, enhances claims processing, and eliminates administrative waste.
**The Opportunity**
 We’re looking for a passionate and skilled Senior Software Engineer to join our fast growing engineering teams. In this role, you will be instrumental in revolutionizing healthcare billing products and systems that directly address the needs of our customers. You will contribute to the full software development lifecycle, ensure high scalable, reliable and performance of our products and customer experience. If you thrive in a fast\-paced, collaborative environment, are driven by customer outcomes, and are committed to crafting robust and scalable solutions, we would like you to join us!
**What You’ll Be Doing**
* Conceptualize, design, development, and maintain complex services/platforms/features and develop ownership over large swaths of our product \+ infrastructure.
* Collaborate closely with customers, product managers, designers, and cross\-functional partners to understand customers’ needs and develop creative ways to address them.
* Identify, propose and lead architecture and design improvements needed in our products and systems with scalability and reliability as core principles.
* Contribute to our engineering \+ broader company culture and help make this the best place we’ve ever worked.
**Who You Are**
* You have Bachelors of Science or Bachelors of Art in Computer Science, Computer Engineering, Math or other similar degree.
* You have 8\+ years of experience in a Software Engineering position.
* Experience with programming languages, relevant frameworks, databases and cloud platforms. Familiar with the technologies we currently use is a bonus, but not required: Python, PostgreSQL, Docker, Kubernetes, React, Typescript, Google Cloud Platform, Auth0, Terraform.
* Proven ability to build high\-quality software, and is anchored on customer outcomes and have good intuition around which corners are worth cutting and which aren’t.
* Proven ability to own features end\-to\-end and are comfortable learning new tools or moving across the stack to do so.
* Customer\-first and learner’s mindset, and value teaching others.
* Strong communication and collaboration skills. Proven ability to explain complicated ideas in simple terms, both in\-person and in writing.
**Pay Transparency**
 The estimated starting annual salary range for this position is $195,000 to $250,000 USD. The listed range is a guideline from Pave data, and the actual base salary may be modified based on factors including job\-related skills, experience/qualifications, interview performance, market data, etc. Total compensation for this position may also include equity, sales incentives (for sales roles), and employee benefits. Given Candid Health’s funding and size, we heavily value the potential upside from equity in our compensation package. Further note that Candid Health has minimal hierarchy and titles, but has broad ranges of experience represented within roles.</t>
        </is>
      </c>
    </row>
    <row r="62">
      <c r="A62" t="inlineStr">
        <is>
          <t>li-4340418474</t>
        </is>
      </c>
      <c r="B62" t="inlineStr">
        <is>
          <t>(USA) Senior, Software Engineer</t>
        </is>
      </c>
      <c r="C62" t="inlineStr">
        <is>
          <t>Walmart</t>
        </is>
      </c>
      <c r="D62" t="inlineStr">
        <is>
          <t>linkedin</t>
        </is>
      </c>
      <c r="E62" t="inlineStr"/>
      <c r="F62" t="inlineStr"/>
      <c r="G62" t="inlineStr">
        <is>
          <t>Bentonville, AR</t>
        </is>
      </c>
      <c r="H62" t="inlineStr"/>
      <c r="I62" t="inlineStr">
        <is>
          <t>Position Summary...
 What you'll do...Role summary:
 As a Senior Software Engineer, you will lead the design, development, and implementation of scalable software solutions that align with business objectives. This role requires expertise in software architecture, coding standards, and agile methodologies to deliver high\-quality, maintainable applications. You will collaborate with cross\-functional teams to analyze requirements, address technical challenges, and ensure robust performance and security. Your contributions will drive continuous improvement and innovation, supporting Walmart’s commitment to operational excellence and customer satisfaction through reliable and efficient technology solutions.
 About the team:
 The team specializes in designing, developing, and managing integrations across Workday, CP, Porter platforms, and related systems. Collaborating cross\-functionally, members deliver scalable, secure, and efficient solutions by following best practices in architecture, coding standards, and continuous integration/deployment. Emphasizing clear communication and agile methodologies, the team addresses evolving business needs. Engineers build and maintain Workday business processes, reports, and integrations, ensuring high\-quality results. Leveraging expertise in Workday tools, APIs, and web services, the team drives innovation and operational excellence aligned with organizational objectives.
 What you'll do:
* Analyze and classify business and technical requirements, ensuring alignment with project objectives and risk mitigation strategies.
* Design scalable, maintainable software solutions by translating high\-level designs into detailed functional components.
* Develop, configure, and maintain code adhering to coding standards, focusing on performance, security, and reliability.
* Build automation scripts to streamline continuous integration and delivery processes.
* Execute comprehensive testing, including defect tracking and root cause analysis, to ensure software quality.
* Monitor application performance and troubleshoot issues to optimize availability and scalability.
* Collaborate with stakeholders to evaluate change requests and implement effective solutions.
 What you'll bring:
* Proven expertise in software development with proficiency in JavaScript, Python, or C and experience using frameworks such as React.js, Angular, and Node.js.
* Strong knowledge of software architecture, design patterns, and scalable distributed systems.
* Experience in requirement analysis, including functional and non\-functional requirements, user stories, and risk assessment.
* Familiarity with DevOps practices, CI/CD pipelines, and automation scripting.
* Ability to write clean, maintainable, and testable code adhering to coding standards and security policies.
* Skilled in troubleshooting, defect management, and performance optimization.
* Effective collaboration and communication skills within agile teams.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2501 Se J St, Ste A, Bentonville, AR 72716\-3724,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63">
      <c r="A63" t="inlineStr">
        <is>
          <t>li-4377716569</t>
        </is>
      </c>
      <c r="B63" t="inlineStr">
        <is>
          <t>Software Engineer</t>
        </is>
      </c>
      <c r="C63" t="inlineStr">
        <is>
          <t>Signify Technology</t>
        </is>
      </c>
      <c r="D63" t="inlineStr">
        <is>
          <t>linkedin</t>
        </is>
      </c>
      <c r="E63" t="inlineStr"/>
      <c r="F63" t="inlineStr"/>
      <c r="G63" t="inlineStr"/>
      <c r="H63" t="inlineStr"/>
      <c r="I63" t="inlineStr">
        <is>
          <t>**Job title:** 
 Software Engineer
**Job type:** 
 Contract
**Contract Length:** 
 12 months
**Rate:** 
 Competitive
**Role Location:** 
 Remote
**The company:** 
 A mission\-driven healthcare technology organization focused on improving health equity for underserved populations across the United States. Through a scalable patient engagement and interoperability platform, the organization partners with healthcare providers to increase access to care, improve clinical outcomes, and address social drivers of health.
 The engineering team operates in a fully distributed environment and is scaling its integration capabilities to connect with leading EHR systems and healthcare data platforms. The team values secure, reliable, and maintainable engineering practices, with a strong emphasis on interoperability standards and cross\-functional collaboration.
 You’ll join a collaborative, high\-performing engineering team that works closely with Product, Customer Success, and external healthcare partners to deliver meaningful technical solutions that directly impact patient outcomes.
**Role:** 
 We’re seeking an experienced Software Engineer (3\+ years) with strong backend and integration experience to design, build, and maintain secure healthcare integrations connecting external systems to our core platform.
 The ideal candidate has hands\-on experience with API development, healthcare interoperability standards, and EHR integrations — and brings a mindset of ownership, quality, and continuous improvement to every project.
 You’ll collaborate closely with senior engineers, product stakeholders, and customer\-facing teams to deliver reliable integration workflows that support healthcare providers at scale.
**API \&amp; Backend Development:** 
* Design, build, and maintain backend services and API\-to\-API integrations using JavaScript (and at least one additional language), ensuring reliability, scalability, and security.
**Healthcare Integrations:** 
* Develop and support integrations leveraging interoperability standards such as FHIR and HL7, connecting to leading EHR systems via APIs, direct database connections, and integration engines.
**Integration Engine Development:** 
* Design, build, and maintain workflows within healthcare integration engines (e.g., Rhapsody or similar), following engineering best practices and organizational standards.
**EHR Connectivity:** 
* Support integrations with major EHR platforms (e.g., Epic including Clarity/Caboodle, Athenahealth, eClinicalWorks, NextGen), ensuring accurate data exchange and workflow alignment.
**System Architecture Contribution:** 
* Collaborate with senior engineers to evolve scalable healthcare integration architecture and improve API capabilities and backend services.
**Customer \&amp; Cross\-Functional Collaboration:** 
* Partner with Product, Customer Success, and external technical stakeholders to gather requirements, clarify workflows, and design effective integration solutions.
**Testing \&amp; Quality Engineering:** 
* Write and maintain automated tests alongside production code, ensuring integrations are robust, secure, and production\-ready.
**Documentation \&amp; Training:** 
* Create clear technical documentation for integrations and provide enablement resources to support teams for monitoring and troubleshooting.
**Production Support \&amp; On\-Call:** 
* Participate in on\-call (PagerDuty) rotations and support live integrations, ensuring performance, reliability, and issue resolution.
**Continuous Improvement:** 
* Contribute to team rituals such as technical reviews, retrospectives, and architecture discussions to improve processes, tooling, and engineering standards.
**Job Requirements:** 
* Minimum 3 years of hands\-on software engineering experience using JavaScript and at least one additional programming language
* Minimum 3 years of experience building and maintaining backend systems, APIs, and services
* Strong understanding of software engineering fundamentals, including SDLC, design patterns, object\-oriented architecture, and coding best practices
* Experience developing and supporting healthcare integrations using FHIR and HL7 standards
* Familiarity with integration engines such as Rhapsody or Mirth
* Experience integrating with mainstream EHR vendors (e.g., Epic, eClinicalWorks, Athenahealth, NextGen)
* Experience working in environments where automated testing is standard practice
* Strong collaboration skills across technical and non\-technical stakeholders
* Outstanding written and verbal communication skills in a fully remote environment
* Demonstrated ability to work autonomously while escalating appropriately
* Growth\-oriented mindset with a proactive and detail\-focused approach
* Must reside within the United States
**Preferred Experience:** 
* Experience with JavaScript/TypeScript, Ruby on Rails, and Postgres
* Experience working in cloud environments such as Google Cloud Platform
* Experience working closely with data teams and healthcare data models
* Experience contributing to API design improvements or automated testing strategies
 If you’re an experienced
 **Software Engineer** 
 looking for your next fully remote contract, we’d love to hear from you.</t>
        </is>
      </c>
    </row>
    <row r="64">
      <c r="A64" t="inlineStr">
        <is>
          <t>li-4378819361</t>
        </is>
      </c>
      <c r="B64" t="inlineStr">
        <is>
          <t>Software Engineer - AI/ML</t>
        </is>
      </c>
      <c r="C64" t="inlineStr">
        <is>
          <t>NISC</t>
        </is>
      </c>
      <c r="D64" t="inlineStr">
        <is>
          <t>linkedin</t>
        </is>
      </c>
      <c r="E64" t="inlineStr"/>
      <c r="F64" t="inlineStr"/>
      <c r="G64" t="inlineStr">
        <is>
          <t>Huntsville, AL</t>
        </is>
      </c>
      <c r="H64" t="inlineStr"/>
      <c r="I64" t="inlineStr">
        <is>
          <t>**Company Overview:**
 For more than 50 years, NISC has worked to develop technology solutions for our customers, who we call our "Members". Those Members are comprised primarily of 960\+ energy (utility) and communication (broadband) organizations across North America. Our mission is to deliver technology solutions and services that are Member\-focused, quality driven and valued priced. Our Members have over 18 million end customers (residential and businesses who receive power, internet, television and/or telephone services) that our enterprise software solution enables our Member's employees to compete effectively in the industry, while excelling in providing customer service to their end customers.
 NISC exists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**Position Overview:**
 We are looking for a high\-agency, AI\-native Software Engineer who loves building real\-world AI systems that make a measurable difference.
 This is not a research role. This is not a "play with models in a lab" role. This is a builder role.
 You will design, build, ship, and continuously improve production\-grade AI applications that are embedded directly into mission\-critical software used by utilities and broadband providers across North America. Your work will power customer service interactions, operational workflows, and intelligent automation at scale.
 We are looking for someone who:
* Gets excited about taking AI from idea → prototype → production → scale
* Loves experimenting with new models, frameworks, and agentic patterns
* Has a "there's a way" mindset when solving hard technical problems
* Believes AI should drive tangible business impact, not just technical novelty
* Thrives in ambiguity and moves fast while maintaining engineering discipline
 At NISC, AI is not a side initiative — it is a core strategic priority. You will help shape how AI transforms the way our Members serve their communities.
 If you've built and deployed AI systems that real users depend on — and you want to do it in an organization that values ownership, innovation, and meaningful impact — we encourage you to apply.
**Essential Functions:**
* Design \&amp; Build Production AI Systems: Architect, develop, and deploy AI\-powered features and applications using LLMs, RAG pipelines, agentic workflows, and modern ML techniques.
* Own Outcomes, Not Just Code: Take ideas from concept to production. Prototype quickly, validate with users, iterate based on feedback, and optimize for reliability and performance.
* LLM \&amp; Agent Integration: Integrate foundation models, fine\-tuned models, and multi\-agent systems into enterprise\-grade applications in secure, scalable environments.
* Data \&amp; Retrieval Engineering: Design and optimize data ingestion pipelines, embeddings workflows, and vector database implementations that support high\-quality AI responses.
* Performance \&amp; Scalability: Deploy AI systems that are resilient, observable, and cost\-efficient in production environments.
* Mission Alignment: Ensure solutions are practical, intuitive, and aligned with the operational realities of cooperatives, utilities, and broadband providers.
* Continuous Innovation: Actively explore new AI capabilities and rapidly evaluate how they can improve our products and development practices.
* Collaborative Execution: Partner with product, architecture, and engineering teams to embed AI capabilities across our enterprise platform.
* Follow all established software development methodologies and procedures.
* Other duties as assigned
**Desired Experience \&amp; Skills:** 
* 8\-10\+ years experience in software development, preferably with at least 3\+ years in AI/ML software development.
* Demonstrated experience shipping AI solutions used by real customers — not just prototypes or academic projects
* Experience integrating LLMs into applications (prompt engineering, evaluation, fine\-tuning, API orchestration)
* Experience designing RAG pipelines, embeddings workflows, and working with vector databases
* Experience deploying AI systems in cloud environments (AWS, Azure, GCP)
* Technical Expertise:
+ Strong Python proficiency and familiarity with ML frameworks (PyTorch, TensorFlow, or equivalent)
+ Experience building scalable APIs and backend services
+ Understanding of agentic architectures, orchestration frameworks, or multi\-agent systems
+ Experience optimizing AI performance, cost, and latency in production
+ Familiarity with observability, evaluation frameworks, and model monitoring
* Mindset \&amp; Attributes (Critical for Success)
+ Builder mentality — you love shipping
+ High ownership — you see problems and move toward them
+ Curiosity about emerging AI capabilities and how to apply them pragmatically
+ Bias toward action and experimentation
+ Comfort operating in evolving AI landscapes
+ Ability to balance speed with engineering discipline
+ Strong communicator who can translate AI capabilities into business value
* Bonus Experience
+ Experience in utilities, broadband, cooperatives, or enterprise SaaS
+ Knowledge of AI safety, evaluation strategies, or explainability techniques
+ Full\-stack experience or ability to deliver end\-to\-end AI features
+ Portfolio, GitHub, or case studies demonstrating deployed AI systems
* Experience working with utilities, broadband providers, or cooperatives, preferred.
* Commitment to NISC's Statement of Shared Values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 Virtual Office Location: Fully remote candidates will be considered for candidates who have a background in providing AI/ML solutions that work in real world applications, not just conceptual understanding or research based projects.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Bachelor's Degree in a Computer Science, Computer Engineering,  or a related field and/or equivalent experience.
 Master's Degree in Artificial Intelligence or Machine Learning, preferred.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Employees must be able to see, speak, and hear, to operate computer keyboards or office equipment, and are required to stand, walk, and sit.
**Disclaimer:**
 Management may modify this job description by assigning or reassigning duties and responsibilities at any time.</t>
        </is>
      </c>
    </row>
    <row r="65">
      <c r="A65" t="inlineStr">
        <is>
          <t>li-4378813442</t>
        </is>
      </c>
      <c r="B65" t="inlineStr">
        <is>
          <t>Software Engineer - AI/ML</t>
        </is>
      </c>
      <c r="C65" t="inlineStr">
        <is>
          <t>NISC</t>
        </is>
      </c>
      <c r="D65" t="inlineStr">
        <is>
          <t>linkedin</t>
        </is>
      </c>
      <c r="E65" t="inlineStr"/>
      <c r="F65" t="inlineStr"/>
      <c r="G65" t="inlineStr">
        <is>
          <t>Durham, NC</t>
        </is>
      </c>
      <c r="H65" t="inlineStr"/>
      <c r="I65" t="inlineStr">
        <is>
          <t>**Company Overview:**
 For more than 50 years, NISC has worked to develop technology solutions for our customers, who we call our "Members". Those Members are comprised primarily of 960\+ energy (utility) and communication (broadband) organizations across North America. Our mission is to deliver technology solutions and services that are Member\-focused, quality driven and valued priced. Our Members have over 18 million end customers (residential and businesses who receive power, internet, television and/or telephone services) that our enterprise software solution enables our Member's employees to compete effectively in the industry, while excelling in providing customer service to their end customers.
 NISC exists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**Position Overview:**
 We are looking for a high\-agency, AI\-native Software Engineer who loves building real\-world AI systems that make a measurable difference.
 This is not a research role. This is not a "play with models in a lab" role. This is a builder role.
 You will design, build, ship, and continuously improve production\-grade AI applications that are embedded directly into mission\-critical software used by utilities and broadband providers across North America. Your work will power customer service interactions, operational workflows, and intelligent automation at scale.
 We are looking for someone who:
* Gets excited about taking AI from idea → prototype → production → scale
* Loves experimenting with new models, frameworks, and agentic patterns
* Has a "there's a way" mindset when solving hard technical problems
* Believes AI should drive tangible business impact, not just technical novelty
* Thrives in ambiguity and moves fast while maintaining engineering discipline
 At NISC, AI is not a side initiative — it is a core strategic priority. You will help shape how AI transforms the way our Members serve their communities.
 If you've built and deployed AI systems that real users depend on — and you want to do it in an organization that values ownership, innovation, and meaningful impact — we encourage you to apply.
**Essential Functions:**
* Design \&amp; Build Production AI Systems: Architect, develop, and deploy AI\-powered features and applications using LLMs, RAG pipelines, agentic workflows, and modern ML techniques.
* Own Outcomes, Not Just Code: Take ideas from concept to production. Prototype quickly, validate with users, iterate based on feedback, and optimize for reliability and performance.
* LLM \&amp; Agent Integration: Integrate foundation models, fine\-tuned models, and multi\-agent systems into enterprise\-grade applications in secure, scalable environments.
* Data \&amp; Retrieval Engineering: Design and optimize data ingestion pipelines, embeddings workflows, and vector database implementations that support high\-quality AI responses.
* Performance \&amp; Scalability: Deploy AI systems that are resilient, observable, and cost\-efficient in production environments.
* Mission Alignment: Ensure solutions are practical, intuitive, and aligned with the operational realities of cooperatives, utilities, and broadband providers.
* Continuous Innovation: Actively explore new AI capabilities and rapidly evaluate how they can improve our products and development practices.
* Collaborative Execution: Partner with product, architecture, and engineering teams to embed AI capabilities across our enterprise platform.
* Follow all established software development methodologies and procedures.
* Other duties as assigned
**Desired Experience \&amp; Skills:** 
* 8\-10\+ years experience in software development, preferably with at least 3\+ years in AI/ML software development.
* Demonstrated experience shipping AI solutions used by real customers — not just prototypes or academic projects
* Experience integrating LLMs into applications (prompt engineering, evaluation, fine\-tuning, API orchestration)
* Experience designing RAG pipelines, embeddings workflows, and working with vector databases
* Experience deploying AI systems in cloud environments (AWS, Azure, GCP)
* Technical Expertise:
+ Strong Python proficiency and familiarity with ML frameworks (PyTorch, TensorFlow, or equivalent)
+ Experience building scalable APIs and backend services
+ Understanding of agentic architectures, orchestration frameworks, or multi\-agent systems
+ Experience optimizing AI performance, cost, and latency in production
+ Familiarity with observability, evaluation frameworks, and model monitoring
* Mindset \&amp; Attributes (Critical for Success)
+ Builder mentality — you love shipping
+ High ownership — you see problems and move toward them
+ Curiosity about emerging AI capabilities and how to apply them pragmatically
+ Bias toward action and experimentation
+ Comfort operating in evolving AI landscapes
+ Ability to balance speed with engineering discipline
+ Strong communicator who can translate AI capabilities into business value
* Bonus Experience
+ Experience in utilities, broadband, cooperatives, or enterprise SaaS
+ Knowledge of AI safety, evaluation strategies, or explainability techniques
+ Full\-stack experience or ability to deliver end\-to\-end AI features
+ Portfolio, GitHub, or case studies demonstrating deployed AI systems
* Experience working with utilities, broadband providers, or cooperatives, preferred.
* Commitment to NISC's Statement of Shared Values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 Virtual Office Location: Fully remote candidates will be considered for candidates who have a background in providing AI/ML solutions that work in real world applications, not just conceptual understanding or research based projects.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Bachelor's Degree in a Computer Science, Computer Engineering,  or a related field and/or equivalent experience.
 Master's Degree in Artificial Intelligence or Machine Learning, preferred.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Employees must be able to see, speak, and hear, to operate computer keyboards or office equipment, and are required to stand, walk, and sit.
**Disclaimer:**
 Management may modify this job description by assigning or reassigning duties and responsibilities at any time.</t>
        </is>
      </c>
    </row>
    <row r="66">
      <c r="A66" t="inlineStr">
        <is>
          <t>li-4379904784</t>
        </is>
      </c>
      <c r="B66" t="inlineStr">
        <is>
          <t>Software Engineer I</t>
        </is>
      </c>
      <c r="C66" t="inlineStr">
        <is>
          <t>Lensa</t>
        </is>
      </c>
      <c r="D66" t="inlineStr">
        <is>
          <t>linkedin</t>
        </is>
      </c>
      <c r="E66" t="inlineStr"/>
      <c r="F66" t="inlineStr"/>
      <c r="G66" t="inlineStr">
        <is>
          <t>Salt Lake City, UT</t>
        </is>
      </c>
      <c r="H66" t="inlineStr"/>
      <c r="I6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Renaissance Services. Clicking "Apply Now" or "Read more" on Lensa redirects you to the job board/employer site. Any information collected there is subject to their terms and privacy notice.
**About Renaissance**
 When you join Renaissance®, you join a global leader in pre\-K\-12 education technology! Renaissance's solutions help educators analyze, customize, and plan personalized learning paths for students, allowing time for what matters\-creating energizing learning experiences in the classroom. Our fiercely passionate employees and educational partners have helped drive phenomenal student growth, with Renaissance solutions being used in over one\-third of US schools and in more than 100 countries worldwide.
 Every day, we are connected to our mission by exemplifying our values: trust each other, win together, strive for the best, own our actions, and grow and evolve.
**Job Description**
 We're looking for a motivated
 **Software Engineer I** 
 to join our agile, multi\-disciplinary engineering team. You'll play a key role in an impact\-driven culture where your creativity, curiosity, and technical skill help shape how we build and scale our highly available SaaS platform used by millions of K\-12 students every month worldwide.
**In this role as a Software Engineer I, you will:**
* Collaborate closely within an agile, cross\-functional team to deliver high\-quality software and develop your skills.
* Communicate effectively in a distributed remote work environment.
* Contribute to the design, development and maintenance of frontend and backend systems serving millions of users and thousands of requests per second.
* Contribute your unique perspective and technical expertise to achieve shared goals.
* Continuously learn, experiment, test, and iterate to improve both product and process.
**For this role as a Software Engineer I, you should have:**
* BS in Computer Science, Computer Engineering , or equivalent experience.
* 1\-2\+ years of professional software development experience utilizing web technologies.
* Hands\-on experience with React or a comparable single\-page application framework.
* Familiarity with js for backend or API development.
* Exposure to static types systems (TypeScript \-preferred, Java, C\#, etc.).
* Familiarity working with relational databases.
* Strong written and verbal communication skills, especially in collaborative environments.
**Bonus Points**
* Professional experience with functional programming languages (Haskell, Scala, Clojure, etc.).
* Professional experience in NodeJS.
* Familiarity with Event based architecture.
**Additional Information**
 All your information will be kept confidential according to EEO guidelines.
**The below compensation range is based on national market data and may vary by experience and location.**
 Salary Range
 $68,000\-$80,000 USD
**Benefits For Eligible US Employees Include**
* World Class Health Benefits: Medical, Prescription, Dental, Vision, Telehealth
* Health Savings and Flexible Spending Accounts
* 401(k) and Roth 401(k) with company match
* Paid Vacation and Sick Time Off
* 12 Paid Holidays
* Parental Leave (20 total weeks with 14 weeks paid) \&amp; Milk Stork program
* Tuition Reimbursement
* Life \&amp; Disability Insurance
* Well\-being and Employee Assistance Programs
 Frequently cited statistics show that some women, underrepresented individuals, protected veterans and individuals with disabilities may only apply to roles if they meet 100% of the qualifications. At Renaissance, we encourage all applications. Roles evolve over time, especially with innovation, and you may be just the person we need for the future!
**Equal Opportunity Employer**
 Renaissance is an equal opportunity employer and does not discriminate with respect to any term, condition or privilege of employment based on race, color, religion, sex, sexual orientation, gender identity or expression, age, disability, military or veteran status, marital status, or status of an individual in any group or class protected by applicable federal, state, or local law.
 For California Residents, please see our Privacy Notice for California Job Candidates here .
**Reasonable Accommodations**
 Renaissance also provides reasonable accommodations for qualified individuals with disabilities in accordance with the Americans with Disabilities Act and applicable state and local laws. If accommodation is needed to participate in the job application or interview process, please contact Talent Acquisition (TATeam@renlearnCRM.onmicrosoft.com) .
**Employment Authorization**
 Applicants must be authorized to work for any employer in the United States. We are unable to sponsor or take over sponsorship of an employment Visa at this time.
 For more information about Renaissance, visit: https://www.renaissance.com
 If you have questions about this posting, please contact support@lensa.com</t>
        </is>
      </c>
    </row>
    <row r="67">
      <c r="A67" t="inlineStr">
        <is>
          <t>li-4378807439</t>
        </is>
      </c>
      <c r="B67" t="inlineStr">
        <is>
          <t>Software Engineer - AI/ML</t>
        </is>
      </c>
      <c r="C67" t="inlineStr">
        <is>
          <t>NISC</t>
        </is>
      </c>
      <c r="D67" t="inlineStr">
        <is>
          <t>linkedin</t>
        </is>
      </c>
      <c r="E67" t="inlineStr"/>
      <c r="F67" t="inlineStr"/>
      <c r="G67" t="inlineStr">
        <is>
          <t>Lake St Louis, MO</t>
        </is>
      </c>
      <c r="H67" t="inlineStr"/>
      <c r="I67" t="inlineStr">
        <is>
          <t>**Company Overview:**
 For more than 50 years, NISC has worked to develop technology solutions for our customers, who we call our "Members". Those Members are comprised primarily of 960\+ energy (utility) and communication (broadband) organizations across North America. Our mission is to deliver technology solutions and services that are Member\-focused, quality driven and valued priced. Our Members have over 18 million end customers (residential and businesses who receive power, internet, television and/or telephone services) that our enterprise software solution enables our Member's employees to compete effectively in the industry, while excelling in providing customer service to their end customers.
 NISC exists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**Position Overview:**
 We are looking for a high\-agency, AI\-native Software Engineer who loves building real\-world AI systems that make a measurable difference.
 This is not a research role. This is not a "play with models in a lab" role. This is a builder role.
 You will design, build, ship, and continuously improve production\-grade AI applications that are embedded directly into mission\-critical software used by utilities and broadband providers across North America. Your work will power customer service interactions, operational workflows, and intelligent automation at scale.
 We are looking for someone who:
* Gets excited about taking AI from idea → prototype → production → scale
* Loves experimenting with new models, frameworks, and agentic patterns
* Has a "there's a way" mindset when solving hard technical problems
* Believes AI should drive tangible business impact, not just technical novelty
* Thrives in ambiguity and moves fast while maintaining engineering discipline
 At NISC, AI is not a side initiative — it is a core strategic priority. You will help shape how AI transforms the way our Members serve their communities.
 If you've built and deployed AI systems that real users depend on — and you want to do it in an organization that values ownership, innovation, and meaningful impact — we encourage you to apply.
**Essential Functions:**
* Design \&amp; Build Production AI Systems: Architect, develop, and deploy AI\-powered features and applications using LLMs, RAG pipelines, agentic workflows, and modern ML techniques.
* Own Outcomes, Not Just Code: Take ideas from concept to production. Prototype quickly, validate with users, iterate based on feedback, and optimize for reliability and performance.
* LLM \&amp; Agent Integration: Integrate foundation models, fine\-tuned models, and multi\-agent systems into enterprise\-grade applications in secure, scalable environments.
* Data \&amp; Retrieval Engineering: Design and optimize data ingestion pipelines, embeddings workflows, and vector database implementations that support high\-quality AI responses.
* Performance \&amp; Scalability: Deploy AI systems that are resilient, observable, and cost\-efficient in production environments.
* Mission Alignment: Ensure solutions are practical, intuitive, and aligned with the operational realities of cooperatives, utilities, and broadband providers.
* Continuous Innovation: Actively explore new AI capabilities and rapidly evaluate how they can improve our products and development practices.
* Collaborative Execution: Partner with product, architecture, and engineering teams to embed AI capabilities across our enterprise platform.
* Follow all established software development methodologies and procedures.
* Other duties as assigned
**Desired Experience \&amp; Skills:** 
* 8\-10\+ years experience in software development, preferably with at least 3\+ years in AI/ML software development.
* Demonstrated experience shipping AI solutions used by real customers — not just prototypes or academic projects
* Experience integrating LLMs into applications (prompt engineering, evaluation, fine\-tuning, API orchestration)
* Experience designing RAG pipelines, embeddings workflows, and working with vector databases
* Experience deploying AI systems in cloud environments (AWS, Azure, GCP)
* Technical Expertise:
+ Strong Python proficiency and familiarity with ML frameworks (PyTorch, TensorFlow, or equivalent)
+ Experience building scalable APIs and backend services
+ Understanding of agentic architectures, orchestration frameworks, or multi\-agent systems
+ Experience optimizing AI performance, cost, and latency in production
+ Familiarity with observability, evaluation frameworks, and model monitoring
* Mindset \&amp; Attributes (Critical for Success)
+ Builder mentality — you love shipping
+ High ownership — you see problems and move toward them
+ Curiosity about emerging AI capabilities and how to apply them pragmatically
+ Bias toward action and experimentation
+ Comfort operating in evolving AI landscapes
+ Ability to balance speed with engineering discipline
+ Strong communicator who can translate AI capabilities into business value
* Bonus Experience
+ Experience in utilities, broadband, cooperatives, or enterprise SaaS
+ Knowledge of AI safety, evaluation strategies, or explainability techniques
+ Full\-stack experience or ability to deliver end\-to\-end AI features
+ Portfolio, GitHub, or case studies demonstrating deployed AI systems
* Experience working with utilities, broadband providers, or cooperatives, preferred.
* Commitment to NISC's Statement of Shared Values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 Virtual Office Location: Fully remote candidates will be considered for candidates who have a background in providing AI/ML solutions that work in real world applications, not just conceptual understanding or research based projects.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Bachelor's Degree in a Computer Science, Computer Engineering,  or a related field and/or equivalent experience.
 Master's Degree in Artificial Intelligence or Machine Learning, preferred.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Employees must be able to see, speak, and hear, to operate computer keyboards or office equipment, and are required to stand, walk, and sit.
**Disclaimer:**
 Management may modify this job description by assigning or reassigning duties and responsibilities at any time.</t>
        </is>
      </c>
    </row>
    <row r="68">
      <c r="A68" t="inlineStr">
        <is>
          <t>li-4210015264</t>
        </is>
      </c>
      <c r="B68" t="inlineStr">
        <is>
          <t>Quantitative Software Engineer: Techniques Engineering</t>
        </is>
      </c>
      <c r="C68" t="inlineStr">
        <is>
          <t>Two Sigma</t>
        </is>
      </c>
      <c r="D68" t="inlineStr">
        <is>
          <t>linkedin</t>
        </is>
      </c>
      <c r="E68" t="inlineStr"/>
      <c r="F68" t="inlineStr"/>
      <c r="G68" t="inlineStr">
        <is>
          <t>New York, United States</t>
        </is>
      </c>
      <c r="H68" t="inlineStr"/>
      <c r="I68" t="inlineStr">
        <is>
          <t>Position Summary
 Two Sigma is a financial sciences company, combining data analysis, invention, and rigorous inquiry to help solve the toughest challenges in investment management, securities, private equity, and venture capital.
 Our team of scientists, technologists, and academics looks beyond the traditional to develop creative solutions to some of the world’s most complex economic problems.
 We’re seeking an experienced Machine Learning/AI Engineer who is passionate about bridging innovative research with production\-level deployment. In this role, you will work closely with researchers, data teams, and platform engineers to transform innovative ideas into scalable, efficient, and robust production systems. You’ll have the opportunity to develop and refine ML workflows and drive best practices across the entire ML lifecycle—from initial prototyping to inference and support.
**You Will Take On The Following Responsibilities**
* Collaborate with ML researchers to explore model architectures, training methodologies, and experimental objectives
* Translate prototypes into reusable, maintainable, and production\-ready code, ensuring research insights scale seamlessly into operation
* Design, implement, and optimize fully automated training pipelines and evaluation workflows
* Optimize models for production—improving efficiency through techniques like quantization, distillation, and intelligent batching
* Continuously assess and fine\-tune both research and production workflows, integrating user feedback and automated monitoring systems
* Identify and implement opportunities for process improvements to reduce bottlenecks and improve overall modeler efficiency.
* Stay ahead of industry trends and new technologies, incorporating sophisticated methodologies into production systems
* Provide technical guidance and mentorship to peers, ensuring the team uses new tools and techniques that drive innovation
**You Should Possess The Following Qualifications**
* BS in Computer Science, Mathematics, Physics, or related technical subject area
* Minimum 1 year of experience required; 7\-15 years of experience preferred
* Strong software engineering skills using Python, version control, testing frameworks, and CI/CD practices
* Ability to work across functions and influence technical strategy while balancing research innovation with operational excellence
* A phenomenal teammate that can work efficiently with modeling and engineering partners
* Experience with leading ML frameworks (e.g., PyTorch, TensorFlow, HuggingFace) and familiarity with model serving/deployment tools, distributed systems and data infrastructures
* Experience with the following are preferred but not required:
+ Working with LLMs, multimodal models, or time\-series forecasting
+ ML Ops platforms
+ Background in research or a proven understanding of ML theory
**You Will Enjoy The Following Benefits**
* Core Benefits: Fully paid medical and dental insurance premiums for employees and dependents, competitive 401k match, employer\-paid life \&amp; disability insurance
* Perks: Onsite gyms with laundry service, wellness activities, casual dress, snacks, game rooms
* Learning: Tuition reimbursement, conference and training sponsorship
* Time Off: Generous vacation and unlimited sick days, competitive paid caregiver leaves
* Hybrid Work Policy: Flexible in\-office days with budget for home office setup
 The base pay for this role will be between $165,000 and $300,000\. This role may also be eligible for other forms of compensation and benefits, such as a discretionary bonus, health, dental and other wellness plans and 401(k) contributions. Discretionary bonus can be a significant portion of total compensation. Actual compensation for successful candidates will be carefully determined based on a number of factors, including their skills, qualifications and experience.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
 Two Sigma is committed to providing reasonable accommodations to qualified individuals in accordance with applicable federal, state, and local laws.
 If you believe you need an accommodation, please visit our website for additional information.</t>
        </is>
      </c>
    </row>
    <row r="69">
      <c r="A69" t="inlineStr">
        <is>
          <t>li-4353095216</t>
        </is>
      </c>
      <c r="B69" t="inlineStr">
        <is>
          <t>Java Software Engineer</t>
        </is>
      </c>
      <c r="C69" t="inlineStr">
        <is>
          <t>BeaconFire Inc.</t>
        </is>
      </c>
      <c r="D69" t="inlineStr">
        <is>
          <t>linkedin</t>
        </is>
      </c>
      <c r="E69" t="inlineStr"/>
      <c r="F69" t="inlineStr"/>
      <c r="G69" t="inlineStr">
        <is>
          <t>New York, NY</t>
        </is>
      </c>
      <c r="H69" t="inlineStr"/>
      <c r="I69" t="inlineStr">
        <is>
          <t>BeaconFire is based in Central NJ, specializing in Software Development, Web Development, and Business Intelligence; we are looking for candidates with a strong background in Software Engineering or Computer Science for a Java/Software Developer position.
**Responsibilities:** 
* ● Develop software and web applications using Java 8/J2EE/Java EE (and higher), React.js,Angular2\+, SQL, Spring, HTML5, CSS, JavaScript and TypeScript among other tools;
* ● Write scalable, secure, maintainable code that powers our clients’ platforms;
* ● Create, deploy, and maintain automated system tests;
* ● Work with Testers to understand defects opened and resolves them in a timely manner;
* ● Support continuous improvement by investigating alternatives and technologies and
* presenting these for architectural review;
* ● Collaborate effectively with other team members to accomplish shared user story
* and sprint goals;
* **Basic Qualifications:**
* ● Experience in programming language JavaScript or similar (e.g. Java, Python, C, C\+\+, C\#, etc.) an understanding of the software development life cycle;
* ● Basic programming skills using object\-oriented programming (OOP) languages with in\-depth knowledge of common APIs and data structures like Collections, Maps, lists, Sets etc.
* ● Knowledge of relational databases (e.g. SQL Server, Oracle) basic SQL query language skills
* **Preferred Qualifications:**
* ● Master’s Degree in Computer Science (CS)
* ● 0\-1 year of practical experience in Java coding
* ● Experience using Spring, Maven and Angular frameworks, HTML, CSS
* ● Knowledge with other contemporary Java technologies (e.g. Weblogic, RabbitMQ,
* Tomcat, etc.) · Knowledge of JSP, J2EE, and JDBC
* ·
* **Compensation** 
 : $65,000\.00 to $80,000\.00 /year
* **BeaconFire** 
 is an
 **e\-verified** 
 company. Work visa sponsorship is available.</t>
        </is>
      </c>
    </row>
    <row r="70">
      <c r="A70" t="inlineStr">
        <is>
          <t>li-4379789664</t>
        </is>
      </c>
      <c r="B70" t="inlineStr">
        <is>
          <t>Senior System Software Engineer, Mapping  - Autonomous Vehicles</t>
        </is>
      </c>
      <c r="C70" t="inlineStr">
        <is>
          <t>NVIDIA</t>
        </is>
      </c>
      <c r="D70" t="inlineStr">
        <is>
          <t>linkedin</t>
        </is>
      </c>
      <c r="E70" t="inlineStr"/>
      <c r="F70" t="inlineStr"/>
      <c r="G70" t="inlineStr">
        <is>
          <t>Santa Clara, CA</t>
        </is>
      </c>
      <c r="H70" t="inlineStr"/>
      <c r="I70" t="inlineStr">
        <is>
          <t>Today, NVIDIA is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encouraging environment where everyone is inspired to do their best work. Come join the team and see how we can make a lasting impact on the world.
 The NvMap team at NVIDIA’s Autonomous Driving Team is delivering one of the fundamental technologies for the autonomous software stack and beyond. We are looking for hardworking software engineers to work on data collection, data analysis, map creation and map consumption software components on NVIDIA’s current and upcoming driving/mobile platforms and backend processing systems.
**What You'll Be Doing**
* Building software for autonomous mobile platforms, and backend data processing pipelines to do the following:
* Creating software to efficiently access and visualize 2D Navigational Map, 2D aerial images, or 3D semantic HDMaps to create enriched 2D/3D maps for training data of autonomous vehicle perception model training, and in\-vehicle driving stack.
* Provide real\-time and off\-line data analysis tools of autonomous vehicle sensor data (e.g. lidar/camera/radar) to ensure sensor data integrity before map creation and map consumption.
* Analyze the spatial and temporal properties of ground truth location and other vehicle sensor data to ensure successful map creation.
* Building tools to efficiently store and upload large amounts of sensor and 3rd party map data for map creation, or update.
**What We Need To See**
* 5\+ years of working experience.
* BS, MS, or PhD in Computer Science or related field or equivalent experience.
* Proficient in C/C\+\+, familiar with Python/SQL is a plus.
* Solid understanding of computer architecture, operating systems, computer networking principles and multi\-threaded/multi\-process programming
* Understanding of how to write performant software (with efficient memory/cpu/gpu/inter\-processor\-network utilization)
* Proficient in algorithms (e.g. graph theory, combinatorial \&amp; discrete algorithms), data structures and basic statistics.
* Ability to drive a project from conception to completion and deliver to internal or external customers.
* Experience in using a disciplined approach to software engineering (requirements analysis, design doc, unit testing and integration testing and benchmarking) to drive development of scalable software products.
**Ways To Stand Out From The Crowd**
* Experience in building map consumption software (e.g. localization or planning/routing) for autonomous vehicles or robotics. Background with computer vision, computational geometry, robotics, and machine learning algorithms.
* Experience with LLM/ML techniques for map data analytics and enrichments.
* Experience with state\-of\-the\-art autonomous vehicle or robotics sensors (e.g. camera, lidar, radar, GPS)
* Background with runtime optimization on Linux/Unix\-like real\-time operation systems; Experience with edge computing platforms (e.g. automotive)
* Experience in data analysis and visualization in Python or other Javascript libraries, or etc, is a plus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March 5,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JR2013984</t>
        </is>
      </c>
    </row>
    <row r="71">
      <c r="A71" t="inlineStr">
        <is>
          <t>li-4377771001</t>
        </is>
      </c>
      <c r="B71" t="inlineStr">
        <is>
          <t>Senior AI Software Engineer</t>
        </is>
      </c>
      <c r="C71" t="inlineStr">
        <is>
          <t>Rockefeller Capital Management</t>
        </is>
      </c>
      <c r="D71" t="inlineStr">
        <is>
          <t>linkedin</t>
        </is>
      </c>
      <c r="E71" t="inlineStr"/>
      <c r="F71" t="inlineStr"/>
      <c r="G71" t="inlineStr">
        <is>
          <t>Trenton, NJ</t>
        </is>
      </c>
      <c r="H71" t="inlineStr"/>
      <c r="I71" t="inlineStr">
        <is>
          <t>**About Rockefeller Capital Management**
 Rockefeller Capital Management was established in 2018 as a leading independent financial advisory services firm. Originally founded in 1882 as the family office of John D. Rockefeller, the Firm has evolved to offer strategic advice to ultra\- and high\-net\-worth individuals and families, institutions, and corporations from offices in 32 markets throughout the United States, as well as an office in London. The Firm oversees $204 billion in client assets as of January 31, 2026\.
**Position**
 We're hiring a Senior AI Software Engineer to lead the design and delivery of AI\-powered applications on our Platform Development team. This is a role for someone who can bridge the gap between large language models and real financial data — architecting the backend systems and data layer that make AI genuinely useful for our advisors and their clients.
 Your primary focus will be our text\-to\-SQL agent and other conversational AI tools. Our data lives across SQL Server, Microsoft Fabric, and Databricks, and you'll be the person who architects the schemas, validates AI generated queries, and builds the backend services that tie it all together. The AI writes the SQL — you need to be the one who knows whether it got it right. This is a high\-impact, high\-visibility role where you'll mentor engineers, drive architectural decisions, and help build a culture of learning and shipping. If you've been going deep on AI and want to apply it to meaningful problems in financial services, this is the opportunity.
**Responsibilities**
* Lead the architecture and development of a text\-to\-SQL agent that enables financial advisors to query complex datasets using natural language
* Architect the data layer that AI models query against — designing schemas, structuring data across SQL Server and modern data platforms, and validating AI\-generated SQL for correctness and performance
* Build and iterate on AI integration patterns — prompt engineering, RAG, function calling, and agent based workflows — with appropriate guardrails for a regulated financial environment
* Design and build backend services and APIs that power AI\-driven features, deployed on Microsoft Azure
* Mentor engineers, drive engineering standards, and collaborate across teams to deliver AI features from concept through production
**Qualifications**
* Bachelor's degree in Computer Science or related field (Master's preferred)
* 7\+ years of professional software development experience with backend and API development on a major cloud platform (Azure preferred)
* Strong SQL skills — you can analyze complex queries, design schemas, and evaluate whether AI generated SQL is correct and performant
* Hands\-on experience building with LLMs and AI services — you've shipped AI features in production, not just POCs. Specific frameworks matter less than your ability to evaluate and adopt new ones
* Experience with backend languages and frameworks such as C\#/.NET, Python, Java, or similar
* Familiarity with data platforms like SQL Server, Microsoft Fabric, Databricks, or equivalent
* Demonstrated ability to mentor engineers and drive technical standards across a team
* Experience in regulated environments, preferably financial services
**Compensation Range**
 The anticipated base salary range for this role is $150,000 to $175,000\. Base salary for the role will depend on several factors, including a candidate’s qualifications, skills, competencies, and experience, and may fall outside of the range shown. In addition, this role may be eligible for a discretionary bonus. Rockefeller Capital Management offers a comprehensive benefit package including health coverage, vacation time, paid leave, retirement plan, and more. Visit careers.rockco.com to learn more about additional opportunities and benefits offerings.
**Disclosure**
 Rockefeller \&amp; Co. LLC, Rockefeller Financial LLC, Rockefeller Trust Company, N.A., The Rockefeller Trust Company (Delaware), Rockefeller Financial Services, Inc. and all other subsidiaries of Rockefeller Capital Management L.P. (individually and collectively, “Rockefeller”) is an equal opportunity employer and does not discriminate on the basis of race, religion, sex, gender, sexual orientation, gender identity or expression, national origin, citizenship, age, military or veteran status, marital or partnership status, caregiver status, legally recognized disability, or any other basis protected by applicable federal, state or local law (“protected characteristics”).
 Rockefeller Capital Management participates in the E\-Verify program in certain locations, as required by law.</t>
        </is>
      </c>
    </row>
    <row r="72">
      <c r="A72" t="inlineStr">
        <is>
          <t>li-4348603703</t>
        </is>
      </c>
      <c r="B72" t="inlineStr">
        <is>
          <t>Senior Software Engineer</t>
        </is>
      </c>
      <c r="C72" t="inlineStr">
        <is>
          <t>Oracle</t>
        </is>
      </c>
      <c r="D72" t="inlineStr">
        <is>
          <t>linkedin</t>
        </is>
      </c>
      <c r="E72" t="inlineStr"/>
      <c r="F72" t="inlineStr"/>
      <c r="G72" t="inlineStr">
        <is>
          <t>Redwood City, CA</t>
        </is>
      </c>
      <c r="H72" t="inlineStr"/>
      <c r="I72" t="inlineStr">
        <is>
          <t>**Job Description**
 Are you passionate about creating world\-class services and tools for software developers? Join Oracle Cloud Infrastructure (OCI), where you'll have the opportunity to design, build, and operate a suite of large\-scale, integrated cloud services within a highly distributed, multi\-tenant environment. Our mission is to deliver best\-in\-class solutions, empowering customers to build and manage their Oracle Cloud infrastructure efficiently. We are constantly innovating, delivering new features and products to stay at the forefront of cloud technology.
**Role Overview**
 As a Senior Software Engineer, you will be part of a collaborative team responsible for designing, developing, and operating both new and existing products. You will play a key role in architecting critical system interactions, working hands\-on across the technology stack, and ensuring a strong developer experience. We value simplicity, high\-impact solutions, and a commitment to operational excellence.
**Responsibilities**
**RESPONSIBILITIES**
* Architect, design, and operate distributed systems focusing on reliability, scalability, and performance.
* Lead and mentor engineering efforts, providing technical leadership and independent problem\-solving.
* Develop and maintain high\-scale, resilient cloud services with strong operational standards.
* Drive iterative and incremental improvements while balancing speed and quality.
* Foster a proactive, collaborative, and agile team environment.
* Evaluate and recommend major changes to products using data\-driven approaches.
**Basic Qualifications**
* 3\+ years of software development experience.
* Proficiency in high\-level programming languages such as Java, Python, or similar.
* Experience delivering products throughout the full software development lifecycle.
* Deep understanding of microservices design patterns and service\-to\-service communication protocols.
* Experience in building highly reliable, scalable services.
* Bachelor’s degree in Computer Science, Computer Engineering, or related technical field.
**Preferred Qualifications**
* Prior experience developing cloud services and tools on Oracle Cloud, AWS, GCP, or Azure.
* Experience with IDEs such as Eclipse or IntelliJ.
* Master’s degree in Computer Science or a related technical discipline.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3">
      <c r="A73" t="inlineStr">
        <is>
          <t>li-4378835615</t>
        </is>
      </c>
      <c r="B73" t="inlineStr">
        <is>
          <t>Full Stack Engineer</t>
        </is>
      </c>
      <c r="C73" t="inlineStr">
        <is>
          <t>Helpr</t>
        </is>
      </c>
      <c r="D73" t="inlineStr">
        <is>
          <t>linkedin</t>
        </is>
      </c>
      <c r="E73" t="inlineStr"/>
      <c r="F73" t="inlineStr"/>
      <c r="G73" t="inlineStr"/>
      <c r="H73" t="inlineStr"/>
      <c r="I73" t="inlineStr">
        <is>
          <t>**About Helpr** 
 Helpr is a technology platform that connects families with trusted childcare providers. We handle booking, payments, background checks, and scheduling so families can find reliable care quickly. Our platform serves thousands of families and sitters across the US.
 We’re at an inflection point: growing revenue, expanding partnerships, and ready to invest in engineering quality. You’d be our first in\-house engineer — joining a team who is deeply hands\-on and building the foundation for what becomes the in\-house engineering team.
**The Role** 
 This is not a maintenance role. You’ll own the entire backend: shipping features, migrating the stack, integrating with payment and identity providers, and making architectural decisions that will define the platform for years. You’ll work directly with leadership; no layers, no committees, no tickets that disappear into a sprint backlog.
**What You’ll Do** 
* Own all backend and API development — new features, bug fixes, integrations, and infrastructure
* Lead the incremental migration from Laravel (PHP) to Node.js/TypeScript/React, starting with new features and high\-churn areas
* Build and maintain integrations with Stripe (payments, ACH, Checkout Sessions), identity verification providers, and partner APIs
* Design and implement the backend architecture for new product features alongside the product team
* Improve developer experience: CI/CD, testing, monitoring, and deployment workflows
* Collaborate with the offshore mobile team (iOS/Android) on API contracts and shared data models
* Participate in on\-call rotation for production issues
**Requirements** 
**Must Have** 
* 5\+ years of professional software engineering experience
* Strong Node.js and TypeScript/React skills — this is the target stack
* Working experience with PHP/Laravel — you’ll need to read, debug, and modify the existing codebase before migrating it
* Experience with relational databases (MySQL) — schema design, migrations, query optimization
* Solid understanding of RESTful API design and third\-party API integrations
* Experience with Stripe or similar payment platform integrations (payment intents, webhooks, subscription billing)
* Comfortable owning production systems — deployments to kubernetes in GCP
* Kubernetes and container orchestration experience
* Strong communicator who can articulate technical decisions and trade\-offs clearly
* Comfortable with using LLMs to help deliver accurate and maintainable code
**Nice to Have** 
* Google Cloud infrastructure experience
* Experience in a marketplace, booking, or payments\-heavy product
* Experience migrating legacy codebases to modern stacks incrementally (strangler fig pattern)
* Familiarity with CI/CD pipelines, automated testing strategies, and deployment automation
**What We’re NOT Looking For** 
* Someone who needs detailed specs for every task — you’ll help define the specs
* A framework zealot — we care about shipping working software, not stack purity
* Someone who only wants to work on greenfield — you’ll spend real time in legacy PHP before earning the migration work
 For more information, visit
 https://www.hellohelpr.com/careers
 Apply here or email interest to apply@hellohelpr.com</t>
        </is>
      </c>
    </row>
    <row r="74">
      <c r="A74" t="inlineStr">
        <is>
          <t>li-4378025350</t>
        </is>
      </c>
      <c r="B74" t="inlineStr">
        <is>
          <t>Software Engineer II</t>
        </is>
      </c>
      <c r="C74" t="inlineStr">
        <is>
          <t>TSC</t>
        </is>
      </c>
      <c r="D74" t="inlineStr">
        <is>
          <t>linkedin</t>
        </is>
      </c>
      <c r="E74" t="inlineStr"/>
      <c r="F74" t="inlineStr"/>
      <c r="G74" t="inlineStr">
        <is>
          <t>Washington, DC</t>
        </is>
      </c>
      <c r="H74" t="inlineStr"/>
      <c r="I74" t="inlineStr">
        <is>
          <t>Technology Service Corporation (TSC) is seeking a Software Engineer III. The candidate will be responsible for the development of primarily Python code to control and monitor instrumentation, mechanisms, and sensors for the Large Plasma Test Facility at the Naval Research Laboratory in Washington, DC. The candidate will be part of a small, agile team developing innovative space electrical propulsion systems. The candidate will work with a mixed government\-contractor team on\-site at the Naval Research Laboratory in Washington DC. US Citizenship and a secret are required. One to two days remote work may be possible depending on program needs.
**Responsibilities:**
* Develop software to integrate and control various sensors and mechanisms, collect data, and process and display data.
* Assist propulsion engineers by implementing scientific data reduction algorithms efficiently.
* Assist in troubleshooting laboratory systems.
* Lead the group in adoption and implementation of AI for rapid code prototyping.
* The majority of code will be in Python
**Required Qualifications:**
* DoD Secret clearance.
* BS in Computer Science, Mathematics, Physics, or Electrical Engineering.
* 3\-5 years of professional experience developing code (preference for Python).
* Familiarity with advanced mathematics such as calculus, differential equations, and linear algebra.
* Experience with hardware\-in\-the\-loop data acquisition code.
* Experience developing simulation software and software to compare simulations with experimental results
* Extensive experience with Python.
* Demonstrated ability to work independently and in a team/matrixed organization.
* Adaptable to rapidly changing and vaguely defined coding requirements.
**What We Offer:**
 Headquartered in Arlington, Virginia, Technology Service Corporation (TSC) is an employee\-owned company that has been providing high\-quality technical services and solutions for our customers’ for over 50 years. Our diverse portfolio includes providing full lifecycle support in Precision Strike and Area Effects; Area Protection; Airborne Sensors and Intelligence, Surveillance, and Reconnaissance (ISR); Vehicle Protection; Electronic Warfare Systems; Air and Missile Defense; Space Systems, and Intelligence and Information Systems. TSC offers a professional working environment, a competitive salary, and an excellent benefits package that includes but not limited to: Paid Personal and Military leave and Holidays; Salary Deferrals into a 401(k) Matching Plan; Tuition Reimbursement; Short/Long\-Term Disability Plan; Medical, Dental, and Vision Insurance.
 In compliance with applicable pay transparency laws, the expected salary range for this position is $102,000 – $145,000 per year, depending on experience and location. This role is also eligible for an annual performance bonus and may include equity or incentive compensation as part of the total rewards package.
**Applying to TSC:**
 Only those candidates invited for an interview will be contacted. Employment at TSC is contingent upon the successful completion of a comprehensive background check, security investigation, and a drug screening.
***TSC is committed to hiring and retaining a diverse workforce. We are proud to be an Equal Opportunity Employer/Affirmative Action Employer, making decisions without regard to race, color, religion, creed, sex, sexual orientation, gender identity, marital status, national origin, age, veteran status, disability or any other protected class.***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
 All qualified applicants will receive consideration for employment without regard to race, color, religion, sex, sexual orientation, gender identity, national origin, disability, or status as a protected veteran.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
 All qualified applicants will receive consideration for employment without regard to race, color, religion, sex, sexual orientation, gender identity, national origin, disability, or status as a protected veteran.</t>
        </is>
      </c>
    </row>
    <row r="75">
      <c r="A75" t="inlineStr">
        <is>
          <t>li-4378815339</t>
        </is>
      </c>
      <c r="B75" t="inlineStr">
        <is>
          <t>Java Software Engineer</t>
        </is>
      </c>
      <c r="C75" t="inlineStr">
        <is>
          <t>Wiraa</t>
        </is>
      </c>
      <c r="D75" t="inlineStr">
        <is>
          <t>linkedin</t>
        </is>
      </c>
      <c r="E75" t="inlineStr"/>
      <c r="F75" t="inlineStr"/>
      <c r="G75" t="inlineStr"/>
      <c r="H75" t="inlineStr"/>
      <c r="I75" t="inlineStr">
        <is>
          <t>**About The Company**
 Garmin International is global leader in GPS technology and innovative solutions for various markets including automotive, aviation, marine, outdoor, fitness, and health. With a commitment to excellence and a focus on delivering cutting\-edge products, Garmin continuously pushes the boundaries of technology to enhance the lives of its users. The company fosters a dynamic and collaborative work environment that encourages innovation, professional growth, and a culture of integrity. Garmin's headquarters in the United States serves as the hub for its strategic initiatives and technological advancements, supporting a worldwide network of development teams and operational centers.
**About The Role**
 We are seeking a highly experienced and motivated full\-time Lead IT Software Engineer to join Garmin's U.S. headquarters located in the Greater Kansas City area. In this pivotal role, you will lead the development and enhancement of Garmin's Cloud Services portal, a critical platform that supports our enterprise solutions. Your responsibilities will include overseeing the design, development, and deployment of web\-enabled client and server applications within a structured SDLC framework. You will collaborate closely with a global team, primarily based in India, working alongside product owners and architects in the US to drive innovative features and ensure seamless integration and scalability of the platform. As a senior technical leader, you will mentor team members, shape technical strategies, and contribute to the continuous improvement of our systems and processes.
**Qualifications**
* Bachelor's Degree in Computer Science, Information Technology, Management Information Systems, or related field
* Minimum of 9 years of relevant experience or an equivalent combination of education and experience
* Proficiency in web and backend development languages such as Java, SQL, NodeJS, Spring, Kafka, RabbitMQ
* Experience designing, enhancing, and developing single and multi\-system applications
* Hands\-on experience with cloud\-native architectures and microservices solutions
* Proficiency with version control systems, particularly Git
* Experience with automated testing tools and procedures
* Knowledge of secure coding practices
* Strong verbal, written, and interpersonal communication skills
**Responsibilities**
* Design and develop web\-enabled client\-side and server\-side applications following SDLC processes
* Lead project initiatives, ensuring alignment with organizational objectives and architectural standards
* Collaborate with global development teams, product owners, and architects to deliver high\-quality solutions
* Ensure stable production deployment of application changes and features
* Implement system improvements to enhance stability, performance, and maintainability
* Review technical designs and code changes, providing guidance and recommendations to development teams
* Mentor and support less experienced engineers to foster professional growth and technical excellence
* Participate in project planning, feature analysis, and system tradeoff evaluations
* Evaluate new technologies, features, and functions to recommend broader technological solutions
* Provide on\-call support for production systems as needed
* Lead major development projects involving multiple components or sub\-projects
* Promote adherence to architecture roadmaps, development standards, and best practices
* Engage in continuous learning by participating in professional organizations and industry events
**Benefits**
* Competitive salary and benefits package
* Health, dental, and vision insurance
* Retirement plans and savings programs
* Paid time off and holidays
* Professional development opportunities
* Flexible work arrangements where applicable
* Employee wellness programs
* Supportive and innovative work environment
 Equal Opportunity
 Garmin International is an equal opportunity employer. Qualified applicants will receive consideration for employment without regard to race, religion, color, national origin, citizenship, sex, sexual orientation, gender identity, veteran's status, age or disability. We are committed to fostering an inclusive workplace that values diversity and promotes equal opportunity for all employees.</t>
        </is>
      </c>
    </row>
    <row r="76">
      <c r="A76" t="inlineStr">
        <is>
          <t>li-4378824398</t>
        </is>
      </c>
      <c r="B76" t="inlineStr">
        <is>
          <t>Junior Software Engineer</t>
        </is>
      </c>
      <c r="C76" t="inlineStr">
        <is>
          <t>Tech Consulting</t>
        </is>
      </c>
      <c r="D76" t="inlineStr">
        <is>
          <t>linkedin</t>
        </is>
      </c>
      <c r="E76" t="inlineStr"/>
      <c r="F76" t="inlineStr"/>
      <c r="G76" t="inlineStr">
        <is>
          <t>New Jersey, United States</t>
        </is>
      </c>
      <c r="H76" t="inlineStr"/>
      <c r="I76" t="inlineStr">
        <is>
          <t>**Job Title:** 
 Junior Software Engineer
 **(\*\*Immediate Joining\*\*)** 
**Location:** 
 \[Anywhere in USA]
**Experience:** 
 1–3 years
**Employment Type:** 
 Full\-Time
**Job Description:**
 Are you excited about taking your technical career to new heights with a full\-time, W\-2 role as a consultant in a dynamic and rapidly growing company? If you are, let's get in touch – your interest is the first step to starting the conversation.
 **\*\*No Sponsorship\*\***
**What This Role Requires:**
* 1\-3 years of experience in software development using Java after your degree.
* Must have Java or C\# experience (one or the other).
* Should understand basics of OOP (Object Oriented Program) concepts.
* Hands\-on experience in XML, SQL, JavaScript/CSS/JQUERY/HTML or SON preferred. 
* Familiarity with version control systems like Git
* Eagerness to learn and adapt to new technologies, frameworks, and best practices in the rapidly evolving Android ecosystem
* Basic understanding of computer science concepts like data structures, algorithms, software architecture, and design patterns.
**To Qualify:**
* You should be willing to relocate anywhere in the US on a client project\-to\-project basis, as this is an onsite, in\-office position.
* Strong English communication skills, both written and verbal.
* Bachelor’s degree in computer science, Information Systems, Electrical Engineering, Mathematics, or a related quantitative field.
**What’s In It For YOU?**
* Gain valuable, career\-enhancing experience working with our Fortune 1,000 clients.
* Receive relocation support for training and project assignments, as required.
* Enjoy comprehensive W2 employee benefits.
* Access full coverage medical, dental, and vision insurance.
* Qualify for 401K eligibility after one year of employment.
**Company Highlights:**
* **Our Specialization** 
 : Providing IT consulting services.
* **Experience** 
 : Over 25 years of combined domestic and international expertise in IT consulting serving hundreds of Fortune 1,000 and innovative startup clients.
* Interested in accelerating your tech career through career\-enhancing IT consulting experience? Do you meet the required qualifications? If so, apply today! We look forward to hearing from you.</t>
        </is>
      </c>
    </row>
    <row r="77">
      <c r="A77" t="inlineStr">
        <is>
          <t>li-4289383619</t>
        </is>
      </c>
      <c r="B77" t="inlineStr">
        <is>
          <t>Senior Software Engineer - Full Stack Web</t>
        </is>
      </c>
      <c r="C77" t="inlineStr">
        <is>
          <t>Zoox</t>
        </is>
      </c>
      <c r="D77" t="inlineStr">
        <is>
          <t>linkedin</t>
        </is>
      </c>
      <c r="E77" t="inlineStr"/>
      <c r="F77" t="inlineStr"/>
      <c r="G77" t="inlineStr">
        <is>
          <t>Foster City, CA</t>
        </is>
      </c>
      <c r="H77" t="inlineStr"/>
      <c r="I77" t="inlineStr">
        <is>
          <t>The Software Systems Infrastructure team is responsible for aiding the Software Systems organization with all its internal tooling needs, development processes and ensuring that all safety\-critical software meets a high safety bar for production vehicles. We are a fullstack high\-paced software engineering team.
 In this role, you will help establish infrastructure, design and develop software tools that will automate, track or audit processes and methods needed to build safety\-critical software that will revolutionize transportation in the 21st century. Borrowing principles from avionics, automotive, and other safety\-critical industries, you will work with software, systems and firmware engineers across the Zoox software organization, ranging from state\-of\-the\-art AI Perception, all the way to highly\-critical RTOS and middleware components.
**In This Role, You Will**
* Develop infrastructure and tools to support the Software Systems org that can help enable software developers achieve, track and build safety\-critical code.
* Primarily develop in Bazel, Python, ReactJS and TypeScript and also be responsible for setting up backend infrastructure (database, web servers, etc.) and will be interfacing with software developed in C\+\+ and Python.
* Be comfortable to whip up quick scripts to automate tasks, such as generating metrics, establishing traceability, etc, when necessary.
* You will be developing and maintaining tools that support cross\-functional teams in their efforts towards developing software that adheres to a High Assurance Process.
* Autonomous vehicles have some of the largest, most complex software ever shipped in a safety\-critical environment; solving that problem is one of the most exciting technical challenges of our lifetime.
**Qualifications**
* Bachelor’s degree in computer science, engineering, or related field
* 8\+ years of industry experience working on large code bases
* Strong proficiency in Python with frameworks like FastAPI/Django, Shell scripting, and building ETL pipelines
* Strong proficiency in TypeScript/JavaScript and one or more of the frontend frameworks/libraries like React/ Vue.js/Angular
* Strong proficiency in sql/nosql databases like Postgres, MongoDb, etc
* Strong proficiency in cloud technologies like AWS/GCP/OCI
**Bonus Qualifications**
* Masters’ degree in computer science, engineering, or related field
* Robotics, Automotive or Aerospace software experience with safety\-critical systems
* Experience with Linux and systems programming
* Familiarity with Static and Dynamic Analysis Tools \- such as Coverity, Valgrind/Helgrind, CCM, etc
 $219,000 \- $263,000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8">
      <c r="A78" t="inlineStr">
        <is>
          <t>li-4378801462</t>
        </is>
      </c>
      <c r="B78" t="inlineStr">
        <is>
          <t>Frontend Software Engineer</t>
        </is>
      </c>
      <c r="C78" t="inlineStr">
        <is>
          <t>Wiraa</t>
        </is>
      </c>
      <c r="D78" t="inlineStr">
        <is>
          <t>linkedin</t>
        </is>
      </c>
      <c r="E78" t="inlineStr"/>
      <c r="F78" t="inlineStr"/>
      <c r="G78" t="inlineStr"/>
      <c r="H78" t="inlineStr"/>
      <c r="I78" t="inlineStr">
        <is>
          <t>**About The Company**
 At Anytime AI, we are pioneering the development of the Premier AI Legal Assistant tailored specifically for Plaintiff Lawyers. Our mission is to harness the power of cutting\-edge Generative AI technologies to revolutionize the legal industry. By automating critical workflows in personal injury cases, facilitating comprehensive legal research, auto\-drafting legal memos, and analyzing legal documents and medical records, we aim to expedite fact\-finding processes and improve legal outcomes. Our secure and responsible solutions enable attorneys to reduce manual efforts by up to 90%, allowing them to focus more on client advocacy and case strategy. With a commitment to innovation and excellence, we are dedicated to transforming legal practice and positively impacting the lives of millions through smarter, more efficient legal technology.
**About The Role**
 We are seeking a talented Frontend Software Engineer to join our dynamic engineering team. In this pivotal role, you will be responsible for shaping the user experience and client\-side architecture of our AI\-driven legal technology platform. Your primary focus will be on building, optimizing, and scaling intuitive, responsive, and high\-performance user interfaces that cater to the needs of legal professionals. You will work closely with cross\-functional teams including product managers, designers, and backend engineers to translate complex legal workflows into seamless UI components. Your contributions will directly influence the daily interactions of our users, ensuring they have a reliable and engaging experience with our platform. This role offers an exciting opportunity to be at the forefront of legal AI innovation, making a tangible impact on how lawyers leverage technology in their practice.
**Qualifications**
* Bachelor’s degree in Computer Science, Engineering, or a related field, or equivalent practical experience
* 3\-10 years of professional experience in frontend web development
* Proven experience building and maintaining large\-scale, complex, and high\-performance web applications
* Deep proficiency in JavaScript and TypeScript
* Strong expertise with React and modern frontend frameworks, preferably Next.js
* Experience with component libraries and implementing design systems
* Knowledge of state management solutions and React patterns
* Proficiency with CSS frameworks and responsive design principles
* Understanding of frontend testing and modern build tools
* Experience with REST API integration and managing complex client\-side state
* Excellent problem\-solving skills and a proactive approach to development
**Responsibilities**
* Architect and implement scalable frontend applications utilizing reusable component libraries to ensure UI consistency and accelerate development
* Lead frontend optimization efforts, focusing on Core Web Vitals, performance strategies, and perceived responsiveness to deliver an exceptional user experience
* Design and implement complex state management solutions to support AI\-powered workflows, user sessions, and real\-time data synchronization
* Establish and promote high standards for code quality, accessibility, testing, and maintainability through rigorous code reviews and best practices
* Collaborate with product managers, UX/UI designers, and backend engineers to translate intricate legal workflows into intuitive, user\-friendly interfaces
* Develop and enhance user\-facing features that seamlessly integrate with backend APIs and support AI\-driven functionalities
* Participate in continuous improvement initiatives to optimize frontend performance, security, and usability
**Benefits**
* Competitive salary ranging from $100,000 to $200,000, with bonus opportunities and an employee stock option plan
* Comprehensive health, dental, and vision insurance packages
* Flexible work environment with options for remote work within the US
* Opportunity to work with a talented, passionate team at the forefront of AI and legal technology
* Access to diverse learning opportunities across multiple domains including marketing, business intelligence, product management, and AI innovation
* Potential for professional growth and advancement in a rapidly evolving industry
* Participation in shaping the future of legal tech and AI\-driven legal solutions
 Equal Opportunity
 Anytime AI is an equal opportunity employer. We celebrate diversity and are committed to fostering an inclusive environment for all employees. We do not discriminate based on race, ethnicity, gender, age, religion, sexual orientation, disability, or any other protected status. We believe that diverse teams drive innovation and are essential to our success. We welcome applications from candidates of all backgrounds who are passionate about advancing legal technology and AI.</t>
        </is>
      </c>
    </row>
    <row r="79">
      <c r="A79" t="inlineStr">
        <is>
          <t>li-4379930478</t>
        </is>
      </c>
      <c r="B79" t="inlineStr">
        <is>
          <t>Sr. Software Engineer | $95/hr</t>
        </is>
      </c>
      <c r="C79" t="inlineStr">
        <is>
          <t>Mercor</t>
        </is>
      </c>
      <c r="D79" t="inlineStr">
        <is>
          <t>linkedin</t>
        </is>
      </c>
      <c r="E79" t="inlineStr"/>
      <c r="F79" t="inlineStr"/>
      <c r="G79" t="inlineStr"/>
      <c r="H79" t="inlineStr"/>
      <c r="I79"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II
**Type:** 
**Full\-Time**
**Compensation:** 
**$70–$95/hour**
**Location:** 
**Remote**
**Role Responsibilities**
* Drive technical implementation and testing of complex data pipeline features within the SPECTRA platform. Ensure robust end\-to\-end functionality and meet project release timelines.
* Design and develop data processing pipelines using SQL and Python. Handle large\-scale data collection, transformation, and quality monitoring workflows.
* Build and maintain dashboards and visualization tools. Provide visibility into data quality, rater performance, and platform metrics for stakeholders across multiple teams.
* Create comprehensive end\-to\-end tests and monitoring alerts. Ensure platform reliability, data integrity, and proactive identification of issues in the data collection workflow.
* Debug and troubleshoot complex data flow issues across the SPECTRA platform. Identify root causes and implement solutions to maintain high system availability.
* Collaborate closely with Technical Leads and engineering teams. Implement backend data processing logic and ensure adherence to development standards and best practices.
**Qualifications**
**Must\-Have**
* Experience in SQL development writing complex queries, data transformations, and working with large datasets in production environments.
* Proficient in Python with experience in data processing, automation, and pipeline development using object\-oriented programming principles.
* Experience with data engineering pipelines including ETL processes, data modeling, and building scalable data processing workflows.
* Hands\-on experience with data visualization and dashboard tools such as Tableau or similar platforms.
* Strong analytical and problem\-solving skills with demonstrated ability to debug complex data issues and implement effective solutions.
* Experience with data quality monitoring and automated testing frameworks.
**Preferred**
* Degree in Computer Science or related field.
* Machine Learning experience with understanding of ML model training data requirements, feature engineering, and model evaluation metrics.
* Experience building and scaling large products or systems.
* Experience with building privacy and ads\-related products.
* Experience working with human labeling and annotation systems including workflow design, quality assurance, and vendor management in data collection operations.
* Prior experience working with the company or its internal tools.
**Compensation \&amp; Legal**
* Pursuant to the California Fair Chance Act, Los Angeles County Fair Chance Ordinance for Employers, Los Angeles Fair Chance Initiative for Hiring Ordinance, and San Francisco Fair Chance Ordinance, qualified applicants will be considered for assignment with arrest and conviction records.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80">
      <c r="A80" t="inlineStr">
        <is>
          <t>li-4377730080</t>
        </is>
      </c>
      <c r="B80" t="inlineStr">
        <is>
          <t>Software Engineer III, AI/ML GenAI, Google Cloud</t>
        </is>
      </c>
      <c r="C80" t="inlineStr">
        <is>
          <t>Google</t>
        </is>
      </c>
      <c r="D80" t="inlineStr">
        <is>
          <t>linkedin</t>
        </is>
      </c>
      <c r="E80" t="inlineStr"/>
      <c r="F80" t="inlineStr"/>
      <c r="G80" t="inlineStr">
        <is>
          <t>Sunnyvale, CA</t>
        </is>
      </c>
      <c r="H80" t="inlineStr"/>
      <c r="I80"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
 **Minimum qualifications:**
* Bachelor’s degree or equivalent practical experience.
* 2 years of experience programming in Python or C\+\+.
* 1 year of experience with ML infrastructure (e.g., model deployment, model evaluation, optimization, data processing, debugging).
* Experience with core GenAI concepts (LLM, Multi\-Modal, Large Vision Models) and experience with text, image, video, or audio generation.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GenAI solutions, utilize ML infrastructure, and contribute to data preparation, optimization, and performance enhancements.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1">
      <c r="A81" t="inlineStr">
        <is>
          <t>li-4378848179</t>
        </is>
      </c>
      <c r="B81" t="inlineStr">
        <is>
          <t>Software Engineer</t>
        </is>
      </c>
      <c r="C81" t="inlineStr">
        <is>
          <t>Insight Global</t>
        </is>
      </c>
      <c r="D81" t="inlineStr">
        <is>
          <t>linkedin</t>
        </is>
      </c>
      <c r="E81" t="inlineStr"/>
      <c r="F81" t="inlineStr"/>
      <c r="G81" t="inlineStr"/>
      <c r="H81" t="inlineStr"/>
      <c r="I81" t="inlineStr">
        <is>
          <t>We are seeking a highly skilled Software Engineer with an active Top\-Secret clearance to support a mission‑critical government program in Washington, DC. This is a 6‑month contract to hire position supporting a secure development environment focused on building, enhancing, and maintaining modern software applications.
 The ideal candidate has experience in Java or Python development, has worked within classified or secure environments, and can contribute to a collaborative Agile engineering team.
**Key Responsibilities** 
* Design, develop, test, and deploy secure software applications in a classified environment.
* Write clean, efficient, and maintainable code in
 **Java, Python, or related languages** 
 .
* Build and maintain
 **REST APIs** 
 ,
 **microservices** 
 , and backend systems.
* Support software enhancements, bug fixing, and feature development.
* Participate in Agile ceremonies including daily standups, sprint planning, and reviews.
* Troubleshoot and resolve production issues in coordination with system engineers and mission stakeholders.
* Document technical work clearly and in accordance with government standards.
* Collaborate with cross\-functional teams to integrate software components into secure systems.
* Ensure all work meets security, compliance, and quality requirements.
**Clearance Requirements** 
* Must possess an
 **active Top Secret** 
 clearance.
* TS/SCI strongly preferred.
**Required Skills \&amp; Experience** 
**Must‑Haves:** 
* Active
 **Top Secret** 
 clearance.
* 3\+ years of experience as a Software Engineer.
* Proficiency with
 **Java** 
 or
 **Python**
* Experience with
 **REST APIs** 
 ,
 **microservices** 
 , or backend systems.
* Familiarity with
 **Linux** 
 and
 **Git** 
 .
**Nice‑to‑Haves:** 
* Experience with
 **AWS GovCloud** 
 ,
 **Azure Gov** 
 , or other cloud environments.
* Front\-end experience with
 **React** 
 ,
 **Angular** 
 , or similar frameworks.
* Containerization tools such as
 **Docker** 
 or
 **Kubernetes** 
 .
* CI/CD experience (Jenkins, GitLab, Bamboo).
* Prior experience supporting DoD or Intelligence Community environments.
 Exact compensation may vary based on several factors, including skills, experience, and education.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
 NO THIRD PARTIES or C2C</t>
        </is>
      </c>
    </row>
    <row r="82">
      <c r="A82" t="inlineStr">
        <is>
          <t>li-3986116411</t>
        </is>
      </c>
      <c r="B82" t="inlineStr">
        <is>
          <t>Software Engineer</t>
        </is>
      </c>
      <c r="C82" t="inlineStr">
        <is>
          <t>Epic</t>
        </is>
      </c>
      <c r="D82" t="inlineStr">
        <is>
          <t>linkedin</t>
        </is>
      </c>
      <c r="E82" t="inlineStr"/>
      <c r="F82" t="inlineStr"/>
      <c r="G82" t="inlineStr">
        <is>
          <t>Austin, TX</t>
        </is>
      </c>
      <c r="H82" t="inlineStr"/>
      <c r="I82"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83">
      <c r="A83" t="inlineStr">
        <is>
          <t>li-4379933491</t>
        </is>
      </c>
      <c r="B83" t="inlineStr">
        <is>
          <t>Senior Software Engineer | $110/hr Max</t>
        </is>
      </c>
      <c r="C83" t="inlineStr">
        <is>
          <t>Mercor</t>
        </is>
      </c>
      <c r="D83" t="inlineStr">
        <is>
          <t>linkedin</t>
        </is>
      </c>
      <c r="E83" t="inlineStr"/>
      <c r="F83" t="inlineStr"/>
      <c r="G83" t="inlineStr"/>
      <c r="H83" t="inlineStr"/>
      <c r="I83"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**Type:** 
**Full\-time**
**Compensation:** 
**$80–$110/hour**
**Location:** 
**Remote**
**Role Responsibilities**
* Develop and enhance AI\-powered interviewing tools and automation systems to optimize the hiring infrastructure.
* Implement frontend experiences using React and related frameworks to create intuitive user interfaces for recruiters, interviewers, and candidates.
* Build and maintain backend services supporting interview scheduling, AI transcription/summarization, and automation workflows.
* Collaborate with AI/ML teams to integrate GPT\-4o and other AI technologies for interview feedback automation and quality improvements.
* Leverage AI\-powered development tools including Cursor, Claude Code, and Devmate to accelerate development velocity.
* Support autonomous scheduling improvements and candidate\-driven experiences that reduce manual coordinator interventions.
**Qualifications**
**Must\-Have**
* Bachelor's degree in Computer Science, Computer Engineering, relevant technical field, or equivalent practical experience.
* 4\+ years of software engineering experience with object\-oriented programming languages such as Java, C\+\+, or C\#.
* Experience with scripting languages including Python, PHP, or JavaScript.
* Proficiency with frontend frameworks such as React, Vue, or similar modern JavaScript frameworks.
* Strong problem\-solving skills and ability to work independently on complex technical challenges.
**Preferred**
* Experience working with AI\-powered development tools such as Cursor, Claude Code, Devmate, or similar AI coding assistants.
* Familiarity with GraphQL and modern API design patterns.
* Experience with React ecosystem including Relay for data fetching.
* Knowledge of AI/ML technologies and experience integrating language models (GPT\-4o, Claude, etc.) into production applications.
**Compensation \&amp; Legal**
* Hourly contractor
* Paid weekly via Stripe Connect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84">
      <c r="A84" t="inlineStr">
        <is>
          <t>li-4379909078</t>
        </is>
      </c>
      <c r="B84" t="inlineStr">
        <is>
          <t>Sr. Software Engineer | Up to $120/hr</t>
        </is>
      </c>
      <c r="C84" t="inlineStr">
        <is>
          <t>Mercor</t>
        </is>
      </c>
      <c r="D84" t="inlineStr">
        <is>
          <t>linkedin</t>
        </is>
      </c>
      <c r="E84" t="inlineStr"/>
      <c r="F84" t="inlineStr"/>
      <c r="G84" t="inlineStr"/>
      <c r="H84" t="inlineStr"/>
      <c r="I84"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**Type:** 
**Contract**
**Compensation:** 
**$80–$120/hour**
**Location:** 
**Remote**
**Role Responsibilities**
* Ship production features across backend and frontend.
* Design and implement a scalable integrations framework.
* Build real\-time analytics experiences.
* Architect an agentic tool\-use layer compatible with MCP\-style patterns.
* Set up strong engineering hygiene: testing, observability, and on\-call readiness for the pilot.
* Iterate quickly and pragmatically.
**Qualifications**
**Must\-Have**
* Strong, practical software engineering skills; ability to ship end\-to\-end and unblock yourself.
* Experience building SaaS products with APIs, data models, and production constraints.
* Deep comfort with integrations (OAuth2, webhooks, API pagination, rate limiting, sync semantics).
* "Vibe coding" mindset: effective use of AI tools (Copilot, ChatGPT, etc.) without sacrificing correctness.
* Familiarity with MCP\-style tool interfaces and/or building tool servers.
* Clear communicator who can explain tradeoffs and keep stakeholders aligned.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85">
      <c r="A85" t="inlineStr">
        <is>
          <t>li-4290207916</t>
        </is>
      </c>
      <c r="B85" t="inlineStr">
        <is>
          <t>Senior Backend Engineer - Alarms</t>
        </is>
      </c>
      <c r="C85" t="inlineStr">
        <is>
          <t>Verkada</t>
        </is>
      </c>
      <c r="D85" t="inlineStr">
        <is>
          <t>linkedin</t>
        </is>
      </c>
      <c r="E85" t="inlineStr"/>
      <c r="F85" t="inlineStr"/>
      <c r="G85" t="inlineStr">
        <is>
          <t>San Mateo, CA</t>
        </is>
      </c>
      <c r="H85" t="inlineStr"/>
      <c r="I85"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Team**
 As a member of the Alarms engineering team, you will be responsible for building compelling user experiences for one of Verkada’s major new product categories. This is an opportunity to take ownership over software products which keep our customers protected in times of critical need.
 You’ll be working alongside a small, dynamic team of frontend, backend and firmware engineers to develop these experiences. Our team operates as a startup within a startup, so you can expect a lot of autonomy and impact on the direction of the Alarms product category.
 If you are an experienced, Backend Engineer who is excited about building new ways to keep people safe and secure, then we want to hear from you.
**About The Role**
 Verkada’s Alarms team builds the intelligent systems that detect, verify, and respond to real\-world security threats—whether it's a break\-in or suspicious activity caught on video. We combine intrusion sensors, cameras, and AI to create a fast, reliable, and modern security experience.
 As a Senior Backend Engineer, you’ll play a key role in designing and scaling our AI\-driven detection and response workflows. These systems power automated threat identification, customer notifications, video verification, and emergency dispatch—all in real time. You’ll be joining a small, high\-impact team working across Verkada’s hardware and cloud platforms to keep people and property safe.
**What You'll Do**
* Design and build low\-latency, high\-availability backend services that orchestrate alarm detection and response
* Create flexible and extensible AI\-powered workflows for intrusion and video monitoring use cases
* Build distributed systems that integrate internal products and third\-party services (e.g., notifications, transcription, dispatch)
* Collaborate closely with product managers, designers, frontend, and firmware engineers to shape end\-to\-end customer experiences
* Operate with autonomy and take ownership of systems from design through production
* Champion best practices in testing, observability, and continuous deployment
**What You Bring**
* 5\+ years of backend engineering experience in a production environment
* Strong programming skills—Go preferred
* Solid grasp of distributed system design, API architecture, and event\-driven workflows
* Experience with cloud infrastructure, preferably AWS
* Background working with databases (e.g. Postgres) and scalable data systems (e.g. Kafka, Redis)
* Track record of delivering robust, maintainable software in fast\-paced teams
* Must be willing and able to work onsite five days per week
**Bonus Points**
* Familiarity with Temporal or other workflow engines
* Interest in building AI\-integrated, real\-time systems
* Experience with Kubernetes, monitoring tools, and performance optimization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$130,000—$280,000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86">
      <c r="A86" t="inlineStr">
        <is>
          <t>li-4379937689</t>
        </is>
      </c>
      <c r="B86" t="inlineStr">
        <is>
          <t>Full Stack Engineer (.NET Core/C#/Next.JS/Azure)</t>
        </is>
      </c>
      <c r="C86" t="inlineStr">
        <is>
          <t>Yoh, A Day &amp; Zimmermann Company</t>
        </is>
      </c>
      <c r="D86" t="inlineStr">
        <is>
          <t>linkedin</t>
        </is>
      </c>
      <c r="E86" t="inlineStr"/>
      <c r="F86" t="inlineStr"/>
      <c r="G86" t="inlineStr">
        <is>
          <t>Dallas, TX</t>
        </is>
      </c>
      <c r="H86" t="inlineStr"/>
      <c r="I86" t="inlineStr">
        <is>
          <t>**Full Stack Developer (.NET Core/C\#/Angular/React/Azure)
 Dallas, TX  (Hybrid 2\-3 days a week)
 6 month Contract to Hire**
 Work across both front\-end and back\-end.  80% back end / 20% front end 
 Design, develop, and maintain robust backend services using .NET Core/C\# and RESTful APIs.
 Build dynamic, responsive UI components using Next.js, Angular, or React with TypeScript/JavaScript.
 Integrate and optimize data storage solutions with Azure SQL and Cosmos DB.
 Implement cloud\-native solutions leveraging Microsoft Azure (App Services, Functions, Key Vault).
 Ensure performance, reliability, and security of both backend and frontend components.
 Collaborate with cross\-functional teams to deliver high\-quality software.
 Contribute to technical planning.
 Participate in Agile ceremonies and use tools like Jira/Confluence for project management.
 Implement and manage CI/CD pipelines, containerized deployments (Docker), and Infrastructure as Code (Terraform)
 Understanding of Azure resources like Azure Container Apps, APIM, blob storage, SQL, Key Vaults
 Develop GitHub Actions workflows for any code and Docker builds/deployments.
 Integrate code linting, security scanning, approvals, and environment gates into pipelines.
 Translate business and application requirements into cloud\-native and hybrid Azure solutions.
 Ensure deployments are secure, scalable, and compliant with enterprise policies.
 Collaboration \&amp; DevOps Practices
 Work cross\-functionally with developers, architects, operations, and security teams to deliver infrastructure aligned with application needs.
 Participate in Agile ceremonies (standups, sprint planning, retrospectives).
 Review code, mentor team members, and promote DevOps best practices.
 Maintain comprehensive technical documentation, including architecture diagrams, deployment guides, CI/CD pipeline workflows, operational runbooks, and disaster recovery procedures.
 Conduct internal knowledge\-sharing sessions and training.
 Azure Container Apps, Azure App Services (Web Apps, API Apps, Mobile Apps), Azure Functions (Serverless Compute), Azure SQL Database (Managed relational database), Azure Cosmos DB (NoSQL database for high scalability), Azure Storage (Blob, Table, Queue, File storage), Azure Key Vault (Secrets and key management), APIM, Azure Monitor \&amp; Application Insights (Monitoring and diagnostics), Azure DevOps (CI/CD pipelines, release management)
 **Requirements**
 Bachelor’s degree in computer science, Engineering, or related field.
 6\+ years in full stack development roles \- 10\+ yrs overall experience
 Proficient in .NET Core/C\#, ASP.NET Web API, Entity Framework, LINQ.
 Strong experience with Next.js, Angular, or React; TypeScript/JavaScript; HTML5/CSS3\.
 Hands\-on experience with Microsoft Azure (App Services, Functions, Storage, Key Vault, Azure DevOps), CI/CD, Docker.
 Experience with Azure SQL, Cosmos DB, PostgreSQL.
 Familiarity with unit/integration testing frameworks and API documentation tools (Swagger/OpenAPI).
 Experience with Visual Studio, VS Code, Git, Azure DevOps, Jira, GitHub Actions.
 Excellent communication, analytical thinking, and problem\-solving abilities.
**Estimated Min Rate** 
 : $65\.00
**Estimated Max Rate** 
 : $75\.00
**What’s In It for You?**
 We welcome you to be a part of the largest and legendary global staffing companies to meet your career aspirations. Yoh’s network of client companies has been employing professionals like you for over 65 years in the U.S., UK and Canada. Join Yoh’s extensive talent community that will provide you with access to Yoh’s vast network of opportunities and gain access to this exclusive opportunity available to you. Benefit eligibility is in accordance with applicable laws and client requirements. Benefits include:
* Medical, Prescription, Dental \&amp; Vision Benefits (for employees working 20\+ hours per week)
* Health Savings Account (HSA) (for employees working 20\+ hours per week)
* Life \&amp; Disability Insurance (for employees working 20\+ hours per week)
* MetLife Voluntary Benefits
* Employee Assistance Program (EAP)
* 401K Retirement Savings Plan
* Direct Deposit \&amp; weekly epayroll
* Referral Bonus Programs
* Certification and training opportunities
 Note: Any pay ranges displayed are estimations. Actual pay is determined by an applicant's experience, technical expertise, and other qualifications as listed in the job description. All qualified applicants are welcome to apply.
 Yoh, a Day \&amp; Zimmermann company, is an Equal Opportunity Employer. All qualified applicants will receive consideration for employment without regard to race, color, religion, sex, sexual orientation, gender identity, national origin, disability, or status as a protected veteran.
 Visit
 **https://www.yoh.com/applicants\-with\-disabilities** 
 to contact us if you are an individual with a disability and require accommodation in the application process.
 For California applicants, qualified applicants with arrest or conviction records will be considered for employment in accordance with the Los Angeles County Fair Chance Ordinance for Employers and the California Fair Chance Act. All of the material job duties described in this posting are job duties for which a criminal history may have a direct, adverse, and negative relationship potentially resulting in the withdrawal of a conditional offer of employment.
 It is unlawful in Massachusetts to require or administer a lie detector test as a condition of employment or continued employment. An employer who violates this law shall be subject to criminal penalties and civil liability.
 By applying and submitting your resume, you authorize Yoh to review and reformat your resume to meet Yoh’s hiring clients’ preferences. To learn more about Yoh’s privacy practices, please see our Candidate Privacy Notice: 
 **https://www.yoh.com/privacy\-notice**</t>
        </is>
      </c>
    </row>
    <row r="87">
      <c r="A87" t="inlineStr">
        <is>
          <t>li-4378822701</t>
        </is>
      </c>
      <c r="B87" t="inlineStr">
        <is>
          <t>Software Engineer, Growth</t>
        </is>
      </c>
      <c r="C87" t="inlineStr">
        <is>
          <t>RemoteHunter</t>
        </is>
      </c>
      <c r="D87" t="inlineStr">
        <is>
          <t>linkedin</t>
        </is>
      </c>
      <c r="E87" t="inlineStr"/>
      <c r="F87" t="inlineStr"/>
      <c r="G87" t="inlineStr"/>
      <c r="H87" t="inlineStr"/>
      <c r="I87" t="inlineStr">
        <is>
          <t>About the Opportunity:
 The organization is building a modern cloud platform for developers creating AI\-native, full\-stack, multi\-service applications. Its mission is to eliminate the tradeoff between the power of hyperscalers and the simplicity of developer\-friendly platforms. This enables teams to ship fast, scale reliably, and focus on their product instead of infrastructure. The platform features persistent compute, dynamic autoscaling, built\-in orchestration, and observability, allowing teams to deploy and manage applications without writing infrastructure code or managing servers. It supports building LLM\-powered applications, scalable SaaS products, and async processing pipelines. The platform serves over 3 million developers globally and recently raised $80M in Series C funding to accelerate cloud infrastructure development tailored for modern AI needs.
 Responsibilities:
 • Build new products and features to enhance platform usability and power.
 • Collaborate with design, product, engineering, and cross\-functional stakeholders.
 • Evolve and mature the codebase and technology as the product scales.
 • Participate in team planning, roadmapping, and goal\-setting.
 • Help shape team culture and practices during company growth.
 • Participate in on\-call responsibilities with the team.
 Requirements:
 • Minimum 6 years of professional software shipping experience; experience at small, high\-growth startups is a plus.
 • Proven collaboration with product and design teams.
 • Experience working across the stack, both independently and collaboratively.
 • Strong understanding of web frameworks, APIs, and databases.
 • Proficiency in multiple programming languages.
 • Strong ownership and pragmatic decision\-making skills.
 Nice\-to\-haves:
 • Familiarity with modern software build and deployment tooling.
 • Experience building for product\-driven growth and enterprise customers.
 • Experience with technologies such as Go, Typescript, React, Kubernetes, Postgres, Terraform, and Temporal.
 Benefits \&amp; Perks:
 • Four weeks of paid vacation.
 • Fourteen weeks of fully paid parental leave for bonding with a newly born, adopted, or fostered child, with supportive return planning.
 • Long\-term disability, life insurance, and 401K plans.
 • 100% employer\-paid medical coverage and 99% employer\-paid dental and vision coverage for employees and dependents, with FSAs and HSAs available.
 • Monthly lifestyle stipend for wellness, mental health, therapy, hobbies, etc.
 • Monthly cell phone and internet subsidy.
 • Commuter benefits for local employees and home office stipends for remote employees.
 • Continuous learning benefits and related support.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8">
      <c r="A88" t="inlineStr">
        <is>
          <t>li-3986117197</t>
        </is>
      </c>
      <c r="B88" t="inlineStr">
        <is>
          <t>Software Engineer</t>
        </is>
      </c>
      <c r="C88" t="inlineStr">
        <is>
          <t>Epic</t>
        </is>
      </c>
      <c r="D88" t="inlineStr">
        <is>
          <t>linkedin</t>
        </is>
      </c>
      <c r="E88" t="inlineStr"/>
      <c r="F88" t="inlineStr"/>
      <c r="G88" t="inlineStr">
        <is>
          <t>Ontario, CA</t>
        </is>
      </c>
      <c r="H88" t="inlineStr"/>
      <c r="I88"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89">
      <c r="A89" t="inlineStr">
        <is>
          <t>li-4378849430</t>
        </is>
      </c>
      <c r="B89" t="inlineStr">
        <is>
          <t>Entry Level Software Engineer</t>
        </is>
      </c>
      <c r="C89" t="inlineStr">
        <is>
          <t>Emonics LLC</t>
        </is>
      </c>
      <c r="D89" t="inlineStr">
        <is>
          <t>linkedin</t>
        </is>
      </c>
      <c r="E89" t="inlineStr"/>
      <c r="F89" t="inlineStr"/>
      <c r="G89" t="inlineStr">
        <is>
          <t>San Diego, CA</t>
        </is>
      </c>
      <c r="H89" t="inlineStr"/>
      <c r="I89" t="inlineStr">
        <is>
          <t>Job Overview:
 We are looking for an Entry Level Software Engineer to design, develop, and maintain scalable applications.
 Responsibilities:
 Write clean and efficient code
 Debug and troubleshoot software issues
 Participate in agile development cycles
 Collaborate with cross\-functional teams
 Requirements:
 Degree in Computer Science or related field
 Knowledge of Java, Python, or C\+\+
 Understanding of SDLC</t>
        </is>
      </c>
    </row>
    <row r="90">
      <c r="A90" t="inlineStr">
        <is>
          <t>li-4365586121</t>
        </is>
      </c>
      <c r="B90" t="inlineStr">
        <is>
          <t>Software Engineer III, Infrastructure, Google Cloud Storage</t>
        </is>
      </c>
      <c r="C90" t="inlineStr">
        <is>
          <t>Google</t>
        </is>
      </c>
      <c r="D90" t="inlineStr">
        <is>
          <t>linkedin</t>
        </is>
      </c>
      <c r="E90" t="inlineStr"/>
      <c r="F90" t="inlineStr"/>
      <c r="G90" t="inlineStr">
        <is>
          <t>Cambridge, MA</t>
        </is>
      </c>
      <c r="H90" t="inlineStr"/>
      <c r="I90" t="inlineStr">
        <is>
          <t>Note: By applying to this position you will have an opportunity to share your preferred working location from the following:
 **Sunnyvale, CA, USA; Cambridge, MA, USA** 
 .
 **Minimum qualifications:**
* Bachelor’s degree or equivalent practical experience.
* 2 years of experience programming in C\+\+, Python or Go.
* 2 years of experience with developing large \- scale infrastructure, storage, distributed systems or experience with compute technologies,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1">
      <c r="A91" t="inlineStr">
        <is>
          <t>li-4331347377</t>
        </is>
      </c>
      <c r="B91" t="inlineStr">
        <is>
          <t>Staff Backend Software Engineer</t>
        </is>
      </c>
      <c r="C91" t="inlineStr">
        <is>
          <t>Intuit</t>
        </is>
      </c>
      <c r="D91" t="inlineStr">
        <is>
          <t>linkedin</t>
        </is>
      </c>
      <c r="E91" t="inlineStr"/>
      <c r="F91" t="inlineStr"/>
      <c r="G91" t="inlineStr">
        <is>
          <t>Mountain View, CA</t>
        </is>
      </c>
      <c r="H91" t="inlineStr"/>
      <c r="I91" t="inlineStr">
        <is>
          <t>**Overview**
 We're cultivating a culture that prioritizes innovators, risk\-takers, and imaginative thinkers. In pursuit of becoming AI\-native, we recognize that fostering a "builder" mindset is essential. This means seeking out those who can seamlessly integrate AI and emerging technologies to efficiently and effectively solve our customers' problems.
 At Intuit, we hold a global leadership position in financial management solutions. We've been at the forefront of inventing Virtual Platforms and democratizing cloud computing for small businesses and their patrons alike. Our 40 years of expertise have rooted us in the startup mentality, positively disrupting ourselves as we constantly identify cutting\-edge technology and design paradigms. Our teams are dynamic, focused on delivering creative solutions with a side of fun.
**Responsibilities**
* Drive significant technology initiatives end\-to\-end and across multiple layers of architecture.
* Architect and develop scalable applications or systems.
* Drive the design and implementation of durable software solutions to solve critical customer problems that are scalable, secure, easy to maintain, and interact with numerous other systems.
* Provide recommendations and best practices for application development, platform development, and developer tools.
* Actively stay abreast of industry best practices, share learnings, and experiment and apply cutting edge technologies.
* Provide/inspire innovations that fuel the growth of Intuit as a whole and generate creative ideas for emerging business needs.
* Work with global, cross\-functional teams across time zones.
* Communicate clearly, succinctly, and persuasively to all levels of employees, customers, and management (including executives)
* Proactively identify opportunities to enhance software applications with AI technology
* Coach and mentor junior engineers on best practices of software engineering, leveraging AI to enhance applications, and building their technical expertise to ensure efficient and effective outcomes
* Launch AI integrations in production and evaluate their impact on software performance and user satisfaction, using appropriate metrics
 Pay offered is based on factors such as job\-related knowledge, skills, experience, and work location. To drive ongoing fair pay for employees, Intuit conducts regular comparisons across categories of ethnicity and gender.
**Qualifications**
* BS/MS in Computer Science or related area or equivalent experience.
* 7\+ years of total experience delivering enterprise\-class applications.
* Solid foundation in writing scalable application code following best practices of accessibility, internationalization, and instrumentation.
* Experience with cross\-browser, cross\-platform, and design constraints on the web and mobile.
* Solid knowledge of algorithms and design patterns.
* Proficiency in mid\-tier languages like Java.
* Experience with test automation: TDD, unit/integration/functional testing.
* Experience with Relational Database Design and Implementation.
* Interest in building CI/CD pipelines.
* Practical experience in developing applications using microservices, container technologies, container management systems such as Kubernetes, Mesos, etc.
* Strong experience with Databases design (SQL, NoSQL) and analytics.
* Prior working experience in utility computing and/or cloud computing domain.
* Experience building and deploying applications and services into cloud environments.
* Proficient in building or integrating functional AI models using techniques such as LLM prompting, AutoML modeling, etc
* Skilled in evaluating and monitoring the performance of AI technology in production and making necessary adjustments to ensure optimal application performance
* Possesses an in\-depth understanding of AI integration and can lead the integration process effectively, while coaching junior engineers on how to leverage AI
* Ability to work collaboratively with cross\-functional teams, including data scientists, product managers, and software engineers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California,CA: $197,000 \- 266,500</t>
        </is>
      </c>
    </row>
    <row r="92">
      <c r="A92" t="inlineStr">
        <is>
          <t>li-4378837456</t>
        </is>
      </c>
      <c r="B92" t="inlineStr">
        <is>
          <t>Embedded Software Engineer</t>
        </is>
      </c>
      <c r="C92" t="inlineStr">
        <is>
          <t>RevereIT LLC</t>
        </is>
      </c>
      <c r="D92" t="inlineStr">
        <is>
          <t>linkedin</t>
        </is>
      </c>
      <c r="E92" t="inlineStr"/>
      <c r="F92" t="inlineStr"/>
      <c r="G92" t="inlineStr">
        <is>
          <t>Urbandale, IA</t>
        </is>
      </c>
      <c r="H92" t="inlineStr"/>
      <c r="I92" t="inlineStr">
        <is>
          <t>**Job Overview** 
 We are seeking an experienced Embedded Systems Engineer to design, develop, and validate safety\-critical control software for off\-highway and agricultural machinery. The role focuses on steering, hydraulic, and ADAS\-related systems, using model\-based development and industry\-standard functional safety practices.
 This position involves close collaboration with systems, mechanical, and verification teams, and plays a key role in delivering reliable, production\-ready embedded control solutions.
**Key Responsibilities** 
 • Design and develop embedded control algorithms for steering, hydraulic, and actuation systems using MATLAB/Simulink and Embedded C.
 • Translate system\-level and customer requirements into detailed software specifications and implement them in model\-based architecture.
 • Develop and maintain ISO 26262\-compliant functional safety solutions, including fault monitoring, diagnostics, safe\-state handling, and degradation strategies.
 • Execute MIL, SIL, and HIL testing to validate functional behavior, safety mechanisms, and system robustness.
 • Integrate embedded controllers with CAN/J1939 communication networks, validating signals, diagnostics, and timing behavior.
 • Support system integration activities include controller bring\-up, wiring validation, sensor troubleshooting, and field testing.
 • Collaborate with mechanical, systems, and V\&amp;V teams to define motion requirements, tune control performance, and resolve cross\-disciplinary issues.
 • Ensure models comply with AUTOSAR guidelines and internal modeling standards for scalability and reuse.
 • Participate in design reviews, safety reviews, and release readiness activities, ensuring traceability and compliance.
 • Automate and maintain CI/CD pipelines (GitHub, Jenkins) for model builds, code generation, and regression testing.
 • Prepare and review technical documentation including software design descriptions, validation reports, and safety artifacts.
**Required Qualifications** 
 • Bachelor's or Master's degree in Electrical Engineering, Computer Engineering, or related field.
 • 8\+ years of experience in embedded systems or control software development (off\-highway, automotive, robotics, or industrial domains).
 • Strong hands\-on experience with MATLAB/Simulink and model\-based design.
 • Solid understanding of embedded control systems, real\-time behavior, and closed\-loop control.
 • Experience with CAN/J1939 protocols and networked embedded systems.
 • Proven experience with MIL/SIL/HIL testing methodologies.
 • Working knowledge of ISO 26262 functional safety concepts.
 • Proficiency in C/C\+\+ for embedded systems.
 • Experience using CANalyzer, CANape, or equivalent tools.
 • Familiarity with Git\-based version control and CI/CD pipelines.
**Additional Qualifications** 
 • Experience in steering or hydraulic control systems.
 • Exposure to ADAS or autonomous system functions.
 • AUTOSAR modeling or embedded software experience.
 • Experience supporting machine builds and field validation.
 • Background in safety documentation such as FMEA, fault trees, or safety traceability.
**Qualification:** 
 Degree in Electrical/Electronics Engineering
**External Skills And Expertise:** 
 Skills: Matlab, Simulink, Embedded C, C\+\+, Git, DevOps, CI/CD pipelines</t>
        </is>
      </c>
    </row>
    <row r="93">
      <c r="A93" t="inlineStr">
        <is>
          <t>li-4375635006</t>
        </is>
      </c>
      <c r="B93" t="inlineStr">
        <is>
          <t>Mid-Level .NET Software Engineer</t>
        </is>
      </c>
      <c r="C93" t="inlineStr">
        <is>
          <t>Stand8 Technology Consulting</t>
        </is>
      </c>
      <c r="D93" t="inlineStr">
        <is>
          <t>linkedin</t>
        </is>
      </c>
      <c r="E93" t="inlineStr"/>
      <c r="F93" t="inlineStr"/>
      <c r="G93" t="inlineStr"/>
      <c r="H93" t="inlineStr"/>
      <c r="I93" t="inlineStr">
        <is>
          <t>STAND 8 provides end to end IT solutions to enterprise partners across the United States and with offices in Los Angeles, New York, New Jersey, Atlanta, and more including internationally in Mexico and India
 We are seeking a Mid\-Level .NET Software Engineer to join our global Release Engineering team. In this role, you will work in a matrixed, collaborative environment, partnering closely with Delivery and Client Success teams. You'll be responsible for developing, testing, and maintaining client\-specific configurations and release packages for our cloud\-based profitability solutions.
 This is an excellent opportunity for a hands\-on engineer with strong .NET expertise, an interest in financial systems, and the ability to work effectively with international banking clients in a fully remote setting.
**Key Responsibilities** 
* Design, develop, test, and deploy client\-specific configurations and platform enhancements.
* Support new client onboarding as well as ongoing Business\-as\-Usual (BAU) updates.
* Maintain and improve release processes, ensuring consistency across multiple environments.
* Collaborate with cross\-functional teams\-Customer Success, Delivery, QA, Infrastructure, Project Management, and Support\-to meet release and delivery requirements.
* Contribute to core product development and Release Engineering initiatives.
* Participate in Agile ceremonies, maintain documentation, and drive continuous improvement.
**Required Qualifications** 
* 3\+ years of professional experience in .NET development.
* 1\+ year of experience with ASP.NET Core and Entity Framework Core.
* Proficiency in C\#, ASP.NET, and REST APIs.
* Strong understanding of RDBMS concepts and Microsoft SQL Server.
* Front\-end experience with HTML5, CSS3, and JavaScript.
* Familiarity with version control systems such as Git.
* Experience with modern JavaScript frameworks (e.g., Angular, React).
* Ability to manage complex release cycles across multiple environments.
* Excellent communication and collaboration skills across distributed teams.
**Preferred / Bonus Skills** 
* Experience with Azure Cloud and Azure DevOps.
* Familiarity with Agile methodologies, Jira, and Confluence.
* Exposure to operational tools such as Splunk, PagerDuty, or Zendesk.
* Experience in the banking or financial technology sector.
**Additional Details**
 The base salary range for this position is $95K \- $120K annually, depending on experience.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www.stand8\.io; and reach out today to explore opportunities to grow together!
 By applying to this position, your data will be processed in accordance with the STAND 8 Privacy Policy.</t>
        </is>
      </c>
    </row>
    <row r="94">
      <c r="A94" t="inlineStr">
        <is>
          <t>li-4323979287</t>
        </is>
      </c>
      <c r="B94" t="inlineStr">
        <is>
          <t>Software Engineer III(Full stack)</t>
        </is>
      </c>
      <c r="C94" t="inlineStr">
        <is>
          <t>Guidewire Software</t>
        </is>
      </c>
      <c r="D94" t="inlineStr">
        <is>
          <t>linkedin</t>
        </is>
      </c>
      <c r="E94" t="inlineStr"/>
      <c r="F94" t="inlineStr"/>
      <c r="G94" t="inlineStr">
        <is>
          <t>San Mateo, CA</t>
        </is>
      </c>
      <c r="H94" t="inlineStr"/>
      <c r="I94" t="inlineStr">
        <is>
          <t>**Summary**
 The Guidewire Claims team is reimagining and creating new claims experiences for insurance providers and millions of people who are submitting insurance claims with our customers. We are building scalable cloud services and web applications that enable our customers to process a multitude of claims simultaneously, gain insights into their business performance, and deliver the best experience to their customers.
**Job Description**
**Successful software engineers at Guidewire typically have:**
* A desire to work collaboratively in an empowered, small, cross\-functional team
* Experience working in an agile and fast paced development environment (e.g. TDD, BDD, Agile, pair programming, etc.)
* A passion for code quality demonstrated by thorough testing
* A desire to be hands\-on in designing and writing code
* Curiosity and internal motivation to constantly improve
* Ability to learn quickly in a dynamic environment
* Excellent communication skills, comfort level to speak their mind and defend ideas based on merit, yet humility and hunger to learn from others
* At Guidewire, we foster a culture of curiosity, innovation, and responsible use of AI—empowering our teams to continuously leverage emerging technologies and data\-driven insights to enhance productivity and outcomes.
**Key Qualifications Include Experience With**
* 5\+ years of Full\-Stack Software Development experience
* Proficiency in Core Java and good working knowledge of JavaScript / TypeScript/ HTML5 / CSS.
* Experience with a market leading client\-side framework \- React is required.
* Strong understanding of Continuous Delivery, Continuous Integration, Unit/Integration Testing
* Object\-Oriented Design using SOLID and Hexagonal design principles
* Experience building secure software and knowledge of web security best\-practices
* Significant experience working with Open Source frameworks (e.g. Spring, Hibernate, jBPM, others)
* Understanding of relational database persistence (e.g. MySQL, Oracle). Familiarity with NoSQL databases (e.g. MongoDB, CouchDB) is a plus
* Excellent understanding of Agile development principles
* Experience designing REST or gRPC based APIs
* Experience building microservices on cloud service platforms (e.g. AWS/GCP/Azure)
* Technical design and leadership of features from inception to release
* Technical leadership experience in mentoring less experienced engineers
* Maintaining and promoting a healthy codebase and ensuring high quality of products
* BS/MS degree (Computer Science or related field)
* Demonstrated ability to embrace AI and apply it to your role as well as use data\-driven insights to drive innovation, productivity, and continuous improvement.
 The US base salary range for this full\-time position is $124,000 \- $186,000 . Your base pay will depend on your experience, skills, education, training, and location among other factors. All full\-time positions or part\-time roles working 30 hours or more a week at Guidewire are eligible for benefits that support their health and well\-being including health, dental, and vision insurance, paid time off, and a company sponsored retirement plan. In addition, some roles may be eligible for the annual company bonus plan, commissions, and/or long term incentive awards which are contingent on a variety of factors including, but not limited to, company and employee performance.
 Disability Accommodations and Guidewire’s Appeals Process. Guidewire provides accommodations to the hiring process to create a fair opportunity for candidates with disabilities to contend for open positions. Accommodation requests should be directed to Accommodations@guidewire.com. If things do not go as hoped, we invite you to use our appeals process. Guidewire promises to independently review any denied accommodation and any decision not to offer you the position. The appeals process is the same in either case. Within five business days of receiving a notice of denial of an accommodation, or receiving a notice of your non\-selection for a vacancy, e\-mail Accommodations@guidewire.com to make an appeal. Guidewire will assign a new decision\-maker to review the request and/or hiring decision, who will then notify you in writing of a decision within 10 business days.
**About Guidewire**
 Guidewire is the platform P\&amp;C insurers trust to engage, innovate, and grow efficiently. We combine digital, core, analytics, and AI to deliver our platform as a cloud service. More than 540\+ insurers in 40 countries, from new ventures to the largest and most complex in the world, run on Guidewire.
 As a partner to our customers, we continually evolve to enable their success. We are proud of our unparalleled implementation track record with 1600\+ successful projects, supported by the largest R\&amp;D team and partner ecosystem in the industry. Our Marketplace provides hundreds of applications that accelerate integration, localization, and innovation.
 For more information, please visit www.guidewire.com and follow us on Twitter: @Guidewire\_PandC.
 Guidewire Software, Inc. is proud to be an equal opportunity and affirmative action employer. We are committed to an inclusive workplace, and believe that a diversity of perspectives, abilities, and cultures is a key to our success. Qualified applicants will receive consideration without regard to race, color, ancestry, religion, sex, national origin, citizenship, marital status, age, sexual orientation, gender identity, gender expression, veteran status, or disability. All offers are contingent upon passing a criminal history and other background checks where it's applicable to the position.</t>
        </is>
      </c>
    </row>
    <row r="95">
      <c r="A95" t="inlineStr">
        <is>
          <t>li-4253101366</t>
        </is>
      </c>
      <c r="B95" t="inlineStr">
        <is>
          <t>Senior Software Engineer, Infrastructure</t>
        </is>
      </c>
      <c r="C95" t="inlineStr">
        <is>
          <t>Sift</t>
        </is>
      </c>
      <c r="D95" t="inlineStr">
        <is>
          <t>linkedin</t>
        </is>
      </c>
      <c r="E95" t="inlineStr"/>
      <c r="F95" t="inlineStr"/>
      <c r="G95" t="inlineStr">
        <is>
          <t>San Francisco, CA</t>
        </is>
      </c>
      <c r="H95" t="inlineStr"/>
      <c r="I95" t="inlineStr">
        <is>
          <t>At Sift, we’re redefining how modern machines are built, tested, and operated. Our platform gives engineers real\-time observability over high\-frequency telemetry—eliminating bottlenecks and enabling faster, more reliable development.
 Sift was born from our work at SpaceX on Dragon, Falcon, Starlink, and Starship—where scaling telemetry, debugging flight systems, and ensuring mission reliability demanded new infrastructure. Founded by a team from SpaceX, Google, and Palantir, Sift is built for mission\-critical systems where precision and scalability are non\-negotiable.
 As an early engineer at Sift, you won’t just write code—you’ll help define the architecture, shape the product, and influence the culture of a company focused on solving real engineering problems. If you’re looking for complex technical challenges and the opportunity to build foundational systems supporting complex machines from the ground up, we want to hear from you.
**In This Role, You'll**
* Design, build, and maintain scalable, resilient infrastructure solutions to support our growing platform and customer base.
* Collaborate with software engineers to optimize application performance and reliability.
* Implement monitoring, alerting, and logging systems to ensure proactive identification and resolution of issues.
* Automate deployment processes and streamline infrastructure management using modern DevOps tools and methodologies.
* Evolve our backend architecture/infrastructure for both cloud and on\-premise deployments.
* Work with the team to set and prioritize our roadmap to maximize customer impact.
* Lead initiatives to improve infrastructure reliability, performance, and cost efficiency.
**The Skillset You'll Bring**
* 8\+ years of relevant distributed systems experience focusing on designing and managing cloud\-based environments (e.g., AWS, Azure, GCP).
* Hands\-on experience with containerization technologies (e.g., Docker, Kubernetes) and container orchestration platforms.
* Passion for building and operating developer productivity tools, frameworks, and other aspects of platform engineering.
* Familiarity with CI/CD pipelines and version control systems.
* Knowledge of automated testing best practices and frameworks, ensuring software reliability through integration, performance, and end\-to\-end testing in distributed systems.
* You're excited by the ambiguity and high\-ownership culture of early\-stage startups.
* You are pragmatic, solution\-oriented, and scrappy.
* You enjoy working collaboratively with a broad range of job functions and roles.
* Experience with our tech stack: Go, Java, React, TypeScript, Kafka/Redpanda, Flink, AWS, Azure, GCP, Docker, Kubernetes, and Terraform/CDK
+ Or equivalent distributed systems
* Good knowledge of cloud, on\-prem, networking, and service architecture in multi\-region multi\-cloud setups.
**Engineering At Sift**
 You'll have the opportunity to help evolve and scale our platform because we're still in the early stages of building the product. Relevant technologies include:
* Web frontend \&amp; backend: ECharts, Go, gRPC, PostgreSQL, Protobuf, Radix, React, Redux, and TypeScript
* Data: Arrow, DataFusion, Flink, Parquet, and Rust
* Infrastructure: Argo CD, AWS, Docker, GitHub Actions, Grafana, Kubernetes, Kustomize, Linux, Prometheus, and Terragrunt
**Location:**
 Sift’s headquarters is in
 **El Segundo, CA** 
 . We collaborate
 **in person** 
 twice a week—on
 **Mondays and Thursdays** 
 —and come together for a full week every two months. While we prefer team members to be local, we’re open to
 **relocating candidates to LA** 
 or considering
 **remote work from the San Francisco** 
 area for the right candidate.
 Salary range: $170,000 \- $220,000 per year. Plus equity and benefits.
**Eligibility**
**U.S. Person Required** 
 : Must be a U.S. citizen, lawful permanent resident, or protected individual such as an asylee or refugee in compliance with ITAR (International Traffic in Arms Regulations) / EAR (Export Administration Regulations) regulations.</t>
        </is>
      </c>
    </row>
    <row r="96">
      <c r="A96" t="inlineStr">
        <is>
          <t>li-4336177154</t>
        </is>
      </c>
      <c r="B96" t="inlineStr">
        <is>
          <t>Senior Software Engineer, Backend Full Stack - HR Product</t>
        </is>
      </c>
      <c r="C96" t="inlineStr">
        <is>
          <t>Rippling</t>
        </is>
      </c>
      <c r="D96" t="inlineStr">
        <is>
          <t>linkedin</t>
        </is>
      </c>
      <c r="E96" t="inlineStr"/>
      <c r="F96" t="inlineStr"/>
      <c r="G96" t="inlineStr">
        <is>
          <t>New York, NY</t>
        </is>
      </c>
      <c r="H96" t="inlineStr"/>
      <c r="I96"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HR Product Team**
 The HR Product Engineering team is the foundational layer of Rippling's unified workforce management system. Our mission is to build seamless, global, and compliant systems that power the entire employee lifecycle, from hire to retire.
 We operate at the critical intersection of HR, compliance, and enterprise software. Our products manage the most sensitive and essential aspects of a company's relationship with its people, requiring us to solve complex problems related to scale, data security, and multi\-product integration.
**What We Build**
 The team is composed of high\-impact squads focused on four core domains:
* HRIS (Human Resources Information System): Building the core employee record, organizational structure, and workflows that serve as the single source of truth for all other Rippling products.
* Time: Developing accurate, scalable, and globally compliant Time \&amp; Attendance systems, including clocking, time\-off accrual, and scheduling, ensuring employees are paid correctly and legally.
* Benefits: Creating and maintaining the marketplace and administration tools for health, retirement, and other employee benefits, handling complex enrollment, eligibility, and provider integrations.
* Talent: Designing products that manage employee growth, performance, and learning, helping companies develop and retain their workforce effectively.
**What You Will Do**
* Develop and improve both product backend capabilities and user\-facing features, working across the stack to make them shine
* Collaborate closely with PMs and designers to translate complex product requirements and visual designs into responsive, high\-quality code.
* Move quickly and confidently, making smart decisions to fill in the gaps where product details aren’t fully defined—always learning from user feedback.
* Play an active role in building a culture of excellence within our product and engineering teams.
**What You Will Need**
* 5\+ years of experience in a production environment using Python, Django, or related technologies.
* Familiarity in frontend development with React or typescript.
* Exposure and hands on experience with systems operating at a significant technical and organizational scale
* Strong product intuition: you care about design and user experience and are quick to identify how these could be improved.
* Experience shipping complex projects
* Deep understanding of CS/algorithms fundamentals
* Strong communication skills with a variety of stakeholders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159,000 \- 278,250 USD per year(US Tier 1\)</t>
        </is>
      </c>
    </row>
    <row r="97">
      <c r="A97" t="inlineStr">
        <is>
          <t>li-4377744776</t>
        </is>
      </c>
      <c r="B97" t="inlineStr">
        <is>
          <t>Senior Java Software Engineer</t>
        </is>
      </c>
      <c r="C97" t="inlineStr">
        <is>
          <t>Blankfactor</t>
        </is>
      </c>
      <c r="D97" t="inlineStr">
        <is>
          <t>linkedin</t>
        </is>
      </c>
      <c r="E97" t="inlineStr"/>
      <c r="F97" t="inlineStr"/>
      <c r="G97" t="inlineStr">
        <is>
          <t>Phoenix, AZ</t>
        </is>
      </c>
      <c r="H97" t="inlineStr"/>
      <c r="I97" t="inlineStr">
        <is>
          <t>This position is a
 **hybrid role** 
 based in
 **Chandler, AZ** 
 , as a full time position supporting the financial services/payments space. Please apply only if you have experience with a valid work authorization. Unfortunately we cannot work via C2C or C2H, this is W2\.
**About Blankfactor** 
 At Blankfactor, we are dedicated to engineering impact. We build high\-quality tech solutions for companies looking to innovate and grow—especially in fast\-moving industries like payments, banking, capital markets, and life sciences.
**About the Role** 
 We are seeking a high\-caliber Java Platform Engineer to build the “Golden Path”, a standardized, secure developer platform that enables the seamless deployment of Finacle\-based Wire Transfer microservices across AWS EKS and On\-Prem Red Hat OpenShift. You will be writing business logic and building the SDKs, scaffolding, and integration frameworks that abstract infrastructure complexities for the entire development organization.
**Core Responsibilities** 
* Strategy for re\-architecting legacy wire systems into Java microservices using Spring Boot scaffolds.
* Java SDK Development Design and maintain the internal Java SDK/Framework used by all Wire Transfer pods. This includes:
* Building custom Spring Boot Starters for Kafka Wrappers, Configurations \&amp; Secret Adapters (AWS Secrets Manager and OpenShift Vault)
* Kafka Wrappers: Abstracting complex retry/idempotency logic and correlation ID propagation for wire tracking.
* Config \&amp; Secret Adapters: Standardizing how Java apps consume secrets across AWS Secrets Manager and OpenShift Vault.
* Observability: Auto\-configuring OpenTelemetry and structured logging for Splunk.
* Build and maintain environment\-agnostic code. Ensure services behave identically on OpenShift on\-prem and EKS in AWS.
* Create and maintain the Java Repo Scaffold. Ensure that when a new microservice is generated, it includes the correct Maven/Gradle structure, Parent POMs, and unit test harnesses by default.
* Build and maintain the "Gold Standard" reference microservice that serves as the blueprint for the entire program.
* Own the "Java\-side" of the security gate. Ensure the code passes SAST/SCA scans by maintaining clean dependencies and addressing vulnerability findings in the base framework.
* Work with DevOps to define the Helm Overlays from a Java perspective. Ensure the application handles "Environment\-Agnostic" properties so it can boot up on OpenShift or EKS without code changes.
**Required Technical Skills:** 
* Expert\-level Java 17\+ and Spring Boot. You should be comfortable writing custom Spring Boot Starters and Auto\-configurations.
* Professional enterprise experience with containerized infrastructure. AWS AKS and Red Hat OpenShift.
* Experience with JVM optimization for container resource limits and handling Kubernetes liveness/readiness probes in Java.
* Proficiency with Apache Kafka for event\-driven wire processing, Redis for stateful caching and Relational Databases (Oracle/Postgres).
* Experience with Saga Patterns (orchestration\-based), idempotency, and the Transactional Outbox pattern.
* Familiarity with OpenTelemetry and log aggregation in Splunk.
* Ability to consume and contribute to Terraform modules and Helm charts with Kustomize overlays.
* Proficiency with Maven/Gradle, Arifactory, Springboot, JUnit/TestContainers, and GitHub Actions.
* Extensive experience with securing Java applications to modern security standards in a regulated environment (mTLS, secret management, etc)
**Preferred Experience** 
* Direct experience with Finacle 11\.x core banking components Finacle Integrator (FI).
* Knowledge of ISO 20022 or SWIFT MT message formats for wire transfers.
* Extensive experience in a regulated, financial environment
* Experience navigating finance sector internal governance processes (AIT, PTO, SbD and CADA).
* Collaborate with architects, engineers, business analysts, and quality assurance teams to ensure the new services meet business requirements and technical standards.
* Write comprehensive unit, integration, and performance tests to guarantee the reliability and scalability of the services.
* Participate actively in agile development processes, including sprint planning, retrospectives, and code reviews.
* Proactively troubleshoot and optimize performance bottlenecks and complex technical issues.
* Mentor junior developers and contribute to technical documentation and training materials.
**Skills and Competencies:** 
* Mastery of Springboot custom Starters, Auto\-configurations, and the Spring lifecycle.
* Experience with Distributed Systems Patterns, such as Saga Patterns (Orchestration\-based), Idempotency, and the Transactional Outbox pattern.
* Mandatory experience with AWS EKS and Red Hat OpenShift. Must understand JVM tuning for cgroups/container limits.
* Deep understanding of modern microservices architectures, RESTful API design, and event\-driven systems (e.g., Kafka, Redis).
* Experience with TestContainers for local integration testing of Kafka/DB flows.
* Strong proficiency in best practices for software development, including test\-driven development (TDD), behavior\-driven development (BDD), continuous integration/delivery (CI/CD), and SOLID principles.
* Experienced with relational and non\-relational databases (Oracle, PostgreSQL, MongoDB).
* Competent in performance optimization and application monitoring tools.
* Comprehensive knowledge of secure coding practices and principles related to authentication, authorization, and data encryption.
* Excellent analytical, problem\-solving, and debugging abilities.
* Exceptional communication skills, able to articulate technical concepts clearly to both technical and non\-technical stakeholders.
* Proven effectiveness in agile and collaborative team environments, adapting well to evolving project priorities.
**Qualifications:** 
* Bachelor’s degree in Computer Science, Engineering, or related technical field, or equivalent practical experience.
* 8\+ years of professional Java software development experience, ideally using Java 11 or newer.
* Proven experience migrating legacy monolithic systems into modern microservices\-based architectures.
* Highly visible Production experience with containerization (Docker) and orchestration technologies (Kubernetes).
* Experience deploying applications both on\-premises (OpenShift) and to AWS Cloud environments
* Familiarity with proprietary language transpilers or code interpreters and the processes for translating such code to Java is advantageous.
* Previous experience in banking or financial services domains is a significant plus.</t>
        </is>
      </c>
    </row>
    <row r="98">
      <c r="A98" t="inlineStr">
        <is>
          <t>li-4205916825</t>
        </is>
      </c>
      <c r="B98" t="inlineStr">
        <is>
          <t>Staff Embedded Software Engineer</t>
        </is>
      </c>
      <c r="C98" t="inlineStr">
        <is>
          <t>Figure</t>
        </is>
      </c>
      <c r="D98" t="inlineStr">
        <is>
          <t>linkedin</t>
        </is>
      </c>
      <c r="E98" t="inlineStr"/>
      <c r="F98" t="inlineStr"/>
      <c r="G98" t="inlineStr">
        <is>
          <t>San Jose, CA</t>
        </is>
      </c>
      <c r="H98" t="inlineStr"/>
      <c r="I98" t="inlineStr">
        <is>
          <t>Figure is an AI Robotics company developing a general purpose humanoid. Our humanoid robot, Figure 02, is designed for commercial tasks and the home. We are based in San Jose, CA and require 5 days/week in\-office collaboration. It’s time to build.
 We are looking for an Embedded Software Engineer to design, implement and test key aspects of our Humanoid software.
**Responsibilities**
* Architect, design, implement and test embedded software in C\+\+ running on the Humanoid compute platform
* Develop Python tools to support data management, test automation or robot calibration
* Continuously improve our development environment
* Contribute to the development of our Continuous Integration and Continuous Deployment (CI/CD) infrastructure
* Support hardware/software integration in the lab
**Requirements**
* 10\+ years of software engineering experience
* Bachelor's or Master's degree in Computer Science or related field
* Mastery of C\+\+, Python and Linux
* Linux Kernel Experience
* Experience implementing real\-time software
* Good knowledge of computer architecture
* Deep understanding of communication buses and protocols like Ethernet, Ethercat, Serial, CAN or USB
* Comfortable using lab instruments (Oscilloscopes, logic analyzers…) and debugging tools (Lauterbach…).
**Bonus Qualifications**
* Experience with the Bazel build system
* Experience with Docker containers
* Experience implementing CI/CD infrastructures
* Familiar with Agile and Test driven development
* Yocto experience
 The US base salary range for this full\-time position is between $225,000 \- $300,000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t>
        </is>
      </c>
    </row>
    <row r="99">
      <c r="A99" t="inlineStr">
        <is>
          <t>li-4376812675</t>
        </is>
      </c>
      <c r="B99" t="inlineStr">
        <is>
          <t>Senior Backend Engineer</t>
        </is>
      </c>
      <c r="C99" t="inlineStr">
        <is>
          <t>MeeruAI</t>
        </is>
      </c>
      <c r="D99" t="inlineStr">
        <is>
          <t>linkedin</t>
        </is>
      </c>
      <c r="E99" t="inlineStr"/>
      <c r="F99" t="inlineStr"/>
      <c r="G99" t="inlineStr">
        <is>
          <t>Pleasanton, CA</t>
        </is>
      </c>
      <c r="H99" t="inlineStr"/>
      <c r="I99" t="inlineStr">
        <is>
          <t>**We are hiring: Senior Backend Engineer** 
**MeeruAI \| Pleasanton, California** 
**Full\-Time \| Hybrid (3 days onsite per week)** 
**About MeeruAI** 
**MeeruAI** 
 is an AI\-first enterprise SaaS company building intelligent platforms that help organizations automate workflows, unify data, and deliver real\-time insights with enterprise\-grade reliability and security.
 MeeruAI combines
 **startup speed with proven enterprise execution** 
 , enabling us to build scalable, production\-ready AI systems for modern businesses.
**About the Role** 
 We are seeking a
 **Senior Backend Engineer** 
 to design, build, and scale enterprise\-grade B2B SaaS platforms. This is a senior individual contributor role for an engineer who owns backend architecture end to end and enjoys working on complex, distributed systems that power high\-scale products.
 You will lead development across APIs, microservices, and data pipelines, partner closely with product, frontend, analytics, and security teams, and apply AI\-assisted engineering workflows to accelerate delivery while maintaining high quality, performance, and reliability.
**What You will Do** 
* Architect, build, and scale backend services and APIs
* Design and operate distributed, cloud\-native systems for enterprise SaaS platforms
* Lead complex refactors, code reviews, and backend architecture decisions
* Build services supporting LLMs, RAG pipelines, vector databases, and AI agent workflows
* Develop data pipelines and backend integrations across SQL and NoSQL systems
* Leverage AI\-assisted tools for development and testing
* Prototype ideas through spike\-first experimentation before full implementation
* Define SLIs/SLOs, improve observability, and ensure system reliability and performance
* Produce high\-quality technical documentation and design specifications
* Collaborate cross\-functionally with Product, Frontend, Analytics, and Security teams
**Required Qualifications** 
* 10\+ years of software engineering experience, primarily focused on backend systems
* Hands\-on Python development building scalable, production\-grade services
* Strong experience with Python frameworks (FastAPI, Flask, Django)
* Deep understanding of distributed systems, APIs, and data modeling
* Experience with SQL and NoSQL databases and data pipelines
* Hands\-on experience with cloud platforms (AWS, GCP, or Azure)
* Familiarity with microservices, containerization, Kubernetes, CI/CD, and observability tools
* Proven ability to deliver complex backend systems in fast\-paced or high\-growth environments
* Experience using AI\-assisted developer tools in daily engineering workflows
**Work Location** 
**Hybrid – Pleasanton, CA** 
 This role requires
 **on\-site presence at least three (3\) days per week** 
 in our Pleasanton office.
**Please apply only if you are currently local to the Pleasanton area.** 
**Relocation assistance is not available for this role.**</t>
        </is>
      </c>
    </row>
    <row r="100">
      <c r="A100" t="inlineStr">
        <is>
          <t>li-4379932078</t>
        </is>
      </c>
      <c r="B100" t="inlineStr">
        <is>
          <t>Software Engineer</t>
        </is>
      </c>
      <c r="C100" t="inlineStr">
        <is>
          <t>ComTec Solutions</t>
        </is>
      </c>
      <c r="D100" t="inlineStr">
        <is>
          <t>linkedin</t>
        </is>
      </c>
      <c r="E100" t="inlineStr"/>
      <c r="F100" t="inlineStr"/>
      <c r="G100" t="inlineStr">
        <is>
          <t>Richardson, TX</t>
        </is>
      </c>
      <c r="H100" t="inlineStr"/>
      <c r="I100" t="inlineStr">
        <is>
          <t>**SOFTWARE ENGINEER** 
**Richardson, TX** 
**Description** 
 Department: Enterprise Systems Group
 Billable Hours Goal: 80% of worked hours
 Position Type: Full Time
 Travel Required: Minimal as needed
**JOB SUMMARY:** 
 Provide development and customization of Epicor ERP Application. Translate software requirements into workable programming code and maintain and develop programs for use in business. Adhere to ComTec's 4 values: Passionate about the customer, Dedicated to the employee, Do the right thing, Fire in the belly.
**REPORTS TO:** 
 Manager, Enterprise Systems Group
**DIRECT REPORTS:** 
 None
**ESSENTIAL FUNCTIONS:** 
* Utilize ERP and SDK tool set in conjunction with programming knowledge to provide customized solutions both within and external to the application
* Develop and test Customizations, BPM’s, Crystal Reports, SSRS Reports and Queries with attention to detail and accuracy
* Document all modifications to client software according to company policy
* Manage assigned ticket and task queue to meet deadlines and other milestones
* Provide classroom training to end users on Microsoft SSRS, Crystal Reports, and other Epicor technical tools
**ADDITIONAL RESPONSIBILITIES:** 
* Troubleshoot, identify and evaluate alternative solutions to a problem
* Maintain daily timesheet and expense report entries and submit them accurately and timely
* Other duties as required
**Compensation details:** 
 90000\-117000 Yearly Salary</t>
        </is>
      </c>
    </row>
    <row r="101">
      <c r="A101" t="inlineStr">
        <is>
          <t>li-4365577375</t>
        </is>
      </c>
      <c r="B101" t="inlineStr">
        <is>
          <t>Staff Software Engineer, Front End, Google Cloud</t>
        </is>
      </c>
      <c r="C101" t="inlineStr">
        <is>
          <t>Google</t>
        </is>
      </c>
      <c r="D101" t="inlineStr">
        <is>
          <t>linkedin</t>
        </is>
      </c>
      <c r="E101" t="inlineStr"/>
      <c r="F101" t="inlineStr"/>
      <c r="G101" t="inlineStr">
        <is>
          <t>Sunnyvale, CA</t>
        </is>
      </c>
      <c r="H101" t="inlineStr"/>
      <c r="I101"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**San Francisco, CA, USA; Sunnyvale, CA, USA; Kirkland, WA, USA; Seattle, WA, USA** 
 .
 **Minimum qualifications:**
* Bachelor's degree or equivalent practical experience.
* 8 years of experience in software development.
* 5 years of experience testing, and launching software products.
* 5 years of experience with front\-end and user interface development.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or cross\-business projects.
* Experience with front\-end development and JavaScript/HTML5/CSS, including AngularJS.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2">
      <c r="A102" t="inlineStr">
        <is>
          <t>li-4378801942</t>
        </is>
      </c>
      <c r="B102" t="inlineStr">
        <is>
          <t>UI Software Engineer III</t>
        </is>
      </c>
      <c r="C102" t="inlineStr">
        <is>
          <t>RemoteHunter</t>
        </is>
      </c>
      <c r="D102" t="inlineStr">
        <is>
          <t>linkedin</t>
        </is>
      </c>
      <c r="E102" t="inlineStr"/>
      <c r="F102" t="inlineStr"/>
      <c r="G102" t="inlineStr"/>
      <c r="H102" t="inlineStr"/>
      <c r="I102" t="inlineStr">
        <is>
          <t>About the Opportunity:
 The organization delivers revenue cycle and related business solutions for healthcare professionals aiming to build healthy, thriving organizations. It provides powerful tools, actionable insights, and expansive network reach that medical businesses need to stay competitive in an industry constantly redefined by change. The UI Software Engineer III will develop, maintain, and migrate Onboarding applications and services, focusing on enhancing core solutions and supporting migration efforts to the cloud. The role involves close collaboration with product owners and technical leads and includes approximately 80% hands\-on development and 20% mentoring junior developers.
 Responsibilities:
 • Develop, maintain, and migrate Onboarding applications and services to the cloud
 • Build upon and enhance core software solutions
 • Collaborate with product owners and engineering leads to execute engineering efforts
 • Mentor and guide junior developers
 • Lead Onboarding engineers in delivering complex software solutions through design, development, deployment, and maintenance
 • Formulate architectural strategies to support clinical document evaluation dashboards and future dashboard needs
 • Coordinate software engineering efforts across Onboarding teams, providing leadership in delivering cross\-team data pipelines
 • Establish expertise in Onboarding processes and system architecture, defining roles for User and Organization systems
 • Determine functional and non\-functional requirements for evolving Onboarding products and services
 • Collaborate with product and user experience professionals to lead design and development efforts
 Requirements:
 • Bachelor’s Degree in Computer Science or Software Engineering
 • Minimum 5 years of full\-time Software Engineering experience
 • Strong full\-stack development skills across back\-end and front\-end systems
 • Experience with React, Typescript, and Material UI
 • Experience working in large, distributed platform enterprise environments
 • Proficiency in Java and REST APIs
 • Experience with Gradle build tool
 • Knowledge of object\-oriented and functional design principles
 • Experience with SQL and relational databases such as Postgres and Oracle
 • Experience with containerized and serverless development in AWS or equivalent cloud providers
 • Experience with git, gitlab, or similar source code management tools
 • Ability to improve processes and practices proactively
 • Strong problem\-solving skills and ability to drive clarity amid ambiguity
 • Experience guiding cross\-functional teams across UX, workflow design, software engineering, data engineering, and business intelligence
 • Strong communication and presentation skills for technical and business audiences
 • Customer\-focused mindset with desire to resolve complex issues and drive projects
 • Significant experience with agile/scrum methodologies and collaboration with scrum masters
 • Experience with production troubleshooting using APM tools such as Splunk, New Relic, or Datadog
 Preferred Qualifications:
 • Experience with healthcare information technology
 • Experience with Microsoft .NET Core
 • Experience with Terraform
 • Experience with Java Spring Boot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3">
      <c r="A103" t="inlineStr">
        <is>
          <t>li-4379720420</t>
        </is>
      </c>
      <c r="B103" t="inlineStr">
        <is>
          <t>Embedded System Software Engineer</t>
        </is>
      </c>
      <c r="C103" t="inlineStr">
        <is>
          <t>Mercor</t>
        </is>
      </c>
      <c r="D103" t="inlineStr">
        <is>
          <t>linkedin</t>
        </is>
      </c>
      <c r="E103" t="inlineStr"/>
      <c r="F103" t="inlineStr"/>
      <c r="G103" t="inlineStr"/>
      <c r="H103" t="inlineStr"/>
      <c r="I103" t="inlineStr">
        <is>
          <t>**About The Job**
**Mercor** 
 connects elite creative and technical talent with leading AI research labs. Headquartered in San Francisco, our investors include
 **Benchmark** 
 ,
 **General Catalyst** 
 ,
 **Peter Thiel** 
 ,
 **Adam D'Angelo** 
 ,
 **Larry Summers** 
 , and
 **Jack Dorsey** 
 .
**Position:** 
 Embedded Software Engineer
**Type:** 
**Contract**
**Compensation:** 
**$95–$130/hour**
**Location:** 
**Onsite in Redmond**
**Role Responsibilities**
* Develop firmware to integrate custom image sensors with a microcontroller unit (MCU).
* Create firmware to interface with hardware acceleration blocks and various sensors like IMU, barometers, and magnetometers.
* Design and develop bootloaders and test applications for peripheral interfacing.
* Test and validate developed firmware with hardware components.
* Document designs and conduct performance analysis for continuous improvement.
**Qualifications**
**Must\-Have**
* 8\+ years experience in firmware or embedded software development in C/C\+\+.
* 2\+ years experience developing drivers for camera sensors on new integrated circuits (ICs).
* 2\+ years experience with multi\-core SoCs or MCUs.
* Experience with Zephyr OS, Embedded Linux, or other RTOS.
* Bachelor’s degree in computer science, software engineering, or a relevant field.
**Preferred**
* Familiarity with MIPI C\-PHY, I3C, SPI, UART, USB.
* Experience with Embedded Linux and kernel drivers.
* Knowledge of file systems and bootloaders on small MCUs and larger SoCs.
* Low power optimization of embedded systems.
* Strong technical writing skills.
**Compensation \&amp; Legal**
* W\-2 employment provided through Cincinnatus.
* Maximum bill rate of $178\.00/hour.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104">
      <c r="A104" t="inlineStr">
        <is>
          <t>li-4314400665</t>
        </is>
      </c>
      <c r="B104" t="inlineStr">
        <is>
          <t>Principal Software Engineer II - Metadata</t>
        </is>
      </c>
      <c r="C104" t="inlineStr">
        <is>
          <t>Snowflake</t>
        </is>
      </c>
      <c r="D104" t="inlineStr">
        <is>
          <t>linkedin</t>
        </is>
      </c>
      <c r="E104" t="inlineStr"/>
      <c r="F104" t="inlineStr"/>
      <c r="G104" t="inlineStr">
        <is>
          <t>Bellevue, WA</t>
        </is>
      </c>
      <c r="H104" t="inlineStr"/>
      <c r="I104"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We are the Snowflake Metadata team. We own Snowflake’s metadata systems that make it easy for customers to query, modify and manage their petabyte\-scale data. We develop distributed systems that store and maintain metadata, transaction frameworks that power Snowflake’s query and DML capabilities, asynchronous systems that provide time travel and lifecycle management capabilities and entity metadata supporting DDL capabilities. We also build foundational capabilities that deliver global features like cross\-region replication (Snowgrid), data sharing, and data marketplace.
 Our mission is to build the next generation Metadata Platform that will significantly unlock new capabilities for Snowflake across Iceberg, unstructured data and extending Snowflake’s enterprise capabilities. Your work will drive industry leading innovation on Iceberg, Analytics, Data Engineering and AI.
**AS A PRINCIPAL SOFTWARE ENGINEER AT SNOWFLAKE YOU WILL:**
* Solve real business needs at large scale by applying your software engineering and analytical problem solving skills.
* Design, develop and support fault\-tolerant scalable distributed systems for Metadata.
* Create and own architecture and design, influence our product roadmap, and identify new projects that will ensure Snowflake creates the best technology for our customers.
* Analyze fault\-tolerance and high availability issues, performance and scale challenges, and solve them.
* Mentor and grow junior engineers.
* Understand trade\-offs between consistency, performance and costs to build solutions which can meet the demands of rapidly growing services.
* Ensure operational readiness of the services and meet the commitments to our customers regarding durability, availability and performance.
**OUR IDEAL PRINCIPAL SOFTWARE ENGINEER WILL HAVE:**
* 15\+ years of industry experience designing, building and supporting large scale distributed services.
* Deep and broad expertise in a variety of database systems internals including metadata management, clustering, compaction, catalogs, storage and replication.
* Strong computer science fundamentals including data structures, algorithms, and distributed systems.
* Excellent understanding of systems infrastructure product development and concepts including multi\-threading, memory management, networking and storage, performance, reliability and scalability.
* Fluency in Java or other similar procedural object\-oriented language is preferred.
* Track record of identifying and implementing creative solutions to complex problems at the cloud scale.
* Ability to work effectively across engineering teams in multiple locations
* BS in Computer Science; Advanced degree preferred.
**WHY JOIN THE ENGINEERING TEAM AT SNOWFLAKE?**
* Build an industry\-leading Cloud Data and AI Platform.
* Solve challenging technical problems related to security, parallel and distributed systems, programming, resource management, large\-scale system maintenance, and more!
* Work closely with our customers \&amp; partners, understand their use cases \&amp; needs, think strategically to seek the right problem to solve at the right time, and innovate with rigor.
* Join a world\-class team of both industry veterans and rising stars.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$304,000 \- $437,000\.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105">
      <c r="A105" t="inlineStr">
        <is>
          <t>li-4378805971</t>
        </is>
      </c>
      <c r="B105" t="inlineStr">
        <is>
          <t>Software Engineer</t>
        </is>
      </c>
      <c r="C105" t="inlineStr">
        <is>
          <t>Haystack</t>
        </is>
      </c>
      <c r="D105" t="inlineStr">
        <is>
          <t>linkedin</t>
        </is>
      </c>
      <c r="E105" t="inlineStr"/>
      <c r="F105" t="inlineStr"/>
      <c r="G105" t="inlineStr">
        <is>
          <t>Washington, DC</t>
        </is>
      </c>
      <c r="H105" t="inlineStr"/>
      <c r="I105" t="inlineStr">
        <is>
          <t>Full Stack Software Engineer (TS/SCI) \| Springfield, Virginia, United States \| On\-site \| $160,000\-$185,000 USD yearly
 We're at the forefront of spatial intelligence, empowering decision\-makers and operators to understand the present and shape the future. Join a team of problem solvers and changemakers dedicated to delivering impactful, mission\-focused solutions for national security.
 The Role
 • Design and implement scalable, efficient software solutions for critical applications.
 • Participate in the full development lifecycle from planning to deployment and maintenance.
 • Apply software standards to produce high\-quality, maintainable software.
 • Perform data extraction, manipulation, transformation, and visualization of geospatial\-temporal data sets using cloud technologies.
 • Develop analytics and derivative data products to extract meaningful knowledge.
 • Collaborate directly with users in the IC/DoD to understand requirements and propose technical solutions.
 What You'll Need
 • US citizenship and a current TS/SCI clearance (with willingness to obtain a CI Polygraph).
 • Bachelor’s degree in Computer Science or a related technical field.
 • 5\+ years of experience developing custom software solutions.
 • Proficiency in Java, Python, or C\+\+ for data extraction, manipulation, visualization, and analysis.
 • Strong Linux skills and familiarity with cloud architectures (AWS, C2S).
 • Experience with NoSQL data stores like Elastic and MongoDB, and development tools such as Git, Eclipse, and Maven.
 What's On Offer
 • Opportunity to work on critical national security missions.
 • Collaborative and innovative environment.
 • Competitive total rewards package, including a robust 401(k) and mental health resources.
 • Additional perks like student loan repayment assistance and pet insurance.
 Apply via Haystack today!</t>
        </is>
      </c>
    </row>
    <row r="106">
      <c r="A106" t="inlineStr">
        <is>
          <t>li-4369540662</t>
        </is>
      </c>
      <c r="B106" t="inlineStr">
        <is>
          <t>Software Engineer: AI-Driven Integrations for HR Solutions</t>
        </is>
      </c>
      <c r="C106" t="inlineStr">
        <is>
          <t>hackajob</t>
        </is>
      </c>
      <c r="D106" t="inlineStr">
        <is>
          <t>linkedin</t>
        </is>
      </c>
      <c r="E106" t="inlineStr"/>
      <c r="F106" t="inlineStr"/>
      <c r="G106" t="inlineStr">
        <is>
          <t>Philadelphia, PA</t>
        </is>
      </c>
      <c r="H106" t="inlineStr"/>
      <c r="I106" t="inlineStr">
        <is>
          <t>***hackajob** 
 is collaborating with
 **Comcast** 
 to connect them with exceptional tech professionals for this role.*
 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The Engineer 3 will play a critical role in accelerating business value delivery for the Human Resources (HR) department through advanced integration engineering and AI\-driven software development. This position focuses on leveraging AI\-powered development tools such as GitHub Copilot and Microsoft Copilot Studio, combined with Java Spring Boot integration frameworks and data hygiene best practices, to design and deliver solutions that are rapid to market and high ROI. The ideal candidate will collaborate closely with HR professionals to identify pain points, define requirements, and design innovative solutions that streamline HR processes, enhance employee experiences, and support strategic workforce initiatives.
**Job Description**
* This position is unable to provide work authorization sponsorship or immigration support now or in the future.\*
 Comcast’s Technology, Product \&amp; Experience (TPX) organization works at the intersection of media and technology. Our innovative teams are continually developing and delivering products that transform the customer experience.
**About The Role**
 This engineer will play a critical role in accelerating business value delivery for the Human Resources (HR) department through advanced integration engineering and AI\-driven software development. This position focuses on leveraging AI\-powered development tools such as GitHub Copilot and Microsoft Copilot Studio, combined with Java Spring Boot integration frameworks and data hygiene best practices, to design and deliver solutions that are rapid to market and high ROI. The ideal candidate will collaborate closely with HR professionals to identify pain points, define requirements, and design innovative solutions that streamline HR processes, enhance employee experience, and support strategic workforce initiatives.
**Key Responsibilities**
 AI\-Driven Development \&amp; Low\-Code Solutions
* Utilize GitHub Copilot and Microsoft Copilot Studio to accelerate coding, automate workflows, and reduce development cycles.
* Develop low\-code applications and integrations that enable HR teams to quickly adopt new capabilities without heavy technical overhead.
* Implement AI\-assisted coding practices to improve productivity and maintain high\-quality standards.
 Integration Engineering
* Design and implement robust integrations using Java Spring Boot, RESTful APIs, and secure data exchange protocols.
* Build scalable, reusable integration components for HR systems (e.g., payroll, benefits, talent management platforms).
* Ensure integrations comply with enterprise security, compliance, and data governance standards.
 Data Management \&amp; Hygiene
* Apply data hygiene principles to maintain clean, accurate, and consistent HR data across systems.
* Collaborate with data teams to enforce governance policies and optimize data pipelines for AI\-driven insights.
 Collaboration \&amp; Business Alignment
* Partner with HR stakeholders to identify high\-impact opportunities for automation and AI enablement.
* Translate HR business requirements into technical solutions that deliver measurable ROI and improve employee experience.
* Participate in design workshops, sprint planning, and agile ceremonies to ensure rapid delivery and alignment with HR priorities.
 Innovation \&amp; Continuous Improvement
* Stay current with emerging AI development tools and integration technologies.
* Advocate for best practices in AI\-assisted development, low\-code platforms, and DevSecOps principles.
* Mentor junior engineers and contribute to a culture of innovation and collaboration.
* Other duties as assigned.
**Skills \&amp; Experience We’re Seeking**
* Proactive self\-starter with strong communication skills and solid business acumen
* Innovative, adaptable engineer with the ability to pivot quickly
* 5–7 years of experience developing RESTful APIs
* Proficient in Java and Spring Boot
* Comfortable working with AI frameworks such as Copilot Studio and Azure Bot Framework, with enthusiasm for continued learning
* Demonstrated ability to deliver business value quickly
**Additional “Nice To Have” Skills \&amp; Experience**
* Knowledge of ChatGPT, Google Agent Space, Amazon Bedrock Agents, and similar AI technologies
* Experience supporting HR backend systems and familiarity with core HR processes
* Exposure to platforms such as Workday, SAP, or PeopleSoft
* Experience with Power Automate is a plus
**About Our Perks \&amp; Benefits**
 We are determined to create an environment where our employees feel valued, understand our business goals, and are motivated.
**Here's a look at just some of the perks and benefits we make available to our US\-based employees:**
* Medical \&amp; Dental
* 401(k) Savings Plan
* Generous paid time off
* Life Milestones \- from adoption assistance, childcare resources, pet insurance, and more, Comcast supports you at all life stages.
* Courtesy Services \- We offer all of our full\-time employees in serviceable areas free digital TV and internet.
* Discount tickets for Universal Resorts, including theme park tickets and onsite hotel rooms.
**Learn more at** 
 jobs.comcast.com/benefits
**Reasonable Accommodation**
 We will ensure that individuals with disabilities are provided reasonable accommodation to participate in the job application or interview process, perform essential job functions, and receive other benefits and privileges of employment. Please contact us to request an accommodation.
**Disclaimer**
* This information has been designed to indicate the general nature and level of work performed by employees in this role. It is not designed to contain or be interpreted as a comprehensive inventory of all duties, responsibilities and qualifications.
 Job Profile: Engineer 3, Software Development \&amp; Engineering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RESTful APIs; Java; AI Frameworks; Communication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107">
      <c r="A107" t="inlineStr">
        <is>
          <t>li-4379203199</t>
        </is>
      </c>
      <c r="B107" t="inlineStr">
        <is>
          <t>Full Stack Software Engineer</t>
        </is>
      </c>
      <c r="C107" t="inlineStr">
        <is>
          <t>Motion Recruitment</t>
        </is>
      </c>
      <c r="D107" t="inlineStr">
        <is>
          <t>linkedin</t>
        </is>
      </c>
      <c r="E107" t="inlineStr"/>
      <c r="F107" t="inlineStr"/>
      <c r="G107" t="inlineStr">
        <is>
          <t>Arlington, VA</t>
        </is>
      </c>
      <c r="H107" t="inlineStr"/>
      <c r="I107" t="inlineStr">
        <is>
          <t>An energy commodity trading firm based in Arlington, VA is looking to add a Full Stack Software Engineer to a small, highly collaborative team.
 This role sits close to the business. You’ll be building internal tools that help traders analyze prices, move quickly, reduce risk, and automate decision\-making across energy markets. The work is hands\-on, analytical, and impactful. This role is ideal for someone who enjoys owning problems end to end and seeing their work directly influence outcomes.
 The tech stack includes Python, Java, SQL, and React. You don’t need to come from finance or energy to do well here; curiosity, problem\-solving, and comfort working with data matter far more.
**Minimum Qualifications**
* 5\+ years of software engineering experience.
* You must be located in the DC area and able to come onsite (hybrid).
* 3\+ years of experience using TypeScript, React, Java, and Python.
* Analytical mindset; experience working with data is a plus.
* Proactive, outgoing personality who enjoys working on a small team.
* Math, statistics, or other quantitative background is a plus.
**Posted By:** 
 Sarah Unowsky</t>
        </is>
      </c>
    </row>
    <row r="108">
      <c r="A108" t="inlineStr">
        <is>
          <t>li-4369211192</t>
        </is>
      </c>
      <c r="B108" t="inlineStr">
        <is>
          <t>Senior Software Engineer, Studio team</t>
        </is>
      </c>
      <c r="C108" t="inlineStr">
        <is>
          <t>Sedaro</t>
        </is>
      </c>
      <c r="D108" t="inlineStr">
        <is>
          <t>linkedin</t>
        </is>
      </c>
      <c r="E108" t="inlineStr"/>
      <c r="F108" t="inlineStr"/>
      <c r="G108" t="inlineStr">
        <is>
          <t>Arlington, VA</t>
        </is>
      </c>
      <c r="H108" t="inlineStr"/>
      <c r="I108" t="inlineStr">
        <is>
          <t>**Overview** 
 Sedaro is hiring a Senior Software Engineer to optimize the performance of our data visualization platform for aerospace simulation. You'll profile and eliminate bottlenecks, optimize how we move massive datasets from backend to browser, and build new visualizations. Our customers use our platform to explore and draw conclusions from simulated what\-if scenarios. Your work will enable them to visualize and drill into trends across thousands of related scenarios.
* **Team:** 
 Studio, reporting to the Director of Engineering
* **Location:** 
 80% in\-person in Arlington, VA
* U.S. Citizen or permanent resident status required
**Who We Are** 
 Our mission is simulation at scale. Sedaro runs high\-fidelity physics simulations of satellite constellations and connected fleets. Our platform makes massive datasets explorable through 3D playback and multi\-dimensional analytics. We're built on React, TypeScript, Cesium, Python, and Kubernetes. Join us as an early employee building the interface layer for AI\-augmented engineering and operations.
**Who You Are** 
* You enjoy building sophisticated tools that empower users
* You know the right time for both elegant abstractions and gnarly workarounds
* You track your targets, rally your teammates, and pitch in to win as a team
* You sweat the details and care about craft
**What You’ll Do** 
* Architect Lean solutions with impactful incremental releases
* Build extensible, high\-performance productivity tools
* Profile and eliminate bottlenecks across our Cesium\-based visualization pipeline and data processing backend
* Establish performance budgets, observability, and testing across the platform
* Foster a culture of learning, empowerment, and achievement
**Benefits** 
* Equity
* Unlimited PTO
* 401(k) with 4% match
* 100% premium payment for medical insurance
* Parental Leave
* Flexible work schedule with core hours
* Company provided lunches 3 days a week
* Industry\-leading career development opportunities
**Requirements** 
* Bachelor’s degree in computer science or equivalent experience
* 6\+ years of professional experience in software engineering
* Experience with React and TypeScript
* Track record of delivering performance\-optimized web applications with a full stack perspective
* Experience handling large datasets
* Experience with data visualization</t>
        </is>
      </c>
    </row>
    <row r="109">
      <c r="A109" t="inlineStr">
        <is>
          <t>li-4348528643</t>
        </is>
      </c>
      <c r="B109" t="inlineStr">
        <is>
          <t>Software Developer 5</t>
        </is>
      </c>
      <c r="C109" t="inlineStr">
        <is>
          <t>Oracle</t>
        </is>
      </c>
      <c r="D109" t="inlineStr">
        <is>
          <t>linkedin</t>
        </is>
      </c>
      <c r="E109" t="inlineStr"/>
      <c r="F109" t="inlineStr"/>
      <c r="G109" t="inlineStr">
        <is>
          <t>Nashville, TN</t>
        </is>
      </c>
      <c r="H109" t="inlineStr"/>
      <c r="I109" t="inlineStr">
        <is>
          <t>**Job Description**
 In this role you will have opportunity to touch almost all areas of Linux kernel (not just virtualization) and VMMs (primarily QEMU), interact closely with our hardware and software partners, be on the bleeding edge of modern server technology and, most importantly, work with smartest people in the business, both at Oracle and in the industry as a whole.
 Almost everything you do will end up upstream. This team has been main contributing organization for Linux kernel and QEMU at Oracle over the past 10 years, upstream work is a major part of what we do.
**Responsibilities**
 As a member of the software engineering division, you will take an active role in the definition and evolution of standard practices and procedures. Define specifications for significant new projects and specify, design and develop software according to those specifications. You will perform professional software development tasks associated with the developing, designing and debugging of software applications or operating systems.
 Qualifications:
* Experience in kernel development
* Good grasp of virtualization technologies (KVM/QEMU in particular)
* Understanding of hardware architecture (x86/ARM, PCI)
* Upstream contributions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0">
      <c r="A110" t="inlineStr">
        <is>
          <t>li-4287418360</t>
        </is>
      </c>
      <c r="B110" t="inlineStr">
        <is>
          <t>Software Engineer Graduate (Applied Machine Learning - Engine - Inference) - 2026 Start (MS)</t>
        </is>
      </c>
      <c r="C110" t="inlineStr">
        <is>
          <t>ByteDance</t>
        </is>
      </c>
      <c r="D110" t="inlineStr">
        <is>
          <t>linkedin</t>
        </is>
      </c>
      <c r="E110" t="inlineStr"/>
      <c r="F110" t="inlineStr"/>
      <c r="G110" t="inlineStr">
        <is>
          <t>San Jose, CA</t>
        </is>
      </c>
      <c r="H110" t="inlineStr"/>
      <c r="I110" t="inlineStr">
        <is>
          <t>**Responsibilities**
 About the team:
 The mission of our AML team is to push the next\-generation AI infrastructure and recommendation platform for the ads ranking, search ranking, live \&amp; ecom ranking in our company. We also drive substantial impact on core businesses of the company. We are looking for Software Engineer New Grads to join our team to support and advance that mission.
 We are looking for talented individuals to join our team in 2026\. As a graduate, you will get opportunities to pursue bold ideas, tackle complex challenges, and unlock limitless growth. Launch your career where inspiration is infinite at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 Responsible for the design and implementation of a global\-scale machine learning system for feeds, ads and search ranking models.
* Responsible for building monitoring/managing tools to oversee the reliability and scalability of online inference servers
* Responsible for building tools to analyze bottlenecks and sources of instability and then design and implement solutions
**Qualifications**
 Minimum Qualifications:
* Currently pursuing a MS in Software Development, Computer Science, Computer Engineering, or a related technical discipline.
* Experience in developing and deploying large\-scale distributed systems.
* Experience in ML/Deep learning Frameworks.
* Proficient in C/C\+\+/Python/Golang, and have solid programming skills (e.g. algorithms and data structures).
**Preferred Qualifications:**
* Strong background in one of the following fields: Hardware\-Software Co\-Design, High Performance Computing, ML Hardware Acceleration (e.g., GPU/RDMA) or ML for Systems.
* Experience contributing to an open\-sourced machine learning framework (tensorflow / jax / pytorch / torchscript /mxnet/ tensorrt).
 By submitting an application for this role, you accept and agree to our global applicant privacy policy, which may be accessed here: https://jobs.bytedance.com/en/legal/privacy
 Job Information
**【For Pay Transparency】Compensation Description (Annually)**
 The base salary range for this position in the selected city is $122574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11">
      <c r="A111" t="inlineStr">
        <is>
          <t>li-4377738467</t>
        </is>
      </c>
      <c r="B111" t="inlineStr">
        <is>
          <t>Junior Software Engineer</t>
        </is>
      </c>
      <c r="C111" t="inlineStr">
        <is>
          <t>Jobs via Dice</t>
        </is>
      </c>
      <c r="D111" t="inlineStr">
        <is>
          <t>linkedin</t>
        </is>
      </c>
      <c r="E111" t="inlineStr"/>
      <c r="F111" t="inlineStr"/>
      <c r="G111" t="inlineStr"/>
      <c r="H111" t="inlineStr"/>
      <c r="I111" t="inlineStr">
        <is>
          <t>Dice is the leading career destination for tech experts at every stage of their careers. Our client, CloudBerry, is seeking the following. Apply via Dice today!
 Junior Software Engineer / Entry\-Level Developer
 Location: Remote – USA / Canada (Open to Relocation)
 Job Type: Full\-Time / Contract
 Experience: 0–2 Years
**Job Summary**
 We are hiring Junior Software Engineers with foundational programming knowledge and a strong interest in full\-stack or backend development. This is an excellent opportunity for entry level candidates, bootcamp graduates, and career transition candidates seeking hands\-on experience in modern software development.
 Candidates with academic projects, internship experience, or personal GitHub portfolios are encouraged to apply.
 Key Responsibilities
* Develop, test, and maintain web and backend applications
* Write clean, scalable, and maintainable code
* Work with REST APIs and database integrations
* Debug and resolve software defects
* Participate in Agile/Scrum development cycles
* Collaborate with cross\-functional teams (QA, DevOps, Product)
* Contribute to application enhancements and performance improvements
**Required Technical Skills**
* Programming knowledge in one or more: Java, JavaScript, Python, C\#, or C\+\+
* Understanding of Object\-Oriented Programming (OOP)
* Knowledge of Data Structures and Algorithms
* Basic SQL and database concepts (MySQL, PostgreSQL, SQL Server)
* Familiarity with RESTful APIs
* Git version control basics
**Preferred Skills**
* Frontend: React, Angular, Vue.js, HTML5, CSS3
* Backend: Spring Boot, Node.js, .NET Core, Django
* Cloud exposure: AWS, Azure, or Google Cloud Platform
* CI/CD knowledge (Jenkins, GitHub Actions)
* Docker or container basics
* Understanding of SDLC
 Education
 Bachelor’s degree in Computer Science, Engineering, IT, or related field (or equivalent practical training).
 Why Apply
* Work with modern tech stacks
* Mentorship and structured career growth
* Opportunity to grow into Mid\-Level Software Engineer
* Competitive compensation
* Supportive and collaborative engineering environment
 Application Requirements
 Please submit your updated resume. GitHub or portfolio link is highly preferred</t>
        </is>
      </c>
    </row>
    <row r="112">
      <c r="A112" t="inlineStr">
        <is>
          <t>li-4365579354</t>
        </is>
      </c>
      <c r="B112" t="inlineStr">
        <is>
          <t>Software Engineer, Cloud Dataproc, Open Source</t>
        </is>
      </c>
      <c r="C112" t="inlineStr">
        <is>
          <t>Google</t>
        </is>
      </c>
      <c r="D112" t="inlineStr">
        <is>
          <t>linkedin</t>
        </is>
      </c>
      <c r="E112" t="inlineStr"/>
      <c r="F112" t="inlineStr"/>
      <c r="G112" t="inlineStr">
        <is>
          <t>Sunnyvale, CA</t>
        </is>
      </c>
      <c r="H112" t="inlineStr"/>
      <c r="I112"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
 **Minimum qualifications:**
* Bachelor’s degree or equivalent practical experience.
* 2 years of experience with performance optimization, systems data analysis, visualization tools, or debugging.
* Experience developing with Spark, Hive, or with similar processing frameworks.
* Experience with Open\-Source.
**Preferred qualifications:**
* Master's degree or PhD in Computer Science or a related technical field.
* Experience developing frameworks such as Apache Spark, Trino, or Flink.
* Knowledge of open\-source big\-data performance optimization problems.
* Ability to work across boundaries in a distributed team.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Cloud Dataproc enables open source data analytics users (Apache Hadoop, Spark, Flink, Trino, etc.) to modernize their Open\-Source BigData Analytics workloads in the cloud. Dedicated to meeting customers where they are, Dataproc enables users to quickly provision and manage clusters and workloads.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Build high\-impact customer\-facing features which make Cloud Dataproc the best place to run Hadoop and Spark in the cloud.
* Drive technical design and execution for differentiated Performance and LakeHouse features and enhancements in an ambiguous problem space.
* Review code developed by other developers and provide feedback to ensure best practices (e.g., style guidelines, checking code in, accuracy, testability, and efficiency).
* Enhance Apache Spark for performance, reliability, security, and monitoring, and simultaneously enhance Lake House technologies like Iceberg, Hudi, or Delta Lake for performance, security, and monitoring.
* Contribute to and adapt existing documentation or educational content based on product and program updates, as well as user feedback, while also extending open\-source technologies like Apache Spark, Hive, and Trino to improve their debuggability, observability, and supportability.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3">
      <c r="A113" t="inlineStr">
        <is>
          <t>li-4378846079</t>
        </is>
      </c>
      <c r="B113" t="inlineStr">
        <is>
          <t>UI Full Stack Software Developer</t>
        </is>
      </c>
      <c r="C113" t="inlineStr">
        <is>
          <t>Booz Allen Hamilton</t>
        </is>
      </c>
      <c r="D113" t="inlineStr">
        <is>
          <t>linkedin</t>
        </is>
      </c>
      <c r="E113" t="inlineStr"/>
      <c r="F113" t="inlineStr"/>
      <c r="G113" t="inlineStr">
        <is>
          <t>Fort Meade, MD</t>
        </is>
      </c>
      <c r="H113" t="inlineStr"/>
      <c r="I113" t="inlineStr">
        <is>
          <t>**Job Number: R0230446**
 UI Full Stack Software Developer
**The Opportunity:**
 As a full stack developer, you can resolve a problem with a complete end\-to\-end solution in a fast, agile environment. If you’re looking for the chance to not just develop software, but to help create a system that will make a difference, we need you on our team. We’re looking for a developer like you with the skills needed to develop software and systems from vision to production\-ready.
 This role is more than just coding. As a full stack developer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as well as future functionality and enhancements.
 Work with us as we shape systems for the better.
 Join us. The world can’t wait.
**You Have:**
* Experience with version control systems, including Git
* Knowledge of modern JavaScript frameworks, including React, Vue.js, or Angular
* Knowledge of server\-side programming concepts
* Knowledge of UI and UX design and creating user\-friendly interfaces
* Ability to problem solve and learn new technologies quickly, including AI and its applications in software development
* Ability to communicate and work effectively in a team environment
* TS/SCI clearance with a polygraph
* Bachelor's degree in Computer Science or Software Engineering and 3\+ years of experience in Software Engineering, or 7\+ years of experience in Software Engineering in lieu of a degree
**Nice If You Have:**
* Experience in web development
* Experience with any server\-side programming language, including Python, Node.js, or Java
* Experience with data visualization
* Experience with UI development
* Experience with Agile development methodologies
* Knowledge of database systems and basic SQL
* Knowledge of AI and machine learning concepts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4">
      <c r="A114" t="inlineStr">
        <is>
          <t>li-4377729101</t>
        </is>
      </c>
      <c r="B114" t="inlineStr">
        <is>
          <t>Senior Software Engineer, Android, Full Stack, Google Photos</t>
        </is>
      </c>
      <c r="C114" t="inlineStr">
        <is>
          <t>Google</t>
        </is>
      </c>
      <c r="D114" t="inlineStr">
        <is>
          <t>linkedin</t>
        </is>
      </c>
      <c r="E114" t="inlineStr"/>
      <c r="F114" t="inlineStr"/>
      <c r="G114" t="inlineStr">
        <is>
          <t>Mountain View, CA</t>
        </is>
      </c>
      <c r="H114" t="inlineStr"/>
      <c r="I114" t="inlineStr">
        <is>
          <t>**Minimum qualifications:**
* Bachelor’s degree or equivalent practical experience.
* 5 years of experience with software development in the Java or Kotlin programming language.
* 3 years of experience testing, maintaining, or launching software products, and 1 year of experience with software design and architecture.
* 3 years of experience with android application development.
**Preferred qualifications:**
* Master's degree or PhD in Computer Science or a related technical field.
* 5 years of experience with data structures and algorithms.
* 3 years of experience with performance, large\-scale systems data analysis, visualization tools, or debugging.
* 1 year of experience in a technical leadership role.
* Experience building user interfaces in android applications (e.g., Jetpack Compose UI).
* Experience in full\-stack or iOS development.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Photos team is looking for a Software Engineer who is passionate about the Photos product, interested in Android and full\-stack development, and enjoys working cross\-functionally to bring our Large Language Model (LLM) powered features to the next level.
 Google Photos is a photo sharing and storage service developed by Google. Photos is one of the most sought after products at Google and is looking for both client\-side (web and mobile), with server\-side (search, storage, serving) and machine intelligence (learning, computer vision) Software Engineers. We are dedicated to making Google experiences centered around the user.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Translate ideas into functional demos, enabling swift iteration and collaboration with cross\-functional teams.
* Partner closely with product, analytics, and privacy teams to refine requirements, define success metrics, and ensure responsible and impactful feature launches.
* Onboard and scale Large Language Models (LLMs) to our production infrastructure, ensuring seamless integration with user\-facing features.
* Build adaptable and resilient code that can evolve alongside rapid advancements in LLM technology. Maintain the highest standards to guarantee a flawless experience for billions of users.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5">
      <c r="A115" t="inlineStr">
        <is>
          <t>li-4340446403</t>
        </is>
      </c>
      <c r="B115" t="inlineStr">
        <is>
          <t>Sr. Software Engineer, SocialTV</t>
        </is>
      </c>
      <c r="C115" t="inlineStr">
        <is>
          <t>Oracle</t>
        </is>
      </c>
      <c r="D115" t="inlineStr">
        <is>
          <t>linkedin</t>
        </is>
      </c>
      <c r="E115" t="inlineStr"/>
      <c r="F115" t="inlineStr"/>
      <c r="G115" t="inlineStr">
        <is>
          <t>Austin, TX</t>
        </is>
      </c>
      <c r="H115" t="inlineStr"/>
      <c r="I115" t="inlineStr">
        <is>
          <t>**Job Description**
* This role can sit out of the following OCI offices: Austin, Texas, Broomfield, Colorado or Nashville, TN.
 As a Senior Software Engineer inside the Oracle Cloud Infrastructure Media Services team, you will have the opportunity to solve challenging technical problems and contribute to the development, delivery and operation of cloud services driving novel consumer video applications.
 This is a rare opportunity to join a high\-performing team building new products that are redefining streaming, transforming how content creators engage audiences and unlock new revenue streams through cloud\-native innovation. You will help create scalable, real\-time systems enabling intelligent content delivery, dynamic interactivity, and monetization—all built on globally distributed infrastructure. The environment is dynamic, fast\-paced, and highly collaborative.
 You will work with a talented group of software developers, designing scalable, highly available cloud services in a world class development environment. We are seeking a highly motivated individual with clear experience in the development, delivery and operation of enterprise\-class cloud services. Prior experience and domain knowledge in media services (specifically video) is a big plus.
 The Senior Software Engineer is an individual contributor role that requires a proven track record of success and technical depth as a software developer. We seek individuals with evolved soft skills in addition to strong technical acumen.
**Responsibilities**
**RESPONSIBILITIES**
* Design, implement, validate, and document components of a distributed, service\-oriented architecture. Ensure proper focus on availability, scalability, observability, and testability.
* Ensure automated and reliable deployment of services end\-to\-end including foundational infrastructure and required dependencies.
* Stay abreast of emerging technologies, industry best practices, ensuring compliance and driving innovation within the organization.
* Launch new cloud services and establish operational excellence.
* Collaborate with architects and technical leads to refine, realize, and achieve the technical vision of the team.
* Work effectively across geographically distributed engineering teams.
* Ensure compliance with software development standards, processes and best practices.
**Qualifications**
* BS/CS Computer Science or related field and 3\+ years software development experience using modern programming languages. Prior experience with Java and/or Go is a big plus.
* Proven experience in large\-scale software development, specifically for cloud services and distributed systems. Any relevant background in video streaming, real\-time communications, or social networking systems is a big plus.
* Experience in development, deployment, and operations of highly scalable cloud microservices using Kubernetes.
* A fundamental understanding of cloud infrastructure (compute, identity, network, storage) and deployment automation tools (e.g. Terraform, Chef, Puppet, or similar).
* Familiarity building, running, and maintaining highly available services in a DevOps environment with established processes for maintaining quality, including failure root cause analysis.
* Experience collaborating with geographically distributed teams.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6">
      <c r="A116" t="inlineStr">
        <is>
          <t>li-4289090841</t>
        </is>
      </c>
      <c r="B116" t="inlineStr">
        <is>
          <t>Senior Software Engineer, SDN Networking</t>
        </is>
      </c>
      <c r="C116" t="inlineStr">
        <is>
          <t>Crusoe</t>
        </is>
      </c>
      <c r="D116" t="inlineStr">
        <is>
          <t>linkedin</t>
        </is>
      </c>
      <c r="E116" t="inlineStr"/>
      <c r="F116" t="inlineStr"/>
      <c r="G116" t="inlineStr">
        <is>
          <t>San Francisco, CA</t>
        </is>
      </c>
      <c r="H116" t="inlineStr"/>
      <c r="I116" t="inlineStr">
        <is>
          <t>Crusoe's mission is to accelerate the abundance of energy and intelligence. We’re crafting the engine that powers a world where people can create ambitiously with AI — without sacrificing scale, speed, or sustainability.
 Be a part of the AI revolution with sustainable technology at Crusoe. Here, you'll drive meaningful innovation, make a tangible impact, and join a team that’s setting the pace for responsible, transformative cloud infrastructure.
**About the Role:**
 As a Senior Software Engineer \- Software Defined Networking, you will lead the development and execution of our Software Defined Networking strategy. You will work extensively with the Linux Kernel, utilizing technologies such as XDP/EBPF, DPDK, SmartNIC, and DPU/IPU to drive innovation and performance improvements.
**What You'll Be Working On:**
* Develop and execute the roadmap for the Software Defined Networking strategy at Crusoe Cloud.
* Be highly hands\-on, guiding the engineering team through architecture decisions, design processes, design reviews, code reviews, and implementation tasks.
* Collaborate with the network infrastructure organization to develop industry\-leading networking infrastructure.
* Lead Linux Kernel and driver development, system architecture design, production support, and cross\-functional collaboration.
**What You’ll Bring to the Team:**
* 4\+ years of related experience building and operating at scale in a production environment.
* Proven experience in system programming with C, C\+\+ and/or Rust.
* Extensive knowledge of Linux Systems Internals and computer architecture.
* Expertise in Network Programming and Packet Processing pipelines.
* Hands\-on experience with kernel bypass technologies such as XDP/EBPF, AF\_XDP, and DPDK.
* In\-depth understanding of TCP/IP and network accelerators like Mellanox/Nvidia SmartNIC (ConnectX6/7\), DPU Bluefield3, and Intel IPU.
* Familiarity with SR\-IOV, vDPA, and scalable functions.
* Strong background in kernel or embedded development, particularly with the Linux kernel.
* Experience with Open vSwitch, Openflow, and Open Virtual Networking.
* Knowledge of professional software engineering practices and best practices for the full software development life cycle, including coding standards, code reviews, source control management, build processes, testing, and operations.
* Demonstrated track record of contributions to the open source community (e.g., Open vSwitch/OVS, Open Virtual Networking/OVN, Multus, Cilium).
**Bonus Points:**
* Advanced degree in Computer Science, Engineering, or a related field.
* Proven leadership experience in a technical role.
* Strong analytical and problem\-solving skills.
* Excellent communication and collaboration skills.
* Experience with cloud networking platforms (AWS, Azure, GCP) and virtualization technologies (VMware, KVM).
**Benefits:**
* Industry competitive pay
* Restricted Stock Units in a fast growing, well\-funded technology company
* Health insurance package options that include HDHP and PPO, vision, and dental for you and your dependents
* Employer contributions to HSA accounts
* Paid Parental Leave
* Paid life insurance, short\-term and long\-term disability
* Teladoc
* 401(k) with a 100% match up to 4% of salary
* Generous paid time off and holiday schedule
* Cell phone reimbursement
* Tuition reimbursement
* Subscription to the Calm app
* MetLife Legal
* Company paid commuter benefit; $300 per month
**Compensation Range**
 Compensation will be paid in the range of $152,000 \- $184,000 \+ Bonus. Restricted Stock Units are included in all offers. Compensation to be determined by the applicants knowledge, education, and abilities, as well as internal equity and alignment with market data.
 Crusoe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is>
      </c>
    </row>
    <row r="117">
      <c r="A117" t="inlineStr">
        <is>
          <t>li-4370508682</t>
        </is>
      </c>
      <c r="B117" t="inlineStr">
        <is>
          <t>Senior Staff Software Engineer - Benefits</t>
        </is>
      </c>
      <c r="C117" t="inlineStr">
        <is>
          <t>Rippling</t>
        </is>
      </c>
      <c r="D117" t="inlineStr">
        <is>
          <t>linkedin</t>
        </is>
      </c>
      <c r="E117" t="inlineStr"/>
      <c r="F117" t="inlineStr"/>
      <c r="G117" t="inlineStr">
        <is>
          <t>New York, NY</t>
        </is>
      </c>
      <c r="H117" t="inlineStr"/>
      <c r="I117"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Come help us reinvent one of the largest, most important industries in the world:
 ****global employee benefits.****
 Every year, companies and their people spend
 ****over $5 trillion****
 on benefits—from healthcare to retirement savings to life insurance. These products shape some of the most critical decisions in a family’s life. And yet, despite their importance, the experience today is outdated, fragmented, and unnecessarily expensive.
 At Rippling, we’re building the
 ****first\-ever modern, multi\-sided Global Benefits Marketplace****
 —a platform that brings together brokers, employers, and employees, making benefits discovery, purchase, and usage effortless and transparent. Our benefits vertical spans:
* Benefits Platform – the core engine powering eligibility, recommendations, payments, and configuration.
* Benefits Marketplace – already 100\+ partners strong and growing.
* Rippling\-native Products – beautifully built, deeply integrated offerings that set a new standard for experience.
 If you want to work on a truly
 ****global, high\-impact problem****
 and architect a product used by millions, this is it.
**What You Will Do**
* Architect the future: Design a configurable platform that can onboard entirely new benefit types without writing new code—own schemas, validation, pricing logic, and self\-serve configuration.
* Think global, build global: Define a unified data model and lead complex migrations (shadowing, dual\-writes, safe rollbacks) to deliver a seamless worldwide experience.
* Make customer impact real: Prioritize work that drives adoption, win\-rates, and retention—closing feature and integration gaps for SMBs and enterprises alike.
* Supercharge brokers \&amp; admins: Build dashboards, alerts, and insights that surface under\-used benefits and drive real engagement.
* Be the connector: Align infra, security, compliance, and product stakeholders; communicate tradeoffs clearly; and keep programs on track from kickoff to delivery.
* Innovate \&amp; lead: Own architectural decisions, drive full product lifecycle delivery, and set the standard for technical excellence.
* Collaborate \&amp; execute: Partner across teams, bring customer feedback into the roadmap, and ship with urgency and impact.
* Mentor \&amp; inspire: Uplift teammates, guide junior engineers, and foster a culture of curiosity, craftsmanship, and bold thinking.
**What You Will Need**
* Deep experience: 10\+ years of professional software engineering, with a track record of building large\-scale, high\-impact platforms.
* Technical mastery: Expertise in distributed systems and services, ideally using Python, Golang, or Java.
* Cloud fluency (bonus): Experience building on AWS or similar cloud platforms.
* Ownership mindset: You don’t just write code—you own the problem, the product, and the customer outcome.
* Customer obsession: A passion for product\-focused engineering and for solving real, meaningful problems for people.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t>
        </is>
      </c>
    </row>
    <row r="118">
      <c r="A118" t="inlineStr">
        <is>
          <t>li-4365183163</t>
        </is>
      </c>
      <c r="B118" t="inlineStr">
        <is>
          <t>Senior Staff Software Engineer</t>
        </is>
      </c>
      <c r="C118" t="inlineStr">
        <is>
          <t>Harrison Clarke</t>
        </is>
      </c>
      <c r="D118" t="inlineStr">
        <is>
          <t>linkedin</t>
        </is>
      </c>
      <c r="E118" t="inlineStr"/>
      <c r="F118" t="inlineStr"/>
      <c r="G118" t="inlineStr"/>
      <c r="H118" t="inlineStr"/>
      <c r="I118" t="inlineStr">
        <is>
          <t>We’re working with a
 **high\-growth, tier\-1 VC\-backed startup** 
 in the
 **AI code generation** 
 space, hiring a
 **Staff Distributed Systems Engineer** 
 to help design and build the core systems underpinning a next\-generation AI product.
 This is a hands\-on role for someone who enjoys
 **bleeding\-edge tech** 
 and thrives on
 **complex, unsolved engineering problems \-** 
 the kind where you’ll be building new primitives, not just wiring together existing ones.
**The Role** 
 You’ll work on the heart of the platform:
 **low\-latency services, high\-throughput pipelines, scalable data and compute orchestration** 
 , and the reliability foundations required to run production\-grade systems at pace.
 They’re specifically looking for a strong coder with production experience in
 **Python and Go** 
 .
**What You’ll Be Doing** 
* Design, build, and operate
 **distributed systems** 
 that are reliable under real\-world load and failure modes.
* Develop core backend services in
 **Go and Python** 
 (service frameworks, orchestration, control planes, APIs).
* Solve problems across
 **consistency, concurrency, throughput, latency, resiliency, backpressure** 
 , and graceful degradation.
* Build systems for
 **job scheduling / workload orchestration** 
 and efficient compute utilisation (including demanding AI workloads).
* Improve
 **observability and debugging** 
 for complex systems: tracing, metrics, structured logging, and profiling.
* **Lead architectural decisions** 
 : data flows, service boundaries, state management, and scaling strategies.
* Set engineering standards and mentor others, while remaining deeply technical and hands\-on.
**What They’re Looking For** 
* Strong experience building production
 **distributed systems.**
* Excellent coding skills in
 **Go and Python** 
 .
* Deep understanding of:
* **Distributed systems fundamentals** 
 (consensus concepts, replication, consistency trade\-offs)
* **Networking \&amp; performance** 
 (RPC patterns, load balancing, latency analysis)
* **Reliability engineering** 
 (timeouts, retries, idempotency, circuit breaking, chaos/failure testing)
* Experience scaling services and data flows in cloud environments (AWS/GCP/Azure).
* Comfortable working in ambiguity and moving quickly without compromising core quality.
**Nice\-to\-Haves** 
* Experience with high\-scale systems: streaming, queues, event\-driven architectures, or large\-scale caching.
* Familiarity with Kubernetes and cloud\-native infrastructure (helpful, but not the focus).
* Experience with ML/AI infrastructure or compute\-heavy systems (e.g., GPU scheduling, batch/online hybrid workloads).</t>
        </is>
      </c>
    </row>
    <row r="119">
      <c r="A119" t="inlineStr">
        <is>
          <t>li-4374767410</t>
        </is>
      </c>
      <c r="B119" t="inlineStr">
        <is>
          <t>Full Stack Engineer</t>
        </is>
      </c>
      <c r="C119" t="inlineStr">
        <is>
          <t>Underdog.io -Apply to top tech jobs in 60 seconds. A place where companies apply to you</t>
        </is>
      </c>
      <c r="D119" t="inlineStr">
        <is>
          <t>linkedin</t>
        </is>
      </c>
      <c r="E119" t="inlineStr"/>
      <c r="F119" t="inlineStr"/>
      <c r="G119" t="inlineStr"/>
      <c r="H119" t="inlineStr"/>
      <c r="I119" t="inlineStr">
        <is>
          <t>**Job Title: Full Stack Engineer, Product \&amp; User Platform** 
**Location:** 
 San Francisco, CA (Hybrid)
**Team:** 
 Engineering
**Partner:** 
 A pioneering AI company building an autonomous operator for growth marketing.
 Underdog.io is a modern recruitment platform. One of our growing hiring partners is looking to hire a Sr Full Stack Engineer.
**About Our Hiring Partner** 
 Our hiring partner is engineering a paradigm shift in digital growth by building an AI Operator that autonomously manages advertising spend with the quantitative rigor of institutional trading. Their platform delivers transformative efficiency gains, replacing manual agency workflows with algorithmic precision. Already managing critical budgets for leading global brands, they are on a definitive path to scaling billions in autonomous ad volume. As an early\-stage San Francisco team, they are assembling foundational talent to build not just the intelligence, but the critical interfaces that foster human trust in autonomous systems.
**Why This is a Foundational Opportunity** 
* **Build the Trust Layer:** 
 Architect the primary interface where executives interact with an autonomous system, directly translating complex AI decisions into actionable insights and strategic control.
* **Lead the Product Evolution:** 
 Own the full\-stack development that transitions the platform from a service to a self\-serve product, empowering brands to manage their P\&amp;L with confidence.
* **Define the Human\-Machine Interface:** 
 Pioneer intuitive patterns for explainable AI, real\-time monitoring, and strategic guardrails within a high\-stakes financial context.
* **SF\-Based Product Leadership:** 
 Join a concentrated team in San Francisco in one of the most user\-centric and impactful San Francisco startup jobs, shaping the product experience for a category\-defining platform.
**About the Role** 
 We are seeking a Full Stack Engineer to build the cockpit for our autonomous system. While our backend engines run the math, you will build the interface that builds trust. You will own the entire layer where humans interact with the machine, creating not static dashboards, but a dynamic Command Center.
 This role is about empowering CFOs and Growth Leaders to monitor live experiments, understand the rationale behind every AI decision, and inject strategic guardrails. You will lead the technical development that transforms the user experience from observation to collaboration.
**What You'll Do** 
* **Build the Command Center:** 
 Architect and develop the primary web interface for monitoring performance. This includes building real\-time dashboards for live experiments, comprehensive audit logs, and admin panels for configuring safety parameters and strategic rules.
* **Engineer the Slack Operating System:** 
 Design and build deep Slack integrations that serve as a primary user interface, creating workflows for anomaly alerts, push notifications, and interactive approval flows for high\-stakes decisions.
* **Develop Generative Analytics:** 
 Integrate LLMs to power on\-demand, conversational analytics. Build interfaces where users can ask natural language questions and receive instant, generated charts, visualizations, and experiment summaries.
* **Design for Explainability:** 
 Create UI components and data visualizations that clearly explain AI decision\-making. Translate complex causal data into intuitive "Rationale" displays that bridge the gap between algorithmic output and human strategic understanding.
**Who You Are** 
* **A Product\-Minded Engineer:** 
 You have 4\+ years of experience building full\-stack web applications. You care deeply about the user journey and possess an intuitive sense for presenting complex data simply and effectively.
* **Modern Stack Expert:** 
 You are fluent in React and TypeScript on the frontend, and have strong backend skills in Python or Node.js. You build fast, responsive, and reliable interfaces.
* **A Communicator of Complexity:** 
 You excel at progressive disclosure and information architecture, knowing how to tailor the presentation of data for different user personas, from executives to analysts.
* **High\-Agency \&amp; Trust\-Obsessed:** 
 You proactively identify and solve UX friction. You view the product interface as the primary engine for building user confidence and trust in an autonomous system.
**Bonus Points** 
* **Slack App Development:** 
 Experience building complex, interactive Slack applications using the Bolt framework or similar platforms.
* **LLM Integration Experience:** 
 Hands\-on experience designing frontend patterns for streaming text and structured data from LLMs to create low\-latency, responsive AI experiences.
* **Design Systems:** 
 Experience building or maintaining a component library or design system.
* **Zero\-to\-One Product Experience:** 
 A background in early\-stage startups, building products from the ground up and iterating rapidly based on user feedback.
**Compensation \&amp; Benefits** 
 This role offers a competitive package designed for a product\-critical, early engineering hire.
* **Salary:** 
 Up to $295,000
* **Equity:** 
 A significant early\-stage equity package.
* **Relocation:** 
 Support for candidates moving to the Bay Area.
* **Daily Meals:** 
 Provided lunch and optional dinner.
* **Comprehensive Benefits:** 
 Full health, dental, and vision coverage, alongside an unlimited PTO policy.
**Apply Now** 
 If you are a full\-stack engineer who is passionate about building intuitive, powerful interfaces that translate complex systems into user confidence and control, we encourage you to apply. This is a defining
 **San Francisco startup job** 
 for those who want to build the critical trust layer for the future of autonomous business operations.</t>
        </is>
      </c>
    </row>
    <row r="120">
      <c r="A120" t="inlineStr">
        <is>
          <t>li-4329305077</t>
        </is>
      </c>
      <c r="B120" t="inlineStr">
        <is>
          <t>Senior Staff Software Engineer</t>
        </is>
      </c>
      <c r="C120" t="inlineStr">
        <is>
          <t>Findhelp</t>
        </is>
      </c>
      <c r="D120" t="inlineStr">
        <is>
          <t>linkedin</t>
        </is>
      </c>
      <c r="E120" t="inlineStr"/>
      <c r="F120" t="inlineStr"/>
      <c r="G120" t="inlineStr">
        <is>
          <t>Madison, WI</t>
        </is>
      </c>
      <c r="H120" t="inlineStr"/>
      <c r="I120"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As a Senior Staff Software Engineer at Findhelp, you will play a pivotal role in expanding our platform that seamlessly integrates our nationwide system of social\-services. Serving on a cross\-functional development team, you'll collaborate closely with various teams and departments to ensure the delivery of top\-tier products for our users. You will lead engineering efforts through a combination of a positive attitude, exemplary work ethic, and significant contributions to both the technical and cultural facets of engineering, all underpinned by a deep understanding of user impact. You will be able to consistently level up more junior engineers and the company in your own unique way.
**Responsibilities and Duties:**
* Someone who works to understand the user’s story to design intuitive experiences
* Own work from inception to delivery, and beyond
* Refactor legacy code as you create new features
* Mentor other engineers and foster their growth
* Work within a team and across teams to accomplish our mission of helping others
* Consistently write quality code with the end user in mind
* Architect for robustness, extensibility, scale, sustainability, and security
* Provide quality feedback in code reviews and willing to pair on coding tasks
**Qualifications:**
* 8\+ years working as a professional software developer
* Experience architecting a feature to widen the impact for long term success
* Excellent technical writing and communication skills
* Experience writing technical designs and breaking down complex features to consistently deliver value
* Experience in Python and ReactJS preferred
* Comfortable working independently in a complex Python codebase
* Comfortable scaling up on Python if you haven’t worked on it before
* Interested in mentoring others and fostering individual growth
* Good understanding of SQL, ORMs, and non\-relational databases
* Preferred GCP experience, but other cloud experience welcome
* Understanding of web performance strategies and metrics
* Experience with or a strong understanding of microservices
* Ability to follow through on commitments
* Ability to communicate technical needs and solutions to product partners
 $146,400 \- $183,000 a year
 The salary range provided reflects the national average for this job title and does not represent compensation specific to Findhelp. Actual compensation will vary based on experience, qualifications, and market factors relevant to the position.
**We value being together**
 We believe being together enables stronger relationships, collaboration, and culture.
**This position is in office and candidates must be located in Austin, Texas, Madison, Wisconsin, or Denver, Colorado**
**Perks at Findhelp**
* 401k \&amp; equity grants
* Free food and onsite gym at our Austin HQ
* Paid parental leave
* Competitive PTO \&amp; 10 paid holidays
* Employee only paid Health, Dental, and Vision insurance
* Dog\-friendly office in Austin HQ
* 24/7 access to telemedicine and counseling
*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Accommodations are available for applicants with disabilities.
 Here are some of the ways we support our staff:
* Culture Committee
* Leadership Development Training
* Paid Volunteering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1">
      <c r="A121" t="inlineStr">
        <is>
          <t>li-4370515366</t>
        </is>
      </c>
      <c r="B121" t="inlineStr">
        <is>
          <t>Senior Staff Software Engineer - HRIS</t>
        </is>
      </c>
      <c r="C121" t="inlineStr">
        <is>
          <t>Rippling</t>
        </is>
      </c>
      <c r="D121" t="inlineStr">
        <is>
          <t>linkedin</t>
        </is>
      </c>
      <c r="E121" t="inlineStr"/>
      <c r="F121" t="inlineStr"/>
      <c r="G121" t="inlineStr">
        <is>
          <t>New York, NY</t>
        </is>
      </c>
      <c r="H121" t="inlineStr"/>
      <c r="I121"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Rippling is rapidly expanding its global footprint and product ecosystem, and the HRIS (Human Resources Information System) is at the center of that growth. Every Rippling product—from Payroll and Benefits to Time and Identity—depends on HRIS as its source of truth.
 As a
 ****Senior Staff Engineer spanning the entire HRIS org,****
 you will serve as a technical leader responsible for both the foundational platform primitives and the complex product experiences built on top of them. You’ll design and scale the systems that power HRIS globally while also owning the end\-to\-end engineering of mission\-critical workflows relied on by millions of employees and administrators. This role requires broad technical vision, deep hands\-on execution, and the ability to influence across multiple teams and functions.
**What You Will Do**
* Set and drive the technical strategy for the HRIS org, defining long\-term direction for architecture, scalability, reliability, and usability across both platform and product surfaces.
* Design and deliver core data models, APIs, services, and abstractions that underpin HRIS and are adopted broadly across product teams.
* Own end\-to\-end engineering of critical HRIS product flows (e.g. hiring, onboarding, benefits, time, compliance), ensuring robustness, performance, and extensibility.
* Lead cross\-org initiatives such as global scale\-out, regulatory compliance, and high\-availability architecture that cut across multiple teams.
* Raise the engineering bar by influencing design and execution across the org, mentoring senior engineers, and driving best practices in both system design and product engineering.
* Collaborate closely with engineering leadership across HRIS and adjacent domains to align technical vision and deliver cohesive solutions.
**What You Will Need**
* 10\+ years of professional software engineering experience, including technical leadership roles driving org\-wide impact.
* Strong track record spanning both platform and product engineering: designing distributed systems and building complex, user\-facing applications at scale.
* Expertise in system architecture, data modeling, and service design, with an ability to balance long\-term vision with iterative delivery.
* Experience operating in high\-growth, fast\-paced environments where platform primitives and product requirements evolve rapidly.
* Strong technical leadership and mentorship skills, with proven influence across multiple teams and organizations.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t>
        </is>
      </c>
    </row>
    <row r="122">
      <c r="A122" t="inlineStr">
        <is>
          <t>li-4365580349</t>
        </is>
      </c>
      <c r="B122" t="inlineStr">
        <is>
          <t>Staff Software Engineer, TPU Supercomputer Enablement</t>
        </is>
      </c>
      <c r="C122" t="inlineStr">
        <is>
          <t>Google</t>
        </is>
      </c>
      <c r="D122" t="inlineStr">
        <is>
          <t>linkedin</t>
        </is>
      </c>
      <c r="E122" t="inlineStr"/>
      <c r="F122" t="inlineStr"/>
      <c r="G122" t="inlineStr">
        <is>
          <t>Sunnyvale, CA</t>
        </is>
      </c>
      <c r="H122" t="inlineStr"/>
      <c r="I122" t="inlineStr">
        <is>
          <t>**Minimum qualifications:**
* Bachelor's degree or equivalent practical experience.
* 8 years of experience programming in C\+\+.
* 5 years of experience testing, and launching software products.
* 5 years of experience building and developing large\-scale infrastructure, distributed systems or networks, or experience with compute technologies, storage, or hardware architecture.
* 3 years of experience with software design and architecture.
* Experience in systems infrastructure.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3">
      <c r="A123" t="inlineStr">
        <is>
          <t>li-3594479345</t>
        </is>
      </c>
      <c r="B123" t="inlineStr">
        <is>
          <t>Sr Software Engineer – Embedded Linux (Avionics)</t>
        </is>
      </c>
      <c r="C123" t="inlineStr">
        <is>
          <t>Honeywell</t>
        </is>
      </c>
      <c r="D123" t="inlineStr">
        <is>
          <t>linkedin</t>
        </is>
      </c>
      <c r="E123" t="inlineStr"/>
      <c r="F123" t="inlineStr"/>
      <c r="G123" t="inlineStr">
        <is>
          <t>Phoenix, AZ</t>
        </is>
      </c>
      <c r="H123" t="inlineStr"/>
      <c r="I123" t="inlineStr">
        <is>
          <t>***The future is what you make it.***
 As a
 **Senior Avionics Software Engineer – Embedded Linux** 
 at Honeywell, you will provide technical strength in the design, development, and delivery of secure, high\-performance avionics and connected systems. In this role, you will lead systems engineering efforts across embedded Linux platforms, define system architectures, and ensure compliance with stringent aerospace safety and security standards. You will work closely with cross\-functional teams to deliver mission\-critical solutions that shape the future of aerospace technology.
**LOCATION:** 
 Phoenix, AZ
**WORK SCHEDULE:** 
 Hybrid work schedule
***Are you ready to help make the future with us?***
 In this role, you will lead and contribute to the development of secure, scalable software solutions for avionics and connected systems operating on embedded Linux platforms. You will be responsible for defining system architectures, guiding technical execution, and ensuring compliance with aerospace certification and cybersecurity standards, while delivering reliable, high\-performance systems for safety\-critical environments.
**BENEFITS:** 
*Learn more at benefits.honeywell.com.* 
**· Unlimited Vacation Plan with No Preset Maximums** 
**· Flexible Hybrid Work Schedule** 
 · Medical/Rx Health Savings Account (HSA)
 · Dental/Vision
 · Life Insurance
 · Short/Long\-Term Disability
 · Employee Assistance Program (EAP)
 · 401(k) Match
 · Education Assistance
 · Flexible Spending Accounts
 · Parental Leave
 · 12 Paid Holidays
**KEY RESPONSIBILITIES:** 
* Develop C/C\+\+ embedded Linux software for flight deck avionics, enabling tablet and cloud connectivity.
* Collaborate with cross\-functional teams to deliver the final product.
* Validate system performance, security, and reliability in labs.
* Ensure compliance with DO\-178C and DO\-326A/356A standards.
* Provide technical guidance and support software improvements.
**YOU MUST HAVE:** 
* Bachelor’s degree from an accredited institution in a technical discipline such as science, technology, engineering, or mathematics (STEM).
* 6\+ years of experience in embedded systems development, preferably within aerospace or defense environments.
* 4\+ years of experience developing on embedded Linux platforms, with an understanding of secure system design and secure communications (e.g., TLS/SSL, certificates, key management).
**U.S. REQUIREMENTS:** 
* Due to compliance with U.S. export control laws and regulations, candidate must be a U.S. Person, which is defined as, a U.S. citizen, a U.S. permanent resident, or have protected status in the U.S. under asylum or refugee status or have the ability to obtain an export authorization
**WE VALUE: (Nice to Have Qualifications)** 
* Experience working in safety\-critical or mission\-critical engineering environments.
* Practical knowledge of avionics protocols and standards, such as ARINC 429, ARINC 615A, ARINC 615\-3, GDL90, and GDL52 is advantageous.
* Familiarity with DO\-178C, DO\-326A/356A, or similar aviation certification frameworks is beneficial.
* Understanding of Aircraft Gateway connectivity systems.
* Experience with CI/CD processes.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Honeywell Benefits information visit: https://benefits.honeywell.com
 The application period for the job is estimated to be 40 days from the job posting date; however, this may be shortened or extended depending on business needs and the availability of qualified candidates. Job Posted: January 07, 2026</t>
        </is>
      </c>
    </row>
    <row r="124">
      <c r="A124" t="inlineStr">
        <is>
          <t>li-4377501627</t>
        </is>
      </c>
      <c r="B124" t="inlineStr">
        <is>
          <t>Senior CI/CD Software Engineer</t>
        </is>
      </c>
      <c r="C124" t="inlineStr">
        <is>
          <t>Talent Stack</t>
        </is>
      </c>
      <c r="D124" t="inlineStr">
        <is>
          <t>linkedin</t>
        </is>
      </c>
      <c r="E124" t="inlineStr"/>
      <c r="F124" t="inlineStr"/>
      <c r="G124" t="inlineStr">
        <is>
          <t>Aurora, CO</t>
        </is>
      </c>
      <c r="H124" t="inlineStr"/>
      <c r="I124" t="inlineStr">
        <is>
          <t>**Senior CI/CD Software Engineer** 
 📍 Onsite – Aurora, CO
 💰 $200,000 – $225,000
 🔐 Active TS/SCI Required (Top Secret eligible crossover acceptable)
 Talent Stack LLC is representing a leading defense customer supporting next\-generation
 **Space Intelligence, Surveillance \&amp; Reconnaissance (ISR)** 
 and multi\-domain defense systems. This is a full\-time, onsite role in Aurora, CO supporting mission\-critical national security programs.
**Benefits:** 
 This role includes Medical, Dental, and Vision coverage, 6 weeks of paid PTO, Short\-Term Disability, a 401(k) with 5% company match, and up to $8,000 in relocation assistance. Full Benefits package can be sent upon request.
 If you are a DevOps engineer who thrives in classified, high\-performance environments and knows how to build secure, scalable CI/CD infrastructure — this is the type of program that matters.
**What you'll Do:** 
* Design, build, and maintain CI/CD pipelines using Jenkins and Groovy
* Deploy and manage containerized applications with Docker and Helm
* Troubleshoot Kubernetes at the application level (pods, services, Helm deployments)
* Improve system observability, uptime, disaster recovery readiness, and performance
* Support hybrid and local cloud environments
* Collaborate with development, infrastructure, and IA/security teams
* Lead incident response, root cause analysis, and deployment issue resolution
* Implement DevSecOps best practices and Infrastructure\-as\-Code (IaC) standards
* Integrate vulnerability scanning and secure build automation into pipelines
**Required Qualifications:** 
* STEM degree \+ 8\+ years of relevant DevOps / CI/CD engineering experience
* Strong experience writing and maintaining
 **Groovy\-based Jenkins pipelines**
* **Hands\-on experience with Docker, Helm, Kubernetes**
* **Active and transferable TS/SCI clearance required prior to start**
* **U.S. Citizenship required**
**Preferred skills:** 
* Java application integration experience
* Package repository management (Artifactory, Nexus)
* Maven, Helm, Docker, YUM package creation and mirroring in air\-gapped environments
* Scripting experience (Bash, Python, Go)
* Agile / Scrum experience
**Clearance Requirement:** 
 Active TS/SCI is required. A transferable Top Secret clearance eligible for crossover to TS/SCI is acceptable. This role supports classified programs and requires U.S. citizenship
**Third\-Party Submission Policy** 
 Talent Stack LLC does not accept unsolicited resumes or candidate submissions from third\-party recruiters, staffing agencies, or placement firms. Any resumes submitted without a prior signed agreement and written authorization will be considered the property of Talent Stack LLC and our client, and no placement fees will be paid.
 Reference Number: X16</t>
        </is>
      </c>
    </row>
    <row r="125">
      <c r="A125" t="inlineStr">
        <is>
          <t>li-4369242722</t>
        </is>
      </c>
      <c r="B125" t="inlineStr">
        <is>
          <t>Staff Software Engineer</t>
        </is>
      </c>
      <c r="C125" t="inlineStr">
        <is>
          <t>Harrison Clarke</t>
        </is>
      </c>
      <c r="D125" t="inlineStr">
        <is>
          <t>linkedin</t>
        </is>
      </c>
      <c r="E125" t="inlineStr"/>
      <c r="F125" t="inlineStr"/>
      <c r="G125" t="inlineStr"/>
      <c r="H125" t="inlineStr"/>
      <c r="I125" t="inlineStr">
        <is>
          <t>Senior Backend Engineer (3–5 positions) Golang/Python
 Location: Fully remote – US only
 Employment type: Full\-time
 Compensation: $250,000 base plus equity
 One of the companies in our portfolio has just closed out a huge funding round and are now in the process of building a world class engineering team.
 Their platform is a next\-generation AI\-powered enterprise system that helps large organizations automatically process and act on huge volumes of complex, fast\-moving data. It works as an intelligent, autonomous layer that handles high\-volume workflows, pulls context from multiple enterprise sources and tools, follows exact customer\-defined processes, integrates deeply with platforms like ServiceNow, Snowflake, and Databricks, and delivers fast, accurate, fully documented results so teams can focus on important decisions instead of manual work.
**Experience Required:** 
* 6\+ years backend engineering \- Golang/Python
* Enterprise B2B SaaS experience (not consumer)
* Strong preference for data/analytics, BI, data infrastructure, or integration platforms
* Startup / early\-growth background (ideally \&lt;100 people when joined)
* Solid tenure \&amp; progression (no pattern of very short stints)
* Strong fundamentals: APIs, services, data pipelines, distributed systems
**Day to Day:** 
* Own and ship major product features end\-to\-end
* Build \&amp; maintain enterprise integrations (ServiceNow, Snowflake, Databricks, etc.)
* Write backend services, APIs, data pipelines
* Work on intelligent system components (reasoning, retrieval, orchestration)
* Collaborate in small team \- high ownership, fast shipping
* Occasionally handle platform/infra tasks to unblock progress
 Interested in learning more?
 Apply below!</t>
        </is>
      </c>
    </row>
    <row r="126">
      <c r="A126" t="inlineStr">
        <is>
          <t>li-4268471164</t>
        </is>
      </c>
      <c r="B126" t="inlineStr">
        <is>
          <t>Software Engineer Graduate (Data Arch - Data Ecosystem ) - 2026 (PhD)</t>
        </is>
      </c>
      <c r="C126" t="inlineStr">
        <is>
          <t>TikTok</t>
        </is>
      </c>
      <c r="D126" t="inlineStr">
        <is>
          <t>linkedin</t>
        </is>
      </c>
      <c r="E126" t="inlineStr"/>
      <c r="F126" t="inlineStr"/>
      <c r="G126" t="inlineStr">
        <is>
          <t>San Jose, CA</t>
        </is>
      </c>
      <c r="H126" t="inlineStr"/>
      <c r="I126" t="inlineStr">
        <is>
          <t>**Responsibilities**
 About the team:
 The TikTok Data Ecosystem Team has the vital role of crafting and implementing a storage solution for offline data in TikTok's recommendation system, which caters to more than a billion users. Their primary objectives are to guarantee system reliability, uninterrupted service, and seamless performance. They aim to create a storage and computing infrastructure that can adapt to various data sources within the recommendation system, accommodating diverse storage needs. Their ultimate goal is to deliver efficient, affordable data storage with easy\-to\-use data management tools for the recommendation, search, and advertising functions.
 We are looking for talented individuals to join our team in 2026\.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2026\.
**Responsibilities:**
* Design and implement real\-time and offline data architecture for large\-scale recommendation systems.
* Build scalable and high\-performance streaming Lakehouse systems that power feature pipelines, model training, and real\-time inference.
* Collaborate with ML platform teams to support PyTorch\-based model training workflows and design efficient data formats and access patterns for large\-scale samples and features.
* Own core components of our distributed storage and processing stack, from file format to stream compaction to metadata management.
**Qualifications**
 Minimum Qualifications:
* PhD or Master’s degree in Computer Science or related technical field.
* Experience building large\-scale distributed systems, preferably in storage, stream processing, or ML infrastructure.
* Solid understanding of Apache Flink internals, with hands\-on experience in state management, connectors, or UDFs.
* Familiarity with modern Lakehouse technologies such as Apache Paimon, Iceberg, Delta Lake, or Hudi, especially around incremental ingestion, schema evolution, and snapshot isolation.
**Preferred Qualifications:**
* Experience in designing and optimizing Flink \+ Paimon architectures for unified batch/stream processing.
* Familiarity with feature storage and training data pipelines, and their integration with PyTorch, especially for large\-scale model training.
* Knowledge of columnar file formats (Parquet, ORC, Lance) and how they are used in feature engineering or ML data loading.
* Proficiency in Java/Scala/C\+\+, and strong debugging/performance tuning ability.
* Previous experience in Lakehouse metadata management, compaction scheduling, or data versioning is a plus.
* (Optional) Knowledge of legacy data stores like HBase/Kudu is a bonus but not required.
 Job Information
**【For Pay Transparency】Compensation Description (Annually)**
 The base salary range for this position in the selected city is $122574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27">
      <c r="A127" t="inlineStr">
        <is>
          <t>li-4379501246</t>
        </is>
      </c>
      <c r="B127" t="inlineStr">
        <is>
          <t>Lead Software Engineer - Quality engineering</t>
        </is>
      </c>
      <c r="C127" t="inlineStr">
        <is>
          <t>JPMorganChase</t>
        </is>
      </c>
      <c r="D127" t="inlineStr">
        <is>
          <t>linkedin</t>
        </is>
      </c>
      <c r="E127" t="inlineStr"/>
      <c r="F127" t="inlineStr"/>
      <c r="G127" t="inlineStr">
        <is>
          <t>Plano, TX</t>
        </is>
      </c>
      <c r="H127" t="inlineStr"/>
      <c r="I127" t="inlineStr">
        <is>
          <t>**Job Description**
 We have an opportunity to impact your career and provide an adventure where you can push the limits of what's possible.
 As a Lead Software Engineer at JPMorganChase within the Consumer and Community Banking technology \- Deposits Platform,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Owns and leads the governance of quality coverage across all scrum teams, including unit, integration, contract, and end\-to\-end testing
* Defines and monitors quality metrics such as coverage percentage, defect leakage, and automation effectiveness
* Acts as the bridge between development and quality enablement, driving consistency and best practices across teams
* Leads, maintains and evolves test frameworks, tools, and CI/CD quality gates to support robust automation
* Fosters a team culture of diversity, inclusion, and respect, supporting collaboration and professional growth in quality initiatives
**Required Qualifications, Capabilities, And Skills**
* Formal training or certification on software engineering concepts and 5\+ years applied experience.
* Deep expertise in test automation frameworks, for backend APIs and stream services, integrating coverage and quality metrics
* Solid understanding of contract testing, mocking frameworks, service virtualization, and automation best practices
* Advanced knowledge of agile methodologies, application resiliency, security, shift\-left quality enablement
* Experience creating scalable microservices using Java, and Spring Boot,
* Strong experience in CI/CD toolsets (including GIT, Jenkins, JUnit, and Mockito) to develop high\-quality software
* 3\+ yrs of hands\-on leadership experience with varying levels of Software Engineers in an agile Scrum environment
**Preferred Qualifications, Capabilities, And Skills**
* Familiarity with modern front\-end technologies
* Exposure to cloud technologies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28">
      <c r="A128" t="inlineStr">
        <is>
          <t>li-4377756530</t>
        </is>
      </c>
      <c r="B128" t="inlineStr">
        <is>
          <t>Staff Software Engineer - Billing &amp; Subscription</t>
        </is>
      </c>
      <c r="C128" t="inlineStr">
        <is>
          <t>Suno</t>
        </is>
      </c>
      <c r="D128" t="inlineStr">
        <is>
          <t>linkedin</t>
        </is>
      </c>
      <c r="E128" t="inlineStr"/>
      <c r="F128" t="inlineStr"/>
      <c r="G128" t="inlineStr">
        <is>
          <t>Boston, MA</t>
        </is>
      </c>
      <c r="H128" t="inlineStr"/>
      <c r="I128" t="inlineStr">
        <is>
          <t>**About Suno**
 Suno is a music company built to amplify imagination. Powered by the world’s most advanced AI music model, Suno offers an unparalleled creative platform that includes Suno Studio, a breakthrough generative audio workstation. From shower\-singers to aspiring songwriters to seasoned artists, Suno empowers a global community to create, share, and discover music—unlocking the joy of musical expression for all.
**About The Role**
 Billing is one of the most consequential systems at Suno — it's where every product decision about value becomes real. We're looking for a detail\-obsessed engineer to be our first dedicated billing hire and own this domain end\-to\-end. You'll set the technical direction, be a key voice in how we think about the future of our revenue model, and build infrastructure that has to be exactly right at scale.
**What You'll Do**
* Own Suno's billing systems across web and mobile, including our Stripe and RevenueCat integrations, subscription lifecycle, and usage metering.
* Lead the evolution of our billing architecture — including an in\-progress migration to a modern ledger\-based model — making it more maintainable and easier to reason about as the business grows.
* Participate in product and strategy discussions about how Suno monetizes, bringing technical judgment to decisions that have direct revenue impact.
* Build tools and systems that give the broader team more leverage.
**What You'll Need**
* 5\+ years of backend engineering experience, ideally building systems where being wrong has immediate real\-world consequences — payments, financial infrastructure, distributed systems, or similar.
* A natural instinct to think about failure modes first: what happens if this event arrives twice, out of order, or not at all?
* Strong product sense alongside technical depth — you care about what users experience, not just what the code does.
* A high bar for correctness that you hold yourself and others to without being told.
* Bachelor's degree in Computer Science or equivalent experience.
* Experience with Stripe is a plus.
* A love for music is a huge plus.
**Additional Notes:** 
 Applicants must be eligible to work in the US.
**Location:** 
 This is an onsite role in our NYC or Cambridge, MA office.
**Perks \&amp; Benefits For Full\-Time Employees**
* Company Equity Package
* 401(k) with 3% Employer Match \&amp; Roth 401(k)
* Medical, Dental, \&amp; Vision Insurance (PPO w/ HSA \&amp; FSA options)
* 11 Paid Holidays \+ Unlimited PTO \&amp; Sick Time
* 16 Weeks of Paid Parental Leave
* Creative Education Stipend
* Generous Commuter Allowance
*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is>
      </c>
    </row>
    <row r="129">
      <c r="A129" t="inlineStr">
        <is>
          <t>li-4307686635</t>
        </is>
      </c>
      <c r="B129" t="inlineStr">
        <is>
          <t>Senior Software Engineer, Backend (Merchant Interfaces)</t>
        </is>
      </c>
      <c r="C129" t="inlineStr">
        <is>
          <t>Affirm</t>
        </is>
      </c>
      <c r="D129" t="inlineStr">
        <is>
          <t>linkedin</t>
        </is>
      </c>
      <c r="E129" t="inlineStr"/>
      <c r="F129" t="inlineStr"/>
      <c r="G129" t="inlineStr">
        <is>
          <t>Raleigh, NC</t>
        </is>
      </c>
      <c r="H129" t="inlineStr"/>
      <c r="I129" t="inlineStr">
        <is>
          <t>Affirm is reinventing credit to make it more honest and friendly, giving consumers the flexibility to buy now and pay later without any hidden fees or compounding interest.
 The Partner Merchant Interface (PMI) team builds the APIs and solutions that powers Affirm’s integrations with Enterprise Merchants and Partners. We create and manage the APIs and tools that drive checkout and merchant onboarding, and we collaborate with stakeholders to design and build custom end\-to\-end integrated solutions.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contribute to the entire API lifecycle, including designing, developing, testing, maintaining, and evolving our APIs.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USA 8**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30">
      <c r="A130" t="inlineStr">
        <is>
          <t>li-4309637846</t>
        </is>
      </c>
      <c r="B130" t="inlineStr">
        <is>
          <t>Software Engineer III - Technical Lead</t>
        </is>
      </c>
      <c r="C130" t="inlineStr">
        <is>
          <t>Verisk</t>
        </is>
      </c>
      <c r="D130" t="inlineStr">
        <is>
          <t>linkedin</t>
        </is>
      </c>
      <c r="E130" t="inlineStr"/>
      <c r="F130" t="inlineStr"/>
      <c r="G130" t="inlineStr">
        <is>
          <t>Holmdel, NJ</t>
        </is>
      </c>
      <c r="H130" t="inlineStr"/>
      <c r="I130" t="inlineStr">
        <is>
          <t>**Job Description**
 The Senior Software Engineer operates as a senior/lead team member of a team, assisting assigned Insurance Carrier project teams (“our clients”) to implement, integrate, leverage and enhance the FAST platform. We rely on a dynamic team of engineers to create solutions for our rapidly evolving technical stack. We’re seeking a full stack developer who is smart, proactive, and results\-oriented to build elegant solutions for the Life insurance industry's complex business domain and make our industry\-leading products even better.
 The ideal candidate has experience building products across the stack and a firm understanding of web frameworks, APIs, databases, and multiple back\-end languages for a SaaS application. The full stack developer will join a small team to solve challenges for both the front\-end and back\-end architecture, ultimately delivering amazing experiences for the Life insurance industry. This role is based in our Holmdel, NJ location which offers a flexible hybrid work model.
**Responsibilities**
**Objectives of this role**
* Provide guidance to junior and mid\-level engineers, helping them develop their technical skills, career growth, and problem\-solving abilities
* Work across the full stack, building highly scalable distributed solutions that enable positive user experiences and measurable business growth
* Develop new features and infrastructure in support of rapidly emerging business and project objectives
* Ensure application performance, uptime, and scale, and maintain high standards for code quality and application design
* Develop new features and infrastructure in support of rapidly emerging business and project requirements
* Be a leading voice in the continuous modernization of the SaaS offering
* Be the primary point of contact with customers for all aspects of the FAST platform
* Serve as the primary point of contact for technical discussions with senior management, other engineering teams, and business units.
* Translate complex technical topics into clear, understandable language for non\-technical stakeholders both internally and for the customer.
* Participate in all aspects of agile software development, including design, implementation, and deployment
* Design and provide guidance on building end\-to\-end systems optimized for speed and scale leveraging SOA design principles on J2EE and .NET platforms
* Work primarily in technologies like .NET, Angular/REACT, Java Script, SQL Server, Postgres, etc.
* Engage with inspiring designers and front\-end engineers, and collaborate with leading back\-end engineers to create reliable APIs
* Develop next generation user interfaces for all applications and innovate on integration patterns using Microservice design
**Responsibilities**
* Serve as the primary point of contact for technical discussions with senior management, other engineering teams, and business units.
* Translate complex technical topics into clear, understandable language for non\-technical stakeholders both internally and for the customer.
* Participate in all aspects of agile software development, including design, implementation, and deployment
* Design and provide guidance on building end\-to\-end systems optimized for speed and scale leveraging SOA design principles on J2EE and .NET platforms
* Work primarily in technologies like .NET, Angular/REACT, Java Script, SQL Server, Postgres, etc.
* Engage with inspiring designers and front\-end engineers, and collaborate with leading back\-end engineers to create reliable APIs
* Develop next generation user interfaces for all applications and innovate on integration patterns using Microservice design
**Qualifications**
**Soft Skills and Personal Attributes**
* Strong analytical skills to breakdown complex objectives and provide appropriate solutions within the context of the FAST application.
* A strong focus on delivering value to clients, ensuring that their needs are prioritized while balancing operational and regulatory constraints.
* Communication \&amp; Presentation: Excellent communication skills, particularly in articulating complex product features and benefits to clients in a clear, concise, and persuasive manner.
* Communication and Interpersonal skills: Excellent verbal and written communication skills to convey complex information clearly to various stakeholders. Strong relationship\-building skills to foster collaboration across departments.
**Required Technical Skills And Qualifications**
* At least 5\-7 of Industry experience in working and building large\-scale software applications
* Experience in building web applications
* Demonstrated programing expertise in Java, C\#, or .Net
* Experience with data design and working with relational databases (postgres, sqlserver)
* Experience with tuning stored procedures
* Strong skills with object\-oriented programming and Enterprise software design principles
* Development experience with javascript frameworks (React, Angular, ExtJS) a plus
* Prior development utilizing SOA concepts and methodologies. Experience with Microfrontends and Microservices a plus
* Strong leader capable of motivating and energizing resources
* Prior leadership and/or management experience of on\-shore and off\-shore resources
* Experience in designing and integrating RESTful APIs
* Excellent debugging and optimization skills
* Experience in unit/integration testing
* Experience with AWS Services
* Experience with AWS Services
* Experience building configurable enterprise applications
* Bachelor’s degree (or equivalent) in computer science, information technology, or engineering (Masters a plus)
* Interest in learning new tools, languages, workflows, and philosophies
* Professional certifications
**Preferred Skills And Qualifications**
* Experience building configurable enterprise applications
* Bachelor’s degree (or equivalent) in computer science, information technology, or engineering (Masters a plus)
* Interest in learning new tools, languages, workflows, and philosophies
* Professional certifications
**About Us**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Verisk Employee Privacy Notice</t>
        </is>
      </c>
    </row>
    <row r="131">
      <c r="A131" t="inlineStr">
        <is>
          <t>li-4365574701</t>
        </is>
      </c>
      <c r="B131" t="inlineStr">
        <is>
          <t>Staff ML Software Engineer, Generative AI, Search Ads</t>
        </is>
      </c>
      <c r="C131" t="inlineStr">
        <is>
          <t>Google</t>
        </is>
      </c>
      <c r="D131" t="inlineStr">
        <is>
          <t>linkedin</t>
        </is>
      </c>
      <c r="E131" t="inlineStr"/>
      <c r="F131" t="inlineStr"/>
      <c r="G131" t="inlineStr">
        <is>
          <t>Mountain View, CA</t>
        </is>
      </c>
      <c r="H131" t="inlineStr"/>
      <c r="I131" t="inlineStr">
        <is>
          <t>**Minimum qualifications:**
* Bachelor’s degree or equivalent practical experience.
* 8 years of experience in software development.
* 5 years of experience developing or launching products or technologies within artificial intelligence or machine learning.
* 5 years of experience with ML design and ML infrastructure (e.g., model deployment, model evaluation, data processing, debugging, fine tuning).
* Experience developing software applications using C\+\+ programming language.
* Experience with Large Language Models (LLM), Natural Language Processing (NLP), or Generative AI.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 Experience with Google ads or digital advertising platforms and ecosystems, with a focus on ads personalization.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Ads Personalization and Intents team's mission is to build industry\-leading ad personalization and intent solutions that connect people to relevant ads and content, while respecting user privacy and building trust. Our team leverages data and Machine Learning (ML) to understand user interests and intent signals that inform relevant, timely ad experiences. We aim to balance value and transparency, developing innovative personalization models powered by responsible use of first\-party data. In this role, you will focus on personalization in the Generative AI (GenAI) space, such as building ads creatives or ad explanations.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enhance large\-scale software solutions.
* Provide technical leadership on high\-impact projects. Manage project priorities, deadlines, and deliverables.
* Facilitate alignment and clarity across teams on goals, outcomes, and timelines. Influence and coach a distributed team of Engineers.
* Lead the design and implementation of solutions in specialized ML areas, optimize ML infrastructure, and guide the development of model optimization and data processing strategies.
* Collaborate across Generative AI teams in ads quality and Google DeepMind to create and execute on goal and roadmap to ensure that users feel connected with Generative AI ads.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2">
      <c r="A132" t="inlineStr">
        <is>
          <t>li-4374590893</t>
        </is>
      </c>
      <c r="B132" t="inlineStr">
        <is>
          <t>Full-Stack Software Engineer II (JavaScript) - S&amp;P Global</t>
        </is>
      </c>
      <c r="C132" t="inlineStr">
        <is>
          <t>Jobs via eFinancialCareers</t>
        </is>
      </c>
      <c r="D132" t="inlineStr">
        <is>
          <t>linkedin</t>
        </is>
      </c>
      <c r="E132" t="inlineStr"/>
      <c r="F132" t="inlineStr"/>
      <c r="G132" t="inlineStr">
        <is>
          <t>Cambridge, MA</t>
        </is>
      </c>
      <c r="H132" t="inlineStr"/>
      <c r="I132" t="inlineStr">
        <is>
          <t>Kensho is S\&amp;P Global's hub for AI innovation and transformation. With expertise in machine learning, natural language processing, and data discovery, we develop and deploy novel solutions to innovate and drive progress at S\&amp;P Global and its customers worldwide. Kensho's solutions and research focus on business and financial generative AI applications, agents, data retrieval APIs, data extraction, and much more.
 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
 Kensho's Applications group develops the web apps and APIs that deliver Kensho's AI capabilities to our customers. Our teams are small, product\-focused, and intent on shipping high\-quality code that best leverages our efforts. We're collegial, humble, and inquisitive, and we delight in learning from teammates with backgrounds, skills, and interests different from our own.
 Our App Experiences team focuses on breathing life into novel ML capabilities, translating them into valuable and intuitive end\-user experiences. We collaborate closely with our Product and Design teams to understand user needs, looking for creative applications and delivery mechanisms of our technology. We demo early and often, and we keep a tight iteration loop. We sweat the details when it comes to UX.
 As a Full\-Stack Software Engineer II, you will build AI\-centric web applications in TypeScript ranging from experimental POCs to full\-fledged product offerings. You'll work with the team to understand trade\-offs and make technical and architectural decisions. You'll aim for high iteration velocity and optimize for learning. The ideal candidate loves product and views technology as a means, not an end, and is excited to gain familiarity with all aspects of the software development lifecycle.
 At Kensho, we believe in flexibility\-first, and give our employees the opportunity to work from where they feel most productive and engaged (must be in the United States). We also value in\-person collaboration, so there may be times when travel to one of our Kensho hubs (e.g., Cambridge, MA or NYC) will be required for team meetings or company events.
 Kensho states that the anticipated base salary range for the position is 130 \-175k. In addition, this role is eligible for an annual incentive bonus and equity plans. At Kensho, it is not typical for an individual to be hired at or near the top of the range for their role and compensation decisions are dependent on the facts and circumstances of each case.
**What You'll Do:**
* Build full\-stack and SPA TypeScript applications ranging from experiments to flagship products
* Collaborate on product decisions and communicate technical constraints and considerations
* Collaborate on technical decisions and conventions
* Quickly level up and learn from the team and the broader organization via mentorship, code review, knowledge sharing, etc.
* Manage project priorities, estimates, and deliverables
****What You'll Need:****
* At least three years of direct experience building commercial web applications in JavaScript/TypeScript
* At least two years of that experience working directly on web UIs in a modern framework
* At least one domain of interest to develop deep expertise (e.g., web performance, design systems, framework knowledge, etc.)
* Some interest in product design
* Kind and efficient communication skills for both technical and non\-technical audiences
* Ability to deeply understand product and technical requirements
****Technologies \&amp; Tools We Use:****
* Development : TypeScript, React, Next.js, Tailwind, LangGraph, AI SDK, Drizzle
* Ops : Git, GitHub, Amazon EKS, AWS, Sentry, Langfuse, Prometheus
 At Kensho, we pride ourselves on providing top\-of\-market benefits, including:
* Medical, Dental, and Vision insurance
* 100% company paid premiums
* Unlimited Paid Time Off
* 26 weeks of 100% paid Parental Leave (paternity and maternity)
* 401(k) plan with 6% employer matching
* Generous company matching on donations to non\-profit charities
* Up to $20,000 tuition assistance toward degree programs, plus up to $4,000/year for ongoing professional education such as industry conferences
* Plentiful snacks, drinks, and regularly catered lunches
* Dog\-friendly office (CAM office)
* Bike sharing program memberships
* Compassion leave and elder care leave
* Mentoring and additional learning opportunities
* Opportunity to expand professional network and participate in conferences and events
**Recruitment Fraud Alert:**
 If you receive an email from a spglobalind.com domain or any other regionally based domains, it is a scam and should be reported to reportfraud@spglobal.com .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We are an equal opportunity employer that welcomes future Kenshins with all experiences and perspectives. Kensho is headquartered in Cambridge, MA, with an additional office location in New York City. All qualified applicants will receive consideration for employment without regard to race, color, religion, sex, sexual orientation, gender identity, or national origin.</t>
        </is>
      </c>
    </row>
    <row r="133">
      <c r="A133" t="inlineStr">
        <is>
          <t>li-4378806747</t>
        </is>
      </c>
      <c r="B133" t="inlineStr">
        <is>
          <t>Principal Ground Software Engineer I</t>
        </is>
      </c>
      <c r="C133" t="inlineStr">
        <is>
          <t>CesiumAstro</t>
        </is>
      </c>
      <c r="D133" t="inlineStr">
        <is>
          <t>linkedin</t>
        </is>
      </c>
      <c r="E133" t="inlineStr"/>
      <c r="F133" t="inlineStr"/>
      <c r="G133" t="inlineStr"/>
      <c r="H133" t="inlineStr"/>
      <c r="I133" t="inlineStr">
        <is>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We are seeking a highly skilled and experienced
 **Principal Ground Software Engineer I** 
 to join our dynamic team. The ideal candidate is a principal\-level software engineer with mandatory hands\-on experience as a satellite operator, offering unique insights into the systems they will be building and integrating.
 Your work will have a direct impact on the success of the company. You will work closely with the engineering team, program management to ensure the successful build and launch of our satellite. Element will be the largest, most powerful rideshare satellite in LEO. We’re launching eight of them in the next four years, starting with our first launch this year. Together, our small team will design, build, and iterate to reduce mass and cost while increasing performance, reliability, and manufacturability of a new generation of satellites. Let’s build!
**Job Duties And Responsibilities**
* Execute the design, development, and deployment of ground software systems for a new satellite system, including command and control, telemetry, telemetry database, and ground station software.
* Rapidly execute to produce a simple, reliable ground system.
* Implement real\-time data acquisition, processing, and visualization systems for satellite telemetry.
* Integrate and test ground software with satellite, ground stations, and network infrastructure.
* Develop automated systems for satellite operation and ground system monitoring.
* Conduct rigorous testing and validation of ground software, including simulations and real\-world scenarios.
* Troubleshoot and resolve software issues encountered during satellite operations.
* Conduct tests with ground networks, spacecraft software and hardware simulators.
* Collaborate closely with hardware engineers, satellite operators, and other software teams to ensure seamless integration and optimal performance.
* Keep up to date with the latest advancements in satellite communication technology and incorporate relevant innovations into our systems.
* Provide technical leadership and mentorship to the software development team, fostering a culture of excellence and continuous improvement.
**Job Requirements And Minimum Qualifications**
* Minimum of 9 years of experience in software engineering, with a focus on satellite ground systems.
* Bachelor’s or Master’s degree in Computer Science, Engineering, or a related field.
* Demonstrated experience leading a software team through product development.
* Prior experience as a satellite operator is required to provide clarity into the true needs of the system being developed.
* Proficiency in programming languages including Python, Java, and C\+\+
* Experience in satellite test and data collection applications.
* Strong knowledge of satellite communication protocols, such as CCSDS and CSP.
* Familiarity with ground station hardware and RF communication principles.
* Familiarity with common RF coding schemes, such as DVBS2\.
* Experience with network architectures and protocols, including TCP/IP and UDP.
* Experience with load balancing network applications and managing cloud\-based systems.
* Knowledge of Linux/Unix operating systems and system administration.
* Experience with software development methodologies, including Agile and DevOps practices.
* Knowledge of cybersecurity best practices specific to satellite and ground systems.
* Strong problem\-solving\-skills, with the ability to diagnose and resolve complex software issues in real\-time.
* Optimistic, can\-do attitude and the ability to produce in a chaotic environment.
* Excellent communication and collaboration skills, with the ability to work effectively in a multidisciplinary team environment.
**Preferred Experience**
* Experience with the Space Development Agency NEBULA standard.
* Ph. D in Computer Science, Engineering, or related field.
 $142,000 \- $189,500 a year
 CesiumAstro considers several factors when extending an offer, including but not limited to, the role and associated responsibilities, a candidate’s work experience, education/training, and key skills. Full\-time employment offers include company stock options and a generous benefits package including health, dental, vision, HSA, FSA, life, disability and retirement plans.
 CesiumAstro is an Equal Opportunity employer. All qualified applicants will receive consideration for employment without regard to race, color, religion, sex, national origin, disability, protected Veteran Status, or any other characteristic protected by applicable federal, state, or local law.
*Please note: CesiumAstro does not accept unsolicited resumes from contract agencies or search firms. Any unsolicited resumes submitted to our website or to CesiumAstro team members will be considered property of CesiumAstro, and we will not be obligated to pay any referral fees.*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4">
      <c r="A134" t="inlineStr">
        <is>
          <t>li-4379284978</t>
        </is>
      </c>
      <c r="B134" t="inlineStr">
        <is>
          <t>Lead Software Engineer - Java, AWS,Kafka</t>
        </is>
      </c>
      <c r="C134" t="inlineStr">
        <is>
          <t>JPMorganChase</t>
        </is>
      </c>
      <c r="D134" t="inlineStr">
        <is>
          <t>linkedin</t>
        </is>
      </c>
      <c r="E134" t="inlineStr"/>
      <c r="F134" t="inlineStr"/>
      <c r="G134" t="inlineStr">
        <is>
          <t>Wilmington, DE</t>
        </is>
      </c>
      <c r="H134" t="inlineStr"/>
      <c r="I134" t="inlineStr">
        <is>
          <t>**Job Description**
 We have an opportunity to impact your career and provide an adventure where you can push the limits of what's possible.
 As a Lead Software Engineer at JPMorgan Chase within the Lending Innovation product,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Help shape the future of payments at JPMorgan Chase . Your effort and ideas will drive real change for millions of customers in client banking, automated technology and more. And working here means you have the ambition to shape the future. Where people inspire excellence, leaders invest in your growth, tools and technology amplify your skills, and our scale multiplies your impact. This is what happens when you join JPMorgan Chase, where ambition meets possibility. And we want to meet you.
**Job Responsibilities**
* Lead a team of 6\-8 engineers with a strong focus on Java and AWS technologies, ensuring effective collaboration and communication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for quality assurance.
* Identifies opportunities to eliminate or automate remediation of recurring issues to improve overall operational stability of software applications and systems
* Leads evaluation sessions with external partners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in software engineering concepts with 5\+ years of applied experience
* Hands on experience with Java,J2EE, Sprint/Spring boot, AWS services, including ECS, EKS, S3, SQS, Lambda, EventBridge, SNS and related technologies
* Strong familiarities with micro\-service designs and proficient in all aspects of the Software Development Life Cycle
* Deep technical knowledge of utilizing frameworks to deliver applications, and being able to dive deep into code implementations
* Hands\-on practical experience delivering system design, application development, testing, and operational stability
* Advanced understanding of agile methodologies
* Proficient in implementing Continuous Integration and Continuous Deployment practices to streamline software development processes, enhance collaboration, and ensure rapid delivery of high\-quality software products.
* Skilled in designing and developing applications with robust resiliency features, ensuring they can withstand and recover from failures, maintain availability, and provide consistent performance under varying conditions.
* Proficient in integrating security measures within the software development lifecycle, including threat modeling, vulnerability assessment, and implementing best practices to safeguard applications against potential security threats and breaches.
**Preferred Qualifications, Capabilities, And Skills**
* AWS Developer or Architect Certifications
* 6\+ Years of Java development experience
* In\-depth knowledge of the financial services industry and their IT systems
* Experience with distributed streaming platform (Kafka)
* Proficiency in databases like Oracle and Cassandra(any other no sql database).
* Expertise in using monitoring tools like Splunk, Grafana and creating dashboards and alerts using these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35">
      <c r="A135" t="inlineStr">
        <is>
          <t>li-4318749300</t>
        </is>
      </c>
      <c r="B135" t="inlineStr">
        <is>
          <t>AI Full Stack Engineer, Manager - Tax Transformation</t>
        </is>
      </c>
      <c r="C135" t="inlineStr">
        <is>
          <t>Deloitte</t>
        </is>
      </c>
      <c r="D135" t="inlineStr">
        <is>
          <t>linkedin</t>
        </is>
      </c>
      <c r="E135" t="inlineStr"/>
      <c r="F135" t="inlineStr"/>
      <c r="G135" t="inlineStr">
        <is>
          <t>Seattle, WA</t>
        </is>
      </c>
      <c r="H135" t="inlineStr"/>
      <c r="I135" t="inlineStr">
        <is>
          <t>If you are a technology visionary with a passion for transforming global tax business with digital technology, consider working with the US Tax Transformation technology team. This is an exciting opportunity to support global execution of Deloitte's tax strategy as we shift from "doing digital" to "being digital" by reimagining how we engage with our clients, deliver our services, operate our business, and create value.
 Recruiting for this role ends on May 31, 2026\.
**What You'll Do**
 As a Deloitte Tax AI Full Stack Engineer, Manager, you'll play a lead role in designing, developing, and deploying cutting\-edge web applications and features that solve key business challenges. You'll work hands\-on across the entire technology stack, collaborating closely with other engineers, data scientists, and business stakeholders to deliver robust, scalable solutions and integrate AI components into modern web applications.
**Responsibilities:**
* Participate in requirements analysis and collaborate on software design and architecture with US colleagues, vendors, and global team members.
* Write clean, scalable, and maintainable code using .NET programming languages; revise, refactor, and debug as needed.
* Develop, support, and maintain technology solutions, ensuring applications meet client expectations in scope, functionality, quality, and delivery standards.
* Test, deploy, and monitor applications, striving for high code quality and minimal bugs in production.
* Leverage industry best practices in software development, version control, and Agile methodologies; participate in daily SCRUM calls and provide task updates.
* Work collaboratively across on\-shore and off\-shore teams to foster a culture of teamwork and knowledge sharing.
* Continuously learn and apply project management processes, development tools, and testing methodologies relevant to the team and projects.
* Design and implement AI\-driven features in enterprise web solutions (e.g., LLM\-powered recommendations, intelligent search).
* Collaborate with data science teams to integrate and productionize machine learning models.
* Develop and optimize RESTful APIs for AI/ML services, including prompt engineering for GenAI solutions.
* Utilize Azure AI/ML platform, vector databases, and related tools for the deployment and monitoring of AI features.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or a relevant discipline.
* 5 \+ years of experience in full stack web development and strong hands\-on experience on C\#, SQL Server, OOPS Concepts, Micro Services Architecture.
* Demonstrated proficiency in modern front\-end frameworks (e.g., Angular, React).
* Proven hands\-on experience on .NET Core, ASP.NET Core Web API, SQL, NoSQL, Entity Framework 6 or above, Azure, Database performance tuning, Applying Design Patterns, Agile.
* Ability to travel up to 10%,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Certified SAFe® Advanced Scrum Master
* Certified SAFe® Agile Software Engineer
* Certified SAFe® Agilist
* Certified SAFe® Architect
* Certified SAFe® DevOps Practitioner
* Certified SAFe® Practitioner
* Certified SAFe® Scrum Master
* Certified Scrum Developer (CSD)
* MCSD: Application Lifecycle Management Solutions Developer
* MCSD: Web Applications
* Microsoft Azure
* Microsoft Certified Solutions Developer (MCSD)
* Microsoft Certified Solutions Expert (MCSE)
* Microsoft MCSD Certification
* Professional Scrum Developer™ (PSD)
* Professional Scrum Product Owner™(PSCPO) \- SCRUM.org
 Preferred:
* Practical experience integrating and utilizing AI/ML features in web applications, including prompt engineering and working with Gen AI models.
* Familiarity with designing and integrating databases (SQL, NoSQL) and working with vector databases, RAG, and hybrid search approaches.
* Prior experience developing agentic AI applications or GenAI\-powered modules.
* Experience with Azure (cloud hosting, DevOps/build/release pipelines), MongoDB, and Entity Framework.
* Excellent troubleshooting and communication skills.
* Strong verbal and written communication skills; strong listening, interpersonal, and facilitation skills.
* Knowledge on Angular, Mongo DB, NPM and Azure Devops Build/Release configuration.
* Self\-starter with solid analytical and problem\-solving skills.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$119,490 to $272,090\.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136">
      <c r="A136" t="inlineStr">
        <is>
          <t>li-4377729583</t>
        </is>
      </c>
      <c r="B136" t="inlineStr">
        <is>
          <t>Sr. RF Silicon Software Engineer (Starlink)</t>
        </is>
      </c>
      <c r="C136" t="inlineStr">
        <is>
          <t>Jobs via Dice</t>
        </is>
      </c>
      <c r="D136" t="inlineStr">
        <is>
          <t>linkedin</t>
        </is>
      </c>
      <c r="E136" t="inlineStr"/>
      <c r="F136" t="inlineStr"/>
      <c r="G136" t="inlineStr">
        <is>
          <t>Redmond, WA</t>
        </is>
      </c>
      <c r="H136" t="inlineStr"/>
      <c r="I136"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RF SILICON SOFTWARE ENGINEER (STARLINK)**
 At SpaceX we're leveraging our experience in building rockets and spacecraft to deploy Starlink, the world's most advanced broadband internet system. Starlink is the world's largest satellite constellation and is providing fast, reliable connectivity to millions of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SpaceX is looking for engineers with backgrounds in electrical engineering and software development to bring new silicon to life. The ideal candidate will have real\-world experience in multiple areas that span the hardware/software boundary: RF measurements, automation software, hardware development, and embedded firmware. You will be part of a multidisciplinary team focused on solving challenging problems related to the silicon used in all terrestrial/space\-based elements of a high\-performance wireless digital communication system. You will join a team with "extreme ownership" of the silicon life\-cycle, from system requirements, to chip design, to characterization, to production ramp\-up, to on\-orbit telemetry monitoring.
**RESPONSIBILITIES:**
 As an engineer on the RFIC team, you will solve challenging problems related to all aspects of the RF silicon that we design in\-house. Much of the measurement system software and hardware that you create will be first\-generation, supporting RF/RFIC designs well into the future.
* Bring up new RF silicon as the first engineer to power on chips for the very first time
* Design and build modular, reusable software driver libraries for low\-level silicon control with special attention to timing, throughput, performance, and simplicity
* Design and build hardware test platforms (hardware\-in\-the\-loop/HTIL/HIL), and validate silicon driver software on physical hardware or FPGA emulators
* Support software integration into multiple project\-specific flight software teams such as satellite phased\-arrays and user terminal production
**BASIC QUALIFICATIONS:**
* Bachelor's degree in electrical engineering, computer engineering or computer science
* 5\+ years of professional development experience in C, C\+\+, or Python
**PREFERRED SKILLS AND EXPERIENCE:**
* Professional experience developing, debugging, and deploying software that has been used in real\-world applications or projects
* Solid engineering fundamentals and knowledge of electronics, math, physics, and RF communication systems
* Strong skills in debugging, performance optimization, and unit testing
* Creative approach to problem\-solving and exceptional analytical skills
* Excellent communication skills both written and verbal
* Ability to work effectively in a dynamic environment with changing needs and requirements
**ADDITIONAL REQUIREMENTS:**
* Must be willing to work extended hours and weekends as needed to meet critical milestones
**COMPENSATION AND BENEFITS:**
 Pay range:
 RF Silicon Software Engineer/Senior: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t>
        </is>
      </c>
    </row>
    <row r="137">
      <c r="A137" t="inlineStr">
        <is>
          <t>li-4299767500</t>
        </is>
      </c>
      <c r="B137" t="inlineStr">
        <is>
          <t>Staff Software Engineer - Front End (Bangkok based, Relocation provided)</t>
        </is>
      </c>
      <c r="C137" t="inlineStr">
        <is>
          <t>Agoda</t>
        </is>
      </c>
      <c r="D137" t="inlineStr">
        <is>
          <t>linkedin</t>
        </is>
      </c>
      <c r="E137" t="inlineStr"/>
      <c r="F137" t="inlineStr"/>
      <c r="G137" t="inlineStr">
        <is>
          <t>Seattle, WA</t>
        </is>
      </c>
      <c r="H137" t="inlineStr"/>
      <c r="I137"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**Shape the Future of Frontend at Agoda as a Staff Software Engineer in Bangkok**
 Are you a visionary Front\-End architect seeking a new adventure? Lead Agoda’s front end transformation and drive seamless experiences for millions. Join our multilingual, multicultural engineering team in Bangkok and make a global mark—with world\-class relocation and family support.
**Why Agoda \&amp; Why Bangkok?**
* Global Engineering, Global Impact: Join a high\-energy, international team driving innovation across regions.
* Vibrant Bangkok HQ: Work in a tech\-centric city with a thriving expat community, beautiful culture, and world\-famous cuisine.
* English\-First: Work and collaborate in English—no Thai required!
**Your Role \&amp; Impact**
* Spearhead architecture and system design of Agoda’s next\-gen front end systems
* Drive best\-in\-class performance, accessibility, and usability
* Mentor and subject\-matter\-expert for the FE engineering team
* Influence stakeholders in the Product and Business teams
* Set technical standards and ensure scalability
**What You’ll Bring**
* 8\+ years’ experience building and leading rich web applications at scale
* Deep mastery of JavaScript/TypeScript and modern frameworks (React, Next, Vue)
* Portfolio of building robust, high\-performance SPA/SSR front ends and core web vitals
* Strong background in team leadership, system design, and stakeholder influence
* Bonus: Experience with A/B experimentation, international exposure, or travel/e\-commerce products
**What We Offer**
* Premium Relocation \&amp; Expat Support:
* Visa, flight \&amp; moving package for you and family
* Temporary housing, settling\-in help, and expat community onboarding
* Spousal/partner and family adaptation support
* Unique Agoda Perks:
* International healthcare benefits
* Hybrid remote/Bangkok HQ model
* Learning and development budget, hackathons, and internal tech communities
**Get to know first\-hand testimonials of Agodans relocating from around the world to Bangkok:** 
**https://careersatagoda.com/agodans\-in\-bangkok/**
**Agoda’s Engineering Blog:** 
**https://medium.com/agoda\-engineering**
**This position is based in Bangkok, Thailand (Relocation Provided)**
 \#bangalore \#sanfrancisco \#newyork \#seattle \#hyderabad \#Pune \#London \#Delhi \#Chennai \#Toronto \#Dallas \#losangeles \#washingtonDC \#Austin \#Chicago \#Atlanta \#SaoPaulo \#mumbai \#vancouver \#IT \#ENG \#4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138">
      <c r="A138" t="inlineStr">
        <is>
          <t>li-4378470659</t>
        </is>
      </c>
      <c r="B138" t="inlineStr">
        <is>
          <t>Experienced Software Developer Engineer (P-8 Mission Systems)</t>
        </is>
      </c>
      <c r="C138" t="inlineStr">
        <is>
          <t>Jobs via Dice</t>
        </is>
      </c>
      <c r="D138" t="inlineStr">
        <is>
          <t>linkedin</t>
        </is>
      </c>
      <c r="E138" t="inlineStr"/>
      <c r="F138" t="inlineStr"/>
      <c r="G138" t="inlineStr">
        <is>
          <t>Kent, WA</t>
        </is>
      </c>
      <c r="H138" t="inlineStr"/>
      <c r="I138" t="inlineStr">
        <is>
          <t>**Company:**
 The Boeing Company
 The Boeing Company is currently seeking an
 **Experienced Software Developer Engineer** 
 to support our P\-8 Mission Systems Software team located in Kent, Washington. This position will focus on supporting the Boeing Defense, Space and Security Services (BDS) Software Engineering organization.
 In this position, you will be responsible for designing and developing Mission Systems software, testing, and supporting system functionality including operational support. This position will focus on supporting the Boeing Defense, Space and Security Services (BDS) Software Engineering organization.
 You'll be an integral part of supporting the Boeing Defense, Space and Security (BDS) P\-8 Poseidon program, which is the premier Anti\-Submarine Warfare (ASW) platform for the US Navy and several international partners. Upcoming contract awards have enabled team expansion and growth. This franchise program is anticipated to continue to be a stable program for the foreseeable future.
 We are seeking a leader that is passionate about aerospace and excited to work in a multi\-disciplined, collaborative engineering environment that supports the design, development, and implementation of software for existing and emerging government and international programs.
 This exciting position requires demonstrated experience as a Software Developer Engineer, knowledge of the full software development life cycle (requirements, design, code, test), and the clear exhibition of superior judgment and decision making to engineer new solutions and support existing capabilities for multiple programs and customers. Demonstrated critical thinking and troubleshooting skills are required.
**Position Responsibilities:**
* Designs, develops, tests, and maintains non\-embedded software throughout the end\-to\-end lifecycle that meets industry, customer, safety, and regulation standards.
* Reviews, analyzes, and translates customer requirements into initial design of software products.
* Develops, maintains, enhances and optimizes software products and functionalities for systems integrations.
* Develops, documents and maintains architectures, requirements, algorithms, interfaces and designs for software products.
* Debugs and resolves issues identified to ensure the reliability and efficiency of software products.
* Handles user inquiries, troubleshoots technical issues and user feedback analysis.
* Implements current and emerging technologies, tools, frameworks and changes in regulations relevant to software development.
* Develops, establishes, monitors and improves software processes, tools and key performance metrics that align projects with organizational goals and industry benchmarks.
* Executes and documents software research and development projects.
* Advises on software domains, system\-specific issues, processes and regulations.
* Performs software project management activities and software supplier management functions.
* Tracks and evaluates software team and supplier performance to ensure product and process compliance to project plans and industry standards.
**Basic Qualifications (Required Skills/Experience):**
* ship required
* Ability to obtain a Secret U.S. Security Clearance
* Bachelor of Science degree from an accredited course of study in engineering, engineering technology, mathematics, data science, or computer science with 3 or more years of engineering work experience.
* 3 or more years of engineering work experience in:
+ Java (preferred), C\+\+ or C programming language experience
+ Linux or Windows development environments
+ Agile software development processes
**Preferred Qualifications (Desired Skills/Experience):**
* Software Architecture experience
* Software Requirements experience
* Interface design and control document experience
* Troubleshooting H/W and S/W issues in a complex environment
* Scripting languages: XML, Pearl, Python
* Exposure to Object Oriented Design
* Use case development
* Supporting contractual deliverables
* Development of User Interface design
* Experience in Weapons Integration on military platforms
* Experience in engineering discipline(s) (e.g., electrical, mechanical, software engineering) applied to product related systems throughout the product development life cycle, from concept development to deployment
* Experience with implementation, validation, and verification processes, practices, and guidelines to ensure software development quality, performance, and safety
**Drug Free Workplace:**
 Boeing is a Drug Free Workplace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$135,150 \- $182,850
**Language Requirements:**
 Not Applicable
**Education:**
 Not Applicable
**Relocation:**
 This position offers relocation based on candidate eligibility.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requires the ability to obtain a U.S. Security Clearance for which the U.S. Government requires U.S. Citizenship. An interim U.S. Secret Clearance Pre\-Start and final U.S. Secret Clearance Post\-Start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139">
      <c r="A139" t="inlineStr">
        <is>
          <t>li-4378470656</t>
        </is>
      </c>
      <c r="B139" t="inlineStr">
        <is>
          <t>Senior Software Engineer- Agentic AI &amp; Sentiment Intelligence</t>
        </is>
      </c>
      <c r="C139" t="inlineStr">
        <is>
          <t>Jobs via Dice</t>
        </is>
      </c>
      <c r="D139" t="inlineStr">
        <is>
          <t>linkedin</t>
        </is>
      </c>
      <c r="E139" t="inlineStr"/>
      <c r="F139" t="inlineStr"/>
      <c r="G139" t="inlineStr">
        <is>
          <t>Redmond, WA</t>
        </is>
      </c>
      <c r="H139" t="inlineStr"/>
      <c r="I139" t="inlineStr">
        <is>
          <t>**Overview**
 If you're an engineer eager to build the next generation of agentic AI systems and redefine how Microsoft understands and acts on customer sentiment, we want to hear from you. Your work will shape high\-visibility AI investments and empower billions of users worldwide.
 Copilots are transforming how we empower people and organizations, and customer sentiment is at the center of building responsible, high\-impact AI. The IDEAS Sentiment team powers how product groups across Microsoft 365\-including Copilot, Windows, Teams, Outlook, Edge, Word, Excel, PowerPoint and more\-listen to customers at scale, generate insights, and close the loop.
 We are now pushing into a new frontier: agentic AI that can reason, orchestrate tasks, enrich feedback, and autonomously produce actionable insights across millions of signals.
 We're seeking a
 **Senior Software Engineer** 
 with deep expertise in agentic AI, LLM systems, modern AI CLI tooling, and scalable cloud architectures. This individual contributor role is designed for an AI expert who will elevate engineering excellence and accelerate our transformation into an Agentic AI\-first sentiment intelligence platform.
 At Microsoft, our mission is to empower every person and every organization on the planet to achieve more. We work with a growth mindset, respect, integrity, and a commitment to inclusion. You'll join a collaborative team that values curiosity, technical rigor, and building AI systems that make a meaningful impact\-at global scale.
**Responsibilities**
* Lead the design, development, and deployment of complex data pipelines and services.
* Write high\-quality, maintainable, and well\-tested code in languages such as C\#, Java, or C\+\+.
* Use scripting languages (e.g., Python, PowerShell) to automate data workflows and operational tasks.
* Collaborate with cross\-functional teams to define technical requirements and drive architectural decisions.
* Mentor junior engineers and contribute to team growth and best practices.
* Apply deep technical expertise to solve challenging data engineering problems at scale.
**Qualifications**
**Required Qualifications:**
* Bachelor's Degree in Computer Science or related technical field AND 4\+ years technical engineering experience with coding in languages including, but not limited to, C, C\+\+, C\#, Java, JavaScript, or Python
+ OR equivalent experience.
* Strong proficiency in agentic AI frameworks, LLM orchestration, prompt engineering, and autonomous workflow design.
* Experience developing cloud\-native systems using Azure, including microservices, data services, and distributed computation.
* Familiarity with modern AI development CLI tools, evaluation frameworks, vector search, embeddings, and model debugging.
* Solid problem\-solving skills and experience with large\-scale data systems.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Experience with cloud platforms (e.g., Azure, AWS) and big data technologies.
* Advanced expertise in LLM\-based agents, including planning, memory management, tool\-use patterns, and multi\-step reasoning.
* Expertise with distributed systems, data modeling, and performance optimization.
* Track record of driving cross\-team collaboration and delivering impactful solutions.
 \#DPG \#DPGHiring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0">
      <c r="A140" t="inlineStr">
        <is>
          <t>li-4361700110</t>
        </is>
      </c>
      <c r="B140" t="inlineStr">
        <is>
          <t>Agentic AI Senior Software Engineer - S&amp;P Global</t>
        </is>
      </c>
      <c r="C140" t="inlineStr">
        <is>
          <t>Jobs via eFinancialCareers</t>
        </is>
      </c>
      <c r="D140" t="inlineStr">
        <is>
          <t>linkedin</t>
        </is>
      </c>
      <c r="E140" t="inlineStr"/>
      <c r="F140" t="inlineStr"/>
      <c r="G140" t="inlineStr">
        <is>
          <t>Princeton, NJ</t>
        </is>
      </c>
      <c r="H140" t="inlineStr"/>
      <c r="I140" t="inlineStr">
        <is>
          <t>**About the Role:**
**Grade Level (for internal use):**
 12
 **Team:** 
 S\&amp;P Global Ratings
**The role: Agentic AI Senior Software Engineer**
**Location:** 
 NJ or NY (2 days onsite a week)
****Role Summary****
 This
 **Senior role** 
 anchors the
 **Agentic AI strategy** 
 within the
 **S\&amp;P Global Ratings Quality Engineering** 
 organization. You will design and implement
 **AI\-driven solutions** 
 that transform QE practices\-enabling
 **autonomous testing** 
 ,
 **predictive insights** 
 , and
 **intelligent decision\-making** 
 .
 As a hands\-on technical architect, you will collaborate across
 **Engineering** 
 ,
 **Product** 
 ,
 **Data Science** 
 , and
 **Transformation** 
 teams to embed
 **Agentic AI** 
 into the QE lifecycle\-without direct people management responsibilities.
**Key Outcomes**
* Architect and implement Agentic AI platforms for autonomous testing and defect triage.
* Integrate AI copilots and LLM\-powered agents into QE workflows.
* Drive adoption of AI decision frameworks to enhance engineering effectiveness.
* Collaborate with customer experience advocates to align AI quality insights with customer journeys.
* Partner and embed AI maturity benchmarks (e.g., TMMi).
* Enable QE through intelligent environments, data observability, and ethical AI governance.
**Strategic Responsibilities**
* Define and execute the Agentic AI architecture roadmap for QE transformation.
* Evaluate and integrate LLMOps, GenAI, and autonomous agent frameworks.
* Lead AI experimentation labs to validate use cases and proofs of concept.
* Ensure AI solutions are scalable, secure, and compliant with enterprise standards.
* Stay current with advancements in Agentic AI, GenAI, and AI\-powered DevSecOps.
**Required Skills \&amp; Experience**
* 15\+ years in Quality Engineering or Software Engineering, with deep hands\-on expertise in AI/ML.
* Proven experience in AI/ML applications for QE, including GenAI, LLMOps, and intelligent automation.
* Strong proficiency in AI model testing, data observability, and AI governance.
* Hands\-on skills in Python, Azure AI, ML pipelines, and containerized environments.
* Familiarity with data privacy regulations, ethical AI, and secure engineering practices.
* Ability to work across Product, Engineering, CX, and Transformation teams.
**Preferred Qualifications**
* Experience in regulated industries (e.g., finance, healthcare, telecom).
* Certifications in AI/ML, Generative AI, or Enterprise AI Strategy.
* Knowledge of DevSecOps, TMMi, and AI adoption frameworks.
**What's in it for You?**
* Lead the Agentic AI transformation within a global Quality Engineering function.
* Shape the future of AI\-augmented enterprise quality, setting industry benchmarks.
* Drive measurable outcomes in efficiency, engineering effectiveness, and user\-centric quality.
* Collaborate with global teams in a dynamic, inclusive, and innovation\-driven environment.
**Right to work requirements:**
 This role is open only for candidates with indefinite right to work within the USA.
**Compensation/Benefits Information (US Applicants Only):**
 S\&amp;P Global states that the anticipated base salary range for this position is $110,000 \- $170,000\. Final base salary for this role will be based on the individual's geographical location as well as experience and qualifications for the role.
 In addition to base compensation, this role is eligible for an annual incentive plan. This role is not eligible for additional compensation such as an annual incentive bonus or sales commission plan.
 This role is eligible to receive additional S\&amp;P Global benefits. For more information on the benefits we provide to our employees, please click here .
****About S\&amp;P Global Ratings****
 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
 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****About S\&amp;P Global Ratings****
 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
 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www.spglobal.com/ratings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S\&amp;P Global has a Securities Disclosure and Trading Policy ("the Policy") that seeks to mitigate conflicts of interest by monitoring and placing restrictions on personal securities holding and trading. The Policy is designed to promote compliance with global regulations. In some Divisions, pursuant to the Policy's requirements, candidates at S\&amp;P Global may be asked to disclose securities holdings. Some roles may include a trading prohibition and remediation of positions when there is an effective or potential conflict of interest. Employment at S\&amp;P Global is contingent upon compliance with the Policy.
**Recruitment Fraud Alert:**
 If you receive an email from a spglobalind.com domain or any other regionally based domains, it is a scam and should be reported to reportfraud@spglobal.com .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202 \- Middle Professional (EEO Job Group) (inactive), 20 \- Professional (EEO\-2 Job Categories\-United States of America), IFTECH202\.2 \- Middle Professional Tier II (EEO Job Group)</t>
        </is>
      </c>
    </row>
    <row r="141">
      <c r="A141" t="inlineStr">
        <is>
          <t>li-4375214905</t>
        </is>
      </c>
      <c r="B141" t="inlineStr">
        <is>
          <t>Lead Software Engineer - MFS Investment Management</t>
        </is>
      </c>
      <c r="C141" t="inlineStr">
        <is>
          <t>Jobs via eFinancialCareers</t>
        </is>
      </c>
      <c r="D141" t="inlineStr">
        <is>
          <t>linkedin</t>
        </is>
      </c>
      <c r="E141" t="inlineStr"/>
      <c r="F141" t="inlineStr"/>
      <c r="G141" t="inlineStr">
        <is>
          <t>Boston, MA</t>
        </is>
      </c>
      <c r="H141" t="inlineStr"/>
      <c r="I141" t="inlineStr">
        <is>
          <t>At MFS, you will find a culture that supports you in doing what you do best. Our employees work together to reach better outcomes, favoring the strongest idea over the strongest individual. We put people first and demonstrate care and compassion for our community and each other. Because what we do matters \- to us as valued professionals and to the millions of people and institutions who rely on us to help them build more secure and prosperous futures.
**THE ROLE**
 Using discretion and judgment, drives solutions to business issues through analyzing business processes and environment and leveraging technology for business units across the organization. Leads effort throughout the software development lifecycle with a focus on creating software at an advanced level with an adherence to standards and internal best practices. May serve as a team lead for small to midsized projects working with project management, business systems analysts and quality assurance to collaboratively meet tight deadlines. Responsible for ensuring that standards are established and adhered to throughout a project. Evaluates and prioritizes work within a project or group of projects. Primary contact with customer base for all work done within a project throughout its life. May lead and/or participate multiple projects. Significant areas of focus will include Legal, Compliance and Enterprise Risks domains \&amp; systems.
**What You Will Do**
* At an expert level contribute to the design and development of tools which end users need for mission critical functions.
* Leads projects through to completion. Interprets business requirements, analyzes environment, maps requirements to design, codes, debugs, unit tests programs to deliver final product. Works with business analysts and user community to understand and evaluate business needs. Analyzes these needs and assists in the selection of appropriate technologies to provide an optimal solution.
* Keeps technical skills current; well\-versed in several areas of technology. Assists System Architects in the selection of new product.
* Able to guide and advise junior colleagues through technical issues.
* Documents code and processes to aid in system support and facilitate knowledge transfer.
* Responsible for process creation and improvement. Examines workflow and recommends ways to increase efficiency or effectiveness. Helps to standardize processes across projects.
* Provide support for processes and applications., including on\-call responsibilities.
* Acts as a consultant to others within the department to share information and advice other development efforts.
* Designs and implements database changes.
* Performs additional related responsibilities as necessary
**WHAT WE ARE LOOKING FOR**
* Bachelor's degree in computer science or related technical field, or equivalent experience.
* Minimum 5\-6\+ years of relevant experience
* Strong programming skills in two or more languages: Power Platform (Power Apps, Power Automate, Power BI), Azure, React/Java script, PL SQL, Python
* Strong adoption of Gen AI using Github Copilot and code generation tools.
* Experience with systems architecture \&amp; configuration
* Experience building integrations with multi\-tiered third\-party systems, both hosted and on\-premises.
* Experience working in a continuous integration environment, i.e., automated build and code scanning is preferred.
* Strong oral/written communication skills and front office support experience preferred. Excellent communication and interpersonal skills
* Experience working within a mature SDLC model; working closely with BA and QA teams as well as end users to drive solutions to completion. Knowledge and proven experience in software development methodology
* Relational database knowledge and experience
* Strong troubleshooting and analytical skills; demonstrated ability to make independent decisions. Planning and estimating skills required.
* Ability to provide support. Knowledge of Maestro scheduler and Perl helpful. Experience as an Informatica Administrator advantageous.
**PREFFERED**
* General knowledge and understanding of Trading or Investment Decision Support Systems are a definite plus
* Project work experience with globally distributed teams is preferred.
* Knowledge of financial services preferred.
 Base Salary Range: $ 110,000 $ 158,500
 At MFS, we believe in fair and transparent compensation. For that reason, we're including the salary range for this position. This range reflects our good\-faith expectation for what we'll pay depending on the candidate's experience, training and education. In addition to the salary, we also offer significant and competitive incentive compensation based on both individual and company performance. Other components of our Total Rewards Package include:
* MFS contributes an amount equal to 15% of your base salary to your retirement account that is separate from the company \-sponsored 401(k)
* Education Assistance: MFS contributes $100 monthly up to $10,000 lifetime maximum directly to loan provider
* Education Assistance: Tuition reimbursement up to $8,000 annually
* Education Assistance: Access to discounted tutors and college coaches
* Generous time off and fully paid leaves including 20\-weeks for maternity, 12\-weeks for parental and caregiver leaves
* Choice of medical and dental plans and an and an employer contribution into the Health Savings Account
* Tax deferred commuter benefits \&amp; flexible spending accounts (medical \&amp; dependent care)
* Wellness Programs: Robust wellness webinars, employee assistance program with a focus on mental health, subsidized fitness benefit via Wellhub (formerly Gympass), where you can workout at gyms, studios and boutique fitness locations near you, join virtual personal training sessions and access a wide variety of well\-being apps
 Our compensation philosophy is to pay competitively for talent while ensuring equity across employees performing comparable work. We are committed to transparency \- if you have questions about how we arrived at this range or what additional benefits and bonus opportunities come with the role, we'll be happy to discuss them
 At MFS, we are dedicated to building a diverse, inclusive and authentic workplace. If you are excited about this role but your past experience doesn't align perfectly, we encourage you to apply \- you might be just the right candidate for this role or others.
 MFS is a
 **hybrid work environment** 
 (remote/onsite) unless otherwise stated in the job posting.
 If any applicant is unable to complete an application or respond to a job opening because of a disability, please contact MFS at 617\-954\-5000 or email talent\_acquisition@mfs.com for assistance.
 MFS is an Equal Opportunity Employer and it is our policy to not discriminate against any employee or applicant for employment because of race, color, religion, sex, national origin, age, marital status, sexual orientation, gender identity, genetic information, disability, veteran status, or any other status protected by federal, state or local laws. Employees and applicants of MFS will not be subject to harassment on the basis of their status.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Please see the Know Your Rights: Workplace Discrimination is Illegal document, linked for your reference.</t>
        </is>
      </c>
    </row>
    <row r="142">
      <c r="A142" t="inlineStr">
        <is>
          <t>li-4299773451</t>
        </is>
      </c>
      <c r="B142" t="inlineStr">
        <is>
          <t>Lead Software Engineer - Front End (Bangkok based, Relocation provided)</t>
        </is>
      </c>
      <c r="C142" t="inlineStr">
        <is>
          <t>Agoda</t>
        </is>
      </c>
      <c r="D142" t="inlineStr">
        <is>
          <t>linkedin</t>
        </is>
      </c>
      <c r="E142" t="inlineStr"/>
      <c r="F142" t="inlineStr"/>
      <c r="G142" t="inlineStr">
        <is>
          <t>Los Angeles, CA</t>
        </is>
      </c>
      <c r="H142" t="inlineStr"/>
      <c r="I14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Agoda’s front\-end teams focus on various product aspects including accommodations, flights, and payments. We build localized, optimized user experiences globally across mobile websites, native apps, and desktop sites, fostering innovation and constant improvement through data\-driven practices.
**The Opportunity:** 
 As a Lead Software Engineer (Front End) at Agoda, you will drive the technological evolution of our front\-end systems. You will be responsible for architecting, implementing, and optimizing user interfaces that enhance the user experience for millions of travelers worldwide. This position requires a deep understanding of front\-end development principles, a passion for crafting exceptional user experiences, and expertise in various front\-end technologies.
**In this role, you’ll get to:**
* Lead the design and development of highly distributed, large\-scale front\-end applications.
* Drive collaboration with product managers, product designers, and engineers to design, implement, and improve scalable applications and services.
* Serve as a front\-end expert on large\-scale projects, providing technical guidance and mentorship.
* Hands\-on development of proof of concepts and evaluation of new technologies.
* Implement technical, strategic decisions in cross\-functional teams.
* Leading in building a culture that optimizes applications using best practices for performance.
* Maintaining coding standards and staying up\-to\-date to industry and technology development.
* Part of strategic discussion relating to Agoda's future technology directions and development practices.
* Contribute to the professional development of the team.
**What you’ll Need to Succeed:**
* 12\+ years of software development experience in building large scale web application, with a minimum of 3 years in a Tech Lead role.
* Proven experience designing, building, improving, and operating high\-performance, scalable front\-end systems.
* Extensive experience with client\-side technologies \&amp; modern frameworks (e.g., Javascript, Typescript, React).
* Eager to work in multiple programming languages and frameworks, constantly striving to raise technical excellence.
* Experience mentoring and growing Senior and Staff engineers through thorough and convincing communication.
* Provides technical direction within and across groups by leading projects and building systems with company\-wide impact.
* Strong understanding of the business and how their systems impact the bottom line; able to redirect the team based on business priorities.
* Constantly read and learn, moving Agoda forward technically, influencing other teams, and proactively improving others.
**It’s great if you have:**
* Knowledge of physical architecture at scale, building resilience and highly available solutions.
* Strong experience in all aspects of client\-side performance optimization.
* Proficiency in modern coding and design practices. For example, Clean Code, SOLID principals, and TDD.
* Knowledge of back\-end technologies and how they integrate with front\-end systems.
**This position is based in Bangkok, Thailand (Relocation Provided)**
 \#sanfrancisco \#newyork \#seattle \#bangalore \#london \#toronto \#sydney \#washingtonDC \#boston \#losangeles \#austin \#dallas \#hyderabad \#denver \#melbourne \#chicago \#atlanta \#vancouver \#berlin \#saopaulo \#IT \#ENG \#4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143">
      <c r="A143" t="inlineStr">
        <is>
          <t>li-4378347944</t>
        </is>
      </c>
      <c r="B143" t="inlineStr">
        <is>
          <t>Software Engineer</t>
        </is>
      </c>
      <c r="C143" t="inlineStr">
        <is>
          <t>Gem</t>
        </is>
      </c>
      <c r="D143" t="inlineStr">
        <is>
          <t>linkedin</t>
        </is>
      </c>
      <c r="E143">
        <f>HYPERLINK("https://www.linkedin.com/jobs/view/4378347944", "https://www.linkedin.com/jobs/view/4378347944")</f>
        <v/>
      </c>
      <c r="F143">
        <f>HYPERLINK("https://jobs.gem.com/gem/4965519002?utm_source=GemJobBoardLink&amp;utm_medium=4078733002&amp;urlHash=MLJl", "https://jobs.gem.com/gem/4965519002?utm_source=GemJobBoardLink&amp;utm_medium=4078733002&amp;urlHash=MLJl")</f>
        <v/>
      </c>
      <c r="G143" t="inlineStr">
        <is>
          <t>San Francisco, CA</t>
        </is>
      </c>
      <c r="H143" t="inlineStr"/>
      <c r="I143" t="inlineStr">
        <is>
          <t>Role Details
* Location: This role is based 3 days per week out of our San Francisco, HQ and is not eligible for full\-time remote work.
* Compensation: The annual cash compensation range for this position is $190,000–$260,000 based on level in addition to equity \&amp; benefits.
*The range displayed on this job posting reflects the minimum and maximum compensation. Factors including location, level, job\-related knowledge, skills, and experience will determine compensation.*
**About Gem**
 Gem is the only AI\-first all\-in\-one recruiting platform. It brings together your ATS, CRM, sourcing, scheduling, and analytics — plus 650\+ million profiles to source from — with AI built into every workflow. By eliminating the headaches of juggling multiple tools, Gem helps customers boost recruiter productivity by up to 5x while saving 30\-50% on technology costs. Over 1,000 organizations — from startups to industry leaders like Zillow, DoorDash, and Asana — trust Gem to fuel their growth. With an industry\-leading 4\.8/5 rating on G2, Gem is the platform recruiters actually love to use. Gem has raised $148M from renown investors including Accel, Greylock, ICONIQ, Sapphire, and Meritech.
 With Gem, You Can Experience The Power Of a Truly Connected Recruiting Platform — One Consistent Interface, Unified Data, Smarter AI Recommendations, And Simplified Permissions. Our Customers Achieve Remarkable Results
 Just as we strive to help our customers find great talent, we also invest in our own people and culture. We are proud of the culture we’ve built and have recently been recognized as:
* Forbes America's Best Startup Employers 2025
* Great Place to Work Certified, 2024
* Fortune Best Workplaces for Millennials, 2023
 The Team and Role
* Gem engineers work closely with product managers and designers to influence product direction, company roadmap, and business outcomes.
* We stay close to customers by joining customer calls, and reading customer feedback.
* We enjoy shipping features, moving fast, and being scrappy.
* We are receptive to feedback and continuously work on improving both our product and our craft.
* We work out of our San Francisco office.
* Read more about our company values.
 What You’ll Do Day\-to\-Day
* Own product features end\-to\-end alongside your product manager, engineering manager and designer.
* Work primarily with Typescript, React, Python, GraphQL, Node, PostgreSQL.
* Collaborate with engineers on your team and across Gem on code reviews, data model, architecture, and product decisions.
* Stay close to our customers.
* Embody our company values of ownership, velocity, customer centricity, diversity and transparency.
* Influence decisions and have direct impact on business outcomes.
**About You**
* You have industry experience as a software engineer, building user\-facing products.
* You move with velocity and invest in improving your craft.
* You are good at driving solutions by communicating and working cross\-functionally.
* You are energized by collaborating in\-office with your peers.
**Benefits**
* Highly competitive salary \&amp; equity
* 10\-year window to exercise your stock options
* Supportive Flexible Time Off program
* 16 paid holidays, including regular company\-wide wellness days
* Best\-in\-class medical, dental \&amp; vision insurance
* $1,200 annual stipend for learning and development opportunities
* 16 weeks of Paid Parental Leave for birthing and non\-birthing parents
* New Parent Perks totaling $1,500 and flexibility upon return to work
 Gem is an equal opportunity employer. We celebrate our inclusive work environment and encourage folks of all backgrounds and perspectives to apply. At Gem, we’re committed to having an inclusive and transparent environment where every voice is heard and acknowledged. We embrace our differences, and know that our diverse team is a strength that drives our success.
 Gem is committed to developing a barrier\-free recruitment process and work environment. If you require any accommodation, please email us at accommodations@gem.com and we’ll work with you to meet your accessibility needs.
**Gem’s Candidate Privacy Notice**
 By clicking “Submit Application”, you acknowledge and agree that you have read and understand Gem’s Candidate Privacy Statement, including the information provided on how Gem processes your personal data and your related rights as set forth therein.</t>
        </is>
      </c>
    </row>
    <row r="144">
      <c r="A144" t="inlineStr">
        <is>
          <t>li-4365588041</t>
        </is>
      </c>
      <c r="B144" t="inlineStr">
        <is>
          <t>Software Engineering Manager, Mobile (Android), Google Messages</t>
        </is>
      </c>
      <c r="C144" t="inlineStr">
        <is>
          <t>Google</t>
        </is>
      </c>
      <c r="D144" t="inlineStr">
        <is>
          <t>linkedin</t>
        </is>
      </c>
      <c r="E144">
        <f>HYPERLINK("https://www.linkedin.com/jobs/view/4365588041", "https://www.linkedin.com/jobs/view/4365588041")</f>
        <v/>
      </c>
      <c r="F144" t="inlineStr"/>
      <c r="G144" t="inlineStr">
        <is>
          <t>San Jose, CA</t>
        </is>
      </c>
      <c r="H144" t="inlineStr"/>
      <c r="I144" t="inlineStr">
        <is>
          <t>**Minimum qualifications:**
* Bachelor’s degree, or equivalent practical experience.
* 8 years of experience in software development (e.g., Java, Kotlin).
* 3 years of experience with android application development.
* 3 years of experience in a technical leadership role.
* 2 years of experience in a people management or team leadership role.
**Preferred qualifications:**
* Master's degree or PhD in Computer Science or a related technical field.
* 3 years of experience working in a complex, matrixed organization.
* Experience building mobile applications on android.
* Experience with mobile apps with a large user\-base.
* Experience managing 6 engineers as an engineering manager or technical lead manager.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App Basics team is a core part of Google Messages, delivering a seamless and engaging messaging experience to over 1 billion monthly active users. The team is responsible for key user journeys and user interface (UI) surfaces within Google Messages.
 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Support a team of 10 engineers responsible for several key UI surfaces within the Google Messages app.
* Advocate for the team, helping individuals grow and succeed while aligning team strategy, processes, and decision\-making.
* Work with cross\-functional product manager/user experience peers and technical leads on the team to set the product roadmap, plan, and deliver features.
* Balance the need to build new features while proactively identifying areas for improvement and advocating for quality and reliability efforts.
* Develop and drive the engineering execution plan for both new initiatives and long\-running projects while providing technical leadership to the team.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5">
      <c r="A145" t="inlineStr">
        <is>
          <t>li-4309831113</t>
        </is>
      </c>
      <c r="B145" t="inlineStr">
        <is>
          <t>Staff Software Engineer - Data Cloud</t>
        </is>
      </c>
      <c r="C145" t="inlineStr">
        <is>
          <t>Rippling</t>
        </is>
      </c>
      <c r="D145" t="inlineStr">
        <is>
          <t>linkedin</t>
        </is>
      </c>
      <c r="E145">
        <f>HYPERLINK("https://www.linkedin.com/jobs/view/4309831113", "https://www.linkedin.com/jobs/view/4309831113")</f>
        <v/>
      </c>
      <c r="F145" t="inlineStr"/>
      <c r="G145" t="inlineStr">
        <is>
          <t>New York, NY</t>
        </is>
      </c>
      <c r="H145" t="inlineStr"/>
      <c r="I145" t="inlineStr">
        <is>
          <t>**About Rippling**
 Rippling is the first way for businesses to manage all of their HR \&amp; IT—payroll, benefits, computers, apps, and more—in one unified workforce platform.
 By connecting every business system to one source of truth for employee data, businesses can automate all of the manual work they normally need to do to make employee changes. Take onboarding, for example. With Rippling, you can just click a button and set up a new employees’ payroll, health insurance, work computer, and third\-party apps—like Slack, Zoom, and Office 365—all within 90 seconds.
 Based in San Francisco, CA, Rippling has raised $1\.2B from the world’s top investors—including Kleiner Perkins, Founders Fund, Sequoia, Greenoaks, and Bedrock—and was named one of America's best startup employers by Forbes.
 We prioritize candidate safety. Please be aware that official communication will only be sent from @Rippling.com addresses.
****About the Role:****
 The Data Cloud team is building an end\-to\-end analytics and business intelligence system for our customers and will replace their need for Data Lakes, Data Warehouses and data pipelines. We are building systems for ingestion, transformation, lineage, data catalogs and visualization. Most companies cobble together data pipelines from Fivetran, Airbyte, Airflow, DBT, Snowflake, DataBricks, Kafka and a host of other technologies. Rippling is in the unique position of being the source of the vast majority of this data, hence we can provide an all encompassing solution out of the box.
 In addition, we are exploring the use of ML and LLMs to provide automated insight generation and conversational experiences to allow data consumers to have a virtual data scientist as their analytics copilot.
****What You'll Do:****
* Develop high\-quality software with attention to detail using tech stacks like Python, Apache Trino, Iceberg, Temporal.
* Create Data visualization and query processing products used at large scale.
* Create data platforms, data lakes, and data ingestion systems that work at scale
* Have clear ownership of one or many products, APIs or platform spaces
* Build and grow your engineering skills in different challenging areas and solve hard technical problems
* Influence architecture, technology selections, and trends of the whole company
****Qualifications:****
* 8\+ years of experience in software development, preferably in fast\-paced, dynamic environments.
* Solid understanding of CS fundamentals, architectures, and design patterns.
* Proven track record in building large\-scale applications, APIs, and developer tools.
* Excellent at cross\-functional collaboration, able to articulate technical concepts to non\-technical partners.
* You thrive in a product\-focused environment and are passionate about making an impact on customer experience.
* Bonus Points: for contributing to open\-source projects (Apache Iceberg, Parquet, Spark, Hive, Flink, Delta Lake, Presto, Trino, Avro)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40 mile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180,000 \- 315,000 USD per year(US Tier 1\)</t>
        </is>
      </c>
    </row>
    <row r="146">
      <c r="A146" t="inlineStr">
        <is>
          <t>li-4377382456</t>
        </is>
      </c>
      <c r="B146" t="inlineStr">
        <is>
          <t>Software Engineer - Machine Learning</t>
        </is>
      </c>
      <c r="C146" t="inlineStr">
        <is>
          <t>Meltwater</t>
        </is>
      </c>
      <c r="D146" t="inlineStr">
        <is>
          <t>linkedin</t>
        </is>
      </c>
      <c r="E146">
        <f>HYPERLINK("https://www.linkedin.com/jobs/view/4377382456", "https://www.linkedin.com/jobs/view/4377382456")</f>
        <v/>
      </c>
      <c r="F146">
        <f>HYPERLINK("https://meltwatercareers.ttcportals.com/en/jobs/17203022-software-engineer-machine-learning?tm_job=12542&amp;tm_event=view&amp;tm_company=89119&amp;bid=370&amp;__jvst=Job+Board&amp;__jvsd=LinkedIn&amp;urlHash=hQ-p", "https://meltwatercareers.ttcportals.com/en/jobs/17203022-software-engineer-machine-learning?tm_job=12542&amp;tm_event=view&amp;tm_company=89119&amp;bid=370&amp;__jvst=Job+Board&amp;__jvsd=LinkedIn&amp;urlHash=hQ-p")</f>
        <v/>
      </c>
      <c r="G146" t="inlineStr">
        <is>
          <t>New York, NY</t>
        </is>
      </c>
      <c r="H146" t="inlineStr"/>
      <c r="I146" t="inlineStr">
        <is>
          <t>**Description**
 Meltwater, a pioneer of media intelligence and now Outside Insight, gives businesses the information advantage they need to stay ahead. More than 30,000 companies have used Meltwater’s media intelligence to stay on top of billions of online conversations and extract relevant insights to strategically manage their brands. Meltwater is dedicated to personal, global service built on the local expertise of 55 offices across six continents. Meltwater is also committed to fostering the data science ecosystem through MEST, a pan\-African entrepreneurial program and incubator, and Shack15, a global data science community.
 Our AI team is young, ambitious and focused on innovation.
 With Meltwater, we are more than 2000 people across the globe, so there is a lot going on. We believe in diversity and inclusion, and building teams with a wide variety of backgrounds and perspectives. This approach not only raises the quality of our products for our customers, but makes collaboration along the way much more fun.
 Read our underthehood blog to see which problems our engineers are solving.
**What We're Looking For:**
 Meltwater’s Consumer Intelligence AI Team is looking for a Software Engineer in Machine Learning to help improve the multimodal semantic layer of MIRA, our AI assistant, while also developing innovative new features that power the next generation of applied generative AI in the Consumer Intelligence industry. This includes building agentic capabilities that allow MIRA to reason across data sources, orchestrate multi\-agent/multi\-step workflows, and generate complex, use\-case driven reports for customers.
 We are looking for someone with a creative, proactive, collaborative, and innovation focused mindset. You will work alongside a team of passionate machine learning engineers driven by enthusiasm for adopting new technologies and excitement about making the difference for customers using applied AI.
 As a Software Engineer in Machine Learning, you will own the software systems that power machine\-learning\-driven features from idea to production, with a strong focus on scalability, reliability, and operational excellence. You will work closely with ML\-focused engineers and product teams to bring models and experiments into robust, real\-world systems operating at massive scale.
 Our team is organized over 3 objectives : innovation, research and production.
**Innovation:** 
 We leverage our AI expertise to constantly imagine new business oriented features to enhance our products.
**Research:** 
 To implement our algorithms, we need to stay up\-to\-date to the latest breakthroughs over the Machine Learning world as well as the latest frameworks.
**Production:** 
 We make a point of designing and developing our algorithms with production\-grade best practices. Scalability is our goal. The models and systems that we develop are running over billions of documents (text or image) per day.
**Who is this role for?**
 This role is ideal for candidates with a strong background in software engineering or computer science who enjoy building scalable, reliable systems and want to work deeply with machine learning in production. You have some familiarity with core machine learning concepts (such as training, inference, and evaluation), but you may not be an ML expert yet. You are excited to grow your modeling, experimentation, and evaluation skills while owning production ML systems end to end.
**Responsibilities:**
* Design and evolve production\-ready systems, evaluation, and deployment at scale.
* Drive the development of industrial ML projects from ideation to deployment, with a primary focus on system design, infrastructure, scalability, and reliability, while progressively contributing to modeling, evaluation, and experimentation with support from the team.
* Own reliability, performance, monitoring, and operational quality of ML\-powered systems in production.
* You’ll write efficient, well\-tested and design code, build clean systems to empower MIRA with new advanced generative AI capabilities.
* Collaborate closely with product teams in their domains, building domain expertise, and leveraging ML to solve critical business problems
**Preferred Experience**
* 2\+ years of experience as a Software Engineer or Machine Learning Engineer building data\-intensive, distributed, or ML\-adjacent systems
* You have strong software engineering fundamentals, including system design, data pipelines, APIs, and production debugging, with experience taking systems from prototype to production
* Advanced knowledge in a least one programming language (Python or other e.g. Rust, Scala, Java)
* Passion for AI (in particular Generative AI), with a constant drive to stay updated and ahead of the curve
* You are a team\-player, self\-learner and autonomous
* MS, PhD, or equivalent practical experience in computer science, software engineering, or a related technical field.
* Nice to have:
* Experience building industry\-scale user\-facing ML/AI/Agentic applications
* Experience with MLOps and DevOps principles and technologies (e.g. CI/CD, Terraform, Containerization, Kubernetes)
* Demonstrable experience with the full lifecycle of machine learning models \- from development to deployment and monitoring
* Experience with Information Retrieval systems in a production environment (Elasticsearch, Quickwit, Vespa, …) is a plus
**What We Offer:**
* You will work with a team of passionate people who are always willing to help and learn from others
* You will have the opportunity to apply the most recent literature to concrete AI projects with a real impact on business
* As a growing company, we combine a startup mindset with the resources necessary to commit to exciting new initiatives. At Meltwater, everyone has an opportunity to make a difference
* Enjoy flexible paid time off that allows you to have an enhanced work\-life balance.
* Excellent medical, dental, and vision options
* 401(k) matching, life insurance, commuter benefits, and parental leave plans
* Complimentary CalmApp subscription for you and your loved ones, because mental wellness matters.
* Energetic work environment with a hybrid work style, providing the balance you need.
* Thrive within our inclusive community and seize ongoing professional development opportunities to elevate your career.
* Total compensation range for this position: $126,000 \- $210,000 USD per year.
**Where You'll Work:**
 New York
**When you'll join:**
 April/May 2026
**Our Story**
 At Meltwater, we believe that when you have the right people in the right environment, great things happen.
 Our best\-in\-class technology empowers our
 **27,000 customers** 
 around the world to make better business decisions through data. But we can’t do that without our global team of developers, innovators, problem\-solvers, and high\-performers who embrace challenges and find new solutions for our customers.
 Our award\-winning global culture drives everything we do and creates an environment where our employees can make an impact, learn every day, feel a sense of belonging, and celebrate each other’s successes along the way.
 We are innovators at the core who see the potential in people, ideas and technologies. Together, we challenge ourselves to go big, be bold, and build best\-in\-class solutions for our customers.
 We’re proud of our diverse team of
 **2,200\+ employees** 
 in
 **50 locations** 
 across
 **25 countries** 
 around the world. No matter where you are, you’ll work with people who care about your success and get the support you need to unlock new heights in your career.
**We are Meltwater. Inspired by innovation, powered by people.**
**Our Team**
 Our AI team is young, ambitious and focused on innovation. With Meltwater, we are more than 2000 people across the globe, so there is a lot going on. We believe in diversity and inclusion, and building teams with a wide variety of backgrounds and perspectives. This approach not only raises the quality of our products for our customers, but makes collaboration along the way much more fun.
 Read our under\-the\-hood blog to see which problems our engineers are solving.
*Equal Employment Opportunity Statement*
*Meltwater is an Equal Opportunity Employer and Prohibits Discrimination and Harassment of Any Kind: At Meltwater, we are dedicated to fostering an inclusive and diverse workplace where every employee feels valued, respected, and empowered. We are committed to the principle of equal employment opportunity and strive to provide a work environment that is free from discrimination and harassment.*
*All employment decisions at Meltwater are made based on business needs, job requirements, and individual qualifications, without regard to race, color, religion or belief, gender, gender identity or expression, sexual orientation, national origin, genetics, disability, age, marital status, veteran status, or any other status protected by the applicable laws and regulations.*
*Meltwater does not tolerate discrimination or harassment of any kind, and we actively promote a culture of respect, fairness, and inclusivity. We encourage applicants of all backgrounds, experiences, and abilities to apply and join us in our mission to drive innovation and make a positive impact in the world.
 We may use AI to assist in aspects of our hiring process, such as reviewing candidate information and supporting evaluation activities. These tools are used only to assist our team through increased efficiencies. Every output continues to be reviewed by humans, and all hiring decisions are made by humans. We remain committed to evaluating candidates fairly, consistently, and in compliance with all applicable laws*</t>
        </is>
      </c>
    </row>
    <row r="147">
      <c r="A147" t="inlineStr">
        <is>
          <t>li-4379921709</t>
        </is>
      </c>
      <c r="B147" t="inlineStr">
        <is>
          <t>AI Software Engineer</t>
        </is>
      </c>
      <c r="C147" t="inlineStr">
        <is>
          <t>People In AI</t>
        </is>
      </c>
      <c r="D147" t="inlineStr">
        <is>
          <t>linkedin</t>
        </is>
      </c>
      <c r="E147">
        <f>HYPERLINK("https://www.linkedin.com/jobs/view/4379921709", "https://www.linkedin.com/jobs/view/4379921709")</f>
        <v/>
      </c>
      <c r="F147" t="inlineStr"/>
      <c r="G147" t="inlineStr"/>
      <c r="H147" t="inlineStr"/>
      <c r="I147" t="inlineStr">
        <is>
          <t>**Job Title:** 
 AI Software Engineer
**Compensation:** 
 $180,000 \- $220,000 base \+ equity
**Location:** 
 Remote (US)
 This high\-growth startup is building the backbone for high\-assurance Generative AI applications. As GenAI systems become more intricate and business\-critical, engineering teams need transparent, reliable infrastructure to validate performance, monitor behavior, and ensure real\-world reliability. Backed by top\-tier investors, this team is moving fast to build tools that make GenAI development more predictable, trustworthy, and scalable.
**About the Role:** 
 This is a high\-impact opportunity for an experienced full\-stack AI engineer who thrives in fast\-paced, early\-stage environments. You’ll work across the stack \- from UI to backend to AI integrations \- owning feature delivery end\-to\-end. You'll play a key role in shaping the architecture, contributing to core platform capabilities, and bringing new GenAI\-powered features to production.
**What You’ll Do:** 
* Design and ship production\-grade Generative AI capabilities
* Build full\-stack features using TypeScript, React, and Node.js
* Develop observability and AI\-tracing systems for complex AI workflows
* Own feature delivery from requirements to implementation and iteration
* Collaborate cross\-functionally with product, design, and leadership
* Improve performance, reliability, and quality of AI\-driven systems
* Contribute to internal frameworks and reusable components
* Lead and participate in technical discussions and code reviews
**What You’ll Bring:** 
* Ample full\-stack software engineering experience
* Proven experience with LLM\-powered applications, agents, or workflows
* Strong skills in TypeScript, React, and Node.js
* Familiarity with GenAI development patterns (RAG, embeddings, vector search)
* Hands\-on with orchestration tools (LangChain, LangGraph, LlamaIndex, etc.)
* Ability to operate autonomously and make pragmatic technical decisions
* Strong debugging, architecture, and performance tuning skills
**Tech Stack:** 
* TypeScript / React / Node.js/Python
* LLM orchestration tools: LangChain, LangGraph, LlamaIndex
* Observability: OpenTelemetry, custom tracing systems
* GenAI integrations and evaluation frameworks
**Why Join?** 
* Work on real\-world AI systems with a major impact on production reliability
* Join an ambitious, fast\-growing team tackling foundational challenges in GenAI
* Fully remote with flexible hours and generous PTO
* Employee equity and regular team off\-sites
* Big growth potential in a critical emerging space
**About People In AI:** 
 People In AI connects top\-tier talent with the most ambitious companies in artificial intelligence. We work with founders, VCs, and engineering leaders to build world\-class teams shaping the future of machine learning and AI infrastructure.</t>
        </is>
      </c>
    </row>
    <row r="148">
      <c r="A148" t="inlineStr">
        <is>
          <t>li-4378805976</t>
        </is>
      </c>
      <c r="B148" t="inlineStr">
        <is>
          <t>Software Engineer</t>
        </is>
      </c>
      <c r="C148" t="inlineStr">
        <is>
          <t>Haystack</t>
        </is>
      </c>
      <c r="D148" t="inlineStr">
        <is>
          <t>linkedin</t>
        </is>
      </c>
      <c r="E148">
        <f>HYPERLINK("https://www.linkedin.com/jobs/view/4378805976", "https://www.linkedin.com/jobs/view/4378805976")</f>
        <v/>
      </c>
      <c r="F148">
        <f>HYPERLINK("https://us.haystackapp.io/roles/698de2e4f831cd7fa4e17228?src=linkedin&amp;urlHash=t5JL", "https://us.haystackapp.io/roles/698de2e4f831cd7fa4e17228?src=linkedin&amp;urlHash=t5JL")</f>
        <v/>
      </c>
      <c r="G148" t="inlineStr"/>
      <c r="H148" t="inlineStr"/>
      <c r="I148" t="inlineStr">
        <is>
          <t>**AI Engineer \| New York \| Hybrid** 
 We're working with a Fortune 500 financial powerhouse and leader in the life insurance sector on this exciting opportunity.
 Shape the future of an industry by building sophisticated Agentic AI and Generative AI systems from the ground up. This isn't just about prompt engineering; you’ll be working alongside PhDs in physics and math to deploy production\-grade LLM applications, RAG pipelines, and multi\-step agentic workflows that drive multi\-billion dollar strategic decisions.
**The Role** 
 • Lead the end\-to\-end development of scalable AI solutions, from initial ideation and prototyping to full\-scale production deployment using Python and cloud\-native architectures.
 • Design and implement advanced Agentic AI systems involving tool\-use, multi\-step workflows, and autonomous behavior evaluation across various foundation models.
 • Collaborate with cross\-functional teams to build robust, production\-grade AI pipelines and APIs while establishing enterprise\-wide best practices for Responsible AI.
 • Architect and optimize data strategies using vector databases, semantic search, and complex SQL database design to power LLM\-based applications.
 • Prototype impactful AI\-powered applications, including interactive web dashboards and sophisticated visualizations, to translate complex data into business intelligence.
**What You'll Need** 
 • 5\+ years of a strong foundation in Python, SQL, and statistical modeling, with a Master’s degree in a quantitative field like Computer Science, Math, or Physics.
 • 3\+ years of dedicated experience in AI Engineering or Data Science, with a proven track record of shipping end\-to\-end ML/AI solutions in an enterprise environment.
 • 2\+ years of hands\-on expertise with LLM orchestration frameworks such as LangChain, AgentCore, MCP, or Strands, specifically focusing on RAG and prompt management.
 • Deep technical experience with containerization and cloud\-native technologies, specifically Docker and Kubernetes, for deploying high\-availability AI services.
 • Advanced knowledge of Natural Language Processing (NLP), deep learning, and evaluation benchmarks to measure agentic behavior and model performance.
**What's On Offer** 
 • Join a high\-performing Data Science team at the forefront of the life insurance industry's digital transformation.
 • Collaborative environment working with world\-class experts in applied mathematics, statistics, and computer science.
 • Flexible hybrid work model with a premium office presence in the heart of New York City.
 • Opportunity to work with cutting\-edge tech stacks and the latest foundation models at an enterprise scale.
**Apply via Haystack today!**</t>
        </is>
      </c>
    </row>
    <row r="149">
      <c r="A149" t="inlineStr">
        <is>
          <t>li-4378807897</t>
        </is>
      </c>
      <c r="B149" t="inlineStr">
        <is>
          <t>Software Engineer</t>
        </is>
      </c>
      <c r="C149" t="inlineStr">
        <is>
          <t>Haystack</t>
        </is>
      </c>
      <c r="D149" t="inlineStr">
        <is>
          <t>linkedin</t>
        </is>
      </c>
      <c r="E149">
        <f>HYPERLINK("https://www.linkedin.com/jobs/view/4378807897", "https://www.linkedin.com/jobs/view/4378807897")</f>
        <v/>
      </c>
      <c r="F149" t="inlineStr"/>
      <c r="G149" t="inlineStr">
        <is>
          <t>New York, United States</t>
        </is>
      </c>
      <c r="H149" t="inlineStr"/>
      <c r="I149" t="inlineStr">
        <is>
          <t>**AI Engineer \| New York \| Hybrid** 
 We're working with a Fortune 500 financial powerhouse and leader in the life insurance sector on this exciting opportunity.
 Shape the future of an industry by building sophisticated Agentic AI and Generative AI systems from the ground up. This isn't just about prompt engineering; you’ll be working alongside PhDs in physics and math to deploy production\-grade LLM applications, RAG pipelines, and multi\-step agentic workflows that drive multi\-billion dollar strategic decisions.
**The Role** 
 • Lead the end\-to\-end development of scalable AI solutions, from initial ideation and prototyping to full\-scale production deployment using Python and cloud\-native architectures.
 • Design and implement advanced Agentic AI systems involving tool\-use, multi\-step workflows, and autonomous behavior evaluation across various foundation models.
 • Collaborate with cross\-functional teams to build robust, production\-grade AI pipelines and APIs while establishing enterprise\-wide best practices for Responsible AI.
 • Architect and optimize data strategies using vector databases, semantic search, and complex SQL database design to power LLM\-based applications.
 • Prototype impactful AI\-powered applications, including interactive web dashboards and sophisticated visualizations, to translate complex data into business intelligence.
**What You'll Need** 
 • 5\+ years of a strong foundation in Python, SQL, and statistical modeling, with a Master’s degree in a quantitative field like Computer Science, Math, or Physics.
 • 3\+ years of dedicated experience in AI Engineering or Data Science, with a proven track record of shipping end\-to\-end ML/AI solutions in an enterprise environment.
 • 2\+ years of hands\-on expertise with LLM orchestration frameworks such as LangChain, AgentCore, MCP, or Strands, specifically focusing on RAG and prompt management.
 • Deep technical experience with containerization and cloud\-native technologies, specifically Docker and Kubernetes, for deploying high\-availability AI services.
 • Advanced knowledge of Natural Language Processing (NLP), deep learning, and evaluation benchmarks to measure agentic behavior and model performance.
**What's On Offer** 
 • Join a high\-performing Data Science team at the forefront of the life insurance industry's digital transformation.
 • Collaborative environment working with world\-class experts in applied mathematics, statistics, and computer science.
 • Flexible hybrid work model with a premium office presence in the heart of New York City.
 • Opportunity to work with cutting\-edge tech stacks and the latest foundation models at an enterprise scale.
**Apply via Haystack today!**</t>
        </is>
      </c>
    </row>
    <row r="150">
      <c r="A150" t="inlineStr">
        <is>
          <t>li-4379952030</t>
        </is>
      </c>
      <c r="B150" t="inlineStr">
        <is>
          <t>Software Engineer</t>
        </is>
      </c>
      <c r="C150" t="inlineStr">
        <is>
          <t>Hyra</t>
        </is>
      </c>
      <c r="D150" t="inlineStr">
        <is>
          <t>linkedin</t>
        </is>
      </c>
      <c r="E150">
        <f>HYPERLINK("https://www.linkedin.com/jobs/view/4379952030", "https://www.linkedin.com/jobs/view/4379952030")</f>
        <v/>
      </c>
      <c r="F150">
        <f>HYPERLINK("https://joinhyra.com/jobs/b1ee46a1-5667-4164-afc6-840f6837e0bf?src=linkedin&amp;urlHash=rhMq", "https://joinhyra.com/jobs/b1ee46a1-5667-4164-afc6-840f6837e0bf?src=linkedin&amp;urlHash=rhMq")</f>
        <v/>
      </c>
      <c r="G150" t="inlineStr">
        <is>
          <t>New York, United States</t>
        </is>
      </c>
      <c r="H150" t="inlineStr"/>
      <c r="I150" t="inlineStr">
        <is>
          <t>AI Engineer
 Location: New York, New York, 10012 \| Type: Hybrid \| Salary: Competitive salary
 A leading financial services and insurance organization known for its commitment to innovation and data\-driven strategy is looking for an AI Engineer. This role involves joining a high\-performing Data Science team to develop and deploy advanced AI solutions that drive strategic business transformation. You will collaborate with experts in mathematics and computer science to solve complex problems using generative AI and machine learning.
 What you'll be doing
 • Develop end\-to\-end ML/AI solutions using LLMs, deep learning, and probabilistic modeling.
 • Deploy scalable GenAI and Agentic AI systems that support enterprise business goals.
 • Build robust, production\-grade AI pipelines and APIs in collaboration with engineering teams.
 • Prototype AI\-powered applications including web apps, dashboards, and visualizations.
 • Establish best practices for responsible AI deployment and development across the organization.
 What we're looking for
 • M.S. in Computer Science, Statistics, Mathematics, Physics, or a related quantitative field.
 • 5\+ years of proficiency in Python and SQL with deep understanding of ML and NLP.
 • 3\+ years of professional experience in data science or AI engineering roles.
 • 2\+ years of experience with AI agents, LLM systems, RAG, and prompt management.
 • 2\+ years of experience with Docker, Kubernetes, and cloud\-native development.
 What's on offer
 • Opportunity to work on cutting\-edge generative AI and LLM projects.
 • Collaborative environment with experts in applied mathematics and computer science.
 • Professional development within a well\-established, industry\-leading organization.
 • Competitive compensation and benefits package in a hybrid work setting.
 Apply via Hyra to be considered for this opportunity.</t>
        </is>
      </c>
    </row>
    <row r="151">
      <c r="A151" t="inlineStr">
        <is>
          <t>li-4334158613</t>
        </is>
      </c>
      <c r="B151" t="inlineStr">
        <is>
          <t>Software Engineer, Fullstack, Early Career</t>
        </is>
      </c>
      <c r="C151" t="inlineStr">
        <is>
          <t>Notion</t>
        </is>
      </c>
      <c r="D151" t="inlineStr">
        <is>
          <t>linkedin</t>
        </is>
      </c>
      <c r="E151">
        <f>HYPERLINK("https://www.linkedin.com/jobs/view/4334158613", "https://www.linkedin.com/jobs/view/4334158613")</f>
        <v/>
      </c>
      <c r="F151" t="inlineStr"/>
      <c r="G151" t="inlineStr">
        <is>
          <t>San Francisco, CA</t>
        </is>
      </c>
      <c r="H151" t="inlineStr"/>
      <c r="I151"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As an Early Career Software Engineer at Notion, you’ll help shape core user experiences and accelerate how people discover value in Notion. You'll tackle meaningful challenges with increasing autonomy, crafting code that millions of users will experience. You'll take ownership of projects that matter, make critical technical decisions, and contribute your unique perspective to our product vision. Working alongside passionate experts across design, product, and data, you'll help shape the future of how people work.
 We’re hiring early career engineers to join us across several teams at Notion. Your recruiter will partner with you to find the team that best aligns with your interests and where you can make the highest impact.
 What You’ll Achieve
* Plan, build, and ship product features from conception to launch, then iterate based on insights and user feedback.
* Improve performance, reliability, and quality of key experiences used by millions of users and thousands of organizations.
* Run experiments that drive activation, retention, collaboration, and revenue, partnering with design, data science, and research.
* Build internal tools and platform improvements that help all engineers ship quickly and safely.
* Contribute to team norms, code quality, and a culture of learning and thoughtful tradeoffs.
 Areas you might work on
* Core Notion product features: Help develop, improve, and maintain features for our flagship product, focusing on the editor, databases, sharing, or other key areas that power millions of workflows.
* AI and automation: Help develop and integrate intelligent features that make Notion more powerful, contextual, and efficient for our users.
* Growth and activation: Work on features that help new users discover Notion's value, improve onboarding experiences, and increase user engagement.
* Platform and infrastructure: Contribute to the systems that power Notion's backend services, ensuring reliability, scalability, and performance as our user base grows.
 Skills You’ll Bring
* Proven track record of execution: You have a minimum of 1 year (and up to 3 years) of full\-time professional engineering experience, including building world\-class product experiences as part of an engineering team. You have solid fundamentals in data structures, algorithms, and distributed systems, with a product\-minded, pragmatic approach to solving problems.
* Thoughtful problem\-solving: You approach problems holistically, starting with a clear and accurate understanding of the context. You think about the implications of what you're building and how it will impact real people's lives. You can navigate ambiguity successfully, decompose complex problems into clean solutions, while also balancing the business impact of what you’re building.
* Impact\-driven approach to technology: You see technologies as tools to achieve user impact rather than ends in themselves. You care more about building successful systems that solve real problems than about using specific tech stacks or following trends. You stay current with the latest tools like Cursor, Claude Code, and other AI\-assisted development environments, you're pragmatic about choosing the right tool for the job, focusing on what delivers the most value to users and the business.
* Proactive communication and high agency: You own your work, communicating clearly about progress and blockers. You don't wait for instructions for every step but rather show initiative in identifying what needs to be done and driving projects forward. You ask questions when needed while independently finding solutions to problems.
* You don’t need to be an AI expert, but you’re curious and willing to adopt AI tools to work smarter and deliver better results
 Nice to Have
* Experience with parts of our stack like React, TypeScript, Node.js, Postgres, or with experimentation and analytics tooling.
* Exposure to distributed systems, observability, CI/CD, or infrastructure fundamentals.
* An interest in product quality and craft, and in helping others stay in flow.
* You've heard of computing pioneers like Ada Lovelace, Douglas Engelbart, Alan Kay, and others—and understand why we're big fans of their work.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$126,000 \- $180,000 per year.
 By clicking “Submit Application”, I understand and agree that Notion and its affiliates and subsidiaries will collect and process my information in accordance with Notion’s Global Recruiting Privacy Policy and NYLL 144\.</t>
        </is>
      </c>
    </row>
    <row r="152">
      <c r="A152" t="inlineStr">
        <is>
          <t>li-4370317193</t>
        </is>
      </c>
      <c r="B152" t="inlineStr">
        <is>
          <t>Software Engineer (New Grads) - San Francisco</t>
        </is>
      </c>
      <c r="C152" t="inlineStr">
        <is>
          <t>Giga</t>
        </is>
      </c>
      <c r="D152" t="inlineStr">
        <is>
          <t>linkedin</t>
        </is>
      </c>
      <c r="E152">
        <f>HYPERLINK("https://www.linkedin.com/jobs/view/4370317193", "https://www.linkedin.com/jobs/view/4370317193")</f>
        <v/>
      </c>
      <c r="F152">
        <f>HYPERLINK("https://jobs.ashbyhq.com/GigaML/cb74c445-322b-47fc-804c-b0565e18ca3a/application?utm_source=6p28rgeQLE&amp;urlHash=U-g-", "https://jobs.ashbyhq.com/GigaML/cb74c445-322b-47fc-804c-b0565e18ca3a/application?utm_source=6p28rgeQLE&amp;urlHash=U-g-")</f>
        <v/>
      </c>
      <c r="G152" t="inlineStr">
        <is>
          <t>San Francisco, CA</t>
        </is>
      </c>
      <c r="H152" t="inlineStr"/>
      <c r="I152" t="inlineStr">
        <is>
          <t>**About Giga**
 Giga has recently raised a $61M Series A and has several paying customers, including DoorDash. We’re building the next generation of customer experience — real\-time AI agents that can understand emotion, resolve issues instantly, and scale across the world’s largest enterprises.
 It’s an exciting inflection point for the company. While we have been successful, we have larger ambitions. Our goal is to become the go\-to AI platform for all enterprise automation, powered by our voice superintelligence. To achieve this, we need more great engineers.
 The work affects millions of people every day and our engineers have autonomy and make true impact. This opportunity is unique because we have brilliant founders, have found commercial success, and see a clear path to becoming a generational company. Some further info about us:
* Voice AI startup Giga raises $61M Series A
* DoorDash and Giga Partnership
 Giga builds AI agents trusted by the largest B2C companies in the world. Industry leaders like DoorDash trust Giga with their most complex support and operations workflows across voice, chat, and email. If being a part of this resonates with you, please apply!
**The Role**
 We're looking for new grad engineers to help build the systems that power our AI agents. You'll work across the backend, from data pipelines and integrations to agent infrastructure, shipping features alongside experienced engineers.
 This is a role where you'll contribute to real problems from day one. We expect you to ramp up quickly, take ownership of your work, and operate with increasing independence as you learn the codebase.
**What You'll Work On**
 You'll contribute to projects across our stack. Some examples:
* Atlas: Building features for our AI assistant: charts and alerts in Slack, natural language queries, and expanding Atlas to manage platform resources
* Activity Stream: Log visualization with filters, timestamps, and frequency charts to give visibility into agent behavior
* Dynamic knowledge: Adding time\-based knowledge (like ongoing incidents) that auto\-updates from sources like status pages
* Agent memory: Conversation awareness and recent interaction lookups so agents remember context across sessions
 You'll be paired with senior engineers on larger initiatives while also owning smaller projects end\-to\-end as you ramp up.
**You Might Be a Fit If You**
* Are graduating (or recently graduated) with a CS degree or equivalent background
* Have internship experience or significant projects where you wrote production\-quality code
* Can take a problem, figure out an approach, and unblock yourself when you get stuck
* Prefer shipping over perfection but still care about quality
* Want to work at a startup where you'll have real responsibility early
**Perks \&amp; Benefits**
* Catered lunch daily
* Dinner stipend
* $150/month wellness benefit (gym, fitness classes, mental health)
* 401(k) plan
* Commuter benefits
* Medical, dental, and vision coverage
 Giga is an equal opportunity employer. We're committed to providing equal employment opportunities regardless of race, color, religion, sex, sexual orientation, gender identity, national origin, age, disability, veteran status, or any other characteristic protected by law.
 Compensation Range: $160K \- $250K</t>
        </is>
      </c>
    </row>
    <row r="153">
      <c r="A153" t="inlineStr">
        <is>
          <t>li-4379935037</t>
        </is>
      </c>
      <c r="B153" t="inlineStr">
        <is>
          <t>Senior Software Engineer, Infrastructure</t>
        </is>
      </c>
      <c r="C153" t="inlineStr">
        <is>
          <t>Decagon</t>
        </is>
      </c>
      <c r="D153" t="inlineStr">
        <is>
          <t>linkedin</t>
        </is>
      </c>
      <c r="E153">
        <f>HYPERLINK("https://www.linkedin.com/jobs/view/4379935037", "https://www.linkedin.com/jobs/view/4379935037")</f>
        <v/>
      </c>
      <c r="F153">
        <f>HYPERLINK("https://jobs.ashbyhq.com/decagon/a4796fbc-b45c-4e1b-b1d2-1a17c0b4fa7a/application?utm_source=mRrPNppydz&amp;urlHash=F2iv", "https://jobs.ashbyhq.com/decagon/a4796fbc-b45c-4e1b-b1d2-1a17c0b4fa7a/application?utm_source=mRrPNppydz&amp;urlHash=F2iv")</f>
        <v/>
      </c>
      <c r="G153" t="inlineStr">
        <is>
          <t>New York, NY</t>
        </is>
      </c>
      <c r="H153" t="inlineStr"/>
      <c r="I153" t="inlineStr">
        <is>
          <t>**About Decagon**
 Decagon is the leading conversational AI platform empowering every brand to deliver concierge customer experiences.
 Our technology enables industry\-defining enterprises like Avis Budget Group, Block’s Cash App and Square, Chime, Oura Health, and Hunter Douglas to deploy AI agents that power personalized, deeply satisfying interactions across voice, chat, email, SMS, and every other channel.
 We’re building a future where customer experiences are being redefined from support tickets and hold music to faster resolutions, richer conversations, and deeper relationships. We’re proud to be backed by world\-class investors who share that vision, including a16z, Accel, Bain Capital Ventures, Coatue, and Index Ventures, along with many others.
 We’re an in\-office company, driven by a shared commitment to excellence and velocity. Our values — Just Get It Done, Invent What Customers Want, Winner’s Mindset, and The Polymath Principle — shape how we work and grow as a team.
**About The Team**
 The
 **Infrastructure** 
 team builds and operates the foundations that power Decagon: networking, data, ML serving, developer platform, and real‑time voice. We partner closely with product, data, and ML to deliver high‑scale, low‑latency systems with clear SLOs and great developer ergonomics.
 We organize around five focus areas:
* Core Infra: The foundational cloud stack—networking, compute, storage, security, and infrastructure‑as‑code—to ensure reliability, scale, and cost efficiency.
* Data Infra: Streaming/batch data platforms powering analytics/BI and customer‑facing telemetry, including for customer‑managed and on‑prem environments.
* ML Infra: GPU and model‑serving platforms for LLM inference with multi‑provider routing and support for on‑prem/air‑gapped deployments.
* Platform (DevEx): CI/CD, paved paths, and core services that make shipping fast, safe, and consistent across teams.
* Voice Infra: Telephony/WebRTC stack and observability enabling ultra‑low‑latency, high‑quality voice experiences.
 Our mission is to
 **deliver magical support experiences** 
 — AI agents working alongside humans to resolve issues quickly and accurately.
**About The Role**
 We’re hiring a Senior Infrastructure Engineer to design, build, and operate production infrastructure for high‑scale, low‑latency systems. You’ll own critical services end‑to‑end, improve reliability and performance, and create paved‑paths that let every Decagon engineer ship confidently.
**In this role, you will**
* Design and implement critical infrastructure services with strong SLOs, clear runbooks, and actionable telemetry.
* Partner with research and product teams to architect solutions, set up prototypes, evaluate performance, and scale new features.
* Tune service latencies: optimize networking paths, apply smart caching/queuing, and tune CPU/memory/I/O for tight p95/p99s.
* Evolve CI/CD, golden paths, and self‑service tooling to improve developer velocity and safety.
* Support various deployment architectures for customers with robust observability and upgrade paths.
* Lead infrastructure‑as‑code (Terraform) and GitOps practices; reduce drift with reusable modules and policy‑as‑code.
* Participate in on‑call and drive down toil through automation and elimination of recurring issues.
**Your background looks something like this**
* 5\+ years building and operating production infrastructure at scale.
* Depth in at least one area across Core/Data/AI‑ML/Platform/Voice, with curiosity to learn the rest.
* Proven track record meeting high availability and low latency targets (owning SLOs, p95/p99, and load testing).
* Excellent observability chops (OpenTelemetry, Prometheus/Grafana, Datadog) and incident response (PagerDuty, SLO/error budgets).
* Clear written communication and the ability to turn ambiguous requirements into simple, reliable designs.
**Even better if you have**
* Experience being an early backend/platform/infrastructure engineer at another company
* Strong Kubernetes experience (GKE/EKS/AKS) and experience across multiple cloud providers (GCP, AWS, and Azure)
* Experience with customer‑managed deployments
**Benefits**
* Medical, dental, and vision benefits
* Take what you need vacation policy
* Daily lunches, dinners and snacks in the office to keep you at your best
**Compensation**
 $250K – $330K \+ Offers Equity
 Compensation Range: $250K \- $330K</t>
        </is>
      </c>
    </row>
    <row r="154">
      <c r="A154" t="inlineStr">
        <is>
          <t>li-4214694436</t>
        </is>
      </c>
      <c r="B154" t="inlineStr">
        <is>
          <t>Software Engineer - Backend</t>
        </is>
      </c>
      <c r="C154" t="inlineStr">
        <is>
          <t>Snowflake</t>
        </is>
      </c>
      <c r="D154" t="inlineStr">
        <is>
          <t>linkedin</t>
        </is>
      </c>
      <c r="E154">
        <f>HYPERLINK("https://www.linkedin.com/jobs/view/4214694436", "https://www.linkedin.com/jobs/view/4214694436")</f>
        <v/>
      </c>
      <c r="F154">
        <f>HYPERLINK("https://careers.snowflake.com/us/en/job/SNCOUSDD524B932E4E4E3B84B44684A46E9148EXTERNALENUS3EB872AF0AB149868F72E7321FCD1538/Software-Engineer-Backend?utm_source=Q2P9NP2NNP&amp;utm_medium=phenom-feeds&amp;gh_src=ed5543a62&amp;urlHash=ITAX", "https://careers.snowflake.com/us/en/job/SNCOUSDD524B932E4E4E3B84B44684A46E9148EXTERNALENUS3EB872AF0AB149868F72E7321FCD1538/Software-Engineer-Backend?utm_source=Q2P9NP2NNP&amp;utm_medium=phenom-feeds&amp;gh_src=ed5543a62&amp;urlHash=ITAX")</f>
        <v/>
      </c>
      <c r="G154" t="inlineStr">
        <is>
          <t>Menlo Park, CA</t>
        </is>
      </c>
      <c r="H154" t="inlineStr"/>
      <c r="I154"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We’re at the forefront of the data revolution, committed to building the world’s greatest data and applications platform. Snowflake started with a clear vision: develop a cloud data platform that is effective, affordable, and accessible to all data users. Data Cloud allows sharing live data in governed and secure ways so our customers can solve their business problems.
 Data Cloud allows sharing live data in governed and secure ways so our customers can solve their business problems. Come join our world\-class team as a Software Engineer to build the backend services for data cloud to help our customers to share data internally within their company or outside with external organizations.
 We are investing in initiatives across multiple engineering areas that include: Data Engineering \&amp; Open Lakehouse, Database Engineering, Engineering Systems, Product Experiences, Apps \&amp; Collaboration,Platform Engineering, and Public Sector, Security and Governance
**AS A SOFTWARE ENGINEER, YOU WILL:**
* Design and build features, and/or distributed platforms at scale.
* Drive impactful initiatives for the globally distributed infrastructure
* Collaborate with product managers, architects, other engineering teams, and business groups, to drive end\-to\-end solutions.
* Contribute to improving our engineering processes, tooling, and standards.
**OUR IDEAL CANDIDATE WILL HAVE:**
* 2\-5 years’ of industry experience designing, building, and supporting large\-scale systems in production.
* Strong fundamental computer science skills. Knowledge of algorithms and data structures.
* Fluency in Java, Python, C\+\+, or SQL
* Deep multi\-faceted appreciation in building end\-to\-end customer facing products.
* BS/MS/PhD in Computer Science or related majors, or equivalent experience.
**BONUS POINTS IF YOU HAVE:**
* Familiarity with database internals or data governance, and/or payment systems is a plus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$160,000 \- $230,000\.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155">
      <c r="A155" t="inlineStr">
        <is>
          <t>li-4378843342</t>
        </is>
      </c>
      <c r="B155" t="inlineStr">
        <is>
          <t>Founding Software Engineer</t>
        </is>
      </c>
      <c r="C155" t="inlineStr">
        <is>
          <t>AlphaX</t>
        </is>
      </c>
      <c r="D155" t="inlineStr">
        <is>
          <t>linkedin</t>
        </is>
      </c>
      <c r="E155">
        <f>HYPERLINK("https://www.linkedin.com/jobs/view/4378843342", "https://www.linkedin.com/jobs/view/4378843342")</f>
        <v/>
      </c>
      <c r="F155" t="inlineStr"/>
      <c r="G155" t="inlineStr">
        <is>
          <t>San Francisco, CA</t>
        </is>
      </c>
      <c r="H155" t="inlineStr"/>
      <c r="I155" t="inlineStr">
        <is>
          <t>We are seeking a highly driven
 **Founding Engineer** 
 to join an early\-stage AI startup redefining how top talent connects with high\-growth companies. This is a full\-time, onsite role in San Francisco for a builder who thrives in fast\-moving environments and wants to shape product, architecture, and company trajectory from day one.
 You will work directly with the founding team to design, build, and scale an AI\-powered talent platform focused on discovery, coaching, and high\-quality hiring outcomes. As one of the first engineering hires, you will have significant ownership across product development, technical decisions, and infrastructure.
 This role is ideal for an engineer who wants to operate with autonomy, ship quickly, and contribute to a talent\-first future of recruiting.
**What You'll Do**
* Architect, build, and ship core product features across the full stack
* Develop AI\-powered workflows that improve candidate discovery and matching
* Design scalable backend systems and APIs
* Build intuitive, high\-performance frontend user experiences
* Collaborate closely with founders on product strategy and technical roadmap
* Rapidly prototype, test, and iterate based on user feedback
* Own deployment, infrastructure, and system reliability
* Contribute to hiring, engineering culture, and long\-term technical vision
**Requirements**
* Strong experience as a Full\-Stack Engineer, Product Engineer, or Startup Engineer
* Proficiency in modern web technologies (e.g., React, TypeScript, Node.js, Python, or similar stacks)
* Experience building scalable backend systems and APIs
* Familiarity with AI/ML integrations, LLMs, or AI product features preferred
* Startup mindset — comfortable with ambiguity and rapid iteration
* Strong product intuition and user\-first thinking
* Ability to work onsite full\-time in San Francisco
* High ownership mentality and bias toward execution
**Ideal Candidate**
* Previously worked at an early\-stage startup (pre\-seed to Series A)
* Experience in marketplace, recruiting tech, or AI\-driven products
* Has built and shipped 0→1 products
* Excited about building in\-person with a small, high\-performing team
* Motivated by long\-term impact and equity upside
**Benefits**
* Competitive equity participation
* Health insurance coverage
* Flexible work hours
* Learning and development budget
* Opportunity to work alongside experienced founders and operators
* High\-performance, builder\-focused culture
**Why Join**
 This is an opportunity to help build a category\-defining AI talent platform from the ground up. You will work directly with experienced founders, influence core product decisions, and shape both the technical foundation and company culture.
 If you are energized by ownership, speed, and meaningful impact, this role offers a rare chance to build something foundational from day one.
**Apply directly to be considered for immediate review.**</t>
        </is>
      </c>
    </row>
    <row r="156">
      <c r="A156" t="inlineStr">
        <is>
          <t>li-4379939005</t>
        </is>
      </c>
      <c r="B156" t="inlineStr">
        <is>
          <t>Senior Software Engineer, Infrastructure</t>
        </is>
      </c>
      <c r="C156" t="inlineStr">
        <is>
          <t>Decagon</t>
        </is>
      </c>
      <c r="D156" t="inlineStr">
        <is>
          <t>linkedin</t>
        </is>
      </c>
      <c r="E156">
        <f>HYPERLINK("https://www.linkedin.com/jobs/view/4379939005", "https://www.linkedin.com/jobs/view/4379939005")</f>
        <v/>
      </c>
      <c r="F156" t="inlineStr"/>
      <c r="G156" t="inlineStr">
        <is>
          <t>San Francisco, CA</t>
        </is>
      </c>
      <c r="H156" t="inlineStr"/>
      <c r="I156" t="inlineStr">
        <is>
          <t>**About Decagon**
 Decagon is the leading conversational AI platform empowering every brand to deliver concierge customer experiences.
 Our technology enables industry\-defining enterprises like Avis Budget Group, Block’s Cash App and Square, Chime, Oura Health, and Hunter Douglas to deploy AI agents that power personalized, deeply satisfying interactions across voice, chat, email, SMS, and every other channel.
 We’re building a future where customer experiences are being redefined from support tickets and hold music to faster resolutions, richer conversations, and deeper relationships. We’re proud to be backed by world\-class investors who share that vision, including a16z, Accel, Bain Capital Ventures, Coatue, and Index Ventures, along with many others.
 We’re an in\-office company, driven by a shared commitment to excellence and velocity. Our values — Just Get It Done, Invent What Customers Want, Winner’s Mindset, and The Polymath Principle — shape how we work and grow as a team.
**About The Team**
 The
 **Infrastructure** 
 team builds and operates the foundations that power Decagon: networking, data, ML serving, developer platform, and real‑time voice. We partner closely with product, data, and ML to deliver high‑scale, low‑latency systems with clear SLOs and great developer ergonomics.
 We organize around five focus areas:
* Core Infra: The foundational cloud stack—networking, compute, storage, security, and infrastructure‑as‑code—to ensure reliability, scale, and cost efficiency.
* Data Infra: Streaming/batch data platforms powering analytics/BI and customer‑facing telemetry, including for customer‑managed and on‑prem environments.
* ML Infra: GPU and model‑serving platforms for LLM inference with multi‑provider routing and support for on‑prem/air‑gapped deployments.
* Platform (DevEx): CI/CD, paved paths, and core services that make shipping fast, safe, and consistent across teams.
* Voice Infra: Telephony/WebRTC stack and observability enabling ultra‑low‑latency, high‑quality voice experiences.
 Our mission is to
 **deliver magical support experiences** 
 — AI agents working alongside humans to resolve issues quickly and accurately.
**About The Role**
 We’re hiring a Senior Infrastructure Engineer to design, build, and operate production infrastructure for high‑scale, low‑latency systems. You’ll own critical services end‑to‑end, improve reliability and performance, and create paved‑paths that let every Decagon engineer ship confidently.
**In this role, you will**
* Design and implement critical infrastructure services with strong SLOs, clear runbooks, and actionable telemetry.
* Partner with research and product teams to architect solutions, set up prototypes, evaluate performance, and scale new features.
* Tune service latencies: optimize networking paths, apply smart caching/queuing, and tune CPU/memory/I/O for tight p95/p99s.
* Evolve CI/CD, golden paths, and self‑service tooling to improve developer velocity and safety.
* Support various deployment architectures for customers with robust observability and upgrade paths.
* Lead infrastructure‑as‑code (Terraform) and GitOps practices; reduce drift with reusable modules and policy‑as‑code.
* Participate in on‑call and drive down toil through automation and elimination of recurring issues.
**Your background looks something like this**
* 5\+ years building and operating production infrastructure at scale.
* Depth in at least one area across Core/Data/AI‑ML/Platform/Voice, with curiosity to learn the rest.
* Proven track record meeting high availability and low latency targets (owning SLOs, p95/p99, and load testing).
* Excellent observability chops (OpenTelemetry, Prometheus/Grafana, Datadog) and incident response (PagerDuty, SLO/error budgets).
* Clear written communication and the ability to turn ambiguous requirements into simple, reliable designs.
**Even better if you have**
* Experience being an early backend/platform/infrastructure engineer at another company
* Strong Kubernetes experience (GKE/EKS/AKS) and experience across multiple cloud providers (GCP, AWS, and Azure)
* Experience with customer‑managed deployments
**Benefits**
* Medical, dental, and vision benefits
* Take what you need vacation policy
* Daily lunches, dinners and snacks in the office to keep you at your best
**Compensation**
 $250K – $330K \+ Offers Equity
 Compensation Range: $250K \- $330K</t>
        </is>
      </c>
    </row>
    <row r="157">
      <c r="A157" t="inlineStr">
        <is>
          <t>li-4378825848</t>
        </is>
      </c>
      <c r="B157" t="inlineStr">
        <is>
          <t>Software Engineer - Full Stack</t>
        </is>
      </c>
      <c r="C157" t="inlineStr">
        <is>
          <t>TrueMeter</t>
        </is>
      </c>
      <c r="D157" t="inlineStr">
        <is>
          <t>linkedin</t>
        </is>
      </c>
      <c r="E157">
        <f>HYPERLINK("https://www.linkedin.com/jobs/view/4378825848", "https://www.linkedin.com/jobs/view/4378825848")</f>
        <v/>
      </c>
      <c r="F157">
        <f>HYPERLINK("https://app.dover.com/apply/truemeter/c2507bc4-7bfc-4963-989c-19ce3e6a1be5?rs=42706078&amp;urlHash=LA1f", "https://app.dover.com/apply/truemeter/c2507bc4-7bfc-4963-989c-19ce3e6a1be5?rs=42706078&amp;urlHash=LA1f")</f>
        <v/>
      </c>
      <c r="G157" t="inlineStr">
        <is>
          <t>San Francisco, CA</t>
        </is>
      </c>
      <c r="H157" t="inlineStr"/>
      <c r="I157" t="inlineStr">
        <is>
          <t>**About TrueMeter**
 The US power grid was not built for the AI era.
 Energy costs are volatile. Utility data is fragmented. Businesses operate across dozens of meters accounts and rate plans with no clear system of record.
 TrueMeter is building the AI Energy Agent, the default way businesses manage and pay for power. We consolidate messy multi utility bills into a single intelligent platform that reduces cost and complexity.
 We launched our MVP in May 2024\. Since then we have onboarded millions in annual energy spend from major brands. We are seed stage backed by top Silicon Valley investors and building fast.
 If you want more ownership, more scope and real world impact this is that move.
**The Role**
 We are hiring an experienced Full\-Stack Engineer to own product features end to end from React UI to Python APIs to analytical SQL.
 This is not a narrow frontend role. This is product engineering at the core of the company.
 You will work on the customer dashboard that businesses rely on to track bills, monitor usage, download financial reports, and make energy decisions. You will design systems that scale from 10 customers to 10000 securely, reliably and fast.
 You will work directly with the CTO and a small high intensity team. High ownership. High visibility. High expectations.
**What You Will Build**
* Customer Dashboard: React
* Multi tenant role based SaaS UI
* Data heavy views powered by BigQuery
* Secure file downloads using short lived GCS signed URLs
* High performance filtering pagination and caching
* Backend Services: Python
* FastAPI services deployed on Cloud Run
* Cloud Functions powering product endpoints
* Authentication and authorization using Firebase
* Production grade APIs with logging monitoring and strong reliability
* Data Layer SQL First
* Write performant BigQuery SQL
* Design tenant safe data access patterns
* Collaborate on dbt models and transformation logic
* Optimize queries for cost and latency
* Cloud Infrastructure: GCP including BigQuery Firestore GCS Cloud Run IAM Secret Manager
* Infrastructure as code with Terraform
* Observability monitoring and cost awareness
* Data stack building to handle AI agentic workflows
**Our Stack**
* Frontend: React, Vite, TailwindCSS, Webflow
* Backend: Python, FastAPI, Cloud Functions
* Data: BigQuery SQL dbt
* Infra: GCP Cloud Run GCS IAM Secret Manager Terraform
* Auth: Firebase based
* Python and SQL are required.
**Who You Are**
* 2\+ plus years building production full stack systems
* Strong in Python and SQL
* Familiar with GCP or AWS
* Strong in React with experience building real SaaS dashboards
* Multi tenant SaaS experience
* Comfortable shipping features end\-to\-end without handholding
* Experienced in fast moving startup environments
* You care about product quality not just ticket completion
* You connect technical decisions to business impact
**Why Join TrueMeter**
 At larger companies you often own a slice of a system. Here you will own entire surfaces and have direct access to founders.
* Immediate impact on revenue driving product
* Ability to shape architecture early
* Small team elite standards
* Real world impact on energy costs and emissions
 We value ownership, clarity of thought, intellectual honesty, customer obsession and building AI\-powered systems that scale.
 If you want to help define the AI\-native energy platform, not just maintain one we should talk.
**Compensation Range**
 Final compensation depends on experience, scope and impact.
 \&lt;2 years of experience: $120\-$150k
 2\-5 years of experience: $150 \- $190k
 5\+ years of experience: $190\-$220k
* The compensation ranges listed above are estimates and may vary based on factors such as skills, experience, location, and role scope. Final compensation will be determined based on individual qualifications and business needs.</t>
        </is>
      </c>
    </row>
    <row r="158">
      <c r="A158" t="inlineStr">
        <is>
          <t>li-4262577338</t>
        </is>
      </c>
      <c r="B158" t="inlineStr">
        <is>
          <t>Software Engineer - Ads Product</t>
        </is>
      </c>
      <c r="C158" t="inlineStr">
        <is>
          <t>xAI</t>
        </is>
      </c>
      <c r="D158" t="inlineStr">
        <is>
          <t>linkedin</t>
        </is>
      </c>
      <c r="E158">
        <f>HYPERLINK("https://www.linkedin.com/jobs/view/4262577338", "https://www.linkedin.com/jobs/view/4262577338")</f>
        <v/>
      </c>
      <c r="F158" t="inlineStr"/>
      <c r="G158" t="inlineStr">
        <is>
          <t>Palo Alto, CA</t>
        </is>
      </c>
      <c r="H158" t="inlineStr"/>
      <c r="I158"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We’re looking for exceptional ads engineers who want to join us on a new project to integrate xAI’s advanced AI infrastructure deeply into the Ads Platform. We’re looking for individuals who have built exceptional advertising products and systems at massive scale. We’re bringing and using xAI’s technology stack to transform our advertising stack.
**What You'll Do** 
* Be involved in the full array of xAI’s work, including ideation, experimentation, implementation, and maintenance of distributed systems and product features.
* Leverage all of xAI’s infra and AI stacks to dramatically enhance advertising products.
* Own and operate systems and products driving the majority of X’s revenue.
**Who You Are** 
* 3\+ years of industry experience building large scale and high\-performance advertising products.
* Strong software engineering fundamentals with expertise in full stack development.
* Proven ability to write clean, scalable, and maintainable code in a collaborative environment
* Experience with ads delivery, targeting, measurement, or optimization systems is a strong plus.
* Solid understanding of backend technologies, distributed systems, and data processing pipelines
* Excellent problem\-solving skills and a passion for performance, reliability, and product impact
* Obsessed with building great product experiences.
**Tech Stack** 
 React, Golang, Python, Rust, gRPC, Java/Scala
**Interview Process:** 
 After submitting your application, the team reviews your CV and statement of exceptional work. If your application passes this stage, you will be invited to a 15\-30 minutes phone interview, during which a member of our team will ask technical questions. If you clear the phone interview, you will proceed to next steps:
* Coding challenge
* Ads Domain assessment
* Meet and greet with the wider team
 Our goal is to complete the process within one week. All interviews will be conducted in person when applicable.
**Location** 
 The role is based in Palo Alto. Candidates are expected to be located near the Bay Area or open to relocation.
*xAI is an equal opportunity employer.* 
 California Consumer Privacy Act (CCPA) Notice</t>
        </is>
      </c>
    </row>
    <row r="159">
      <c r="A159" t="inlineStr">
        <is>
          <t>li-4297756001</t>
        </is>
      </c>
      <c r="B159" t="inlineStr">
        <is>
          <t>Senior Software Engineer - Backend</t>
        </is>
      </c>
      <c r="C159" t="inlineStr">
        <is>
          <t>Databricks</t>
        </is>
      </c>
      <c r="D159" t="inlineStr">
        <is>
          <t>linkedin</t>
        </is>
      </c>
      <c r="E159">
        <f>HYPERLINK("https://www.linkedin.com/jobs/view/4297756001", "https://www.linkedin.com/jobs/view/4297756001")</f>
        <v/>
      </c>
      <c r="F159">
        <f>HYPERLINK("https://databricks.com/company/careers/open-positions/job?gh_jid=6544435002&amp;gh_src=62a881d62&amp;urlHash=6ehv", "https://databricks.com/company/careers/open-positions/job?gh_jid=6544435002&amp;gh_src=62a881d62&amp;urlHash=6ehv")</f>
        <v/>
      </c>
      <c r="G159" t="inlineStr">
        <is>
          <t>Mountain View, CA</t>
        </is>
      </c>
      <c r="H159" t="inlineStr"/>
      <c r="I159" t="inlineStr">
        <is>
          <t>P\-78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solve technical challenges, from designing next\-gen UI/UX for interfacing with data to scaling our services and infrastructure across millions of virtual machines. And we're only getting started.
 As a software engineer with a backend focus, you will work with your team to build infrastructure and products for the Databricks platform at scale.
****The Impact You'll Have:****
 Our backend teams span many domains, from our core compute fabric resource management infrastructure, to service platforms, to machine learning infrastructure. For instance, you might work on challenges such as:
* Resource management infrastructure powering the big data and machine learning workloads on the Databricks platform in a scalable, secure, and cloud\-agnostic way
* Develop reliable, scalable services and client libraries that work with massive amounts of data on the cloud, across geographic regions and Cloud providers
* Build tools to allow Databricks engineers to operate their services across different clouds and environments
* Build services, products and infrastructure at the intersection of machine learning and distributed systems.
****What We Look For:****
* BS (or higher) in Computer Science, or a related field
* 5\+ years of production level experience in one of: Java, Scala, C\+\+, or similar language.
* Experience developing large\-scale distributed systems.
* Experience working on a SaaS platform or with Service\-Oriented Architectures.
* Experience with cloud technologies, e.g. AWS, Azure, GCP, Docker, or Kubernetes.
* Experience with security and systems that handle sensitive data.
* Good knowledge of SQL.
****Benefits****
* Comprehensive health coverage including medical, dental, and vision
* 401(k) Plan
* Equity awards
* Flexible time off
* Paid parental leave
* Family Planning
* Gym reimbursement
* Annual personal development fund
* Work headphones reimbursement
* Employee Assistance Program (EAP)
* Business travel accident insurance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$166,000—$225,000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160">
      <c r="A160" t="inlineStr">
        <is>
          <t>li-4192502576</t>
        </is>
      </c>
      <c r="B160" t="inlineStr">
        <is>
          <t>Backend Software Engineer, AI Platform for User Experiences</t>
        </is>
      </c>
      <c r="C160" t="inlineStr">
        <is>
          <t>Snowflake</t>
        </is>
      </c>
      <c r="D160" t="inlineStr">
        <is>
          <t>linkedin</t>
        </is>
      </c>
      <c r="E160">
        <f>HYPERLINK("https://www.linkedin.com/jobs/view/4192502576", "https://www.linkedin.com/jobs/view/4192502576")</f>
        <v/>
      </c>
      <c r="F160">
        <f>HYPERLINK("https://careers.snowflake.com/us/en/job/SNCOUSAD1534302339458586FEB7D4B2D4E21DEXTERNALENUSC592250A60414C40AA821D947E3494DA/Backend-Software-Engineer-AI-Platform-for-User-Experiences?utm_source=Q2P9NP2NNP&amp;utm_medium=phenom-feeds&amp;gh_src=ed5543a62&amp;urlHash=cYMn", "https://careers.snowflake.com/us/en/job/SNCOUSAD1534302339458586FEB7D4B2D4E21DEXTERNALENUSC592250A60414C40AA821D947E3494DA/Backend-Software-Engineer-AI-Platform-for-User-Experiences?utm_source=Q2P9NP2NNP&amp;utm_medium=phenom-feeds&amp;gh_src=ed5543a62&amp;urlHash=cYMn")</f>
        <v/>
      </c>
      <c r="G160" t="inlineStr">
        <is>
          <t>Menlo Park, CA</t>
        </is>
      </c>
      <c r="H160" t="inlineStr"/>
      <c r="I160"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The
 **Apps \&amp; Experiences (AppEx)** 
 organization powers the unified user experience for Snowflake. Every major Snowflake customer interacts with our platform through these surfaces, making AppEx central to both customer satisfaction and revenue growth.
 Within Appex, our team sits at the intersection of
 **AI, platform, and user experience** 
 . We are on a mission to create an
 **AI‑first, scalable, maintainable, and extensible platform** 
 to build all Snowflake user experience features. The team owns:
* The entire serving layer that powers Snowsight, Snowflake Intelligence, and UX features
* Frontend infrastructure and shared services for product teams
* Storage and metadata systems backing UX features and AI workflows
* Testing and reliability systems, including CI/CD pipelines and release tooling
 The
 **monitoring and logging stack** 
 that ensures observability and trust
 AS A
 **BACKEND SOFTWARE ENGINEER** 
 ON THIS TEAM, YOU WILL:
* Build AI\-first platform services that power Snowflake’s user experiences, including APIs, orchestration services, and storage layers that are safe, scalable, and easy to extend.
* Design and implement agentic systems and tools that automate complex coding, migration, and testing workflows (e.g., SQL/ETL migration, refactoring, and validation for customers adopting Snowflake).
* Own the full backend lifecycle: design, implementation, testing, deployment, monitoring, and continuous improvement of production services.
* Scale automated coding agents and backend workflows to dramatically reduce human effort.
* Define and improve evaluation loops: build golden datasets, rubrics, and metrics to measure quality of AI\- and agent\-driven systems, then “hillclimb” on those metrics.
* Evolve the serving \&amp; infra layer for Snowsight and related experiences (routing, configuration, permissions, performance tuning, resiliency).
* Improve platform reliability by investing in observability, alerting, SLOs, and automated remediation across our serving, storage, and AI systems.
* Collaborate cross\-functionally with forward deployed engineers, product managers, designers, data scientists, and other PE and Cortex teams to turn real\-world customer problems into robust, shipped product features.
* Contribute to technical vision for an AI\-first user experience platform and help set best practices for backend and AI engineering within the org.
 OUR IDEAL SOFTWARE ENGINEER WILL HAVE:
* 3\+ years of industry experience designing and building backend systems or large\-scale web applications.
* Strong programming skills in at least one of: Java, Go, Python
* Solid experience building and operating distributed systems and microservices:
+ REST/gRPC APIs, service\-to\-service communication, configuration management
+ Performance tuning, caching, and scalability patterns
* Strong SQL skills and experience with relational databases; experience with Snowflake, SQL Server, Oracle, or Teradata is a plus.
* Deep computer science fundamentals in data structures, algorithms, concurrency, and system design.
* Experience with or strong interest in:
+ AI/ML or LLM\-based applications (agents, prompt/tool engineering, evals, or productionized AI features)
+ Building evaluation frameworks, metrics, and “golden sets” for AI or automation systems
* Familiarity with modern web application architectures, including:
+ Backend\-for\-frontend patterns, API gateways, authentication/authorization, and secure service design
+ Optional: exposure to TypeScript/Node.js or React is a plus, especially when collaborating closely with frontend teams.
* Experience building highly reliable, observable systems:
+ Logging, tracing, metrics, dashboards, and on\-call best practices
+ Testing at multiple levels (unit, integration, end\-to\-end, load/regression)
* Passion for AI\-first user experiences and for building platforms that enable many teams to move faster while keeping systems maintainable and safe.
* Strong communication and collaboration skills, with the ability to work across disciplines and drive cross\-functional initiatives.
* BS/MS in Computer Science, Engineering, or a related field, or equivalent practical experience.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$160,000 \- $230,000\.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161">
      <c r="A161" t="inlineStr">
        <is>
          <t>li-4378846459</t>
        </is>
      </c>
      <c r="B161" t="inlineStr">
        <is>
          <t>Associate Software Engineer</t>
        </is>
      </c>
      <c r="C161" t="inlineStr">
        <is>
          <t>Metron Inc.</t>
        </is>
      </c>
      <c r="D161" t="inlineStr">
        <is>
          <t>linkedin</t>
        </is>
      </c>
      <c r="E161">
        <f>HYPERLINK("https://www.linkedin.com/jobs/view/4378846459", "https://www.linkedin.com/jobs/view/4378846459")</f>
        <v/>
      </c>
      <c r="F161" t="inlineStr"/>
      <c r="G161" t="inlineStr">
        <is>
          <t>Reston, VA</t>
        </is>
      </c>
      <c r="H161" t="inlineStr"/>
      <c r="I161" t="inlineStr">
        <is>
          <t>**About Metron**
 Metron is an employee\-owned company dedicated to delivering innovative solutions for the most challenging national security problems. For over 40 years, our principled approach to problem\-solving has yielded creative solutions at the intersection of advanced mathematics, computer science, physics, and engineering. Our people are leaders in their technical fields and are passionate about solving challenging problems. We look for individuals who share this same passion and can apply their experience in real\-world settings.
 We are seeking talented programmers with strong computer science, math, and/or physics backgrounds for complex and challenging projects. As a Software Engineer you will be responsible for writing backend infrastructure and frontend web applications for simulation and optimization software that incorporates probabilistic models of physical systems. Project teams range from 2 to 20 people and include a mix of Research Scientists and Software Engineers. Each team member is involved in the entire problem\-solving process, from initial concept through data visualization and analysis, algorithm design, exploratory prototyping, software implementation, demonstration, and deployment. Roles within a team are flexible, giving employees space to contribute to their areas of strength, and to develop new skills. The ideal candidate has experience writing well\-designed, maintainable, and extensible code.
**Required Qualifications**
* Bachelor’s degree in Computer Science, Mathematics, Physics, Applied Math, or related field
* Java, TypeScript, Python or C\+\+ programming experience
* Proficiency in object\-oriented programming
* Familiarity with full\-stack web application development in any frameworks/languages
* Ability to communicate design concepts and performance metrics clearly
* US CITIZENSHIP REQUIRED; Successful candidates will be subject to a security investigation and must meet eligibility requirements for access to classified information
**Desired Qualifications**
* Experience with MongoDB, RabbitMQ, Spring Boot, React, Redux, WebGL and/or OpenGL
* Experience writing algorithmic code, including complexity analysis, performance optimization, and multithreading
* Math background including Probability/Statistics, Linear Algebra, Multivariate Calculus
* Experience designing and implementing user interfaces
 Position Location:
 **Reston, VA**
* The selected individual(s) will be required to work from the Reston, VA office however we are flexible with our relocation timelines.
* Expected Start dates for this role are Spring 2026 and later
**Perks and Benefits**
* Medical, Dental and Vision Insurance
* Accompanying FSA and HSA options
* Additional Voluntary Benefits
* Paid Time Off
* 9 Observed Holidays and 2 Floating Holidays
* Paid Parental Leave
* Tuition Reimbursement
* Relocation Assistance
* Professional Development Reimbursement
* Annual Salary Reviews
* Profit Sharing
* 401(k) Traditional and Roth Options
* Gym and Fitness Reimbursement
* Employee Assistance Program
* Employee Referral Program
* Military Leave
**Metron is an Equal** 
**Employment** 
**Opportunity (EEO) employer. It is the policy of the company to provide equal employment opportunities to all qualified applicants without regard to race, color, religious, sex, sexual orientation, gender identity, national origin, age, protected veteran or disabled status, or genetic information.**
**VEVRAA Federal Contractor**</t>
        </is>
      </c>
    </row>
    <row r="162">
      <c r="A162" t="inlineStr">
        <is>
          <t>li-4332205894</t>
        </is>
      </c>
      <c r="B162" t="inlineStr">
        <is>
          <t>Backend Engineer - AI</t>
        </is>
      </c>
      <c r="C162" t="inlineStr">
        <is>
          <t>Anything</t>
        </is>
      </c>
      <c r="D162" t="inlineStr">
        <is>
          <t>linkedin</t>
        </is>
      </c>
      <c r="E162">
        <f>HYPERLINK("https://www.linkedin.com/jobs/view/4332205894", "https://www.linkedin.com/jobs/view/4332205894")</f>
        <v/>
      </c>
      <c r="F162" t="inlineStr"/>
      <c r="G162" t="inlineStr">
        <is>
          <t>San Francisco, CA</t>
        </is>
      </c>
      <c r="H162" t="inlineStr"/>
      <c r="I162" t="inlineStr">
        <is>
          <t>**Anything**
 Anything is the AI product engineer for the next wave of entrepreneurs.
 It's an AI agent that turns English into apps. Everything you need make money on the internet built in \- mobile, web, design, AI, backend, infra, payments.
 Launched Aug 7th. https://x.com/anything
 Hit $5m rev and growing quickly
 Try it at anything.com
**Role**
**What This Role Is**
 This role is for people who want to grow faster than they could anywhere else. You will work on real AI systems from day one and take ownership of meaningful product work. You will tackle challenging problems, learn new tools constantly, and operate in an environment where speed, ambition, and personal growth are core expectations. You will be supported by senior engineers but trusted to figure things out, push through ambiguity, and build systems that reach millions of users. This is a place for people who want to develop world class skills early in their career.
 You will be expected to move fast with clarity–reasoning through tradeoffs, writing things down when helpful, and choosing solutions that fit the broader system.
 How you will operate
* Break down complex or unclear problems into clear steps and propose practical solutions
* Make thoughtful tradeoffs between speed, correctness, and long\-term maintainability
* Build AI powered features using TypeScript and modern AI frameworks
* Collaborate closely with product and design to align on goals and ship with confidence
* Talk with users and use the product yourself to understand real\-world needs and opportunities
* Push through obstacles with resourcefulness and a strong problem\-solving mindset
* Learn new concepts quickly and apply them to real production challenges
* Stay up to date on the latest in AI research and engineering
* Take on tasks that stretch your abilities and work hard to close skill gaps quickly
* Contribute to a culture of ownership, ambition, and fast\-paced learning
 AI is a rapidly evolving field, and no one here has all the answers. We value humility, openness to feedback, and a willingness to revise your thinking as you learn. Strong opinions are welcome when they are paired with curiosity and respect for evidence.
 Primary outcomes
 Your success will be measured by:
* Independent problem\-solving and execution You take goals, investigate unknowns, evaluate options, and deliver solutions without waiting for extensive guidance.
* Fast skill growth You significantly expand your technical range within your first months through hands\-on work and deliberate learning.
* Shipped product impact Your features improve user experience, performance, and product depth in measurable and well\-reasoned ways
**Required Background**
 Candidates typically show:
* A strong technical foundation from a top CS program or equivalent hands\-on experience building real systems
* Evidence of ambitious, self\-driven projects or internships that required problem solving and ownership
* Solid programming fundamentals and comfort with TypeScript
* Exceptional ability to read deeply, reason clearly, and communicate complex ideas
* Curiosity about AI systems and a desire to push beyond easy or obvious solutions
* A personal track record of learning quickly and putting in real effort to master difficult skills
* Experience working in fast\-paced environments while balancing care with urgency.
****Nice to have****
* Prior internships in AI, backend, or infrastructure engineering
* Previously been one of the first 10 hires at startup
* Personal projects that show initiative, creativity, and independent thinking
* Backgrounds or interests that span technical and non\-technical domains (e.g. writing, design, philosophy, economics, etc)
****Why this role matters****
 We are building products on the frontier of AI and that requires a team that learns fast, thinks clearly, and works hard. You will grow more in one year here than in several years at a typical company. You will take on challenges that stretch your abilities and solve problems that materially shape the future of the product.
**In all roles**
 We look for:
**Intense** 
 . Ship fast. Cycles are hours, not weeks. Hard to outwork.
**Ownership** 
 . Grab the \#1 priority and relentless to deliver.
**Fearlessness** 
 . Risk on. Do the unknown / uncomfortable. Say "good" to bad news.
**Taste** 
 . Obsess over quality. Know what “great” looks like. No slop.
**Play** 
 . Curiosity, joy, and energy.
 Sound like you?
 Come do the most meaningful work of your career.
**Applying**
 Submit here and we'll reach out if it's a fit.
 Compensation Range: $125K \- $200K</t>
        </is>
      </c>
    </row>
    <row r="163">
      <c r="A163" t="inlineStr">
        <is>
          <t>li-4365569923</t>
        </is>
      </c>
      <c r="B163" t="inlineStr">
        <is>
          <t>Software Engineer III, Chrome</t>
        </is>
      </c>
      <c r="C163" t="inlineStr">
        <is>
          <t>Google</t>
        </is>
      </c>
      <c r="D163" t="inlineStr">
        <is>
          <t>linkedin</t>
        </is>
      </c>
      <c r="E163">
        <f>HYPERLINK("https://www.linkedin.com/jobs/view/4365569923", "https://www.linkedin.com/jobs/view/4365569923")</f>
        <v/>
      </c>
      <c r="F163">
        <f>HYPERLINK("https://careers.google.com/jobs/results/134717797170062022-software-engineer-iii/?src=Online/LinkedIn/linkedin_us&amp;utm_source=linkedin&amp;utm_medium=jobposting&amp;utm_campaign=contract&amp;urlHash=PfQK", "https://careers.google.com/jobs/results/134717797170062022-software-engineer-iii/?src=Online/LinkedIn/linkedin_us&amp;utm_source=linkedin&amp;utm_medium=jobposting&amp;utm_campaign=contract&amp;urlHash=PfQK")</f>
        <v/>
      </c>
      <c r="G163" t="inlineStr">
        <is>
          <t>Mountain View, CA</t>
        </is>
      </c>
      <c r="H163" t="inlineStr"/>
      <c r="I163" t="inlineStr">
        <is>
          <t>**Minimum qualifications:**
* Bachelor’s degree or equivalent practical experience.
* 2 years of experience programming in C\+\+, Java or Python.
**Preferred qualifications:**
* Master's degree or PhD in Computer Science or related technical fields.
* 2 years of experience with data structures or algorithms in either an academic or industry setting.
* 2 years of experience with performance, large 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Chrome is dedicated to building a better, more open web. We’re focused on making a better browser (on both desktop and mobile) to help users take advantage of all the web has to offer in a safe and secure way.Chrome is available across all major platforms — iOS, Android, Windows, Mac, Linux and Chrome OS. We also built Chrome as an open source project so the entire web ecosystem could benefit from the latest innovations in speed, simplicity and security.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4">
      <c r="A164" t="inlineStr">
        <is>
          <t>li-4340691774</t>
        </is>
      </c>
      <c r="B164" t="inlineStr">
        <is>
          <t>Software Engineer, ML</t>
        </is>
      </c>
      <c r="C164" t="inlineStr">
        <is>
          <t>Twitch</t>
        </is>
      </c>
      <c r="D164" t="inlineStr">
        <is>
          <t>linkedin</t>
        </is>
      </c>
      <c r="E164">
        <f>HYPERLINK("https://www.linkedin.com/jobs/view/4340691774", "https://www.linkedin.com/jobs/view/4340691774")</f>
        <v/>
      </c>
      <c r="F164">
        <f>HYPERLINK("https://job-boards.greenhouse.io/twitch/jobs/8221643002?gh_src=0c4ebc182&amp;urlHash=kcCl", "https://job-boards.greenhouse.io/twitch/jobs/8221643002?gh_src=0c4ebc182&amp;urlHash=kcCl")</f>
        <v/>
      </c>
      <c r="G164" t="inlineStr">
        <is>
          <t>New York, NY</t>
        </is>
      </c>
      <c r="H164" t="inlineStr"/>
      <c r="I164"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**You Have:**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 Bachelor's degree in Computer Science, Engineering, or equivalent real\-world experience
**Bonus Points**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**Perks**
* Medical, Dental, Vision \&amp; Disability Insurance
* 401(k)
* Maternity \&amp; Parental Leave
* Flexible PTO
* Amazon Employee Discount
 Job ID: TW8973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$99,500—$200,000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165">
      <c r="A165" t="inlineStr">
        <is>
          <t>li-4192503326</t>
        </is>
      </c>
      <c r="B165" t="inlineStr">
        <is>
          <t>Software Engineer - Database Engineering</t>
        </is>
      </c>
      <c r="C165" t="inlineStr">
        <is>
          <t>Snowflake</t>
        </is>
      </c>
      <c r="D165" t="inlineStr">
        <is>
          <t>linkedin</t>
        </is>
      </c>
      <c r="E165">
        <f>HYPERLINK("https://www.linkedin.com/jobs/view/4192503326", "https://www.linkedin.com/jobs/view/4192503326")</f>
        <v/>
      </c>
      <c r="F165">
        <f>HYPERLINK("https://careers.snowflake.com/us/en/job/SNCOUS1765E102554A42B1A2389D13DEB3F1FBEXTERNALENUSDB1375F0EA5D404AB640259F94DBC995/Software-Engineer-Database-Engineering?utm_source=Q2P9NP2NNP&amp;utm_medium=phenom-feeds&amp;gh_src=ed5543a62&amp;urlHash=71D1", "https://careers.snowflake.com/us/en/job/SNCOUS1765E102554A42B1A2389D13DEB3F1FBEXTERNALENUSDB1375F0EA5D404AB640259F94DBC995/Software-Engineer-Database-Engineering?utm_source=Q2P9NP2NNP&amp;utm_medium=phenom-feeds&amp;gh_src=ed5543a62&amp;urlHash=71D1")</f>
        <v/>
      </c>
      <c r="G165" t="inlineStr">
        <is>
          <t>Menlo Park, CA</t>
        </is>
      </c>
      <c r="H165" t="inlineStr"/>
      <c r="I165"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We’re hiring talented Software Engineers to join the Snowflake Database Engineering team! In this role you will work directly with our team to evolve our elastic, large scale, high\-performance data processing system. We need smart engineers who can pick up and understand complex technical areas quickly – and who are enthusiastic about building new technologies!
**AS A SOFTWARE ENGINEER AT SNOWFLAKE, YOU WILL:**
* Design, develop, and support a petabyte\-scale cloud database that is highly parallel and fault\-tolerant.
* Build high\-quality and highly reliable software to meet the needs of some of the largest companies on the planet.
* Analyze and understand performance and scalability bottlenecks in the system and solve them.
* Pinpoint problems, instrument relevant components as needed, and ultimately implement solutions.
* Design and implement novel query optimization or distributed data processing algorithms which allow Snowflake to provide industry leading data warehousing capabilities.
* Design and implement the new service architecture required to enable the Snowflake Data Cloud
* Develop tools for improving our customers' insights into their workloads.
**OUR IDEAL SOFTWARE ENGINEER WILL HAVE:**
* 2\+ years industry experience working on commercial or open\-source software.
* Fluency in Java or C\+\+.
* Familiarity with development in a Linux environment.
* Excellent problem solving skills, and strong CS fundamentals including data structures, algorithms, and distributed systems.
* Systems programming skills including multi\-threading, concurrency, etc.
* Experience with implementation testing, debugging and documentation.
* Bachelor’s degree or foreign equivalent in Computer Science, Software Engineering or related field; Masters or PhD preferred.
* Ability to work on\-site in our Menlo Park / Bellevue / Berlin office.
**BONUS POINTS FOR EXPERIENCE WITH THE FOLLOWING:**
* SQL or other database technologies including internal design and implementation.
* Query optimization, query execution, compiler design and implementation.
* Experience with internals of distributed key value stores like FoundationDB and storage engines like RocksDB, InnoDB, BerkeleyDB etc.
* Experience with MySQL, PostgreSQL internals
* Data warehouse design, database systems, and large\-scale data processing solutions like Hadoop and Spark.
* Large scale distributed systems, transactions and consistency models.
* Experience in database replication technology
* Big data storage technologies and their applications, e.g., HDFS, Cassandra, Columnar Databases, etc.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$160,000 \- $230,000\.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166">
      <c r="A166" t="inlineStr">
        <is>
          <t>li-4378831478</t>
        </is>
      </c>
      <c r="B166" t="inlineStr">
        <is>
          <t>Software Engineer (Full Stack)</t>
        </is>
      </c>
      <c r="C166" t="inlineStr">
        <is>
          <t>Cornell University</t>
        </is>
      </c>
      <c r="D166" t="inlineStr">
        <is>
          <t>linkedin</t>
        </is>
      </c>
      <c r="E166">
        <f>HYPERLINK("https://www.linkedin.com/jobs/view/4378831478", "https://www.linkedin.com/jobs/view/4378831478")</f>
        <v/>
      </c>
      <c r="F166" t="inlineStr"/>
      <c r="G166" t="inlineStr">
        <is>
          <t>Ithaca, NY</t>
        </is>
      </c>
      <c r="H166" t="inlineStr"/>
      <c r="I166" t="inlineStr">
        <is>
          <t>**Working Title: Software Engineer (Full Stack) – Remote**
* Visa Sponsorship is not available for this position.
**About The Cornell Lab Of Ornithology**
 The Cornell Lab of Ornithology is a world leader in the study and protection of biodiversity. Our team powers
 **AllAboutBirds.org** 
 , one of the most visited bird and nature enthusiast resources. We are evolving our digital ecosystem into a high\-scale, data\-driven platform designed to translate scientific discovery into engaging, accessible knowledge for millions of people globally.
**The Opportunity**
 Join the team behind
 **AllAboutBirds.org** 
 , a digital gateway bringing birds and nature to
 **20\+ million people annually.** 
 You will build the bridge between complex scientific data and a massive community of nature lovers—creating high\-performance tools that turn raw information into a journey of discovery.
 You will
 **architect and build t
 *he modern* 
 web and data services** 
 powering our
 **next\-generation user experiences.** 
 Working within a collaborative, iterative team, you will integrate diverse data streams to design dynamic personalized features, self\-service tools, and interactive learning capabilities that drive global engagement with the natural world.
**Team Culture**
* Join a mission\-aligned team creating tools used by millions of bird enthusiasts
* Engage in high\-impact work supporting conservation and scientific outreach
**Essential Duties \&amp; Responsibilities**
* Develop and optimize APIs and data\-integration pipelines that link user engagement metrics with educational resources
* Architect enterprise\-grade technology services in line with Cornell Lab infrastructure
* Develop and maintain web apps, data integration pipelines, CMS, and cloud environments
* Manage platform components: web servers, JS frameworks, container platforms, databases, cloud services, and AI integrations
* Lead full software development lifecycle from requirements through QA and deployment
* Design and maintain application\-level data services
* Implement quality assurance and testing processes
**Remote Opportunity And Required Travel**
* This position is eligible for remote work within the United States; however, preference will be given to candidates located in the Ithaca, New York area. An on\-site presence in Ithaca is required approximately 2–3 times per year to support departmental and university initiatives and travel for these visits will be at the employee’s expense. The university reserves the right to modify, suspend, or terminate the remote or hybrid work arrangement at any time.
**What We Need**
**Required Qualifications:**
* Bachelor’s degree with three (3\) to five (5\) years in computer science, information science, or equivalent combination of education and experience.
* Experience managing enterprise systems and/or services that serve medium to large organizations
* Experience architecting and planning applications and web services
* Proven experience writing application requirements, architecting applications, and documenting code.
* A thorough understanding of object\-oriented programming (OOP) and web applications is essential, as well as experience with the complete software development lifecycle (SDLC)
* Demonstrable experience in the following areas: 1\) interactive asynchronous web application development using modern web application frameworks i.e., Vue, React, etc.; 2\) database\-driven application development
* Good interpersonal skills and diplomacy required with a variety of domain experts, as well as the ability to help establish realistic goals and deliver work on schedule
* Must be self\-motivated and able to work independently and be equally capable of working with the supervisor to prioritize projects and to regularly communicate status and progress
* Experience integrating remote applications and third\-party utilities with resident web applications
* Ability to translate design and functional requirements into technology and web design options
* Demonstrated proficiency in relational database design, resolving access and security issues. Familiarity with QA/QC conventions
* Experience building applications that comply with web usability and accessibility standards
* Strong service orientation. Excellent oral and written communication skills. Ability to work in a fast\-paced, multi\-tasked, team\-based environment
* Experience with agile methodologies and QA/QC practices
* Prior training experience; ability to express highly technical terms in layman’s terms
* Must be able to manage multiple competing deadlines and be able to prioritize work with minimal input from supervisor
* Ability to build working relationships to solve problems and achieve common goals.
* Able to adapt to changing priorities, situations, and demands.
* Proven ability to translate stakeholder needs into technical specifications
* Must have demonstrated ability for working collaboratively and inclusively
* Proven ability to work in a team environment where cooperation between colleagues and flexibility to different styles and approaches is required
* Strong communication skills for cross\-functional collaboration
* Self\-motivated, organized, and capable of independent and collaborative work
* Excellent oral and written communication skills
* Ability to travel to Ithaca, NY for required visits
**If you have all those things, great! We have a few more things that we would prefer you to have, but it’s ok if you don’t.**
**Preferred Qualifications**
* Master’s degree in computer or information science preferred
* Full stack development experience (front\-end, back\-end, cloud\-native)
* Familiarity with CMS platforms, container orchestration, and AI service integration
* Experience with marketing platform integrations and scalable application architecture
* Ability to customize and maintain content management systems (CMS) such as WordPress and experience in syndicating content to other websites with RESTful API
* Experience with modern data platforms integrating data from various sources to allow analysts to create reports for managers
* Experience in fundraising technology, advocacy platforms, or marketing technology (MarTech) is highly desirable; passion for conservation, nature, wildlife, and non\-profit technology is desirable
**Application Information**
* A resume is required for further consideration for this position. A cover letter expressing alignment with Cornell’s Lab mission and this role is strongly encouraged. When applying through our system, please remember to attach your application materials (Cover Letter and Resume) in PDF format.
* Visa Sponsorship of any kind is not available for this position.
* Relocation assistance will not be provided for this position.
**Rewards And Benefits**
* This position is based in Ithaca, New York, however, the successful applicant may perform this role remotely anywhere within the United States. Employees who work remotely may receive multiple W\-2 Forms depending on their work location.
 The New York Convenience of employer guidelines require New York State individual tax reporting and withholding for this position. Additional individual state income tax filings may also be required if working temporarily outside of New York State.
* Cornell receives national recognition as an award\-winning workplace for our health, wellbeing, and sustainability.
* Our benefits programs include comprehensive health care options, generous retirement contributions, access to wellness programs, and employee discounts with local and national retail brands. We invite you to follow this link to get more information about our benefits: Understand Your Benefits \| Working at Cornell.
* Our leave provisions include health and personal leave, three weeks of vacation and 13 holidays: Martin Luther King, Jr. Day, Memorial Day, Juneteenth, Independence Day, Labor Day, Thanksgiving and the day after, and an end of the year winter break from December 25\-January 1\. To offer greater flexibility for observing faiths and traditions we also offer two additional floating holidays. Learn more about our generous leave provisions: Holiday and Accrued Time Off \| Working at Cornell
* Cornell's impressive educational benefits include tuition\-free Extramural Study and Employee Degree Program, tuition aid for external education, and Cornell Children's Tuition Assistance Program. Learn more about our extensive educational benefits: Education Benefits \| Working at Cornell
* Follow this link to learn more about the Total Rewards of Working at Cornell:
 Total Rewards \| Working at Cornell.
***Visa sponsorship is not available for this position.***
**University Job Title**
 Software Engineer III
**Job Family**
 Information Technology
**Level**
 F
**Pay Rate Type**
 Salary
**Pay Range**
 $98,548\.00 \- $114,529\.00
**Remote Option Availability**
 Remote
**Company**
 Contract College
**Contact Name**
 Maria Avila
**Contact Email**
 mia28@cornell.edu
**Job Titles And Pay Ranges**
**Non\-Union Positions**
 Noted Pay Ranges Reflect The Potential Pay Opportunity For Each Job Profile. The Hiring Rate Of Pay For The Successful Candidate Will Be Determined Considering The Following Criteria
* Prior relevant work or industry experience
* Education level to the extent education is relevant to the position
* Unique applicable skills
* Academic Discipline
 To learn more about Cornell’s non\-union staff job titles and pay ranges, see Career Navigator.
**Union Positions**
 The hiring rate of pay for the successful candidate will be determined in accordance with the rates in the respective collective bargaining agreement. To learn more about Cornell’s union wages, see Union Pay Rates.
**Current Employees**
 If you currently work at Cornell University, please exit this website and log in to Workday using your Net ID and password. Select the Career icon on your
 **Home** 
 dashboard to view jobs at Cornell.
**Online Submission Guidelines**
 Most positions at Cornell will require you to apply online and submit both a resume/CV and cover letter. You can upload documents either by “dragging and dropping” them into the dropbox or by using the “upload” icon on the application page. For more detailed instructions on how to apply to a job at Cornell, visit How We Hire on the HR website.
**Employment Assistance**
 For general questions about the position or the application process, please contact the Recruiter listed in the job posting or email mycareer@cornell.edu.
 If you require an accommodation for a disability in order to complete an employment application or to participate in the recruiting process, you are encouraged to contact Cornell Office of Civil Rights at voice (607\) 255\-2242, or email at accommodations@cornell.edu.
 Applicants that do not have internet access are encouraged to visit your local library, or local Department of Labor. You may also request an appointment to use a dedicated workstation in the Office of Talent Attraction and Recruitment, at the Ithaca campus, by emailing mycareer@cornell.edu.
**Notice To Applicants**
 Please read the required Notice to Applicants statement by
 **clicking here** 
 . This notice contains important information about applying for a position at Cornell as well as some of your rights and responsibilities as an applicant.
**EEO Statement**
 Cornell welcomes students, faculty, and staff with diverse backgrounds from across the globe to pursue world\-class education and career opportunities, to further the founding principle of “... any person ... any study.” No person shall be denied employment on the basis of any legally protected status or subjected to prohibited discrimination involving, but not limited to, such factors as race, ethnic or national origin, citizenship and immigration status, color, sex,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Cornell University embraces diversity in its workforce and seeks job candidates who will contribute to a climate that supports students, faculty, and staff of all identities and backgrounds. We hire based on merit, and encourage people from historically underrepresented and/or marginalized identities to apply. Consistent with federal law, Cornell engages in affirmative action in employment for qualified protected veterans as defined in the Vietnam Era Veterans’ Readjustment Assistance Act (VEVRAA) and qualified individuals with disabilities under Section 503 of the Rehabilitation Act. We also recognize a lawful preference in employment practices for Native Americans living on or near Indian reservations in accordance with applicable law.
 2026\-02\-18</t>
        </is>
      </c>
    </row>
    <row r="167">
      <c r="A167" t="inlineStr">
        <is>
          <t>li-4127688518</t>
        </is>
      </c>
      <c r="B167" t="inlineStr">
        <is>
          <t>Senior Software Engineer, Backend</t>
        </is>
      </c>
      <c r="C167" t="inlineStr">
        <is>
          <t>Oscar Health</t>
        </is>
      </c>
      <c r="D167" t="inlineStr">
        <is>
          <t>linkedin</t>
        </is>
      </c>
      <c r="E167">
        <f>HYPERLINK("https://www.linkedin.com/jobs/view/4127688518", "https://www.linkedin.com/jobs/view/4127688518")</f>
        <v/>
      </c>
      <c r="F167">
        <f>HYPERLINK("https://app.greenhouse.io/embed/job_app?token=6546196&amp;gh_src=df2216f21&amp;source=LinkedIn&amp;urlHash=-kaS", "https://app.greenhouse.io/embed/job_app?token=6546196&amp;gh_src=df2216f21&amp;source=LinkedIn&amp;urlHash=-kaS")</f>
        <v/>
      </c>
      <c r="G167" t="inlineStr">
        <is>
          <t>New York, NY</t>
        </is>
      </c>
      <c r="H167" t="inlineStr"/>
      <c r="I167" t="inlineStr">
        <is>
          <t>Hi, we're Oscar. We're hiring a Senior Software Engineer, Backend to join our Engineering team.
 Oscar is the first health insurance company built around a full stack technology platform and a focus on serving our members. We started Oscar in 2012 to create the kind of health insurance company we would want for ourselves—one that behaves like a doctor in the family.
**About The Role**
 As a Senior Software Engineer, you will build reliable and maintainable applications, infrastructure, and interfaces that make interacting with the health care system easier for members and providers. You will work with partners, product managers, and designers to solve challenging problems. Senior Engineers collaborate with other engineers on the team to improve technology and apply best practices.
**Work Location:** 
 This position is based in our New York City office, requiring a hybrid work schedule with 3 days of in\-office work per week. Thursdays are a required in\-office day for team meetings and events, while your other two office days are flexible to suit your schedule.
**Pay Transparency:** 
 The base pay for this role is: $158,400 \- $207,900 per year. You are also eligible for employee benefits, participation in Oscar's unlimited vacation program, company equity grants, and annual performance bonuses.
**Responsibilities**
* Become the expert on your team's business and technical domains.
* Lead the planning, execution and release of complex technical projects.
* Work with partners, product managers, and designers to solve challenging problems.
* Collaborate with other engineers on the team to improve technology and apply best practices.
* Implement step\-wise technical migrations of our existing services and applications.
* Own small to medium features or infrastructure projects from technical design through completion with little required guidance.
* Independent contributor to their team. Work effectively across the codebase with appropriate guidance from code owners.
* Make steady, well\-paced progress without requiring frequent significant feedback from more senior engineers.
* Compliance with all applicable laws and regulations
* Other duties as assigned
**Qualifications**
* 5\+ years of professional software engineering experience, working with a variety of technologies, and have increasingly impactful accomplishments
* Experience proposing, experimenting, and iterating, whether it be a new shiny technology or an arcane, ill\-conceived data structure; our company may be new, but the health industry isn't!
* Experience with technical contributions, improving the quality of what you create, and are excited to build fault\-tolerant, and scalable software systems.
* Demonstrates solid understanding of the practical application of CS concepts within their team.
* Consistently writes stable, correct, and maintainable code with little oversight; writes modular, adaptable code with guidance.
 Bonus Points
* Experience supporting libraries and writing in Python and Golang.
* Experience owning observability stack tooling, e.g. Grafana, BigQuery, Kubernetes.
* Experience working in data and engineering tooling, e.g. discovery libraries, data replication, data transfer tools, authentication, authorization libraries.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168">
      <c r="A168" t="inlineStr">
        <is>
          <t>li-4297730991</t>
        </is>
      </c>
      <c r="B168" t="inlineStr">
        <is>
          <t>Senior Software Engineer - Backend</t>
        </is>
      </c>
      <c r="C168" t="inlineStr">
        <is>
          <t>Databricks</t>
        </is>
      </c>
      <c r="D168" t="inlineStr">
        <is>
          <t>linkedin</t>
        </is>
      </c>
      <c r="E168">
        <f>HYPERLINK("https://www.linkedin.com/jobs/view/4297730991", "https://www.linkedin.com/jobs/view/4297730991")</f>
        <v/>
      </c>
      <c r="F168" t="inlineStr"/>
      <c r="G168" t="inlineStr">
        <is>
          <t>Bellevue, WA</t>
        </is>
      </c>
      <c r="H168" t="inlineStr"/>
      <c r="I168" t="inlineStr">
        <is>
          <t>P\-939
 (Position Location is open to both our Seattle \&amp; Bellevue offices.)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solve technical challenges, from designing next\-gen UI/UX for interfacing with data to scaling our services and infrastructure across millions of virtual machines. And we're only getting started.
**The Impact You'll Have**
 As a software engineer with a backend focus, you will work with your team to build infrastructure and products for the Databricks platform at scale. Our backend teams span many domains, from OS/container systems, to serverless infrastructure, to partner integration, and to machine learning infrastructure.
 Below are some example projects and the
* Serverless platform: Build Databricks serverless platform that powers the big data, machine learning and Gen AI workloads. Automatically improve the performance and efficiency of workloads running on the platform while also ensuring they scale to millions of machines across a multi\-cloud environment.
* Core cloud platform: Build cutting\-edge OS, container and networking technologies that power the entire Databricks infrastructure, from internal infrastructure, to serverful, and to serverless platform. Improve the security, efficiency and reliability across the fleet.
* Partner ecosystem: Build and grow a partner ecosystem for Databricks SQL. Build and offer a variety of toolkits to support partners and customers’ deep and seamless integrations with Databricks. Maintain and nurture productive and beneficial partnerships within the ecosystem.
* Notebook dataplane: Build multi\-language multi\-user collaborative REPL experience for Databricks users with high level of reliability and responsiveness, with a focus on Data Science and AI/ML authoring and experimentation experiences in notebooks.
* Application platform. Build tools, frameworks and platforms to allow Databricks engineers to build, deploy and operate services with "batteries included". Improve the scale, observability and safety of all Databricks services across different clouds while improving every engineer's developer experience.
**What We Look For** 
* 
+ BS (or higher) in Computer Science, or a related field
+ 5\+ years of production level experience in one of: Java, Scala, Golang, C\+\+, or similar language
+ Experience developing large\-scale distributed systems
+ Experience working on a SaaS platform or with Service\-Oriented Architectures
+ Experience with cloud technologies, e.g. AWS, Azure, GCP, or Kubernetes
+ Experience with security and systems that handle sensitive data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$157,700—$213,800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169">
      <c r="A169" t="inlineStr">
        <is>
          <t>li-4340561625</t>
        </is>
      </c>
      <c r="B169" t="inlineStr">
        <is>
          <t>Full-Stack Software Engineer 5 - Ecosystem and Operational Insights</t>
        </is>
      </c>
      <c r="C169" t="inlineStr">
        <is>
          <t>Netflix</t>
        </is>
      </c>
      <c r="D169" t="inlineStr">
        <is>
          <t>linkedin</t>
        </is>
      </c>
      <c r="E169">
        <f>HYPERLINK("https://www.linkedin.com/jobs/view/4340561625", "https://www.linkedin.com/jobs/view/4340561625")</f>
        <v/>
      </c>
      <c r="F169" t="inlineStr"/>
      <c r="G169" t="inlineStr">
        <is>
          <t>Los Gatos, CA</t>
        </is>
      </c>
      <c r="H169" t="inlineStr"/>
      <c r="I169"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Client and Partner Technologies (CPT) team builds tools and services to scale the Netflix application platform to over half a billion devices while maintaining high quality standards. The Ecosystem and Operational Insights team within CPT is looking for a senior full\-stack engineer with a front\-end focus to help us revamp our suite of developer productivity tools.
 This team accelerates the software developer lifecycle at Netflix by building tools and services that improve feedback loops and enable confident code delivery. We work closely with our device labs which span iOS, Android, TV and web platforms, to provide reliable, real\-world validation at scale.
 We are looking for versatile specialists who think beyond implementation details, who can empathize with fellow developers, challenge assumptions, and help shape the "why" behind what we build. You should bring a strong perspective on product direction and design, not just execution, and be comfortable working at the intersection of user experience, design, and modern web application development.
 You will excel if you are comfortable with the ambiguity that comes with innovation, can deliver scalable technical solutions, remove technical debt, make strategic decisions for long\-term effectiveness, and approach problems with a curiosity\-driven lens.
**What You Will Do**
* Drive new technical solutions across teams, from system design to deployment
* Design, build, and refine custom developer tooling from the ground up, providing insights that go beyond those available in off\-the\-shelf business intelligence dashboards
* Revamp and update existing tools and services for integration into developer workflows
* Troubleshoot and resolve issues across the stack, including back\-end services, to ensure smooth operation and high reliability of our tools
* Work with our product manager, design team, and stakeholders across Netflix to gather insights, identify opportunities, and define solutions that will scope and shape our product decisions
* Operate in a cross\-functional and dynamic environment where you will collaborate and learn with stunning colleagues from a variety of technical domains and backgrounds to achieve the common goal of entertaining the world
**What We Are Looking For**
* 7\+ years of experience in a software development role
* Demonstrable technical expertise to critically evaluate front\-end architectures and user experience flows, form well\-reasoned recommendations for the best path forward, and navigate ambiguity by iteratively refining solutions based on stakeholder feedback and evolving requirements
* Strong full\-stack development skills with an emphasis in front\-end UI work focused on building scalable, maintainable, and high\-quality developer tools
* Experience with at least several UI frameworks
* Deep experience with React \&amp; GraphQL
* Strong programming skills in JavaScript, TypeScript, and experience with Java and Node.js
* Experience collaborating closely with designers to translate UX/UI designs into delightful developer experiences
* Ability to learn and leverage in\-house software frameworks/components/services to build scalable solutions
* Outstanding communicators who are curious, flexible, and selfless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70">
      <c r="A170" t="inlineStr">
        <is>
          <t>li-4087628442</t>
        </is>
      </c>
      <c r="B170" t="inlineStr">
        <is>
          <t>Senior/Staff Software Engineer, Data Platform</t>
        </is>
      </c>
      <c r="C170" t="inlineStr">
        <is>
          <t>Nuro</t>
        </is>
      </c>
      <c r="D170" t="inlineStr">
        <is>
          <t>linkedin</t>
        </is>
      </c>
      <c r="E170">
        <f>HYPERLINK("https://www.linkedin.com/jobs/view/4087628442", "https://www.linkedin.com/jobs/view/4087628442")</f>
        <v/>
      </c>
      <c r="F170">
        <f>HYPERLINK("https://nuro.ai/careersitem?gh_jid=5550736&amp;gh_src=bcd22a501us&amp;urlHash=_Y1w", "https://nuro.ai/careersitem?gh_jid=5550736&amp;gh_src=bcd22a501us&amp;urlHash=_Y1w")</f>
        <v/>
      </c>
      <c r="G170" t="inlineStr">
        <is>
          <t>Mountain View, CA</t>
        </is>
      </c>
      <c r="H170" t="inlineStr"/>
      <c r="I170" t="inlineStr">
        <is>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scale—empowering a safer, richer, and more connected future.
**About The Role**
 Nuro takes a machine\-learning\-first approach to autonomous driving technology. In an ML\-first system, the overall system performance depends heavily on the quantity and diversity of its training and evaluation data.
 The team plays a crucial role in the advancement of autonomous driving systems by creating a scalable and reliable data infrastructure. This infrastructure is designed to produce training and evaluation data derived from both on\-road collected logs and simulation logs. Additionally, the team collaborates closely with system engineers to thoroughly validate the autonomous driving system before its deployment.
**About The Work**
* Design and develop unified, introspectable, large\-scale batch and streaming data processing systems that can ingest and process data across a wide range of use cases relevant to evaluation.
* Create and implement a storage system capable of accommodating both the large volume and diverse range of evaluation and performance metrics.
* Construct intuitive dashboards and reports to present evaluation results, facilitating straightforward comparisons that highlight both improvements and regressions.
* Design and develop comprehensive end\-to\-end data pipelines that streamline the flow from data ingestion to final consumption.
* Develop and maintain continuous testing and monitoring systems to guarantee the integrity and resilience of our data and associated data pipelines
**About You**
* B.Sc or M.Sc. plus 4\+ years of relevant work experience
* Strong proficiency in Python, C\+\+, or similar languages
* Domain experience: Experience working with large scale data and building scalable \&amp; reliable systems / data pipelines; ability to understand and design complex systems
* Engineering leadership: Experience setting team or project product and technical vision, timelines and prioritization; formally or informally being a Tech Lead, mentoring and support junior engineers
* Technical excellence: Ability and willingness to deep dive into implementation, driving technical standards and best practices across broader software organization
* A bachelor's degree in Computer Science, Electrical Engineering, or a closely related field
**Bonus Points**
* Strong knowledge of GCP, GCS, BigQuery, or PostgreSQL
* Knowledge of data engineering, and its tooling and best practices
* Knowledge of batch and streaming data processing, warehousing, and analytics solutions
* Experience working with large scale distributed data systems
* Experience with system \&amp; framework design
* Experience with data workflow orchestration platforms
 At Nuro, your base pay is one part of your total compensation package. For this position, the reasonably expected pay range is between $193,930 and $352,290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is>
      </c>
    </row>
    <row r="171">
      <c r="A171" t="inlineStr">
        <is>
          <t>li-4379790571</t>
        </is>
      </c>
      <c r="B171" t="inlineStr">
        <is>
          <t>Software Engineer - Early Career</t>
        </is>
      </c>
      <c r="C171" t="inlineStr">
        <is>
          <t>Lensa</t>
        </is>
      </c>
      <c r="D171" t="inlineStr">
        <is>
          <t>linkedin</t>
        </is>
      </c>
      <c r="E171">
        <f>HYPERLINK("https://www.linkedin.com/jobs/view/4379790571", "https://www.linkedin.com/jobs/view/4379790571")</f>
        <v/>
      </c>
      <c r="F171">
        <f>HYPERLINK("https://lensa.com/cgw/b608894bc76b47db846d3699a999c880tjo1?jpsi=directemployers&amp;publisher_preference=easier_apply&amp;utm_campaign=Computer%20Occupations&amp;utm_medium=slot&amp;utm_source=linkedin&amp;utm_term=jse&amp;urlHash=60Rg", "https://lensa.com/cgw/b608894bc76b47db846d3699a999c880tjo1?jpsi=directemployers&amp;publisher_preference=easier_apply&amp;utm_campaign=Computer%20Occupations&amp;utm_medium=slot&amp;utm_source=linkedin&amp;utm_term=jse&amp;urlHash=60Rg")</f>
        <v/>
      </c>
      <c r="G171" t="inlineStr">
        <is>
          <t>Mountain View, CA</t>
        </is>
      </c>
      <c r="H171" t="inlineStr"/>
      <c r="I17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General Motors. Clicking "Apply Now" or "Read more" on Lensa redirects you to the job board/employer site. Any information collected there is subject to their terms and privacy notice.
**Job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To help facilitate administration of relocation benefits if you are selected, please apply using the permanent address you would move from.
**Work Arrangement:** 
 Hybrid: This role is categorized as hybrid. This means the successful candidate is expected to report to the office three times per week, at minimum.
**Location:**
 Mt. View, California \- Mountain View Technical Center
 Warren, Michigan \- GM Global Technical Center – Cole Engineering Center
**The Team**
 Software\-defined vehicles are revolutionizing the automotive industry, driven by technological advancements and the growing demand for intelligent, safer, and more environmentally sustainable transportation solutions. At the heart of this transformation is software—the driving force behind communication, security enhancements, real\-time updates, data processing, and a seamless user experience. These innovations extend beyond consumer benefits, offering significant advantages for business owners.
 The adoption of advanced software solutions serves as a catalyst for increased efficiency, cost reduction, enhanced safety, improved decision\-making, and higher employee satisfaction. This enables businesses to achieve their goals and stay competitive in a rapidly evolving market. Additionally, our solutions are designed to accelerate the transition to electric vehicles, contributing to the decarbonization of the transportation sector.
 At General Motors, we are on an ambitious journey to lead the development of next\-generation software solutions for commercial fleet owners and drivers, from small and medium\-sized businesses to large enterprises. As a leading OEM, our vast fleet of GM vehicles operates globally, giving us a unique advantage in controlling both in\-vehicle and cloud software. This allows us to deliver seamless solutions in fleet management, energy optimization, transportation logistics, safety systems, and more.
**What You’ll Do:** 
 \*\* \*\*
 We are seeking highly motivated and passionate engineering students and recent graduates to join our team as Software Engineers. As part of our team, you will have the opportunity to work on cutting\-edge software solutions that enhance the intelligence, safety, and sustainability of our vehicles, ultimately helping business owners achieve their objectives in a rapidly evolving market.
**Key Responsibilities Could Include**
* Backend Development and distributed systems: Develop robust distributed systems, high available infrastructure, scalable backend systems, craft business logic, and expose data through scalable. APIs. Collaborate with frontend teams to ensure seamless integration and deliver optimal user experiences.
* Mobile and Web Development: Design, develop, and maintain high\-performance mobile and web applications. Drive product innovation by architecting, implementing, and testing robust solutions.
* Android In\-Vehicle Development: Create cutting\-edge digital experiences using General Motors' vehicle hardware, pioneering the future of in\-vehicle technology.
* AI Development: Leverage AI to create groundbreaking user experiences. Research, develop, and deploy AI solutions that drive business value and delight customers.
**Minimum Qualifications**
* Pursuing a BS or MS in Computer Science or Computer Engineering
* Must be graduating between December 2025 and August 2026
* Able to work full time, 40 hours a week
**What Will Give You a Competitive Edge (Preferred Qualifications)**
* Strong object\-oriented design skills and in\-depth knowledge of data structures and algorithms.
* Proficiency in one or more of the following: Java, C/C\+\+, Golang, Python, Linux, SQL, JavaScript, CSS, HTML5\.
* Experience with distributed systems implementation
* Experience with web frameworks such as ReactJS, NodeJS
* Expertise in client\-server protocol and API design.
* Ability to translate multi\-functional requirements into practical engineering tasks.
* Strong debugging, analytical, and problem\-solving skills.
* Excellent collaboration and communication skills.
* Ability to thrive in a fast\-paced, team\-oriented environment.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$100,000 \- $140,000\. The actual base salary a successful candidate will be offered within this range will vary based on factors relevant to the position.
* Bonus Potential: An incentive pay program offers payouts based on company performance, job level, and individual 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(https://search\-careers.gm.com/en/working\-at\-gm/total\-rewards)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(https://search\-careers.gm.com/en/how\-we\-hire) .
**Accommodations**
 General Motors offers opportunities to all job seekers including individuals with disabilities. If you need a reasonable accommodation to assist with your job search or application for employment, email (Careers.Accommodations@GM.com) us or call us at 1\-800\-865\-7580\. In your email, please include a description of the specific accommodation you are requesting as well as the job title and requisition number of the position for which you are applying.
**About**
 We are leading the change to make our world better, safer and more equitable for all through our actions and how we behave. Learn more about:
**Our Company (https://search\-careers.gm.com/en/working\-at\-gm/)**
**Our Culture**
**How we hire (https://search\-careers.gm.com/en/how\-we\-hire/)**
 Our diverse team of employees bring their collective passion for engineering, technology and design to deliver on our vision of a world with Zero Crashes, Zero Emissions and Zero Congestion. We are looking for adventure\-seekers and imaginative thought leaders to help us transform mobility.
 Explore our global locations (https://search\-careers.gm.com/en/locations/)
 We are determined to lead change for the world through technology, ingenuity and harnessing the creativity of our diverse team. Join us to help lead the change that will make our world better, safer and more equitable for all by becoming a member of GM’s Talent Community (beamery.com) (https://flows.beamery.com/generalmotors/talcom) . As a part of our Talent Community, you will receive updates about GM, open roles, career insights and more.
 Please note that filling out the form below will not add you to our Talent Community automatically; you will need to use the link above. If you are seeking to apply to a specific role, we encourage you to click “Apply Now” on the job posting of interest.
 The policy of General Motors is to extend opportunities to qualified applicants and employees on an equal basis regardless of an individual's age, race, color, sex, religion, national origin, disability, sexual orientation, gender identity/expression or veteran status. Additionally, General Motors is committed to being an Equal Employment Opportunity Employer and offers opportunities to all job seekers including individuals with disabilities. If you need a reasonable accommodation to assist with your job search or application for employment, email us at Careers.Accommodations@GM.com .In your email, please include a description of the specific accommodation you are requesting as well as the job title and requisition number of the position for which you are applying.
 If you have questions about this posting, please contact support@lensa.com</t>
        </is>
      </c>
    </row>
    <row r="172">
      <c r="A172" t="inlineStr">
        <is>
          <t>li-4379797865</t>
        </is>
      </c>
      <c r="B172" t="inlineStr">
        <is>
          <t>Software Engineer I</t>
        </is>
      </c>
      <c r="C172" t="inlineStr">
        <is>
          <t>Lensa</t>
        </is>
      </c>
      <c r="D172" t="inlineStr">
        <is>
          <t>linkedin</t>
        </is>
      </c>
      <c r="E172">
        <f>HYPERLINK("https://www.linkedin.com/jobs/view/4379797865", "https://www.linkedin.com/jobs/view/4379797865")</f>
        <v/>
      </c>
      <c r="F172" t="inlineStr"/>
      <c r="G172" t="inlineStr">
        <is>
          <t>Seattle, WA</t>
        </is>
      </c>
      <c r="H172" t="inlineStr"/>
      <c r="I17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
 If you have questions about this posting, please contact support@lensa.com</t>
        </is>
      </c>
    </row>
    <row r="173">
      <c r="A173" t="inlineStr">
        <is>
          <t>li-4365590011</t>
        </is>
      </c>
      <c r="B173" t="inlineStr">
        <is>
          <t>Software Engineer III, Full Stack, Core</t>
        </is>
      </c>
      <c r="C173" t="inlineStr">
        <is>
          <t>Google</t>
        </is>
      </c>
      <c r="D173" t="inlineStr">
        <is>
          <t>linkedin</t>
        </is>
      </c>
      <c r="E173">
        <f>HYPERLINK("https://www.linkedin.com/jobs/view/4365590011", "https://www.linkedin.com/jobs/view/4365590011")</f>
        <v/>
      </c>
      <c r="F173">
        <f>HYPERLINK("https://careers.google.com/jobs/results/136472692889920198-software-engineer-iii/?src=Online/LinkedIn/linkedin_us&amp;utm_source=linkedin&amp;utm_medium=jobposting&amp;utm_campaign=contract&amp;urlHash=RfyP", "https://careers.google.com/jobs/results/136472692889920198-software-engineer-iii/?src=Online/LinkedIn/linkedin_us&amp;utm_source=linkedin&amp;utm_medium=jobposting&amp;utm_campaign=contract&amp;urlHash=RfyP")</f>
        <v/>
      </c>
      <c r="G173" t="inlineStr">
        <is>
          <t>Sunnyvale, CA</t>
        </is>
      </c>
      <c r="H173" t="inlineStr"/>
      <c r="I17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4">
      <c r="A174" t="inlineStr">
        <is>
          <t>li-4378808488</t>
        </is>
      </c>
      <c r="B174" t="inlineStr">
        <is>
          <t>Software Engineer - AI/ML</t>
        </is>
      </c>
      <c r="C174" t="inlineStr">
        <is>
          <t>NISC</t>
        </is>
      </c>
      <c r="D174" t="inlineStr">
        <is>
          <t>linkedin</t>
        </is>
      </c>
      <c r="E174">
        <f>HYPERLINK("https://www.linkedin.com/jobs/view/4378808488", "https://www.linkedin.com/jobs/view/4378808488")</f>
        <v/>
      </c>
      <c r="F174">
        <f>HYPERLINK("https://grnh.se/4eya7bk21us&amp;urlHash=kn54", "https://grnh.se/4eya7bk21us&amp;urlHash=kn54")</f>
        <v/>
      </c>
      <c r="G174" t="inlineStr">
        <is>
          <t>Austin, TX</t>
        </is>
      </c>
      <c r="H174" t="inlineStr"/>
      <c r="I174" t="inlineStr">
        <is>
          <t>**Company Overview:**
 For more than 50 years, NISC has worked to develop technology solutions for our customers, who we call our "Members". Those Members are comprised primarily of 960\+ energy (utility) and communication (broadband) organizations across North America. Our mission is to deliver technology solutions and services that are Member\-focused, quality driven and valued priced. Our Members have over 18 million end customers (residential and businesses who receive power, internet, television and/or telephone services) that our enterprise software solution enables our Member's employees to compete effectively in the industry, while excelling in providing customer service to their end customers.
 NISC exists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**Position Overview:**
 We are looking for a high\-agency, AI\-native Software Engineer who loves building real\-world AI systems that make a measurable difference.
 This is not a research role. This is not a "play with models in a lab" role. This is a builder role.
 You will design, build, ship, and continuously improve production\-grade AI applications that are embedded directly into mission\-critical software used by utilities and broadband providers across North America. Your work will power customer service interactions, operational workflows, and intelligent automation at scale.
 We are looking for someone who:
* Gets excited about taking AI from idea → prototype → production → scale
* Loves experimenting with new models, frameworks, and agentic patterns
* Has a "there's a way" mindset when solving hard technical problems
* Believes AI should drive tangible business impact, not just technical novelty
* Thrives in ambiguity and moves fast while maintaining engineering discipline
 At NISC, AI is not a side initiative — it is a core strategic priority. You will help shape how AI transforms the way our Members serve their communities.
 If you've built and deployed AI systems that real users depend on — and you want to do it in an organization that values ownership, innovation, and meaningful impact — we encourage you to apply.
**Essential Functions:**
* Design \&amp; Build Production AI Systems: Architect, develop, and deploy AI\-powered features and applications using LLMs, RAG pipelines, agentic workflows, and modern ML techniques.
* Own Outcomes, Not Just Code: Take ideas from concept to production. Prototype quickly, validate with users, iterate based on feedback, and optimize for reliability and performance.
* LLM \&amp; Agent Integration: Integrate foundation models, fine\-tuned models, and multi\-agent systems into enterprise\-grade applications in secure, scalable environments.
* Data \&amp; Retrieval Engineering: Design and optimize data ingestion pipelines, embeddings workflows, and vector database implementations that support high\-quality AI responses.
* Performance \&amp; Scalability: Deploy AI systems that are resilient, observable, and cost\-efficient in production environments.
* Mission Alignment: Ensure solutions are practical, intuitive, and aligned with the operational realities of cooperatives, utilities, and broadband providers.
* Continuous Innovation: Actively explore new AI capabilities and rapidly evaluate how they can improve our products and development practices.
* Collaborative Execution: Partner with product, architecture, and engineering teams to embed AI capabilities across our enterprise platform.
* Follow all established software development methodologies and procedures.
* Other duties as assigned
**Desired Experience \&amp; Skills:** 
* 8\-10\+ years experience in software development, preferably with at least 3\+ years in AI/ML software development.
* Demonstrated experience shipping AI solutions used by real customers — not just prototypes or academic projects
* Experience integrating LLMs into applications (prompt engineering, evaluation, fine\-tuning, API orchestration)
* Experience designing RAG pipelines, embeddings workflows, and working with vector databases
* Experience deploying AI systems in cloud environments (AWS, Azure, GCP)
* Technical Expertise:
+ Strong Python proficiency and familiarity with ML frameworks (PyTorch, TensorFlow, or equivalent)
+ Experience building scalable APIs and backend services
+ Understanding of agentic architectures, orchestration frameworks, or multi\-agent systems
+ Experience optimizing AI performance, cost, and latency in production
+ Familiarity with observability, evaluation frameworks, and model monitoring
* Mindset \&amp; Attributes (Critical for Success)
+ Builder mentality — you love shipping
+ High ownership — you see problems and move toward them
+ Curiosity about emerging AI capabilities and how to apply them pragmatically
+ Bias toward action and experimentation
+ Comfort operating in evolving AI landscapes
+ Ability to balance speed with engineering discipline
+ Strong communicator who can translate AI capabilities into business value
* Bonus Experience
+ Experience in utilities, broadband, cooperatives, or enterprise SaaS
+ Knowledge of AI safety, evaluation strategies, or explainability techniques
+ Full\-stack experience or ability to deliver end\-to\-end AI features
+ Portfolio, GitHub, or case studies demonstrating deployed AI systems
* Experience working with utilities, broadband providers, or cooperatives, preferred.
* Commitment to NISC's Statement of Shared Values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 Virtual Office Location: Fully remote candidates will be considered for candidates who have a background in providing AI/ML solutions that work in real world applications, not just conceptual understanding or research based projects.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Bachelor's Degree in a Computer Science, Computer Engineering,  or a related field and/or equivalent experience.
 Master's Degree in Artificial Intelligence or Machine Learning, preferred.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Employees must be able to see, speak, and hear, to operate computer keyboards or office equipment, and are required to stand, walk, and sit.
**Disclaimer:**
 Management may modify this job description by assigning or reassigning duties and responsibilities at any time.</t>
        </is>
      </c>
    </row>
    <row r="175">
      <c r="A175" t="inlineStr">
        <is>
          <t>li-4377754434</t>
        </is>
      </c>
      <c r="B175" t="inlineStr">
        <is>
          <t>Software Engineer - Python</t>
        </is>
      </c>
      <c r="C175" t="inlineStr">
        <is>
          <t>PayPal</t>
        </is>
      </c>
      <c r="D175" t="inlineStr">
        <is>
          <t>linkedin</t>
        </is>
      </c>
      <c r="E175">
        <f>HYPERLINK("https://www.linkedin.com/jobs/view/4377754434", "https://www.linkedin.com/jobs/view/4377754434")</f>
        <v/>
      </c>
      <c r="F175">
        <f>HYPERLINK("https://paypal.eightfold.ai/careers?domain=paypal.com&amp;sort_by=relevance&amp;query=R0134423&amp;Codes=W-LINKEDIN&amp;urlHash=FB5O", "https://paypal.eightfold.ai/careers?domain=paypal.com&amp;sort_by=relevance&amp;query=R0134423&amp;Codes=W-LINKEDIN&amp;urlHash=FB5O")</f>
        <v/>
      </c>
      <c r="G175" t="inlineStr">
        <is>
          <t>San Jose, CA</t>
        </is>
      </c>
      <c r="H175" t="inlineStr"/>
      <c r="I175"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At PayPal, Backend Software Engineers play a pivotal role in building the systems that power millions of global transactions every day. As a Backend Python Engineer on the Venmo Identity Engineering team, you will develop secure, scalable backend solutions that enable authentication and authorization for millions of customers. You’ll write clean, efficient code, collaborate with experienced engineers, and contribute to building high\-performance systems that enhance customer trust and experience. This role is ideal for engineers eager to grow their technical expertise while working on mission\-critical identity services.
**Job Description:**
**Essential Responsibilities:**
* Implements tasks within the Software Development Lifecycle (SDLC), receiving structure and oversight from more experienced staff
* Follows well\-established internal conventions and standard procedures
* Understands internal standards \&amp; processes an applies them to make technical decisions
* Collaborates with peers, manager, and project lead to gain understanding of tasks and review solutions
* May contribute to code \&amp; design reviews
**Expected Qualifications:**
* 1\+ years relevant experience and a Bachelor’s degree OR Any equivalent combination of education and experience.
**Additional Qualifications**
**Additional Responsibilities and Preferred Qualifications**
* Strong foundation in programming concepts, data structures, and algorithms.
* Proficiency in Python and experience with frameworks such as Django or Flask.
* Build and maintain backend services for identity and authentication workflows.
* Collaborate with product managers and senior engineers to deliver impactful business outcomes.
* Participate in code reviews, design discussions, and contribute to improving development processes.
* Troubleshoot and resolve technical issues across distributed systems.
* Understanding of web services, REST APIs, and Service\-Oriented Architecture (SOA).
* Familiarity with relational and/or NoSQL databases.
* Experience with version control systems (e.g., Git) and collaborative development workflows.
**Preferred Qualifications**
* Exposure to identity and authentication technologies, including OAuth2 and secure token management.
* Interest in large\-scale, high\-performance distributed systems.
* Familiarity with cloud platforms such as AWS, GCP, or Azure.
* Awareness of the payments industry and related compliance or regulatory standards.
**About The Team**
* The Venmo Identity Engineering team powers the authentication and authorization experiences that millions of Venmo customers rely on every day. We design and build secure, high\-performance systems that drive trust and simplicity across Venmo's ecosystem. Our team partners closely with product, design, and security to deliver innovative, customer\-first solutions.
 The base pay for this role will depend on where you work and the relevant experience and expertise you bring. The expected range of pay for this role by location is:
**Primary Location : Pay Range:**
 San Jose, California : ($116,500\.00 \- $173,250\.00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R0134423</t>
        </is>
      </c>
    </row>
    <row r="176">
      <c r="A176" t="inlineStr">
        <is>
          <t>li-4374082532</t>
        </is>
      </c>
      <c r="B176" t="inlineStr">
        <is>
          <t>Junior Software Engineer</t>
        </is>
      </c>
      <c r="C176" t="inlineStr">
        <is>
          <t>MetLife</t>
        </is>
      </c>
      <c r="D176" t="inlineStr">
        <is>
          <t>linkedin</t>
        </is>
      </c>
      <c r="E176">
        <f>HYPERLINK("https://www.linkedin.com/jobs/view/4374082532", "https://www.linkedin.com/jobs/view/4374082532")</f>
        <v/>
      </c>
      <c r="F176" t="inlineStr"/>
      <c r="G176" t="inlineStr">
        <is>
          <t>Cary, NC</t>
        </is>
      </c>
      <c r="H176" t="inlineStr"/>
      <c r="I176" t="inlineStr">
        <is>
          <t>**Requirements**
**Description and Requirements**
**The Team You Will Join**
 When you join MetLife’s Global Technology team, you’ll be part of a forward\-thinking group dedicated to shaping the future of digital solutions for customers worldwide. You’ll develop, maintain and support technology applications and delivery, leveraging AI, automation, and contemporary ways of working to enhance experiences and drive business outcomes. Your work will simplify complex processes, improve tech resiliency, and ensure high\-performing, seamless solutions that power life’s most important moments. In this dynamic environment, you’ll collaborate with talented peers across teams and functions, expanding your skills in impactful ways. Ready to push boundaries and set new industry standards? Join us and help drive the future of technology forward.
**The Opportunity**
 As an Early Career Technologist, you will contribute to the development and support of software applications and platforms that help people build a more confident future. This is an ideal opportunity for new college graduates and early\-career technologists passionate about building scalable, secure, and intelligent solutions. You’ll work in a collaborative, agile environment and gain exposure to modern software engineering practices and AI\-enabling technologies.
 Employees hired for this role are expected to start full\-time in Cary, NC in mid\-June 2026\.
**How You’ll Help Us Build a Confident Future (Key Responsibilities)**
* Assist in gathering and refining product requirements and user stories.
* Support the design, development, testing, and deployment of full stack software applications (UI, API, Data) while leveraging AI tools.
* Participate in peer reviews of code, solution designs, and configurations.
* Help investigate and resolve production incidents and service requests.
* Collaborate with cross\-functional teams to identify innovative solutions.
* Contribute to the integration of AI capabilities into applications (e.g., GenAI APIs, ML models).
**What You Need To Succeed (Required Qualifications)**
* A bachelor's degree in Computer Science, Information Systems, Engineering, or a closely related discipline must be conferred prior to start date.
* Internship or academic project experience in software development or AI/ML.
* Demonstrated ability to quickly learn and apply new skills to deliver high quality software as evidenced by academic or project experience.
* Proficiency in at least one programming language (e.g., Java, Python, C\#, JavaScript/TypeScript, COBOL, etc.).
* Basic understanding of software design principles and coding best practices.
* Familiarity with Database concepts, design, and development.
* Familiarity with cloud\-native technologies (e.g., Azure, AWS, GCP).
* Basic knowledge of secure coding practices and automated testing.
* Strong communication, collaboration, and problem\-solving skills.
**What Can Give You An Edge (Preferred Qualifications)**
* Understanding of Agile practices, DevSecOps, and CI/CD pipelines.
* Familiarity with tools like GitHub CoPilot, Azure DevOps, Docker, or Kubernetes.
* Exposure to AI/ML and other technology concepts such as:
+ Prompt engineering and LLM APIs (e.g., Azure OpenAI)
+ AI SDKs and frameworks (e.g., LangChain, Hugging Face, TensorFlow, Semantic Kernel)
+ Responsive UI/UX development
+ Microservice vs. Monolithic architectures
+ Containerization
+ Relational vs. NoSQL databases
 Location Expectation: This is a hybrid role
 **requiring a minimum of 3 days per week** 
 in office.
 The expected salary range for this position is 55800\-76000\.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55800\-76000</t>
        </is>
      </c>
    </row>
    <row r="177">
      <c r="A177" t="inlineStr">
        <is>
          <t>li-4378802499</t>
        </is>
      </c>
      <c r="B177" t="inlineStr">
        <is>
          <t>Software Engineer - AI/ML</t>
        </is>
      </c>
      <c r="C177" t="inlineStr">
        <is>
          <t>NISC</t>
        </is>
      </c>
      <c r="D177" t="inlineStr">
        <is>
          <t>linkedin</t>
        </is>
      </c>
      <c r="E177">
        <f>HYPERLINK("https://www.linkedin.com/jobs/view/4378802499", "https://www.linkedin.com/jobs/view/4378802499")</f>
        <v/>
      </c>
      <c r="F177" t="inlineStr"/>
      <c r="G177" t="inlineStr">
        <is>
          <t>Indianapolis, IN</t>
        </is>
      </c>
      <c r="H177" t="inlineStr"/>
      <c r="I177" t="inlineStr">
        <is>
          <t>**Company Overview:**
 For more than 50 years, NISC has worked to develop technology solutions for our customers, who we call our "Members". Those Members are comprised primarily of 960\+ energy (utility) and communication (broadband) organizations across North America. Our mission is to deliver technology solutions and services that are Member\-focused, quality driven and valued priced. Our Members have over 18 million end customers (residential and businesses who receive power, internet, television and/or telephone services) that our enterprise software solution enables our Member's employees to compete effectively in the industry, while excelling in providing customer service to their end customers.
 NISC exists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**Position Overview:**
 We are looking for a high\-agency, AI\-native Software Engineer who loves building real\-world AI systems that make a measurable difference.
 This is not a research role. This is not a "play with models in a lab" role. This is a builder role.
 You will design, build, ship, and continuously improve production\-grade AI applications that are embedded directly into mission\-critical software used by utilities and broadband providers across North America. Your work will power customer service interactions, operational workflows, and intelligent automation at scale.
 We are looking for someone who:
* Gets excited about taking AI from idea → prototype → production → scale
* Loves experimenting with new models, frameworks, and agentic patterns
* Has a "there's a way" mindset when solving hard technical problems
* Believes AI should drive tangible business impact, not just technical novelty
* Thrives in ambiguity and moves fast while maintaining engineering discipline
 At NISC, AI is not a side initiative — it is a core strategic priority. You will help shape how AI transforms the way our Members serve their communities.
 If you've built and deployed AI systems that real users depend on — and you want to do it in an organization that values ownership, innovation, and meaningful impact — we encourage you to apply.
**Essential Functions:**
* Design \&amp; Build Production AI Systems: Architect, develop, and deploy AI\-powered features and applications using LLMs, RAG pipelines, agentic workflows, and modern ML techniques.
* Own Outcomes, Not Just Code: Take ideas from concept to production. Prototype quickly, validate with users, iterate based on feedback, and optimize for reliability and performance.
* LLM \&amp; Agent Integration: Integrate foundation models, fine\-tuned models, and multi\-agent systems into enterprise\-grade applications in secure, scalable environments.
* Data \&amp; Retrieval Engineering: Design and optimize data ingestion pipelines, embeddings workflows, and vector database implementations that support high\-quality AI responses.
* Performance \&amp; Scalability: Deploy AI systems that are resilient, observable, and cost\-efficient in production environments.
* Mission Alignment: Ensure solutions are practical, intuitive, and aligned with the operational realities of cooperatives, utilities, and broadband providers.
* Continuous Innovation: Actively explore new AI capabilities and rapidly evaluate how they can improve our products and development practices.
* Collaborative Execution: Partner with product, architecture, and engineering teams to embed AI capabilities across our enterprise platform.
* Follow all established software development methodologies and procedures.
* Other duties as assigned
**Desired Experience \&amp; Skills:** 
* 8\-10\+ years experience in software development, preferably with at least 3\+ years in AI/ML software development.
* Demonstrated experience shipping AI solutions used by real customers — not just prototypes or academic projects
* Experience integrating LLMs into applications (prompt engineering, evaluation, fine\-tuning, API orchestration)
* Experience designing RAG pipelines, embeddings workflows, and working with vector databases
* Experience deploying AI systems in cloud environments (AWS, Azure, GCP)
* Technical Expertise:
+ Strong Python proficiency and familiarity with ML frameworks (PyTorch, TensorFlow, or equivalent)
+ Experience building scalable APIs and backend services
+ Understanding of agentic architectures, orchestration frameworks, or multi\-agent systems
+ Experience optimizing AI performance, cost, and latency in production
+ Familiarity with observability, evaluation frameworks, and model monitoring
* Mindset \&amp; Attributes (Critical for Success)
+ Builder mentality — you love shipping
+ High ownership — you see problems and move toward them
+ Curiosity about emerging AI capabilities and how to apply them pragmatically
+ Bias toward action and experimentation
+ Comfort operating in evolving AI landscapes
+ Ability to balance speed with engineering discipline
+ Strong communicator who can translate AI capabilities into business value
* Bonus Experience
+ Experience in utilities, broadband, cooperatives, or enterprise SaaS
+ Knowledge of AI safety, evaluation strategies, or explainability techniques
+ Full\-stack experience or ability to deliver end\-to\-end AI features
+ Portfolio, GitHub, or case studies demonstrating deployed AI systems
* Experience working with utilities, broadband providers, or cooperatives, preferred.
* Commitment to NISC's Statement of Shared Values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 Virtual Office Location: Fully remote candidates will be considered for candidates who have a background in providing AI/ML solutions that work in real world applications, not just conceptual understanding or research based projects.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Bachelor's Degree in a Computer Science, Computer Engineering,  or a related field and/or equivalent experience.
 Master's Degree in Artificial Intelligence or Machine Learning, preferred.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Employees must be able to see, speak, and hear, to operate computer keyboards or office equipment, and are required to stand, walk, and sit.
**Disclaimer:**
 Management may modify this job description by assigning or reassigning duties and responsibilities at any time.</t>
        </is>
      </c>
    </row>
    <row r="178">
      <c r="A178" t="inlineStr">
        <is>
          <t>li-4379916702</t>
        </is>
      </c>
      <c r="B178" t="inlineStr">
        <is>
          <t>Software Engineer I</t>
        </is>
      </c>
      <c r="C178" t="inlineStr">
        <is>
          <t>Lensa</t>
        </is>
      </c>
      <c r="D178" t="inlineStr">
        <is>
          <t>linkedin</t>
        </is>
      </c>
      <c r="E178">
        <f>HYPERLINK("https://www.linkedin.com/jobs/view/4379916702", "https://www.linkedin.com/jobs/view/4379916702")</f>
        <v/>
      </c>
      <c r="F178" t="inlineStr"/>
      <c r="G178" t="inlineStr">
        <is>
          <t>Boston, MA</t>
        </is>
      </c>
      <c r="H178" t="inlineStr"/>
      <c r="I17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Renaissance Services. Clicking "Apply Now" or "Read more" on Lensa redirects you to the job board/employer site. Any information collected there is subject to their terms and privacy notice.
**About Renaissance**
 When you join Renaissance®, you join a global leader in pre\-K–12 education technology! Renaissance’s solutions help educators analyze, customize, and plan personalized learning paths for students, allowing time for what matters—creating energizing learning experiences in the classroom. Our fiercely passionate employees and educational partners have helped drive phenomenal student growth, with Renaissance solutions being used in over one\-third of US schools and in more than 100 countries worldwide.
 Every day, we are connected to our mission by exemplifying our values: trust each other, win together, strive for the best, own our actions, and grow and evolve.
**Job Description**
 We’re looking for a motivated
 **Software Engineer I** 
 to join our agile, multi\-disciplinary engineering team. You’ll play a key role in an impact\-driven culture where your creativity, curiosity, and technical skill help shape how we build and scale our highly available SaaS platform used by millions of K\-12 students every month worldwide.
**In this role as a Software Engineer I, you will:**
* Collaborate closely within an agile, cross\-functional team to deliver high\-quality software and develop your skills.
* Communicate effectively in a distributed remote work environment.
* Contribute to the design, development and maintenance of frontend and backend systems serving millions of users and thousands of requests per second.
* Contribute your unique perspective and technical expertise to achieve shared goals.
* Continuously learn, experiment, test, and iterate to improve both product and process.
**For this role as a Software Engineer I, you should have:**
* BS in Computer Science, Computer Engineering , or equivalent experience.
* 1\-2\+ years of professional software development experience utilizing web technologies.
* Hands\-on experience with React or a comparable single\-page application framework.
* Familiarity with js for backend or API development.
* Exposure to static types systems (TypeScript \-preferred, Java, C\#, etc.).
* Familiarity working with relational databases.
* Strong written and verbal communication skills, especially in collaborative environments.
**Bonus Points**
* Professional experience with functional programming languages (Haskell, Scala, Clojure, etc.).
* Professional experience in NodeJS.
* Familiarity with Event based architecture.
**Additional Information**
 All your information will be kept confidential according to EEO guidelines.
**The below compensation range is based on national market data and may vary by experience and location.**
 Salary Range
 $68,000—$80,000 USD
**Benefits For Eligible US Employees Include**
* World Class Health Benefits: Medical, Prescription, Dental, Vision, Telehealth
* Health Savings and Flexible Spending Accounts
* 401(k) and Roth 401(k) with company match
* Paid Vacation and Sick Time Off
* 12 Paid Holidays
* Parental Leave (20 total weeks with 14 weeks paid) \&amp; Milk Stork program
* Tuition Reimbursement
* Life \&amp; Disability Insurance
* Well\-being and Employee Assistance Programs
 Frequently cited statistics show that some women, underrepresented individuals, protected veterans and individuals with disabilities may only apply to roles if they meet 100% of the qualifications. At Renaissance, we encourage all applications. Roles evolve over time, especially with innovation, and you may be just the person we need for the future!
**Equal Opportunity Employer**
 Renaissance is an equal opportunity employer and does not discriminate with respect to any term, condition or privilege of employment based on race, color, religion, sex, sexual orientation, gender identity or expression, age, disability, military or veteran status, marital status, or status of an individual in any group or class protected by applicable federal, state, or local law.
 For California Residents, please see our Privacy Notice for California Job Candidates here .
**Reasonable Accommodations**
 Renaissance also provides reasonable accommodations for qualified individuals with disabilities in accordance with the Americans with Disabilities Act and applicable state and local laws. If accommodation is needed to participate in the job application or interview process, please contact Talent Acquisition (TATeam@renlearnCRM.onmicrosoft.com) .
**Employment Authorization**
 Applicants must be authorized to work for any employer in the United States. We are unable to sponsor or take over sponsorship of an employment Visa at this time.
 For more information about Renaissance, visit: https://www.renaissance.com
 If you have questions about this posting, please contact support@lensa.com</t>
        </is>
      </c>
    </row>
    <row r="179">
      <c r="A179" t="inlineStr">
        <is>
          <t>li-4379905781</t>
        </is>
      </c>
      <c r="B179" t="inlineStr">
        <is>
          <t>Software Engineer I</t>
        </is>
      </c>
      <c r="C179" t="inlineStr">
        <is>
          <t>Lensa</t>
        </is>
      </c>
      <c r="D179" t="inlineStr">
        <is>
          <t>linkedin</t>
        </is>
      </c>
      <c r="E179">
        <f>HYPERLINK("https://www.linkedin.com/jobs/view/4379905781", "https://www.linkedin.com/jobs/view/4379905781")</f>
        <v/>
      </c>
      <c r="F179" t="inlineStr"/>
      <c r="G179" t="inlineStr">
        <is>
          <t>Washington, DC</t>
        </is>
      </c>
      <c r="H179" t="inlineStr"/>
      <c r="I17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Renaissance Services. Clicking "Apply Now" or "Read more" on Lensa redirects you to the job board/employer site. Any information collected there is subject to their terms and privacy notice.
**About Renaissance**
 When you join Renaissance®, you join a global leader in pre\-K–12 education technology! Renaissance’s solutions help educators analyze, customize, and plan personalized learning paths for students, allowing time for what matters—creating energizing learning experiences in the classroom. Our fiercely passionate employees and educational partners have helped drive phenomenal student growth, with Renaissance solutions being used in over one\-third of US schools and in more than 100 countries worldwide.
 Every day, we are connected to our mission by exemplifying our values: trust each other, win together, strive for the best, own our actions, and grow and evolve.
**Job Description**
 We’re looking for a motivated
 **Software Engineer I** 
 to join our agile, multi\-disciplinary engineering team. You’ll play a key role in an impact\-driven culture where your creativity, curiosity, and technical skill help shape how we build and scale our highly available SaaS platform used by millions of K\-12 students every month worldwide.
**In this role as a Software Engineer I, you will:**
* Collaborate closely within an agile, cross\-functional team to deliver high\-quality software and develop your skills.
* Communicate effectively in a distributed remote work environment.
* Contribute to the design, development and maintenance of frontend and backend systems serving millions of users and thousands of requests per second.
* Contribute your unique perspective and technical expertise to achieve shared goals.
* Continuously learn, experiment, test, and iterate to improve both product and process.
**For this role as a Software Engineer I, you should have:**
* BS in Computer Science, Computer Engineering , or equivalent experience.
* 1\-2\+ years of professional software development experience utilizing web technologies.
* Hands\-on experience with React or a comparable single\-page application framework.
* Familiarity with js for backend or API development.
* Exposure to static types systems (TypeScript \-preferred, Java, C\#, etc.).
* Familiarity working with relational databases.
* Strong written and verbal communication skills, especially in collaborative environments.
**Bonus Points**
* Professional experience with functional programming languages (Haskell, Scala, Clojure, etc.).
* Professional experience in NodeJS.
* Familiarity with Event based architecture.
**Additional Information**
 All your information will be kept confidential according to EEO guidelines.
**The below compensation range is based on national market data and may vary by experience and location.**
 Salary Range
 $68,000—$80,000 USD
**Benefits For Eligible US Employees Include**
* World Class Health Benefits: Medical, Prescription, Dental, Vision, Telehealth
* Health Savings and Flexible Spending Accounts
* 401(k) and Roth 401(k) with company match
* Paid Vacation and Sick Time Off
* 12 Paid Holidays
* Parental Leave (20 total weeks with 14 weeks paid) \&amp; Milk Stork program
* Tuition Reimbursement
* Life \&amp; Disability Insurance
* Well\-being and Employee Assistance Programs
 Frequently cited statistics show that some women, underrepresented individuals, protected veterans and individuals with disabilities may only apply to roles if they meet 100% of the qualifications. At Renaissance, we encourage all applications. Roles evolve over time, especially with innovation, and you may be just the person we need for the future!
**Equal Opportunity Employer**
 Renaissance is an equal opportunity employer and does not discriminate with respect to any term, condition or privilege of employment based on race, color, religion, sex, sexual orientation, gender identity or expression, age, disability, military or veteran status, marital status, or status of an individual in any group or class protected by applicable federal, state, or local law.
 For California Residents, please see our Privacy Notice for California Job Candidates here .
**Reasonable Accommodations**
 Renaissance also provides reasonable accommodations for qualified individuals with disabilities in accordance with the Americans with Disabilities Act and applicable state and local laws. If accommodation is needed to participate in the job application or interview process, please contact Talent Acquisition (TATeam@renlearnCRM.onmicrosoft.com) .
**Employment Authorization**
 Applicants must be authorized to work for any employer in the United States. We are unable to sponsor or take over sponsorship of an employment Visa at this time.
 For more information about Renaissance, visit: https://www.renaissance.com
 If you have questions about this posting, please contact support@lensa.com</t>
        </is>
      </c>
    </row>
    <row r="180">
      <c r="A180" t="inlineStr">
        <is>
          <t>li-4378819358</t>
        </is>
      </c>
      <c r="B180" t="inlineStr">
        <is>
          <t>Software Engineer - AI/ML</t>
        </is>
      </c>
      <c r="C180" t="inlineStr">
        <is>
          <t>NISC</t>
        </is>
      </c>
      <c r="D180" t="inlineStr">
        <is>
          <t>linkedin</t>
        </is>
      </c>
      <c r="E180">
        <f>HYPERLINK("https://www.linkedin.com/jobs/view/4378819358", "https://www.linkedin.com/jobs/view/4378819358")</f>
        <v/>
      </c>
      <c r="F180" t="inlineStr"/>
      <c r="G180" t="inlineStr">
        <is>
          <t>Columbus, OH</t>
        </is>
      </c>
      <c r="H180" t="inlineStr"/>
      <c r="I180" t="inlineStr">
        <is>
          <t>**Company Overview:**
 For more than 50 years, NISC has worked to develop technology solutions for our customers, who we call our "Members". Those Members are comprised primarily of 960\+ energy (utility) and communication (broadband) organizations across North America. Our mission is to deliver technology solutions and services that are Member\-focused, quality driven and valued priced. Our Members have over 18 million end customers (residential and businesses who receive power, internet, television and/or telephone services) that our enterprise software solution enables our Member's employees to compete effectively in the industry, while excelling in providing customer service to their end customers.
 NISC exists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**Position Overview:**
 We are looking for a high\-agency, AI\-native Software Engineer who loves building real\-world AI systems that make a measurable difference.
 This is not a research role. This is not a "play with models in a lab" role. This is a builder role.
 You will design, build, ship, and continuously improve production\-grade AI applications that are embedded directly into mission\-critical software used by utilities and broadband providers across North America. Your work will power customer service interactions, operational workflows, and intelligent automation at scale.
 We are looking for someone who:
* Gets excited about taking AI from idea → prototype → production → scale
* Loves experimenting with new models, frameworks, and agentic patterns
* Has a "there's a way" mindset when solving hard technical problems
* Believes AI should drive tangible business impact, not just technical novelty
* Thrives in ambiguity and moves fast while maintaining engineering discipline
 At NISC, AI is not a side initiative — it is a core strategic priority. You will help shape how AI transforms the way our Members serve their communities.
 If you've built and deployed AI systems that real users depend on — and you want to do it in an organization that values ownership, innovation, and meaningful impact — we encourage you to apply.
**Essential Functions:**
* Design \&amp; Build Production AI Systems: Architect, develop, and deploy AI\-powered features and applications using LLMs, RAG pipelines, agentic workflows, and modern ML techniques.
* Own Outcomes, Not Just Code: Take ideas from concept to production. Prototype quickly, validate with users, iterate based on feedback, and optimize for reliability and performance.
* LLM \&amp; Agent Integration: Integrate foundation models, fine\-tuned models, and multi\-agent systems into enterprise\-grade applications in secure, scalable environments.
* Data \&amp; Retrieval Engineering: Design and optimize data ingestion pipelines, embeddings workflows, and vector database implementations that support high\-quality AI responses.
* Performance \&amp; Scalability: Deploy AI systems that are resilient, observable, and cost\-efficient in production environments.
* Mission Alignment: Ensure solutions are practical, intuitive, and aligned with the operational realities of cooperatives, utilities, and broadband providers.
* Continuous Innovation: Actively explore new AI capabilities and rapidly evaluate how they can improve our products and development practices.
* Collaborative Execution: Partner with product, architecture, and engineering teams to embed AI capabilities across our enterprise platform.
* Follow all established software development methodologies and procedures.
* Other duties as assigned
**Desired Experience \&amp; Skills:** 
* 8\-10\+ years experience in software development, preferably with at least 3\+ years in AI/ML software development.
* Demonstrated experience shipping AI solutions used by real customers — not just prototypes or academic projects
* Experience integrating LLMs into applications (prompt engineering, evaluation, fine\-tuning, API orchestration)
* Experience designing RAG pipelines, embeddings workflows, and working with vector databases
* Experience deploying AI systems in cloud environments (AWS, Azure, GCP)
* Technical Expertise:
+ Strong Python proficiency and familiarity with ML frameworks (PyTorch, TensorFlow, or equivalent)
+ Experience building scalable APIs and backend services
+ Understanding of agentic architectures, orchestration frameworks, or multi\-agent systems
+ Experience optimizing AI performance, cost, and latency in production
+ Familiarity with observability, evaluation frameworks, and model monitoring
* Mindset \&amp; Attributes (Critical for Success)
+ Builder mentality — you love shipping
+ High ownership — you see problems and move toward them
+ Curiosity about emerging AI capabilities and how to apply them pragmatically
+ Bias toward action and experimentation
+ Comfort operating in evolving AI landscapes
+ Ability to balance speed with engineering discipline
+ Strong communicator who can translate AI capabilities into business value
* Bonus Experience
+ Experience in utilities, broadband, cooperatives, or enterprise SaaS
+ Knowledge of AI safety, evaluation strategies, or explainability techniques
+ Full\-stack experience or ability to deliver end\-to\-end AI features
+ Portfolio, GitHub, or case studies demonstrating deployed AI systems
* Experience working with utilities, broadband providers, or cooperatives, preferred.
* Commitment to NISC's Statement of Shared Values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 Virtual Office Location: Fully remote candidates will be considered for candidates who have a background in providing AI/ML solutions that work in real world applications, not just conceptual understanding or research based projects.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Bachelor's Degree in a Computer Science, Computer Engineering,  or a related field and/or equivalent experience.
 Master's Degree in Artificial Intelligence or Machine Learning, preferred.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Employees must be able to see, speak, and hear, to operate computer keyboards or office equipment, and are required to stand, walk, and sit.
**Disclaimer:**
 Management may modify this job description by assigning or reassigning duties and responsibilities at any time.</t>
        </is>
      </c>
    </row>
    <row r="181">
      <c r="A181" t="inlineStr">
        <is>
          <t>li-4379901639</t>
        </is>
      </c>
      <c r="B181" t="inlineStr">
        <is>
          <t>Senior Software Engineer</t>
        </is>
      </c>
      <c r="C181" t="inlineStr">
        <is>
          <t>Jobgether</t>
        </is>
      </c>
      <c r="D181" t="inlineStr">
        <is>
          <t>linkedin</t>
        </is>
      </c>
      <c r="E181">
        <f>HYPERLINK("https://www.linkedin.com/jobs/view/4379901639", "https://www.linkedin.com/jobs/view/4379901639")</f>
        <v/>
      </c>
      <c r="F181" t="inlineStr"/>
      <c r="G181" t="inlineStr"/>
      <c r="H181" t="inlineStr"/>
      <c r="I181" t="inlineStr">
        <is>
          <t>**This position is posted by Jobgether on behalf of a partner company. We are currently looking for a Senior Software Engineer in United States.**
 This role offers the chance to work on high\-impact federal health platforms, modernizing and sustaining critical portal experiences for millions of users. As a Senior Software Engineer, you will lead front\-end development within the Liferay DXP environment, focusing on improving usability, performance, and accessibility. You will collaborate across teams to ensure engineering quality, mentor peers, and leverage AI tools to streamline workflows, code generation, and debugging. The position emphasizes technical leadership without direct people management, allowing you to set standards and drive innovation. This is a fully remote opportunity with occasional travel, offering the ability to make a tangible difference in digital services for veterans while working in a flexible and supportive environment.
**Accountabilities**
* Design, develop, and maintain Liferay DXP themes, portlets, fragments, and FreeMarker templates
* Modernize legacy JSP\-based implementations while ensuring stability of critical user workflows
* Build and enhance front\-end experiences, with emphasis on Secure Messaging and veteran\-facing interfaces
* Debug complex issues in the Liferay request lifecycle, OSGi modules, and portal configurations
* Apply secure coding, session handling, and accessibility (Section 508/WCAG) best practices
* Leverage AI tools to improve code quality, documentation, unit testing, and overall engineering productivity
* Contribute to CI/CD pipelines and collaborate with QA and product teams to validate portal enhancements
**Requirements**
* 6\+ years of professional software engineering experience, with 6\+ years on Liferay DXP (7\.x preferred)
* Strong expertise in HTML5, CSS3, JavaScript, Java web fundamentals (JSP/Servlets), and FreeMarker templating
* Experience with front\-end frameworks such as JSF/Facelets or equivalent Liferay UI libraries
* Proven ability to debug portal lifecycle issues, OSGi module interactions, and complex portal configurations
* Hands\-on experience modernizing enterprise portal applications
* Proficiency using AI tooling to accelerate development workflows and improve code quality
* Ability to obtain and maintain a Public Trust clearance
* Preferred: experience with Section 508 accessibility standards, secure session handling, SSO authentication, CI/CD pipelines, and prior support of VA digital health platforms
**Benefits**
* Competitive salary range: $138,400 – $150,000
* Fully remote work with up to 10% travel to VA facilities
* Health, dental, and vision benefits with significant company contribution
* 401(k) retirement plan with company match
* 20 days PTO and 11 paid holidays, plus sabbaticals and additional leave programs
* Company\-paid short\- and long\-term disability and life insurance
* Voluntary insurance options, pet insurance, and wellness reimbursements
* Professional development reimbursement and philanthropic engagement programs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2">
      <c r="A182" t="inlineStr">
        <is>
          <t>li-4365580322</t>
        </is>
      </c>
      <c r="B182" t="inlineStr">
        <is>
          <t>Software Engineer III, Full Stack, Core</t>
        </is>
      </c>
      <c r="C182" t="inlineStr">
        <is>
          <t>Google</t>
        </is>
      </c>
      <c r="D182" t="inlineStr">
        <is>
          <t>linkedin</t>
        </is>
      </c>
      <c r="E182">
        <f>HYPERLINK("https://www.linkedin.com/jobs/view/4365580322", "https://www.linkedin.com/jobs/view/4365580322")</f>
        <v/>
      </c>
      <c r="F182">
        <f>HYPERLINK("https://careers.google.com/jobs/results/136472692889920198-software-engineer-iii/?src=Online/LinkedIn/linkedin_us&amp;utm_source=linkedin&amp;utm_medium=jobposting&amp;utm_campaign=contract&amp;urlHash=RfyP", "https://careers.google.com/jobs/results/136472692889920198-software-engineer-iii/?src=Online/LinkedIn/linkedin_us&amp;utm_source=linkedin&amp;utm_medium=jobposting&amp;utm_campaign=contract&amp;urlHash=RfyP")</f>
        <v/>
      </c>
      <c r="G182" t="inlineStr">
        <is>
          <t>Seattle, WA</t>
        </is>
      </c>
      <c r="H182" t="inlineStr"/>
      <c r="I18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3">
      <c r="A183" t="inlineStr">
        <is>
          <t>li-4378803461</t>
        </is>
      </c>
      <c r="B183" t="inlineStr">
        <is>
          <t>Software Engineer - AI/ML</t>
        </is>
      </c>
      <c r="C183" t="inlineStr">
        <is>
          <t>NISC</t>
        </is>
      </c>
      <c r="D183" t="inlineStr">
        <is>
          <t>linkedin</t>
        </is>
      </c>
      <c r="E183">
        <f>HYPERLINK("https://www.linkedin.com/jobs/view/4378803461", "https://www.linkedin.com/jobs/view/4378803461")</f>
        <v/>
      </c>
      <c r="F183" t="inlineStr"/>
      <c r="G183" t="inlineStr">
        <is>
          <t>Ann Arbor, MI</t>
        </is>
      </c>
      <c r="H183" t="inlineStr"/>
      <c r="I183" t="inlineStr">
        <is>
          <t>**Company Overview:**
 For more than 50 years, NISC has worked to develop technology solutions for our customers, who we call our "Members". Those Members are comprised primarily of 960\+ energy (utility) and communication (broadband) organizations across North America. Our mission is to deliver technology solutions and services that are Member\-focused, quality driven and valued priced. Our Members have over 18 million end customers (residential and businesses who receive power, internet, television and/or telephone services) that our enterprise software solution enables our Member's employees to compete effectively in the industry, while excelling in providing customer service to their end customers.
 NISC exists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**Position Overview:**
 We are looking for a high\-agency, AI\-native Software Engineer who loves building real\-world AI systems that make a measurable difference.
 This is not a research role. This is not a "play with models in a lab" role. This is a builder role.
 You will design, build, ship, and continuously improve production\-grade AI applications that are embedded directly into mission\-critical software used by utilities and broadband providers across North America. Your work will power customer service interactions, operational workflows, and intelligent automation at scale.
 We are looking for someone who:
* Gets excited about taking AI from idea → prototype → production → scale
* Loves experimenting with new models, frameworks, and agentic patterns
* Has a "there's a way" mindset when solving hard technical problems
* Believes AI should drive tangible business impact, not just technical novelty
* Thrives in ambiguity and moves fast while maintaining engineering discipline
 At NISC, AI is not a side initiative — it is a core strategic priority. You will help shape how AI transforms the way our Members serve their communities.
 If you've built and deployed AI systems that real users depend on — and you want to do it in an organization that values ownership, innovation, and meaningful impact — we encourage you to apply.
**Essential Functions:**
* Design \&amp; Build Production AI Systems: Architect, develop, and deploy AI\-powered features and applications using LLMs, RAG pipelines, agentic workflows, and modern ML techniques.
* Own Outcomes, Not Just Code: Take ideas from concept to production. Prototype quickly, validate with users, iterate based on feedback, and optimize for reliability and performance.
* LLM \&amp; Agent Integration: Integrate foundation models, fine\-tuned models, and multi\-agent systems into enterprise\-grade applications in secure, scalable environments.
* Data \&amp; Retrieval Engineering: Design and optimize data ingestion pipelines, embeddings workflows, and vector database implementations that support high\-quality AI responses.
* Performance \&amp; Scalability: Deploy AI systems that are resilient, observable, and cost\-efficient in production environments.
* Mission Alignment: Ensure solutions are practical, intuitive, and aligned with the operational realities of cooperatives, utilities, and broadband providers.
* Continuous Innovation: Actively explore new AI capabilities and rapidly evaluate how they can improve our products and development practices.
* Collaborative Execution: Partner with product, architecture, and engineering teams to embed AI capabilities across our enterprise platform.
* Follow all established software development methodologies and procedures.
* Other duties as assigned
**Desired Experience \&amp; Skills:** 
* 8\-10\+ years experience in software development, preferably with at least 3\+ years in AI/ML software development.
* Demonstrated experience shipping AI solutions used by real customers — not just prototypes or academic projects
* Experience integrating LLMs into applications (prompt engineering, evaluation, fine\-tuning, API orchestration)
* Experience designing RAG pipelines, embeddings workflows, and working with vector databases
* Experience deploying AI systems in cloud environments (AWS, Azure, GCP)
* Technical Expertise:
+ Strong Python proficiency and familiarity with ML frameworks (PyTorch, TensorFlow, or equivalent)
+ Experience building scalable APIs and backend services
+ Understanding of agentic architectures, orchestration frameworks, or multi\-agent systems
+ Experience optimizing AI performance, cost, and latency in production
+ Familiarity with observability, evaluation frameworks, and model monitoring
* Mindset \&amp; Attributes (Critical for Success)
+ Builder mentality — you love shipping
+ High ownership — you see problems and move toward them
+ Curiosity about emerging AI capabilities and how to apply them pragmatically
+ Bias toward action and experimentation
+ Comfort operating in evolving AI landscapes
+ Ability to balance speed with engineering discipline
+ Strong communicator who can translate AI capabilities into business value
* Bonus Experience
+ Experience in utilities, broadband, cooperatives, or enterprise SaaS
+ Knowledge of AI safety, evaluation strategies, or explainability techniques
+ Full\-stack experience or ability to deliver end\-to\-end AI features
+ Portfolio, GitHub, or case studies demonstrating deployed AI systems
* Experience working with utilities, broadband providers, or cooperatives, preferred.
* Commitment to NISC's Statement of Shared Values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 Virtual Office Location: Fully remote candidates will be considered for candidates who have a background in providing AI/ML solutions that work in real world applications, not just conceptual understanding or research based projects.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Bachelor's Degree in a Computer Science, Computer Engineering,  or a related field and/or equivalent experience.
 Master's Degree in Artificial Intelligence or Machine Learning, preferred.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Employees must be able to see, speak, and hear, to operate computer keyboards or office equipment, and are required to stand, walk, and sit.
**Disclaimer:**
 Management may modify this job description by assigning or reassigning duties and responsibilities at any time.</t>
        </is>
      </c>
    </row>
    <row r="184">
      <c r="A184" t="inlineStr">
        <is>
          <t>li-4378821353</t>
        </is>
      </c>
      <c r="B184" t="inlineStr">
        <is>
          <t>Software Engineer - AI/ML</t>
        </is>
      </c>
      <c r="C184" t="inlineStr">
        <is>
          <t>NISC</t>
        </is>
      </c>
      <c r="D184" t="inlineStr">
        <is>
          <t>linkedin</t>
        </is>
      </c>
      <c r="E184">
        <f>HYPERLINK("https://www.linkedin.com/jobs/view/4378821353", "https://www.linkedin.com/jobs/view/4378821353")</f>
        <v/>
      </c>
      <c r="F184">
        <f>HYPERLINK("https://grnh.se/srv8z4ai1us&amp;urlHash=SoX6", "https://grnh.se/srv8z4ai1us&amp;urlHash=SoX6")</f>
        <v/>
      </c>
      <c r="G184" t="inlineStr">
        <is>
          <t>San Antonio, TX</t>
        </is>
      </c>
      <c r="H184" t="inlineStr"/>
      <c r="I184" t="inlineStr">
        <is>
          <t>**Company Overview:**
 For more than 50 years, NISC has worked to develop technology solutions for our customers, who we call our "Members". Those Members are comprised primarily of 960\+ energy (utility) and communication (broadband) organizations across North America. Our mission is to deliver technology solutions and services that are Member\-focused, quality driven and valued priced. Our Members have over 18 million end customers (residential and businesses who receive power, internet, television and/or telephone services) that our enterprise software solution enables our Member's employees to compete effectively in the industry, while excelling in providing customer service to their end customers.
 NISC exists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**Position Overview:**
 We are looking for a high\-agency, AI\-native Software Engineer who loves building real\-world AI systems that make a measurable difference.
 This is not a research role. This is not a "play with models in a lab" role. This is a builder role.
 You will design, build, ship, and continuously improve production\-grade AI applications that are embedded directly into mission\-critical software used by utilities and broadband providers across North America. Your work will power customer service interactions, operational workflows, and intelligent automation at scale.
 We are looking for someone who:
* Gets excited about taking AI from idea → prototype → production → scale
* Loves experimenting with new models, frameworks, and agentic patterns
* Has a "there's a way" mindset when solving hard technical problems
* Believes AI should drive tangible business impact, not just technical novelty
* Thrives in ambiguity and moves fast while maintaining engineering discipline
 At NISC, AI is not a side initiative — it is a core strategic priority. You will help shape how AI transforms the way our Members serve their communities.
 If you've built and deployed AI systems that real users depend on — and you want to do it in an organization that values ownership, innovation, and meaningful impact — we encourage you to apply.
**Essential Functions:**
* Design \&amp; Build Production AI Systems: Architect, develop, and deploy AI\-powered features and applications using LLMs, RAG pipelines, agentic workflows, and modern ML techniques.
* Own Outcomes, Not Just Code: Take ideas from concept to production. Prototype quickly, validate with users, iterate based on feedback, and optimize for reliability and performance.
* LLM \&amp; Agent Integration: Integrate foundation models, fine\-tuned models, and multi\-agent systems into enterprise\-grade applications in secure, scalable environments.
* Data \&amp; Retrieval Engineering: Design and optimize data ingestion pipelines, embeddings workflows, and vector database implementations that support high\-quality AI responses.
* Performance \&amp; Scalability: Deploy AI systems that are resilient, observable, and cost\-efficient in production environments.
* Mission Alignment: Ensure solutions are practical, intuitive, and aligned with the operational realities of cooperatives, utilities, and broadband providers.
* Continuous Innovation: Actively explore new AI capabilities and rapidly evaluate how they can improve our products and development practices.
* Collaborative Execution: Partner with product, architecture, and engineering teams to embed AI capabilities across our enterprise platform.
* Follow all established software development methodologies and procedures.
* Other duties as assigned
**Desired Experience \&amp; Skills:** 
* 8\-10\+ years experience in software development, preferably with at least 3\+ years in AI/ML software development.
* Demonstrated experience shipping AI solutions used by real customers — not just prototypes or academic projects
* Experience integrating LLMs into applications (prompt engineering, evaluation, fine\-tuning, API orchestration)
* Experience designing RAG pipelines, embeddings workflows, and working with vector databases
* Experience deploying AI systems in cloud environments (AWS, Azure, GCP)
* Technical Expertise:
+ Strong Python proficiency and familiarity with ML frameworks (PyTorch, TensorFlow, or equivalent)
+ Experience building scalable APIs and backend services
+ Understanding of agentic architectures, orchestration frameworks, or multi\-agent systems
+ Experience optimizing AI performance, cost, and latency in production
+ Familiarity with observability, evaluation frameworks, and model monitoring
* Mindset \&amp; Attributes (Critical for Success)
+ Builder mentality — you love shipping
+ High ownership — you see problems and move toward them
+ Curiosity about emerging AI capabilities and how to apply them pragmatically
+ Bias toward action and experimentation
+ Comfort operating in evolving AI landscapes
+ Ability to balance speed with engineering discipline
+ Strong communicator who can translate AI capabilities into business value
* Bonus Experience
+ Experience in utilities, broadband, cooperatives, or enterprise SaaS
+ Knowledge of AI safety, evaluation strategies, or explainability techniques
+ Full\-stack experience or ability to deliver end\-to\-end AI features
+ Portfolio, GitHub, or case studies demonstrating deployed AI systems
* Experience working with utilities, broadband providers, or cooperatives, preferred.
* Commitment to NISC's Statement of Shared Values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 Virtual Office Location: Fully remote candidates will be considered for candidates who have a background in providing AI/ML solutions that work in real world applications, not just conceptual understanding or research based projects.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Bachelor's Degree in a Computer Science, Computer Engineering,  or a related field and/or equivalent experience.
 Master's Degree in Artificial Intelligence or Machine Learning, preferred.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Employees must be able to see, speak, and hear, to operate computer keyboards or office equipment, and are required to stand, walk, and sit.
**Disclaimer:**
 Management may modify this job description by assigning or reassigning duties and responsibilities at any time.</t>
        </is>
      </c>
    </row>
    <row r="185">
      <c r="A185" t="inlineStr">
        <is>
          <t>li-4379086556</t>
        </is>
      </c>
      <c r="B185" t="inlineStr">
        <is>
          <t>Software Developer</t>
        </is>
      </c>
      <c r="C185" t="inlineStr">
        <is>
          <t>Schaeffler</t>
        </is>
      </c>
      <c r="D185" t="inlineStr">
        <is>
          <t>linkedin</t>
        </is>
      </c>
      <c r="E185">
        <f>HYPERLINK("https://www.linkedin.com/jobs/view/4379086556", "https://www.linkedin.com/jobs/view/4379086556")</f>
        <v/>
      </c>
      <c r="F185">
        <f>HYPERLINK("https://jobs.schaeffler.com/job-invite/40120/?locale=en_US&amp;urlHash=Km5I", "https://jobs.schaeffler.com/job-invite/40120/?locale=en_US&amp;urlHash=Km5I")</f>
        <v/>
      </c>
      <c r="G185" t="inlineStr">
        <is>
          <t>Troy, MI</t>
        </is>
      </c>
      <c r="H185" t="inlineStr"/>
      <c r="I185" t="inlineStr">
        <is>
          <t>**Your Key Responsibilities**
* Develop and integrate software solutions (systems, applications and/or application components) according to its technical specifications in chassis business unit.
* Clarify and review requirements and specifications to understand software engineering requirements.
* Plan and define work packages to create/change logical functions.
* Ensure proper coding in cooperation with other team members, and perform bug verification and testing.
* Design and realize interfaces between business applications, and execute software (unit and integration) tests.
* Support migration, and ensure change documentation, plan and release upgrades, if required.
**Your Qualifications**
* Bachelors Degree in Computer Science, Applied Computer Science, Software Engineering; Masters degree preferred.
* 3 to 5 years for software development experience in automotive industry applications.
* Strong knowledge of C/C\+\+, embedded C coding; Knowledge of Perl, Python preferred.
* Knowledge of ASPICE standards preferred.
* Experience working in Agile environment.
* Understanding of Electronic Motors would be a plus.
* Knowledge of the Product Development Process.
* Strong English communication skills.
* Customer focus.
* Experience with new and emerging technologies.
**Our Offering**
 We look forward to your application.
**Your contact**
 Schaeffler Group USA Inc.
 Kim Korttila
 Schaeffler is an equal employment opportunity / affirmative action employer. All qualified candidates will receive equal employment opportunities and consideration for employment without regard to unlawful consideration of race, color, sex, sexual orientation, gender identity, age, religion, national origin, disability, protected veteran status, or any other status protected by applicable law.
 Keywords: Digitalization \&amp; Information Technology;</t>
        </is>
      </c>
    </row>
    <row r="186">
      <c r="A186" t="inlineStr">
        <is>
          <t>li-4378815423</t>
        </is>
      </c>
      <c r="B186" t="inlineStr">
        <is>
          <t>Software Engineer - AI/ML</t>
        </is>
      </c>
      <c r="C186" t="inlineStr">
        <is>
          <t>NISC</t>
        </is>
      </c>
      <c r="D186" t="inlineStr">
        <is>
          <t>linkedin</t>
        </is>
      </c>
      <c r="E186">
        <f>HYPERLINK("https://www.linkedin.com/jobs/view/4378815423", "https://www.linkedin.com/jobs/view/4378815423")</f>
        <v/>
      </c>
      <c r="F186" t="inlineStr"/>
      <c r="G186" t="inlineStr">
        <is>
          <t>Minot, ND</t>
        </is>
      </c>
      <c r="H186" t="inlineStr"/>
      <c r="I186" t="inlineStr">
        <is>
          <t>**Company Overview:**
 For more than 50 years, NISC has worked to develop technology solutions for our customers, who we call our "Members". Those Members are comprised primarily of 960\+ energy (utility) and communication (broadband) organizations across North America. Our mission is to deliver technology solutions and services that are Member\-focused, quality driven and valued priced. Our Members have over 18 million end customers (residential and businesses who receive power, internet, television and/or telephone services) that our enterprise software solution enables our Member's employees to compete effectively in the industry, while excelling in providing customer service to their end customers.
 NISC exists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**Position Overview:**
 We are looking for a high\-agency, AI\-native Software Engineer who loves building real\-world AI systems that make a measurable difference.
 This is not a research role. This is not a "play with models in a lab" role. This is a builder role.
 You will design, build, ship, and continuously improve production\-grade AI applications that are embedded directly into mission\-critical software used by utilities and broadband providers across North America. Your work will power customer service interactions, operational workflows, and intelligent automation at scale.
 We are looking for someone who:
* Gets excited about taking AI from idea → prototype → production → scale
* Loves experimenting with new models, frameworks, and agentic patterns
* Has a "there's a way" mindset when solving hard technical problems
* Believes AI should drive tangible business impact, not just technical novelty
* Thrives in ambiguity and moves fast while maintaining engineering discipline
 At NISC, AI is not a side initiative — it is a core strategic priority. You will help shape how AI transforms the way our Members serve their communities.
 If you've built and deployed AI systems that real users depend on — and you want to do it in an organization that values ownership, innovation, and meaningful impact — we encourage you to apply.
**Essential Functions:**
* Design \&amp; Build Production AI Systems: Architect, develop, and deploy AI\-powered features and applications using LLMs, RAG pipelines, agentic workflows, and modern ML techniques.
* Own Outcomes, Not Just Code: Take ideas from concept to production. Prototype quickly, validate with users, iterate based on feedback, and optimize for reliability and performance.
* LLM \&amp; Agent Integration: Integrate foundation models, fine\-tuned models, and multi\-agent systems into enterprise\-grade applications in secure, scalable environments.
* Data \&amp; Retrieval Engineering: Design and optimize data ingestion pipelines, embeddings workflows, and vector database implementations that support high\-quality AI responses.
* Performance \&amp; Scalability: Deploy AI systems that are resilient, observable, and cost\-efficient in production environments.
* Mission Alignment: Ensure solutions are practical, intuitive, and aligned with the operational realities of cooperatives, utilities, and broadband providers.
* Continuous Innovation: Actively explore new AI capabilities and rapidly evaluate how they can improve our products and development practices.
* Collaborative Execution: Partner with product, architecture, and engineering teams to embed AI capabilities across our enterprise platform.
* Follow all established software development methodologies and procedures.
* Other duties as assigned
**Desired Experience \&amp; Skills:** 
* 8\-10\+ years experience in software development, preferably with at least 3\+ years in AI/ML software development.
* Demonstrated experience shipping AI solutions used by real customers — not just prototypes or academic projects
* Experience integrating LLMs into applications (prompt engineering, evaluation, fine\-tuning, API orchestration)
* Experience designing RAG pipelines, embeddings workflows, and working with vector databases
* Experience deploying AI systems in cloud environments (AWS, Azure, GCP)
* Technical Expertise:
+ Strong Python proficiency and familiarity with ML frameworks (PyTorch, TensorFlow, or equivalent)
+ Experience building scalable APIs and backend services
+ Understanding of agentic architectures, orchestration frameworks, or multi\-agent systems
+ Experience optimizing AI performance, cost, and latency in production
+ Familiarity with observability, evaluation frameworks, and model monitoring
* Mindset \&amp; Attributes (Critical for Success)
+ Builder mentality — you love shipping
+ High ownership — you see problems and move toward them
+ Curiosity about emerging AI capabilities and how to apply them pragmatically
+ Bias toward action and experimentation
+ Comfort operating in evolving AI landscapes
+ Ability to balance speed with engineering discipline
+ Strong communicator who can translate AI capabilities into business value
* Bonus Experience
+ Experience in utilities, broadband, cooperatives, or enterprise SaaS
+ Knowledge of AI safety, evaluation strategies, or explainability techniques
+ Full\-stack experience or ability to deliver end\-to\-end AI features
+ Portfolio, GitHub, or case studies demonstrating deployed AI systems
* Experience working with utilities, broadband providers, or cooperatives, preferred.
* Commitment to NISC's Statement of Shared Values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 Virtual Office Location: Fully remote candidates will be considered for candidates who have a background in providing AI/ML solutions that work in real world applications, not just conceptual understanding or research based projects.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Bachelor's Degree in a Computer Science, Computer Engineering,  or a related field and/or equivalent experience.
 Master's Degree in Artificial Intelligence or Machine Learning, preferred.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Employees must be able to see, speak, and hear, to operate computer keyboards or office equipment, and are required to stand, walk, and sit.
**Disclaimer:**
 Management may modify this job description by assigning or reassigning duties and responsibilities at any time.</t>
        </is>
      </c>
    </row>
    <row r="187">
      <c r="A187" t="inlineStr">
        <is>
          <t>li-4377725267</t>
        </is>
      </c>
      <c r="B187" t="inlineStr">
        <is>
          <t>Software Engineer, AI Enablement</t>
        </is>
      </c>
      <c r="C187" t="inlineStr">
        <is>
          <t>Fluidstack</t>
        </is>
      </c>
      <c r="D187" t="inlineStr">
        <is>
          <t>linkedin</t>
        </is>
      </c>
      <c r="E187">
        <f>HYPERLINK("https://www.linkedin.com/jobs/view/4377725267", "https://www.linkedin.com/jobs/view/4377725267")</f>
        <v/>
      </c>
      <c r="F187">
        <f>HYPERLINK("https://www.fluidstack.io/resources/careers?ashby_jid=e2a1dad4-f2dd-4cd6-b19e-c50bcb51fe0d&amp;utm_source=XRYmdBRBaP&amp;source=linkedin&amp;urlHash=NWr-", "https://www.fluidstack.io/resources/careers?ashby_jid=e2a1dad4-f2dd-4cd6-b19e-c50bcb51fe0d&amp;utm_source=XRYmdBRBaP&amp;source=linkedin&amp;urlHash=NWr-")</f>
        <v/>
      </c>
      <c r="G187" t="inlineStr">
        <is>
          <t>San Francisco, CA</t>
        </is>
      </c>
      <c r="H187" t="inlineStr"/>
      <c r="I187" t="inlineStr">
        <is>
          <t>**About Fluidstack**
 At Fluidstack, we’re building the infrastructure for abundant intelligence. We partner with top AI labs, governments, and enterprises \- including Mistral, Poolside, Black Forest Labs, Meta, and more \- to unlock compute at the speed of light.
 We’re working with urgency to make AGI a reality. As such, our team is highly motivated and committed to delivering world\-class infrastructure. We treat our customers’ outcomes as our own, taking pride in the systems we build and the trust we earn. If you’re motivated by purpose, obsessed with excellence, and ready to work very hard to accelerate the future of intelligence, join us in building what's next.
**Overview**
 We are hiring AI Software Engineers to serve as an internal force multiplier, building tools that make every team member significantly more productive. In this role, you will develop and deploy AI\-powered applications and establish shared infrastructure that enables teams to leverage AI effectively. You'll work directly with engineering, product, operations, and business teams to identify high\-impact opportunities for AI augmentation, then ship tools that drive measurable productivity gains. This is a unique opportunity to define how a fast\-growing infrastructure company integrates AI into every aspect of its operations.
**Responsibilities**
* Build internal tools and applications leveraging frontier models to automate workflows, accelerate decision\-making, and reduce manual toil across all functions
* Design and maintain shared AI infrastructure including AGENTS.md and SKILLS.md, and build shared skills for the organization
* Integrate AI capabilities into existing products and internal tools, identifying where augmentation delivers measurable impact
* Build custom integrations between LLMs and internal systems (GitHub, Slack, Notion, JIRA, Salesforce, internal APIs)
* Stay current with rapidly evolving AI capabilities and proactively identify new opportunities to apply emerging techniques to organizational challenges
* Create documentation and provide support to enable teams to adopt and extend the tools you build
**Requirements**
* 3\+ years of software engineering experience with production\-grade code in Go, Python, and TypeScript (but also the ability to work in an arbitrary language, primarily using AI coding tools to drive)
* Strong full\-stack development skills with experience building web applications (React, Next.js, or similar frameworks)
* Hands\-on experience building applications with LLM APIs (OpenAI, Anthropic, or open\-weight models), creating and using MCP servers, and agentic frameworks
* Deep understanding of AI coding agent tools including Claude Code, Cursor, Antigravity, etc., and agent frameworks around them
* Proven ability to work autonomously (and get their agents to work autonomously for them): identifying problems, designing solutions, and shipping results with minimal direction and high impact
* Great product and design taste: as the barrier to building gets lower, taste matters more
* Strong systems thinking and product intuition to balance rapid iteration with building maintainable, scalable foundations that others can build off
* Excellent communication skills with ability to translate technical concepts for non\-technical stakeholders and drive adoption
**Compensation**
 Our cash compensation range for this role is $150,000\-$350,000\. Final offers may vary from the amount listed based on geography, candidate experience and expertise, relevant licenses/credentials, and other factors. We welcome compensation discussions if this range doesn't meet your requirements. Outstanding candidates may be eligible for adjusted terms, plus meaningful equity that ensures you benefit directly from the company's long\-term performance.
 To provide greater transparency to candidates, we share base pay ranges for all US\-based job postings. Our compensation package includes base salary, equity for all full time roles, benefits, and, for applicable roles, commissions plans.
**Benefits**
* Competitive total compensation package (cash \+ equity)
* Health, dental, and vision insurance
* Retirement plan
* Generous PTO policy
 We are committed to pay equity and transparency.
 Fluidstack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Fluidstack will consider for employment qualified applicants with arrest and conviction records pursuant to applicable law.
*You will receive a confirmation email once your application has successfully been accepted. If there is an error with your submission and you
 **did not** 
 receive a confirmation email, please email careers@fluidstack.io with your resume/CV, the role you've applied for, and the date you submitted your application\-\- someone from our recruiting team will be in touch.*
 Compensation Range: $150K \- $350K</t>
        </is>
      </c>
    </row>
    <row r="188">
      <c r="A188" t="inlineStr">
        <is>
          <t>li-4262024720</t>
        </is>
      </c>
      <c r="B188" t="inlineStr">
        <is>
          <t>Senior Software Engineer, Software Integration</t>
        </is>
      </c>
      <c r="C188" t="inlineStr">
        <is>
          <t>Bot Auto</t>
        </is>
      </c>
      <c r="D188" t="inlineStr">
        <is>
          <t>linkedin</t>
        </is>
      </c>
      <c r="E188">
        <f>HYPERLINK("https://www.linkedin.com/jobs/view/4262024720", "https://www.linkedin.com/jobs/view/4262024720")</f>
        <v/>
      </c>
      <c r="F188">
        <f>HYPERLINK("https://job-boards.greenhouse.io/botauto/jobs/4794801008?gh_src=5rcIGh&amp;urlHash=XbHp", "https://job-boards.greenhouse.io/botauto/jobs/4794801008?gh_src=5rcIGh&amp;urlHash=XbHp")</f>
        <v/>
      </c>
      <c r="G188" t="inlineStr">
        <is>
          <t>Houston, TX</t>
        </is>
      </c>
      <c r="H188" t="inlineStr"/>
      <c r="I188" t="inlineStr">
        <is>
          <t>Company Introduction
 At Bot Auto, we are revolutionizing the transportation of goods with our cutting\-edge autonomous trucks, enhancing the quality of life for communities around the globe. With the agility of a startup and the wisdom of seasoned experts, our team has achieved numerous world\-firsts and unparalleled innovations. United by a shared vision, we create groundbreaking solutions that propel the future of transportation. Join us and transform your ideas into reality.
 We are seeking a highly skilled Senior Software Engineer to join our Integration team. In this role, you will be responsible for building robust internal tools to manage the release and deployment of autonomous driving software and context data. You will play a critical role in our daily development and operations while helping improve development efficiency across the entire company.
**Key Responsibilities**
* Design, develop, and maintain build \&amp; release pipelines for autonomous driving software packages
* Architect and implement continuous integration and continuous deployment (CI/CD) pipelines
* Create and maintain version control systems for autonomous driving software and contextual data (configuration files, map data, etc.)
* Manage third\-party and open source dependencies across our technology stack
* Collaborate with algorithm and operations teams to ensure smooth development and testing workflows
* Optimize testing and verification processes across cross\-functional teams
* Implement best practices for software integration in a fast\-paced autonomous vehicle environment
**Required Qualifications**
* 3\+ years of experience in software development with focus on build systems and package management
* Strong proficiency in Python and C\+\+ programming
* Solid understanding of computer science fundamentals and data structures
* Demonstrated experience with C\+\+ building tools like CMake and Bazel
* Knowledge of containerization technologies (Docker)
* Experience with Git workflows and branching strategies
* Excellent problem\-solving skills with strong attention to detail
* Outstanding communication abilities and collaborative mindset
**Preferred Qualifications**
* Experience with compilers, linkers, and assemblers
* Full\-stack development experience
* Background in autonomous vehicle systems or robotics
* Experience with distributed version control systems at scale
* Knowledge of deployment strategies in safety\-critical systems</t>
        </is>
      </c>
    </row>
    <row r="189">
      <c r="A189" t="inlineStr">
        <is>
          <t>li-4378845537</t>
        </is>
      </c>
      <c r="B189" t="inlineStr">
        <is>
          <t>Software Engineer</t>
        </is>
      </c>
      <c r="C189" t="inlineStr">
        <is>
          <t>eSense Incorporated</t>
        </is>
      </c>
      <c r="D189" t="inlineStr">
        <is>
          <t>linkedin</t>
        </is>
      </c>
      <c r="E189">
        <f>HYPERLINK("https://www.linkedin.com/jobs/view/4378845537", "https://www.linkedin.com/jobs/view/4378845537")</f>
        <v/>
      </c>
      <c r="F189" t="inlineStr"/>
      <c r="G189" t="inlineStr">
        <is>
          <t>Richmond, VA</t>
        </is>
      </c>
      <c r="H189" t="inlineStr"/>
      <c r="I189" t="inlineStr">
        <is>
          <t>**What you will do:** 
* Design and engineer a robust and highly responsive front\-end architecture to facilitate clear and engaging visualizations of analysis outcomes, providing a seamless UI/UX that empowers engineers to interpret and evaluate security analysis data effectively
* Design and integrate AI\-powered features into enterprise applications
* Implement LLM\-based solutions using RESTful integrations
* Work closely with cross\-functional teams to design and engineer a scalable API solution for Amida's cutting\-edge analysis engine
* Interface with internal and external stakeholders to identify key features and requirements for future product releases
* Translate UI/UX and API designs into high\-quality code that is easy to maintain, test, and deploy
* Troubleshoot interface software and monitor application services to improve end\-to\-end performance and robustness across the entire platform
* Deploy applications to Azure Kubernetes Service (AKS)
* Configure routing and API management using Azure API Management
* Build and maintain CI/CD pipelines using GitHub Actions, Jenkins
* Document application and API updates and facilitate user training
* Other duties as assigned
**Required Education:** 
* Bachelor's Degree, certification, or equivalent work experience in software development
**Required Experience:** 
* 3\-5 years of experience in full stack development.
* Proficiency with front\-end technologies (HTML, CSS, JavaScript, React, Angular, etc.).
* Experience with back\-end technologies (Node.js, Express, databases like MongoDB or MySQL).
* Strong problem\-solving and debugging skills.
* Ability to work in an agile environment and adapt to evolving requirements.
**Required Skills:** 
* 3 years of experience working on front\-end development using JavaScript frameworks such as React to produce HTML, CSS, and JavaScript web application interfaces
* 3 years of experience working with microservices architectures, RESTful APIs, and back\-end development using Node.js or similar technologies
* Experience deploying and monitoring cloud\-native applications and microservices using Docker and Kubernetes
* Proficiency in applying Agile, DevOps, and Cloud Computing tools and best practices to drive iterative development and facilitate continuous on\-demand delivery of high\-quality software solutions
* Strong communication skills, attention to detail, and demonstrated ability to deliver best\-in\-class software products
**Preferred:** 
* Familiary with building Test Automation tool
* Working knowledge of modern AI/ML concepts including supervised and unsupervised learning, NLP, and LLM\-based applications
* Experience using the D3 JavaScript library to create interactive data visualizations
* Experience with standard EDA products for RTL simulation and emulation</t>
        </is>
      </c>
    </row>
    <row r="190">
      <c r="A190" t="inlineStr">
        <is>
          <t>li-4377740090</t>
        </is>
      </c>
      <c r="B190" t="inlineStr">
        <is>
          <t>Software Engineer</t>
        </is>
      </c>
      <c r="C190" t="inlineStr">
        <is>
          <t>SR2 | Socially Responsible Recruitment | Certified B Corporation™</t>
        </is>
      </c>
      <c r="D190" t="inlineStr">
        <is>
          <t>linkedin</t>
        </is>
      </c>
      <c r="E190">
        <f>HYPERLINK("https://www.linkedin.com/jobs/view/4377740090", "https://www.linkedin.com/jobs/view/4377740090")</f>
        <v/>
      </c>
      <c r="F190" t="inlineStr"/>
      <c r="G190" t="inlineStr">
        <is>
          <t>Austin, TX</t>
        </is>
      </c>
      <c r="H190" t="inlineStr"/>
      <c r="I190" t="inlineStr">
        <is>
          <t>Software Engineer
 We are a venture\-backed defense technology startup building next\-generation autonomous defense systems. Founded by former Navy electrical engineers with deep expertise in robotics and software, our team is developing an autonomous platform that leverages advanced computer vision, control systems, and real\-time decision\-making to counter emerging aerial threats.
 This is a true engineering\-first environment where technical rigor, speed, and ownership matter. Backed by founders with multiple successful exits totaling $180M\+, we are building mission\-critical technology designed to operate in the most demanding real\-world conditions.
 If you enjoy solving complex, high\-stakes engineering challenges and want your work to have direct operational impact, you’ll thrive here.
 The Role
 We’re looking for a highly skilled Software Engineer with strong proficiency in C\+\+ and/or Python to design and build high\-performance, real\-time systems.
 You’ll work at the intersection of robotics, autonomy, and systems engineering — solving difficult technical problems that require performance, reliability, and precision.
 What You’ll Do
* Design, develop, and maintain high\-performance software applications (primarily C\+\+)
* Build scalable, efficient, and reliable real\-time systems
* Optimize code for speed, memory efficiency, and robustness
* Implement multi\-threaded and concurrent software architectures
* Collaborate closely with mechanical, electrical, and computer vision engineers
* Develop algorithms and data structures to solve complex computational challenges
* Debug, profile, and resolve performance bottlenecks
* Contribute to code reviews, testing frameworks, and documentation
* Work with Git\-based workflows and CI/CD pipelines
* Ensure security and reliability standards are upheld in mission\-critical systems
 What We’re Looking For
* Bachelor’s or Master’s degree in Computer Science, Software Engineering, or related field
* Strong proficiency in modern C\+\+ (C\+\+11/14/17/20\) and/or Python
* Experience with multi\-threading, concurrency, and performance optimization
* Solid understanding of memory management and system\-level programming
* Familiarity with debugging and profiling tools
* Experience with Git and modern development workflows
* Strong problem\-solving ability and comfort working in a fast\-paced, technical environment
* Professional software engineering experience preferred
 Nice to Have
* GPU programming experience (CUDA, OpenCL) or parallel computing
* Knowledge of networking protocols or distributed systems
* Experience with machine learning frameworks (PyTorch, TensorFlow)
* Scientific computing background
* DevOps experience (Docker, Kubernetes, CI/CD pipelines)
 What We Offer
* Competitive base salary
* Meaningful equity package
* Health, dental, and vision insurance
* Paid time off</t>
        </is>
      </c>
    </row>
    <row r="191">
      <c r="A191" t="inlineStr">
        <is>
          <t>li-4262577965</t>
        </is>
      </c>
      <c r="B191" t="inlineStr">
        <is>
          <t>Software Engineer - Applied Inference</t>
        </is>
      </c>
      <c r="C191" t="inlineStr">
        <is>
          <t>xAI</t>
        </is>
      </c>
      <c r="D191" t="inlineStr">
        <is>
          <t>linkedin</t>
        </is>
      </c>
      <c r="E191">
        <f>HYPERLINK("https://www.linkedin.com/jobs/view/4262577965", "https://www.linkedin.com/jobs/view/4262577965")</f>
        <v/>
      </c>
      <c r="F191" t="inlineStr"/>
      <c r="G191" t="inlineStr">
        <is>
          <t>Palo Alto, CA</t>
        </is>
      </c>
      <c r="H191" t="inlineStr"/>
      <c r="I191"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Tech Stack
 * Kubernetes
* Buildkite / ArgoCD
* Prometheus  / Grafana /  PagerDuty
* Pulumi / Terraform
* SGLang: This team is leading the development of one of the most popular open\-source inference engines, SGLang (https://github.com/sgl\-project/sglang/tree/main). You have the opportunity to work on open\-source projects.
* Custom debugging and tracing tools
 Focus
 * Ensure the reliability of inference services, targeting 100% uptime and a 0% error rate.
* Develop custom debugging tools to trace, replay, and fix all errors or crashes across the entire stack, from cluster orchestration to GPU kernels.
* Manage the autoscaling, continuous deployment, and feature rollout of inference services.
* Benchmark and monitor the performance of inference engines under various production workloads.
* Build CI/CD infrastructure for endpoint deployment, image publishing, and inference engines.
 Ideal Experiences
 * Worked on large\-scale, high\-concurrent production serving.
* Worked on testing, benchmarking, and the reliability of inference services.
* Worked on CI/CD infrastructure
 Location
 The role is based in the Bay Area \[San Francisco and Palo Alto]. Candidates are expected to be located near the Bay Area or open to relocation.
 Interview Process
 After submitting your application, the team reviews your CV and statement of exceptional work. If your application passes this stage, you will be invited to a 15\-minute interview (“phone interview”) during which a member of our team will ask some basic questions. If you clear the initial phone interview, you will enter the main process, which consists of four technical interviews:
1. Coding assessment in a language of your choice.
2. Systems hands\-on: Demonstrate practical skills in a live problem\-solving session.
3. Project deep\-dive: Present your past exceptional work to a small audience.
4. Meet and greet with the wider team.
 Our goal is to finish the main process within one week. All interviews will be conducted via Google Meet.
**Annual Salary Range** 
 $180,000 \- $440,000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California Consumer Privacy Act (CCPA) Notice</t>
        </is>
      </c>
    </row>
    <row r="192">
      <c r="A192" t="inlineStr">
        <is>
          <t>li-4379903802</t>
        </is>
      </c>
      <c r="B192" t="inlineStr">
        <is>
          <t>Software Engineer I</t>
        </is>
      </c>
      <c r="C192" t="inlineStr">
        <is>
          <t>Lensa</t>
        </is>
      </c>
      <c r="D192" t="inlineStr">
        <is>
          <t>linkedin</t>
        </is>
      </c>
      <c r="E192">
        <f>HYPERLINK("https://www.linkedin.com/jobs/view/4379903802", "https://www.linkedin.com/jobs/view/4379903802")</f>
        <v/>
      </c>
      <c r="F192" t="inlineStr"/>
      <c r="G192" t="inlineStr">
        <is>
          <t>Chicago, IL</t>
        </is>
      </c>
      <c r="H192" t="inlineStr"/>
      <c r="I19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Renaissance Services. Clicking "Apply Now" or "Read more" on Lensa redirects you to the job board/employer site. Any information collected there is subject to their terms and privacy notice.
**About Renaissance**
 When you join Renaissance®, you join a global leader in pre\-K–12 education technology! Renaissance’s solutions help educators analyze, customize, and plan personalized learning paths for students, allowing time for what matters—creating energizing learning experiences in the classroom. Our fiercely passionate employees and educational partners have helped drive phenomenal student growth, with Renaissance solutions being used in over one\-third of US schools and in more than 100 countries worldwide.
 Every day, we are connected to our mission by exemplifying our values: trust each other, win together, strive for the best, own our actions, and grow and evolve.
**Job Description**
 We’re looking for a motivated
 **Software Engineer I** 
 to join our agile, multi\-disciplinary engineering team. You’ll play a key role in an impact\-driven culture where your creativity, curiosity, and technical skill help shape how we build and scale our highly available SaaS platform used by millions of K\-12 students every month worldwide.
**In this role as a Software Engineer I, you will:**
* Collaborate closely within an agile, cross\-functional team to deliver high\-quality software and develop your skills.
* Communicate effectively in a distributed remote work environment.
* Contribute to the design, development and maintenance of frontend and backend systems serving millions of users and thousands of requests per second.
* Contribute your unique perspective and technical expertise to achieve shared goals.
* Continuously learn, experiment, test, and iterate to improve both product and process.
**For this role as a Software Engineer I, you should have:**
* BS in Computer Science, Computer Engineering , or equivalent experience.
* 1\-2\+ years of professional software development experience utilizing web technologies.
* Hands\-on experience with React or a comparable single\-page application framework.
* Familiarity with js for backend or API development.
* Exposure to static types systems (TypeScript \-preferred, Java, C\#, etc.).
* Familiarity working with relational databases.
* Strong written and verbal communication skills, especially in collaborative environments.
**Bonus Points**
* Professional experience with functional programming languages (Haskell, Scala, Clojure, etc.).
* Professional experience in NodeJS.
* Familiarity with Event based architecture.
**Additional Information**
 All your information will be kept confidential according to EEO guidelines.
**The below compensation range is based on national market data and may vary by experience and location.**
 Salary Range
 $68,000—$80,000 USD
**Benefits For Eligible US Employees Include**
* World Class Health Benefits: Medical, Prescription, Dental, Vision, Telehealth
* Health Savings and Flexible Spending Accounts
* 401(k) and Roth 401(k) with company match
* Paid Vacation and Sick Time Off
* 12 Paid Holidays
* Parental Leave (20 total weeks with 14 weeks paid) \&amp; Milk Stork program
* Tuition Reimbursement
* Life \&amp; Disability Insurance
* Well\-being and Employee Assistance Programs
 Frequently cited statistics show that some women, underrepresented individuals, protected veterans and individuals with disabilities may only apply to roles if they meet 100% of the qualifications. At Renaissance, we encourage all applications. Roles evolve over time, especially with innovation, and you may be just the person we need for the future!
**Equal Opportunity Employer**
 Renaissance is an equal opportunity employer and does not discriminate with respect to any term, condition or privilege of employment based on race, color, religion, sex, sexual orientation, gender identity or expression, age, disability, military or veteran status, marital status, or status of an individual in any group or class protected by applicable federal, state, or local law.
 For California Residents, please see our Privacy Notice for California Job Candidates here .
**Reasonable Accommodations**
 Renaissance also provides reasonable accommodations for qualified individuals with disabilities in accordance with the Americans with Disabilities Act and applicable state and local laws. If accommodation is needed to participate in the job application or interview process, please contact Talent Acquisition (TATeam@renlearnCRM.onmicrosoft.com) .
**Employment Authorization**
 Applicants must be authorized to work for any employer in the United States. We are unable to sponsor or take over sponsorship of an employment Visa at this time.
 For more information about Renaissance, visit: https://www.renaissance.com
 If you have questions about this posting, please contact support@lensa.com</t>
        </is>
      </c>
    </row>
    <row r="193">
      <c r="A193" t="inlineStr">
        <is>
          <t>li-4379901757</t>
        </is>
      </c>
      <c r="B193" t="inlineStr">
        <is>
          <t>Software Engineer I</t>
        </is>
      </c>
      <c r="C193" t="inlineStr">
        <is>
          <t>Lensa</t>
        </is>
      </c>
      <c r="D193" t="inlineStr">
        <is>
          <t>linkedin</t>
        </is>
      </c>
      <c r="E193">
        <f>HYPERLINK("https://www.linkedin.com/jobs/view/4379901757", "https://www.linkedin.com/jobs/view/4379901757")</f>
        <v/>
      </c>
      <c r="F193" t="inlineStr"/>
      <c r="G193" t="inlineStr">
        <is>
          <t>Kansas City, MO</t>
        </is>
      </c>
      <c r="H193" t="inlineStr"/>
      <c r="I19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Renaissance Services. Clicking "Apply Now" or "Read more" on Lensa redirects you to the job board/employer site. Any information collected there is subject to their terms and privacy notice.
**About Renaissance**
 When you join Renaissance®, you join a global leader in pre\-K\-12 education technology! Renaissance's solutions help educators analyze, customize, and plan personalized learning paths for students, allowing time for what matters\-creating energizing learning experiences in the classroom. Our fiercely passionate employees and educational partners have helped drive phenomenal student growth, with Renaissance solutions being used in over one\-third of US schools and in more than 100 countries worldwide.
 Every day, we are connected to our mission by exemplifying our values: trust each other, win together, strive for the best, own our actions, and grow and evolve.
**Job Description**
 We're looking for a motivated
 **Software Engineer I** 
 to join our agile, multi\-disciplinary engineering team. You'll play a key role in an impact\-driven culture where your creativity, curiosity, and technical skill help shape how we build and scale our highly available SaaS platform used by millions of K\-12 students every month worldwide.
**In this role as a Software Engineer I, you will:**
* Collaborate closely within an agile, cross\-functional team to deliver high\-quality software and develop your skills.
* Communicate effectively in a distributed remote work environment.
* Contribute to the design, development and maintenance of frontend and backend systems serving millions of users and thousands of requests per second.
* Contribute your unique perspective and technical expertise to achieve shared goals.
* Continuously learn, experiment, test, and iterate to improve both product and process.
**For this role as a Software Engineer I, you should have:**
* BS in Computer Science, Computer Engineering , or equivalent experience.
* 1\-2\+ years of professional software development experience utilizing web technologies.
* Hands\-on experience with React or a comparable single\-page application framework.
* Familiarity with js for backend or API development.
* Exposure to static types systems (TypeScript \-preferred, Java, C\#, etc.).
* Familiarity working with relational databases.
* Strong written and verbal communication skills, especially in collaborative environments.
**Bonus Points**
* Professional experience with functional programming languages (Haskell, Scala, Clojure, etc.).
* Professional experience in NodeJS.
* Familiarity with Event based architecture.
**Additional Information**
 All your information will be kept confidential according to EEO guidelines.
**The below compensation range is based on national market data and may vary by experience and location.**
 Salary Range
 $68,000\-$80,000 USD
**Benefits For Eligible US Employees Include**
* World Class Health Benefits: Medical, Prescription, Dental, Vision, Telehealth
* Health Savings and Flexible Spending Accounts
* 401(k) and Roth 401(k) with company match
* Paid Vacation and Sick Time Off
* 12 Paid Holidays
* Parental Leave (20 total weeks with 14 weeks paid) \&amp; Milk Stork program
* Tuition Reimbursement
* Life \&amp; Disability Insurance
* Well\-being and Employee Assistance Programs
 Frequently cited statistics show that some women, underrepresented individuals, protected veterans and individuals with disabilities may only apply to roles if they meet 100% of the qualifications. At Renaissance, we encourage all applications. Roles evolve over time, especially with innovation, and you may be just the person we need for the future!
**Equal Opportunity Employer**
 Renaissance is an equal opportunity employer and does not discriminate with respect to any term, condition or privilege of employment based on race, color, religion, sex, sexual orientation, gender identity or expression, age, disability, military or veteran status, marital status, or status of an individual in any group or class protected by applicable federal, state, or local law.
 For California Residents, please see our Privacy Notice for California Job Candidates here .
**Reasonable Accommodations**
 Renaissance also provides reasonable accommodations for qualified individuals with disabilities in accordance with the Americans with Disabilities Act and applicable state and local laws. If accommodation is needed to participate in the job application or interview process, please contact Talent Acquisition (TATeam@renlearnCRM.onmicrosoft.com) .
**Employment Authorization**
 Applicants must be authorized to work for any employer in the United States. We are unable to sponsor or take over sponsorship of an employment Visa at this time.
 For more information about Renaissance, visit: https://www.renaissance.com
 If you have questions about this posting, please contact support@lensa.com</t>
        </is>
      </c>
    </row>
    <row r="194">
      <c r="A194" t="inlineStr">
        <is>
          <t>li-4331190638</t>
        </is>
      </c>
      <c r="B194" t="inlineStr">
        <is>
          <t>Senior Software Engineer</t>
        </is>
      </c>
      <c r="C194" t="inlineStr">
        <is>
          <t>The Nuclear Company</t>
        </is>
      </c>
      <c r="D194" t="inlineStr">
        <is>
          <t>linkedin</t>
        </is>
      </c>
      <c r="E194">
        <f>HYPERLINK("https://www.linkedin.com/jobs/view/4331190638", "https://www.linkedin.com/jobs/view/4331190638")</f>
        <v/>
      </c>
      <c r="F194" t="inlineStr"/>
      <c r="G194" t="inlineStr">
        <is>
          <t>Seattle, WA</t>
        </is>
      </c>
      <c r="H194" t="inlineStr"/>
      <c r="I194" t="inlineStr">
        <is>
          <t>The Nuclear Company is the fastest growing startup in the nuclear and energy space creating a never before seen fleet\-scale approach to building nuclear reactors. Through its design\-once, build\-many approach and coalition building across communities, regulators, and financial stakeholders, The Nuclear Company is committed to delivering safe and reliable electricity at the lowest cost, while catalyzing the nuclear industry toward rapid development in America and globally. The Nuclear Company (TNC) is at the forefront of America's nuclear renaissance, delivering the abundant, clean, reliable energy necessary for our nation to remain the world's leader. We're not just building nuclear plants – we're revolutionizing how they're built.
 Our Strategic Advantage: Nuclear OS will be built by the team that will use it. No other effort in the industry is embedding its technology staff alongside the engineering, procurement and construction teams responsible for execution. Others attempt to build software from the outside, disconnected from the realities of nuclear deployment. The Nuclear Company is building a system designed from the inside — ensuring Nuclear OS will address the challenges that have stalled nuclear projects for decades.
**About The Role**
 As a Senior Software Engineer, you will be instrumental in developing Nuclear OS, the first purpose\-built digital platform to digitize, automate, and streamline the development and deployment of fleet\-scale nuclear power plants. You'll work directly with nuclear engineers, construction teams, and procurement specialists to build software that solves real\-world challenges in nuclear deployment.
**Responsibilities**
**Core Development**
* Design and implement key components of Nuclear OS, including data integration, AI/ML systems, and workflow automation
* Build secure, scalable systems that consolidate formerly siloed data (engineering plans, project schedules, supply chain information, quality records, sensor feeds) onto a single platform
* Develop advanced analytics and AI capabilities that enable unprecedented real\-time visibility and proactive control over complex nuclear projects
**Cross\-Functional Collaboration**
* Work closely with nuclear engineers, construction workers, quality foremen, and planning teams to understand their workflows and pain points
* Collaborate with field teams to ensure Nuclear OS addresses real construction challenges, not theoretical problems
* Partner with regulatory compliance teams to build automated workflow systems
**Technical Excellence**
* Implement foundational architecture that combines Palantir's powerful data integration and modeling capabilities with nuclear\-specific functionality
* Ensure end\-to\-end system integration where improvements in one area immediately benefit all other areas through a common platform
* Build systems that are traceable, auditable, and compliant with nuclear industry standards
**Innovation \&amp; Problem\-Solving**
* Develop solutions for transmitting lessons learned from field installation back to nuclear reactor design authorities and sub\-vendors
* Create data\-centric requirement environments to interface with external parties while maintaining security and compliance
* Build segregated collaboration workspaces for partners with appropriate export control compliance
**Experience**
**Technical Skills**
* 5\+ years of software engineering experience with expertise in:
+ Cloud\-native architectures and distributed systems
+ Data integration and ETL pipelines
+ AI/ML frameworks and model deployment
+ API design and microservices architecture
+ DevSecOps practices and CI/CD pipelines
* Proficiency in modern programming languages (Python, Java, TypeScript, etc.)
* Experience with database technologies (SQL and NoSQL)
* Knowledge of containerization and orchestration (Docker, Kubernetes)
**Industry Experience**
* Experience building enterprise software for complex, regulated industries
* Understanding of project management workflows and construction processes
* Familiarity with quality assurance and compliance systems
* Experience with secure software development practices
**Collaboration \&amp; Communication**
* Strong problem\-solving skills with ability to work in cross\-functional teams
* Experience translating business requirements into technical solutions
* Ability to work effectively with non\-technical stakeholders
* Excellent written and verbal communication skills
**Preferred Qualifications**
* Bachelor's degree in Computer Science, Engineering, or related field
* Experience in nuclear, aerospace, defense, or other highly regulated industries
* Familiarity with Palantir technologies or similar data integration platforms
* Knowledge of construction management or industrial project execution
* Experience with regulatory compliance systems
* Security clearance eligibility
**Benefits**
* Competitive compensation packages
* 401k with company match
* Medical, dental, vision plans
* Generous vacation policy, plus holidays
* Annual company retreats
**Estimated Starting Salary Range**
 The estimated starting salary range for this role is $126,000 \- $182,000 annually less applicable withholdings and deductions, paid on a bi\-weekly basis. The actual salary offered may vary based on relevant factors as determined in the Company’s discretion, which may include experience, qualifications, tenure, skill set, availability of qualified candidates, geographic location, certifications held, and other criteria deemed pertinent to the particular role.
**EEO Statement**
 The Nuclear Company is an equal opportunity employer committed to fostering an environment of inclusion in the workplace. We provide equal employment opportunities to all qualified applicants and employees without regard to race, color, religion, sex, sexual orientation, gender identity, national origin, age, disability, veteran status, or any other protected characteristic. We prohibit discrimination in all aspects of employment, including hiring, promotion, demotion, transfer, compensation, and termination.
**Export Control**
 Certain positions at The Nuclear Company may involve access to information and technology subject to export controls under U.S. law. Compliance with these export controls may result in The Nuclear Company limiting its consideration of certain applicants.</t>
        </is>
      </c>
    </row>
    <row r="195">
      <c r="A195" t="inlineStr">
        <is>
          <t>li-4297756014</t>
        </is>
      </c>
      <c r="B195" t="inlineStr">
        <is>
          <t>Sr. Software Engineer - Performance</t>
        </is>
      </c>
      <c r="C195" t="inlineStr">
        <is>
          <t>Databricks</t>
        </is>
      </c>
      <c r="D195" t="inlineStr">
        <is>
          <t>linkedin</t>
        </is>
      </c>
      <c r="E195">
        <f>HYPERLINK("https://www.linkedin.com/jobs/view/4297756014", "https://www.linkedin.com/jobs/view/4297756014")</f>
        <v/>
      </c>
      <c r="F195">
        <f>HYPERLINK("https://databricks.com/company/careers/open-positions/job?gh_jid=6569772002&amp;gh_src=62a881d62&amp;urlHash=Dmom", "https://databricks.com/company/careers/open-positions/job?gh_jid=6569772002&amp;gh_src=62a881d62&amp;urlHash=Dmom")</f>
        <v/>
      </c>
      <c r="G195" t="inlineStr">
        <is>
          <t>San Francisco, CA</t>
        </is>
      </c>
      <c r="H195" t="inlineStr"/>
      <c r="I195" t="inlineStr">
        <is>
          <t>P\-97
 At Databricks, we are passionate about enabling data teams to solve the world's toughest problems. We do this by building and running the world's best data and AI infrastructure platform so our customers can use deep data insights to improve their business. We constantly push the boundaries of data and AI technology, while simultaneously operating with the resilience, security and scale that is critical to making customers successful on our platform. Databricks develops and operates one of the largest scale software platforms; the fleet consists of millions of virtual machines, generating terabytes of logs and processing exabytes of data per day. At our scale, we regularly observe cloud hardware, network, and operating system faults, and our software must gracefully shield our customers from any of the above.
 As a performance engineer, you will work closely with multiple teams across the company to evaluate the performance of products and features, identify performance bottlenecks, and partner with engineers to solve performance and scalability issues. This implies, among other teams, setting performance targets for various software releases, guiding teams to develop performance benchmarks, running competitive benchmark analysis for different Databricks products, doing deep dive analysis to identify performance issues and fix them.
**The Impact You Will Have**
* Identify performance limitations of the entire stack based on telemetry, customer signals, PoCs, and competitive benchmarks, that will result in the best performing system across the industry, when resolved. Dimensions include latency, data and compute scalability, concurrency, cost, and price to performance ratio. Impact spans all cloud providers and all major areas.
* Set the performance expectations for all cross\-cutting efforts early on through specialized benchmarks capturing the intended customer user journeys, and make sure they are met before deployed to customers.
* Understand the performance characteristics of the compute instance types, storage layers, and all cloud services Databricks depends on and deploy optimal solutions to meet the customer demand.
* Work with customers to root cause and mitigate performance problems during production, previews, and POCs.
**What We Look For**
* BS (or higher degree) in Computer Science, or a related field
* Experience in the performance analysis discipline. Ability to identify performance issues, root cause problems, and be able to come up with potential solutions.
* Experience in software development, preferably in large scale distributed systems
* Ability to measure and document the impact of performance features to existing customers, such as possible regressions for certain workloads, their extent, and which customers will be affected.
* Ability to build strong working relationships with developers and field engineers to facilitate triaging and mitigation of performance problems.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$166,000—$225,000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196">
      <c r="A196" t="inlineStr">
        <is>
          <t>li-4379922798</t>
        </is>
      </c>
      <c r="B196" t="inlineStr">
        <is>
          <t>Software Engineer in Hopkins MN</t>
        </is>
      </c>
      <c r="C196" t="inlineStr">
        <is>
          <t>HYR Global Source Inc</t>
        </is>
      </c>
      <c r="D196" t="inlineStr">
        <is>
          <t>linkedin</t>
        </is>
      </c>
      <c r="E196">
        <f>HYPERLINK("https://www.linkedin.com/jobs/view/4379922798", "https://www.linkedin.com/jobs/view/4379922798")</f>
        <v/>
      </c>
      <c r="F196" t="inlineStr"/>
      <c r="G196" t="inlineStr">
        <is>
          <t>Hopkins, MN</t>
        </is>
      </c>
      <c r="H196" t="inlineStr"/>
      <c r="I196" t="inlineStr">
        <is>
          <t>**Position Name : Software Engineer**
**Location: 3\-day onsite Hybrid position and will report to the office in Hopkins, MN.**
**Position Type: W2**
 We are seeking an engineer who is exceptional in Python, experienced with web frameworks (Flask, FastAPI, Django), comfortable building front end (React, Angular), and capable of delivering production\-grade GenAI solutions (LLMs, RAG, Agents/Agentic AI, MCP, guardrails).
 Follow us on LinkedIn \- https://www.linkedin.com/company/hyr\-global\-source\-inc</t>
        </is>
      </c>
    </row>
    <row r="197">
      <c r="A197" t="inlineStr">
        <is>
          <t>li-4379906032</t>
        </is>
      </c>
      <c r="B197" t="inlineStr">
        <is>
          <t>Software Developer Engineer</t>
        </is>
      </c>
      <c r="C197" t="inlineStr">
        <is>
          <t>Mercor</t>
        </is>
      </c>
      <c r="D197" t="inlineStr">
        <is>
          <t>linkedin</t>
        </is>
      </c>
      <c r="E197">
        <f>HYPERLINK("https://www.linkedin.com/jobs/view/4379906032", "https://www.linkedin.com/jobs/view/4379906032")</f>
        <v/>
      </c>
      <c r="F197">
        <f>HYPERLINK("https://work.mercor.com/jobs/list_AAABnJxZFVfIEAN0_ZNOCrGk?utm_source=linkedin&amp;utm_medium=job_slot&amp;utm_campaign=auto&amp;utm_content=list_AAABnJxZFVfIEAN0_ZNOCrGk&amp;utm_term=software-developer-engineer-us-c55b57&amp;urlHash=AKOI", "https://work.mercor.com/jobs/list_AAABnJxZFVfIEAN0_ZNOCrGk?utm_source=linkedin&amp;utm_medium=job_slot&amp;utm_campaign=auto&amp;utm_content=list_AAABnJxZFVfIEAN0_ZNOCrGk&amp;utm_term=software-developer-engineer-us-c55b57&amp;urlHash=AKOI")</f>
        <v/>
      </c>
      <c r="G197" t="inlineStr"/>
      <c r="H197" t="inlineStr"/>
      <c r="I197"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**Type:** 
**Contract**
**Compensation:** 
**$80–$120/hour**
**Location:** 
**Remote**
**Role Responsibilities**
* Ship production features across backend and frontend.
* Design and implement a scalable integrations framework.
* Build real\-time analytics experiences.
* Architect an agentic tool\-use layer compatible with MCP\-style patterns.
* Set up strong engineering hygiene: testing, observability, and on\-call readiness for the pilot.
* Iterate quickly and pragmatically.
**Qualifications**
**Must\-Have**
* Strong, practical software engineering skills; ability to ship end\-to\-end and unblock yourself.
* Experience building SaaS products with APIs, data models, and production constraints.
* Deep comfort with integrations (OAuth2, webhooks, API pagination, rate limiting, sync semantics).
* "Vibe coding" mindset: effective use of AI tools (Copilot, ChatGPT, etc.) without sacrificing correctness.
* Familiarity with MCP\-style tool interfaces and/or building tool servers.
* Clear communicator who can explain tradeoffs and keep stakeholders aligned.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198">
      <c r="A198" t="inlineStr">
        <is>
          <t>li-4379908778</t>
        </is>
      </c>
      <c r="B198" t="inlineStr">
        <is>
          <t>Software Engineer I</t>
        </is>
      </c>
      <c r="C198" t="inlineStr">
        <is>
          <t>Lensa</t>
        </is>
      </c>
      <c r="D198" t="inlineStr">
        <is>
          <t>linkedin</t>
        </is>
      </c>
      <c r="E198">
        <f>HYPERLINK("https://www.linkedin.com/jobs/view/4379908778", "https://www.linkedin.com/jobs/view/4379908778")</f>
        <v/>
      </c>
      <c r="F198">
        <f>HYPERLINK("https://lensa.com/cgw/4ae27f763e894312a9b821f963979790tjo1?jpsi=directemployers&amp;publisher_preference=easier_apply&amp;utm_campaign=Computer%20Occupations&amp;utm_medium=slot&amp;utm_source=linkedin&amp;utm_term=jse&amp;urlHash=7eaa", "https://lensa.com/cgw/4ae27f763e894312a9b821f963979790tjo1?jpsi=directemployers&amp;publisher_preference=easier_apply&amp;utm_campaign=Computer%20Occupations&amp;utm_medium=slot&amp;utm_source=linkedin&amp;utm_term=jse&amp;urlHash=7eaa")</f>
        <v/>
      </c>
      <c r="G198" t="inlineStr">
        <is>
          <t>Columbus, OH</t>
        </is>
      </c>
      <c r="H198" t="inlineStr"/>
      <c r="I19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Renaissance Services. Clicking "Apply Now" or "Read more" on Lensa redirects you to the job board/employer site. Any information collected there is subject to their terms and privacy notice.
**About Renaissance**
 When you join Renaissance®, you join a global leader in pre\-K–12 education technology! Renaissance’s solutions help educators analyze, customize, and plan personalized learning paths for students, allowing time for what matters—creating energizing learning experiences in the classroom. Our fiercely passionate employees and educational partners have helped drive phenomenal student growth, with Renaissance solutions being used in over one\-third of US schools and in more than 100 countries worldwide.
 Every day, we are connected to our mission by exemplifying our values: trust each other, win together, strive for the best, own our actions, and grow and evolve.
**Job Description**
 We’re looking for a motivated
 **Software Engineer I** 
 to join our agile, multi\-disciplinary engineering team. You’ll play a key role in an impact\-driven culture where your creativity, curiosity, and technical skill help shape how we build and scale our highly available SaaS platform used by millions of K\-12 students every month worldwide.
**In this role as a Software Engineer I, you will:**
* Collaborate closely within an agile, cross\-functional team to deliver high\-quality software and develop your skills.
* Communicate effectively in a distributed remote work environment.
* Contribute to the design, development and maintenance of frontend and backend systems serving millions of users and thousands of requests per second.
* Contribute your unique perspective and technical expertise to achieve shared goals.
* Continuously learn, experiment, test, and iterate to improve both product and process.
**For this role as a Software Engineer I, you should have:**
* BS in Computer Science, Computer Engineering , or equivalent experience.
* 1\-2\+ years of professional software development experience utilizing web technologies.
* Hands\-on experience with React or a comparable single\-page application framework.
* Familiarity with js for backend or API development.
* Exposure to static types systems (TypeScript \-preferred, Java, C\#, etc.).
* Familiarity working with relational databases.
* Strong written and verbal communication skills, especially in collaborative environments.
**Bonus Points**
* Professional experience with functional programming languages (Haskell, Scala, Clojure, etc.).
* Professional experience in NodeJS.
* Familiarity with Event based architecture.
**Additional Information**
 All your information will be kept confidential according to EEO guidelines.
**The below compensation range is based on national market data and may vary by experience and location.**
 Salary Range
 $68,000—$80,000 USD
**Benefits For Eligible US Employees Include**
* World Class Health Benefits: Medical, Prescription, Dental, Vision, Telehealth
* Health Savings and Flexible Spending Accounts
* 401(k) and Roth 401(k) with company match
* Paid Vacation and Sick Time Off
* 12 Paid Holidays
* Parental Leave (20 total weeks with 14 weeks paid) \&amp; Milk Stork program
* Tuition Reimbursement
* Life \&amp; Disability Insurance
* Well\-being and Employee Assistance Programs
 Frequently cited statistics show that some women, underrepresented individuals, protected veterans and individuals with disabilities may only apply to roles if they meet 100% of the qualifications. At Renaissance, we encourage all applications. Roles evolve over time, especially with innovation, and you may be just the person we need for the future!
**Equal Opportunity Employer**
 Renaissance is an equal opportunity employer and does not discriminate with respect to any term, condition or privilege of employment based on race, color, religion, sex, sexual orientation, gender identity or expression, age, disability, military or veteran status, marital status, or status of an individual in any group or class protected by applicable federal, state, or local law.
 For California Residents, please see our Privacy Notice for California Job Candidates here .
**Reasonable Accommodations**
 Renaissance also provides reasonable accommodations for qualified individuals with disabilities in accordance with the Americans with Disabilities Act and applicable state and local laws. If accommodation is needed to participate in the job application or interview process, please contact Talent Acquisition (TATeam@renlearnCRM.onmicrosoft.com) .
**Employment Authorization**
 Applicants must be authorized to work for any employer in the United States. We are unable to sponsor or take over sponsorship of an employment Visa at this time.
 For more information about Renaissance, visit: https://www.renaissance.com
 If you have questions about this posting, please contact support@lensa.com</t>
        </is>
      </c>
    </row>
    <row r="199">
      <c r="A199" t="inlineStr">
        <is>
          <t>li-4378810451</t>
        </is>
      </c>
      <c r="B199" t="inlineStr">
        <is>
          <t>Software Engineer - AI/ML</t>
        </is>
      </c>
      <c r="C199" t="inlineStr">
        <is>
          <t>NISC</t>
        </is>
      </c>
      <c r="D199" t="inlineStr">
        <is>
          <t>linkedin</t>
        </is>
      </c>
      <c r="E199">
        <f>HYPERLINK("https://www.linkedin.com/jobs/view/4378810451", "https://www.linkedin.com/jobs/view/4378810451")</f>
        <v/>
      </c>
      <c r="F199">
        <f>HYPERLINK("https://grnh.se/mhnbkl7u1us&amp;urlHash=vOIv", "https://grnh.se/mhnbkl7u1us&amp;urlHash=vOIv")</f>
        <v/>
      </c>
      <c r="G199" t="inlineStr">
        <is>
          <t>Miami, FL</t>
        </is>
      </c>
      <c r="H199" t="inlineStr"/>
      <c r="I199" t="inlineStr">
        <is>
          <t>**Company Overview:**
 For more than 50 years, NISC has worked to develop technology solutions for our customers, who we call our "Members". Those Members are comprised primarily of 960\+ energy (utility) and communication (broadband) organizations across North America. Our mission is to deliver technology solutions and services that are Member\-focused, quality driven and valued priced. Our Members have over 18 million end customers (residential and businesses who receive power, internet, television and/or telephone services) that our enterprise software solution enables our Member's employees to compete effectively in the industry, while excelling in providing customer service to their end customers.
 NISC exists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**Position Overview:**
 We are looking for a high\-agency, AI\-native Software Engineer who loves building real\-world AI systems that make a measurable difference.
 This is not a research role. This is not a "play with models in a lab" role. This is a builder role.
 You will design, build, ship, and continuously improve production\-grade AI applications that are embedded directly into mission\-critical software used by utilities and broadband providers across North America. Your work will power customer service interactions, operational workflows, and intelligent automation at scale.
 We are looking for someone who:
* Gets excited about taking AI from idea → prototype → production → scale
* Loves experimenting with new models, frameworks, and agentic patterns
* Has a "there's a way" mindset when solving hard technical problems
* Believes AI should drive tangible business impact, not just technical novelty
* Thrives in ambiguity and moves fast while maintaining engineering discipline
 At NISC, AI is not a side initiative — it is a core strategic priority. You will help shape how AI transforms the way our Members serve their communities.
 If you've built and deployed AI systems that real users depend on — and you want to do it in an organization that values ownership, innovation, and meaningful impact — we encourage you to apply.
**Essential Functions:**
* Design \&amp; Build Production AI Systems: Architect, develop, and deploy AI\-powered features and applications using LLMs, RAG pipelines, agentic workflows, and modern ML techniques.
* Own Outcomes, Not Just Code: Take ideas from concept to production. Prototype quickly, validate with users, iterate based on feedback, and optimize for reliability and performance.
* LLM \&amp; Agent Integration: Integrate foundation models, fine\-tuned models, and multi\-agent systems into enterprise\-grade applications in secure, scalable environments.
* Data \&amp; Retrieval Engineering: Design and optimize data ingestion pipelines, embeddings workflows, and vector database implementations that support high\-quality AI responses.
* Performance \&amp; Scalability: Deploy AI systems that are resilient, observable, and cost\-efficient in production environments.
* Mission Alignment: Ensure solutions are practical, intuitive, and aligned with the operational realities of cooperatives, utilities, and broadband providers.
* Continuous Innovation: Actively explore new AI capabilities and rapidly evaluate how they can improve our products and development practices.
* Collaborative Execution: Partner with product, architecture, and engineering teams to embed AI capabilities across our enterprise platform.
* Follow all established software development methodologies and procedures.
* Other duties as assigned
**Desired Experience \&amp; Skills:** 
* 8\-10\+ years experience in software development, preferably with at least 3\+ years in AI/ML software development.
* Demonstrated experience shipping AI solutions used by real customers — not just prototypes or academic projects
* Experience integrating LLMs into applications (prompt engineering, evaluation, fine\-tuning, API orchestration)
* Experience designing RAG pipelines, embeddings workflows, and working with vector databases
* Experience deploying AI systems in cloud environments (AWS, Azure, GCP)
* Technical Expertise:
+ Strong Python proficiency and familiarity with ML frameworks (PyTorch, TensorFlow, or equivalent)
+ Experience building scalable APIs and backend services
+ Understanding of agentic architectures, orchestration frameworks, or multi\-agent systems
+ Experience optimizing AI performance, cost, and latency in production
+ Familiarity with observability, evaluation frameworks, and model monitoring
* Mindset \&amp; Attributes (Critical for Success)
+ Builder mentality — you love shipping
+ High ownership — you see problems and move toward them
+ Curiosity about emerging AI capabilities and how to apply them pragmatically
+ Bias toward action and experimentation
+ Comfort operating in evolving AI landscapes
+ Ability to balance speed with engineering discipline
+ Strong communicator who can translate AI capabilities into business value
* Bonus Experience
+ Experience in utilities, broadband, cooperatives, or enterprise SaaS
+ Knowledge of AI safety, evaluation strategies, or explainability techniques
+ Full\-stack experience or ability to deliver end\-to\-end AI features
+ Portfolio, GitHub, or case studies demonstrating deployed AI systems
* Experience working with utilities, broadband providers, or cooperatives, preferred.
* Commitment to NISC's Statement of Shared Values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 Virtual Office Location: Fully remote candidates will be considered for candidates who have a background in providing AI/ML solutions that work in real world applications, not just conceptual understanding or research based projects.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Bachelor's Degree in a Computer Science, Computer Engineering,  or a related field and/or equivalent experience.
 Master's Degree in Artificial Intelligence or Machine Learning, preferred.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Employees must be able to see, speak, and hear, to operate computer keyboards or office equipment, and are required to stand, walk, and sit.
**Disclaimer:**
 Management may modify this job description by assigning or reassigning duties and responsibilities at any time.</t>
        </is>
      </c>
    </row>
    <row r="200">
      <c r="A200" t="inlineStr">
        <is>
          <t>li-4379902351</t>
        </is>
      </c>
      <c r="B200" t="inlineStr">
        <is>
          <t>Software Developer 1</t>
        </is>
      </c>
      <c r="C200" t="inlineStr">
        <is>
          <t>Lensa</t>
        </is>
      </c>
      <c r="D200" t="inlineStr">
        <is>
          <t>linkedin</t>
        </is>
      </c>
      <c r="E200">
        <f>HYPERLINK("https://www.linkedin.com/jobs/view/4379902351", "https://www.linkedin.com/jobs/view/4379902351")</f>
        <v/>
      </c>
      <c r="F200" t="inlineStr"/>
      <c r="G200" t="inlineStr">
        <is>
          <t>Raleigh, NC</t>
        </is>
      </c>
      <c r="H200" t="inlineStr"/>
      <c r="I20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Design, develop, troubleshoot, and debug web applications that extract meaning from analytics warehouses and present them as actionable visuals to help clients achieve better outcomes. As a member of the Oracle Health division, you will be part of a team that is passionate about improving the state of healthcare by creating, maintaining, and improving a complex web application that focuses on helping clients use their own data to identify potential areas for improvement and tracking the impact of their changes.
**Responsibilities**
 Duties include development in Python, Django, SQL, Javascript, and React; Using a distributed version control system (git).
 Other expectations: Working in a team environment (sharing knowledge, commenting on code, etc.), using containerized applications (Docker, Kubernetes), creating and calling RESTful APIs. Familiarity with analytics concepts and platforms a plus.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$61,200 to $141,200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IC1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201">
      <c r="A201" t="inlineStr">
        <is>
          <t>li-4365533795</t>
        </is>
      </c>
      <c r="B201" t="inlineStr">
        <is>
          <t>Software Engineer (Senior)</t>
        </is>
      </c>
      <c r="C201" t="inlineStr">
        <is>
          <t>Candid Health</t>
        </is>
      </c>
      <c r="D201" t="inlineStr">
        <is>
          <t>linkedin</t>
        </is>
      </c>
      <c r="E201">
        <f>HYPERLINK("https://www.linkedin.com/jobs/view/4365533795", "https://www.linkedin.com/jobs/view/4365533795")</f>
        <v/>
      </c>
      <c r="F201" t="inlineStr"/>
      <c r="G201" t="inlineStr">
        <is>
          <t>San Francisco, CA</t>
        </is>
      </c>
      <c r="H201" t="inlineStr"/>
      <c r="I201" t="inlineStr">
        <is>
          <t>**About Candid**
 At Candid Health, we're on a mission to revolutionize healthcare by solving one of its most complex and costly problems: the billing and revenue cycle management (RCM) process. The healthcare system has long been burdened by slow, inefficient workflows that waste valuable resources, leaving providers with less time and money to focus on patient care. With our cutting\-edge revenue cycle automation platform, we are transforming this space through an intelligent, data\-driven approach that simplifies billing, enhances claims processing, and eliminates administrative waste.
**The Opportunity**
 We’re looking for a passionate and skilled Senior Software Engineer to join our fast growing engineering teams. In this role, you will be instrumental in revolutionizing healthcare billing products and systems that directly address the needs of our customers. You will contribute to the full software development lifecycle, ensure high scalable, reliable and performance of our products and customer experience. If you thrive in a fast\-paced, collaborative environment, are driven by customer outcomes, and are committed to crafting robust and scalable solutions, we would like you to join us!
**What You’ll Be Doing**
* Conceptualize, design, development, and maintain complex services/platforms/features and develop ownership over large swaths of our product \+ infrastructure.
* Collaborate closely with customers, product managers, designers, and cross\-functional partners to understand customers’ needs and develop creative ways to address them.
* Identify, propose and lead architecture and design improvements needed in our products and systems with scalability and reliability as core principles.
* Contribute to our engineering \+ broader company culture and help make this the best place we’ve ever worked.
**Who You Are**
* You have Bachelors of Science or Bachelors of Art in Computer Science, Computer Engineering, Math or other similar degree.
* You have 8\+ years of experience in a Software Engineering position.
* Experience with programming languages, relevant frameworks, databases and cloud platforms. Familiar with the technologies we currently use is a bonus, but not required: Python, PostgreSQL, Docker, Kubernetes, React, Typescript, Google Cloud Platform, Auth0, Terraform.
* Proven ability to build high\-quality software, and is anchored on customer outcomes and have good intuition around which corners are worth cutting and which aren’t.
* Proven ability to own features end\-to\-end and are comfortable learning new tools or moving across the stack to do so.
* Customer\-first and learner’s mindset, and value teaching others.
* Strong communication and collaboration skills. Proven ability to explain complicated ideas in simple terms, both in\-person and in writing.
**Pay Transparency**
 The estimated starting annual salary range for this position is $195,000 to $250,000 USD. The listed range is a guideline from Pave data, and the actual base salary may be modified based on factors including job\-related skills, experience/qualifications, interview performance, market data, etc. Total compensation for this position may also include equity, sales incentives (for sales roles), and employee benefits. Given Candid Health’s funding and size, we heavily value the potential upside from equity in our compensation package. Further note that Candid Health has minimal hierarchy and titles, but has broad ranges of experience represented within roles.</t>
        </is>
      </c>
    </row>
    <row r="202">
      <c r="A202" t="inlineStr">
        <is>
          <t>li-4377716569</t>
        </is>
      </c>
      <c r="B202" t="inlineStr">
        <is>
          <t>Software Engineer</t>
        </is>
      </c>
      <c r="C202" t="inlineStr">
        <is>
          <t>Signify Technology</t>
        </is>
      </c>
      <c r="D202" t="inlineStr">
        <is>
          <t>linkedin</t>
        </is>
      </c>
      <c r="E202">
        <f>HYPERLINK("https://www.linkedin.com/jobs/view/4377716569", "https://www.linkedin.com/jobs/view/4377716569")</f>
        <v/>
      </c>
      <c r="F202" t="inlineStr"/>
      <c r="G202" t="inlineStr"/>
      <c r="H202" t="inlineStr"/>
      <c r="I202" t="inlineStr">
        <is>
          <t>**Job title:** 
 Software Engineer
**Job type:** 
 Contract
**Contract Length:** 
 12 months
**Rate:** 
 Competitive
**Role Location:** 
 Remote
**The company:** 
 A mission\-driven healthcare technology organization focused on improving health equity for underserved populations across the United States. Through a scalable patient engagement and interoperability platform, the organization partners with healthcare providers to increase access to care, improve clinical outcomes, and address social drivers of health.
 The engineering team operates in a fully distributed environment and is scaling its integration capabilities to connect with leading EHR systems and healthcare data platforms. The team values secure, reliable, and maintainable engineering practices, with a strong emphasis on interoperability standards and cross\-functional collaboration.
 You’ll join a collaborative, high\-performing engineering team that works closely with Product, Customer Success, and external healthcare partners to deliver meaningful technical solutions that directly impact patient outcomes.
**Role:** 
 We’re seeking an experienced Software Engineer (3\+ years) with strong backend and integration experience to design, build, and maintain secure healthcare integrations connecting external systems to our core platform.
 The ideal candidate has hands\-on experience with API development, healthcare interoperability standards, and EHR integrations — and brings a mindset of ownership, quality, and continuous improvement to every project.
 You’ll collaborate closely with senior engineers, product stakeholders, and customer\-facing teams to deliver reliable integration workflows that support healthcare providers at scale.
**API \&amp; Backend Development:** 
* Design, build, and maintain backend services and API\-to\-API integrations using JavaScript (and at least one additional language), ensuring reliability, scalability, and security.
**Healthcare Integrations:** 
* Develop and support integrations leveraging interoperability standards such as FHIR and HL7, connecting to leading EHR systems via APIs, direct database connections, and integration engines.
**Integration Engine Development:** 
* Design, build, and maintain workflows within healthcare integration engines (e.g., Rhapsody or similar), following engineering best practices and organizational standards.
**EHR Connectivity:** 
* Support integrations with major EHR platforms (e.g., Epic including Clarity/Caboodle, Athenahealth, eClinicalWorks, NextGen), ensuring accurate data exchange and workflow alignment.
**System Architecture Contribution:** 
* Collaborate with senior engineers to evolve scalable healthcare integration architecture and improve API capabilities and backend services.
**Customer \&amp; Cross\-Functional Collaboration:** 
* Partner with Product, Customer Success, and external technical stakeholders to gather requirements, clarify workflows, and design effective integration solutions.
**Testing \&amp; Quality Engineering:** 
* Write and maintain automated tests alongside production code, ensuring integrations are robust, secure, and production\-ready.
**Documentation \&amp; Training:** 
* Create clear technical documentation for integrations and provide enablement resources to support teams for monitoring and troubleshooting.
**Production Support \&amp; On\-Call:** 
* Participate in on\-call (PagerDuty) rotations and support live integrations, ensuring performance, reliability, and issue resolution.
**Continuous Improvement:** 
* Contribute to team rituals such as technical reviews, retrospectives, and architecture discussions to improve processes, tooling, and engineering standards.
**Job Requirements:** 
* Minimum 3 years of hands\-on software engineering experience using JavaScript and at least one additional programming language
* Minimum 3 years of experience building and maintaining backend systems, APIs, and services
* Strong understanding of software engineering fundamentals, including SDLC, design patterns, object\-oriented architecture, and coding best practices
* Experience developing and supporting healthcare integrations using FHIR and HL7 standards
* Familiarity with integration engines such as Rhapsody or Mirth
* Experience integrating with mainstream EHR vendors (e.g., Epic, eClinicalWorks, Athenahealth, NextGen)
* Experience working in environments where automated testing is standard practice
* Strong collaboration skills across technical and non\-technical stakeholders
* Outstanding written and verbal communication skills in a fully remote environment
* Demonstrated ability to work autonomously while escalating appropriately
* Growth\-oriented mindset with a proactive and detail\-focused approach
* Must reside within the United States
**Preferred Experience:** 
* Experience with JavaScript/TypeScript, Ruby on Rails, and Postgres
* Experience working in cloud environments such as Google Cloud Platform
* Experience working closely with data teams and healthcare data models
* Experience contributing to API design improvements or automated testing strategies
 If you’re an experienced
 **Software Engineer** 
 looking for your next fully remote contract, we’d love to hear from you.</t>
        </is>
      </c>
    </row>
    <row r="203">
      <c r="A203" t="inlineStr">
        <is>
          <t>li-4340418474</t>
        </is>
      </c>
      <c r="B203" t="inlineStr">
        <is>
          <t>(USA) Senior, Software Engineer</t>
        </is>
      </c>
      <c r="C203" t="inlineStr">
        <is>
          <t>Walmart</t>
        </is>
      </c>
      <c r="D203" t="inlineStr">
        <is>
          <t>linkedin</t>
        </is>
      </c>
      <c r="E203">
        <f>HYPERLINK("https://www.linkedin.com/jobs/view/4340418474", "https://www.linkedin.com/jobs/view/4340418474")</f>
        <v/>
      </c>
      <c r="F203">
        <f>HYPERLINK("https://click.appcast.io/t/ikNFA9HGWSnEfCWkx3h3ycTj8p-KrSGoiC9ufSjjyYm9xIfo2gOm_9Hswge2yULY?source=LinkedIn&amp;urlHash=rwtv", "https://click.appcast.io/t/ikNFA9HGWSnEfCWkx3h3ycTj8p-KrSGoiC9ufSjjyYm9xIfo2gOm_9Hswge2yULY?source=LinkedIn&amp;urlHash=rwtv")</f>
        <v/>
      </c>
      <c r="G203" t="inlineStr">
        <is>
          <t>Bentonville, AR</t>
        </is>
      </c>
      <c r="H203" t="inlineStr"/>
      <c r="I203" t="inlineStr">
        <is>
          <t>Position Summary...
 What you'll do...Role summary:
 As a Senior Software Engineer, you will lead the design, development, and implementation of scalable software solutions that align with business objectives. This role requires expertise in software architecture, coding standards, and agile methodologies to deliver high\-quality, maintainable applications. You will collaborate with cross\-functional teams to analyze requirements, address technical challenges, and ensure robust performance and security. Your contributions will drive continuous improvement and innovation, supporting Walmart’s commitment to operational excellence and customer satisfaction through reliable and efficient technology solutions.
 About the team:
 The team specializes in designing, developing, and managing integrations across Workday, CP, Porter platforms, and related systems. Collaborating cross\-functionally, members deliver scalable, secure, and efficient solutions by following best practices in architecture, coding standards, and continuous integration/deployment. Emphasizing clear communication and agile methodologies, the team addresses evolving business needs. Engineers build and maintain Workday business processes, reports, and integrations, ensuring high\-quality results. Leveraging expertise in Workday tools, APIs, and web services, the team drives innovation and operational excellence aligned with organizational objectives.
 What you'll do:
* Analyze and classify business and technical requirements, ensuring alignment with project objectives and risk mitigation strategies.
* Design scalable, maintainable software solutions by translating high\-level designs into detailed functional components.
* Develop, configure, and maintain code adhering to coding standards, focusing on performance, security, and reliability.
* Build automation scripts to streamline continuous integration and delivery processes.
* Execute comprehensive testing, including defect tracking and root cause analysis, to ensure software quality.
* Monitor application performance and troubleshoot issues to optimize availability and scalability.
* Collaborate with stakeholders to evaluate change requests and implement effective solutions.
 What you'll bring:
* Proven expertise in software development with proficiency in JavaScript, Python, or C and experience using frameworks such as React.js, Angular, and Node.js.
* Strong knowledge of software architecture, design patterns, and scalable distributed systems.
* Experience in requirement analysis, including functional and non\-functional requirements, user stories, and risk assessment.
* Familiarity with DevOps practices, CI/CD pipelines, and automation scripting.
* Ability to write clean, maintainable, and testable code adhering to coding standards and security policies.
* Skilled in troubleshooting, defect management, and performance optimization.
* Effective collaboration and communication skills within agile teams.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2501 Se J St, Ste A, Bentonville, AR 72716\-3724,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04">
      <c r="A204" t="inlineStr">
        <is>
          <t>li-4378819361</t>
        </is>
      </c>
      <c r="B204" t="inlineStr">
        <is>
          <t>Software Engineer - AI/ML</t>
        </is>
      </c>
      <c r="C204" t="inlineStr">
        <is>
          <t>NISC</t>
        </is>
      </c>
      <c r="D204" t="inlineStr">
        <is>
          <t>linkedin</t>
        </is>
      </c>
      <c r="E204">
        <f>HYPERLINK("https://www.linkedin.com/jobs/view/4378819361", "https://www.linkedin.com/jobs/view/4378819361")</f>
        <v/>
      </c>
      <c r="F204" t="inlineStr"/>
      <c r="G204" t="inlineStr">
        <is>
          <t>Huntsville, AL</t>
        </is>
      </c>
      <c r="H204" t="inlineStr"/>
      <c r="I204" t="inlineStr">
        <is>
          <t>**Company Overview:**
 For more than 50 years, NISC has worked to develop technology solutions for our customers, who we call our "Members". Those Members are comprised primarily of 960\+ energy (utility) and communication (broadband) organizations across North America. Our mission is to deliver technology solutions and services that are Member\-focused, quality driven and valued priced. Our Members have over 18 million end customers (residential and businesses who receive power, internet, television and/or telephone services) that our enterprise software solution enables our Member's employees to compete effectively in the industry, while excelling in providing customer service to their end customers.
 NISC exists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**Position Overview:**
 We are looking for a high\-agency, AI\-native Software Engineer who loves building real\-world AI systems that make a measurable difference.
 This is not a research role. This is not a "play with models in a lab" role. This is a builder role.
 You will design, build, ship, and continuously improve production\-grade AI applications that are embedded directly into mission\-critical software used by utilities and broadband providers across North America. Your work will power customer service interactions, operational workflows, and intelligent automation at scale.
 We are looking for someone who:
* Gets excited about taking AI from idea → prototype → production → scale
* Loves experimenting with new models, frameworks, and agentic patterns
* Has a "there's a way" mindset when solving hard technical problems
* Believes AI should drive tangible business impact, not just technical novelty
* Thrives in ambiguity and moves fast while maintaining engineering discipline
 At NISC, AI is not a side initiative — it is a core strategic priority. You will help shape how AI transforms the way our Members serve their communities.
 If you've built and deployed AI systems that real users depend on — and you want to do it in an organization that values ownership, innovation, and meaningful impact — we encourage you to apply.
**Essential Functions:**
* Design \&amp; Build Production AI Systems: Architect, develop, and deploy AI\-powered features and applications using LLMs, RAG pipelines, agentic workflows, and modern ML techniques.
* Own Outcomes, Not Just Code: Take ideas from concept to production. Prototype quickly, validate with users, iterate based on feedback, and optimize for reliability and performance.
* LLM \&amp; Agent Integration: Integrate foundation models, fine\-tuned models, and multi\-agent systems into enterprise\-grade applications in secure, scalable environments.
* Data \&amp; Retrieval Engineering: Design and optimize data ingestion pipelines, embeddings workflows, and vector database implementations that support high\-quality AI responses.
* Performance \&amp; Scalability: Deploy AI systems that are resilient, observable, and cost\-efficient in production environments.
* Mission Alignment: Ensure solutions are practical, intuitive, and aligned with the operational realities of cooperatives, utilities, and broadband providers.
* Continuous Innovation: Actively explore new AI capabilities and rapidly evaluate how they can improve our products and development practices.
* Collaborative Execution: Partner with product, architecture, and engineering teams to embed AI capabilities across our enterprise platform.
* Follow all established software development methodologies and procedures.
* Other duties as assigned
**Desired Experience \&amp; Skills:** 
* 8\-10\+ years experience in software development, preferably with at least 3\+ years in AI/ML software development.
* Demonstrated experience shipping AI solutions used by real customers — not just prototypes or academic projects
* Experience integrating LLMs into applications (prompt engineering, evaluation, fine\-tuning, API orchestration)
* Experience designing RAG pipelines, embeddings workflows, and working with vector databases
* Experience deploying AI systems in cloud environments (AWS, Azure, GCP)
* Technical Expertise:
+ Strong Python proficiency and familiarity with ML frameworks (PyTorch, TensorFlow, or equivalent)
+ Experience building scalable APIs and backend services
+ Understanding of agentic architectures, orchestration frameworks, or multi\-agent systems
+ Experience optimizing AI performance, cost, and latency in production
+ Familiarity with observability, evaluation frameworks, and model monitoring
* Mindset \&amp; Attributes (Critical for Success)
+ Builder mentality — you love shipping
+ High ownership — you see problems and move toward them
+ Curiosity about emerging AI capabilities and how to apply them pragmatically
+ Bias toward action and experimentation
+ Comfort operating in evolving AI landscapes
+ Ability to balance speed with engineering discipline
+ Strong communicator who can translate AI capabilities into business value
* Bonus Experience
+ Experience in utilities, broadband, cooperatives, or enterprise SaaS
+ Knowledge of AI safety, evaluation strategies, or explainability techniques
+ Full\-stack experience or ability to deliver end\-to\-end AI features
+ Portfolio, GitHub, or case studies demonstrating deployed AI systems
* Experience working with utilities, broadband providers, or cooperatives, preferred.
* Commitment to NISC's Statement of Shared Values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 Virtual Office Location: Fully remote candidates will be considered for candidates who have a background in providing AI/ML solutions that work in real world applications, not just conceptual understanding or research based projects.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Bachelor's Degree in a Computer Science, Computer Engineering,  or a related field and/or equivalent experience.
 Master's Degree in Artificial Intelligence or Machine Learning, preferred.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Employees must be able to see, speak, and hear, to operate computer keyboards or office equipment, and are required to stand, walk, and sit.
**Disclaimer:**
 Management may modify this job description by assigning or reassigning duties and responsibilities at any time.</t>
        </is>
      </c>
    </row>
    <row r="205">
      <c r="A205" t="inlineStr">
        <is>
          <t>li-4378813442</t>
        </is>
      </c>
      <c r="B205" t="inlineStr">
        <is>
          <t>Software Engineer - AI/ML</t>
        </is>
      </c>
      <c r="C205" t="inlineStr">
        <is>
          <t>NISC</t>
        </is>
      </c>
      <c r="D205" t="inlineStr">
        <is>
          <t>linkedin</t>
        </is>
      </c>
      <c r="E205">
        <f>HYPERLINK("https://www.linkedin.com/jobs/view/4378813442", "https://www.linkedin.com/jobs/view/4378813442")</f>
        <v/>
      </c>
      <c r="F205" t="inlineStr"/>
      <c r="G205" t="inlineStr">
        <is>
          <t>Durham, NC</t>
        </is>
      </c>
      <c r="H205" t="inlineStr"/>
      <c r="I205" t="inlineStr">
        <is>
          <t>**Company Overview:**
 For more than 50 years, NISC has worked to develop technology solutions for our customers, who we call our "Members". Those Members are comprised primarily of 960\+ energy (utility) and communication (broadband) organizations across North America. Our mission is to deliver technology solutions and services that are Member\-focused, quality driven and valued priced. Our Members have over 18 million end customers (residential and businesses who receive power, internet, television and/or telephone services) that our enterprise software solution enables our Member's employees to compete effectively in the industry, while excelling in providing customer service to their end customers.
 NISC exists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**Position Overview:**
 We are looking for a high\-agency, AI\-native Software Engineer who loves building real\-world AI systems that make a measurable difference.
 This is not a research role. This is not a "play with models in a lab" role. This is a builder role.
 You will design, build, ship, and continuously improve production\-grade AI applications that are embedded directly into mission\-critical software used by utilities and broadband providers across North America. Your work will power customer service interactions, operational workflows, and intelligent automation at scale.
 We are looking for someone who:
* Gets excited about taking AI from idea → prototype → production → scale
* Loves experimenting with new models, frameworks, and agentic patterns
* Has a "there's a way" mindset when solving hard technical problems
* Believes AI should drive tangible business impact, not just technical novelty
* Thrives in ambiguity and moves fast while maintaining engineering discipline
 At NISC, AI is not a side initiative — it is a core strategic priority. You will help shape how AI transforms the way our Members serve their communities.
 If you've built and deployed AI systems that real users depend on — and you want to do it in an organization that values ownership, innovation, and meaningful impact — we encourage you to apply.
**Essential Functions:**
* Design \&amp; Build Production AI Systems: Architect, develop, and deploy AI\-powered features and applications using LLMs, RAG pipelines, agentic workflows, and modern ML techniques.
* Own Outcomes, Not Just Code: Take ideas from concept to production. Prototype quickly, validate with users, iterate based on feedback, and optimize for reliability and performance.
* LLM \&amp; Agent Integration: Integrate foundation models, fine\-tuned models, and multi\-agent systems into enterprise\-grade applications in secure, scalable environments.
* Data \&amp; Retrieval Engineering: Design and optimize data ingestion pipelines, embeddings workflows, and vector database implementations that support high\-quality AI responses.
* Performance \&amp; Scalability: Deploy AI systems that are resilient, observable, and cost\-efficient in production environments.
* Mission Alignment: Ensure solutions are practical, intuitive, and aligned with the operational realities of cooperatives, utilities, and broadband providers.
* Continuous Innovation: Actively explore new AI capabilities and rapidly evaluate how they can improve our products and development practices.
* Collaborative Execution: Partner with product, architecture, and engineering teams to embed AI capabilities across our enterprise platform.
* Follow all established software development methodologies and procedures.
* Other duties as assigned
**Desired Experience \&amp; Skills:** 
* 8\-10\+ years experience in software development, preferably with at least 3\+ years in AI/ML software development.
* Demonstrated experience shipping AI solutions used by real customers — not just prototypes or academic projects
* Experience integrating LLMs into applications (prompt engineering, evaluation, fine\-tuning, API orchestration)
* Experience designing RAG pipelines, embeddings workflows, and working with vector databases
* Experience deploying AI systems in cloud environments (AWS, Azure, GCP)
* Technical Expertise:
+ Strong Python proficiency and familiarity with ML frameworks (PyTorch, TensorFlow, or equivalent)
+ Experience building scalable APIs and backend services
+ Understanding of agentic architectures, orchestration frameworks, or multi\-agent systems
+ Experience optimizing AI performance, cost, and latency in production
+ Familiarity with observability, evaluation frameworks, and model monitoring
* Mindset \&amp; Attributes (Critical for Success)
+ Builder mentality — you love shipping
+ High ownership — you see problems and move toward them
+ Curiosity about emerging AI capabilities and how to apply them pragmatically
+ Bias toward action and experimentation
+ Comfort operating in evolving AI landscapes
+ Ability to balance speed with engineering discipline
+ Strong communicator who can translate AI capabilities into business value
* Bonus Experience
+ Experience in utilities, broadband, cooperatives, or enterprise SaaS
+ Knowledge of AI safety, evaluation strategies, or explainability techniques
+ Full\-stack experience or ability to deliver end\-to\-end AI features
+ Portfolio, GitHub, or case studies demonstrating deployed AI systems
* Experience working with utilities, broadband providers, or cooperatives, preferred.
* Commitment to NISC's Statement of Shared Values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 Virtual Office Location: Fully remote candidates will be considered for candidates who have a background in providing AI/ML solutions that work in real world applications, not just conceptual understanding or research based projects.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Bachelor's Degree in a Computer Science, Computer Engineering,  or a related field and/or equivalent experience.
 Master's Degree in Artificial Intelligence or Machine Learning, preferred.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Employees must be able to see, speak, and hear, to operate computer keyboards or office equipment, and are required to stand, walk, and sit.
**Disclaimer:**
 Management may modify this job description by assigning or reassigning duties and responsibilities at any time.</t>
        </is>
      </c>
    </row>
    <row r="206">
      <c r="A206" t="inlineStr">
        <is>
          <t>li-4379904784</t>
        </is>
      </c>
      <c r="B206" t="inlineStr">
        <is>
          <t>Software Engineer I</t>
        </is>
      </c>
      <c r="C206" t="inlineStr">
        <is>
          <t>Lensa</t>
        </is>
      </c>
      <c r="D206" t="inlineStr">
        <is>
          <t>linkedin</t>
        </is>
      </c>
      <c r="E206">
        <f>HYPERLINK("https://www.linkedin.com/jobs/view/4379904784", "https://www.linkedin.com/jobs/view/4379904784")</f>
        <v/>
      </c>
      <c r="F206" t="inlineStr"/>
      <c r="G206" t="inlineStr">
        <is>
          <t>Salt Lake City, UT</t>
        </is>
      </c>
      <c r="H206" t="inlineStr"/>
      <c r="I20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Renaissance Services. Clicking "Apply Now" or "Read more" on Lensa redirects you to the job board/employer site. Any information collected there is subject to their terms and privacy notice.
**About Renaissance**
 When you join Renaissance®, you join a global leader in pre\-K\-12 education technology! Renaissance's solutions help educators analyze, customize, and plan personalized learning paths for students, allowing time for what matters\-creating energizing learning experiences in the classroom. Our fiercely passionate employees and educational partners have helped drive phenomenal student growth, with Renaissance solutions being used in over one\-third of US schools and in more than 100 countries worldwide.
 Every day, we are connected to our mission by exemplifying our values: trust each other, win together, strive for the best, own our actions, and grow and evolve.
**Job Description**
 We're looking for a motivated
 **Software Engineer I** 
 to join our agile, multi\-disciplinary engineering team. You'll play a key role in an impact\-driven culture where your creativity, curiosity, and technical skill help shape how we build and scale our highly available SaaS platform used by millions of K\-12 students every month worldwide.
**In this role as a Software Engineer I, you will:**
* Collaborate closely within an agile, cross\-functional team to deliver high\-quality software and develop your skills.
* Communicate effectively in a distributed remote work environment.
* Contribute to the design, development and maintenance of frontend and backend systems serving millions of users and thousands of requests per second.
* Contribute your unique perspective and technical expertise to achieve shared goals.
* Continuously learn, experiment, test, and iterate to improve both product and process.
**For this role as a Software Engineer I, you should have:**
* BS in Computer Science, Computer Engineering , or equivalent experience.
* 1\-2\+ years of professional software development experience utilizing web technologies.
* Hands\-on experience with React or a comparable single\-page application framework.
* Familiarity with js for backend or API development.
* Exposure to static types systems (TypeScript \-preferred, Java, C\#, etc.).
* Familiarity working with relational databases.
* Strong written and verbal communication skills, especially in collaborative environments.
**Bonus Points**
* Professional experience with functional programming languages (Haskell, Scala, Clojure, etc.).
* Professional experience in NodeJS.
* Familiarity with Event based architecture.
**Additional Information**
 All your information will be kept confidential according to EEO guidelines.
**The below compensation range is based on national market data and may vary by experience and location.**
 Salary Range
 $68,000\-$80,000 USD
**Benefits For Eligible US Employees Include**
* World Class Health Benefits: Medical, Prescription, Dental, Vision, Telehealth
* Health Savings and Flexible Spending Accounts
* 401(k) and Roth 401(k) with company match
* Paid Vacation and Sick Time Off
* 12 Paid Holidays
* Parental Leave (20 total weeks with 14 weeks paid) \&amp; Milk Stork program
* Tuition Reimbursement
* Life \&amp; Disability Insurance
* Well\-being and Employee Assistance Programs
 Frequently cited statistics show that some women, underrepresented individuals, protected veterans and individuals with disabilities may only apply to roles if they meet 100% of the qualifications. At Renaissance, we encourage all applications. Roles evolve over time, especially with innovation, and you may be just the person we need for the future!
**Equal Opportunity Employer**
 Renaissance is an equal opportunity employer and does not discriminate with respect to any term, condition or privilege of employment based on race, color, religion, sex, sexual orientation, gender identity or expression, age, disability, military or veteran status, marital status, or status of an individual in any group or class protected by applicable federal, state, or local law.
 For California Residents, please see our Privacy Notice for California Job Candidates here .
**Reasonable Accommodations**
 Renaissance also provides reasonable accommodations for qualified individuals with disabilities in accordance with the Americans with Disabilities Act and applicable state and local laws. If accommodation is needed to participate in the job application or interview process, please contact Talent Acquisition (TATeam@renlearnCRM.onmicrosoft.com) .
**Employment Authorization**
 Applicants must be authorized to work for any employer in the United States. We are unable to sponsor or take over sponsorship of an employment Visa at this time.
 For more information about Renaissance, visit: https://www.renaissance.com
 If you have questions about this posting, please contact support@lensa.com</t>
        </is>
      </c>
    </row>
    <row r="207">
      <c r="A207" t="inlineStr">
        <is>
          <t>li-4378807439</t>
        </is>
      </c>
      <c r="B207" t="inlineStr">
        <is>
          <t>Software Engineer - AI/ML</t>
        </is>
      </c>
      <c r="C207" t="inlineStr">
        <is>
          <t>NISC</t>
        </is>
      </c>
      <c r="D207" t="inlineStr">
        <is>
          <t>linkedin</t>
        </is>
      </c>
      <c r="E207">
        <f>HYPERLINK("https://www.linkedin.com/jobs/view/4378807439", "https://www.linkedin.com/jobs/view/4378807439")</f>
        <v/>
      </c>
      <c r="F207">
        <f>HYPERLINK("https://grnh.se/07g9h25b1us&amp;urlHash=6Pz6", "https://grnh.se/07g9h25b1us&amp;urlHash=6Pz6")</f>
        <v/>
      </c>
      <c r="G207" t="inlineStr">
        <is>
          <t>Lake St Louis, MO</t>
        </is>
      </c>
      <c r="H207" t="inlineStr"/>
      <c r="I207" t="inlineStr">
        <is>
          <t>**Company Overview:**
 For more than 50 years, NISC has worked to develop technology solutions for our customers, who we call our "Members". Those Members are comprised primarily of 960\+ energy (utility) and communication (broadband) organizations across North America. Our mission is to deliver technology solutions and services that are Member\-focused, quality driven and valued priced. Our Members have over 18 million end customers (residential and businesses who receive power, internet, television and/or telephone services) that our enterprise software solution enables our Member's employees to compete effectively in the industry, while excelling in providing customer service to their end customers.
 NISC exists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**Position Overview:**
 We are looking for a high\-agency, AI\-native Software Engineer who loves building real\-world AI systems that make a measurable difference.
 This is not a research role. This is not a "play with models in a lab" role. This is a builder role.
 You will design, build, ship, and continuously improve production\-grade AI applications that are embedded directly into mission\-critical software used by utilities and broadband providers across North America. Your work will power customer service interactions, operational workflows, and intelligent automation at scale.
 We are looking for someone who:
* Gets excited about taking AI from idea → prototype → production → scale
* Loves experimenting with new models, frameworks, and agentic patterns
* Has a "there's a way" mindset when solving hard technical problems
* Believes AI should drive tangible business impact, not just technical novelty
* Thrives in ambiguity and moves fast while maintaining engineering discipline
 At NISC, AI is not a side initiative — it is a core strategic priority. You will help shape how AI transforms the way our Members serve their communities.
 If you've built and deployed AI systems that real users depend on — and you want to do it in an organization that values ownership, innovation, and meaningful impact — we encourage you to apply.
**Essential Functions:**
* Design \&amp; Build Production AI Systems: Architect, develop, and deploy AI\-powered features and applications using LLMs, RAG pipelines, agentic workflows, and modern ML techniques.
* Own Outcomes, Not Just Code: Take ideas from concept to production. Prototype quickly, validate with users, iterate based on feedback, and optimize for reliability and performance.
* LLM \&amp; Agent Integration: Integrate foundation models, fine\-tuned models, and multi\-agent systems into enterprise\-grade applications in secure, scalable environments.
* Data \&amp; Retrieval Engineering: Design and optimize data ingestion pipelines, embeddings workflows, and vector database implementations that support high\-quality AI responses.
* Performance \&amp; Scalability: Deploy AI systems that are resilient, observable, and cost\-efficient in production environments.
* Mission Alignment: Ensure solutions are practical, intuitive, and aligned with the operational realities of cooperatives, utilities, and broadband providers.
* Continuous Innovation: Actively explore new AI capabilities and rapidly evaluate how they can improve our products and development practices.
* Collaborative Execution: Partner with product, architecture, and engineering teams to embed AI capabilities across our enterprise platform.
* Follow all established software development methodologies and procedures.
* Other duties as assigned
**Desired Experience \&amp; Skills:** 
* 8\-10\+ years experience in software development, preferably with at least 3\+ years in AI/ML software development.
* Demonstrated experience shipping AI solutions used by real customers — not just prototypes or academic projects
* Experience integrating LLMs into applications (prompt engineering, evaluation, fine\-tuning, API orchestration)
* Experience designing RAG pipelines, embeddings workflows, and working with vector databases
* Experience deploying AI systems in cloud environments (AWS, Azure, GCP)
* Technical Expertise:
+ Strong Python proficiency and familiarity with ML frameworks (PyTorch, TensorFlow, or equivalent)
+ Experience building scalable APIs and backend services
+ Understanding of agentic architectures, orchestration frameworks, or multi\-agent systems
+ Experience optimizing AI performance, cost, and latency in production
+ Familiarity with observability, evaluation frameworks, and model monitoring
* Mindset \&amp; Attributes (Critical for Success)
+ Builder mentality — you love shipping
+ High ownership — you see problems and move toward them
+ Curiosity about emerging AI capabilities and how to apply them pragmatically
+ Bias toward action and experimentation
+ Comfort operating in evolving AI landscapes
+ Ability to balance speed with engineering discipline
+ Strong communicator who can translate AI capabilities into business value
* Bonus Experience
+ Experience in utilities, broadband, cooperatives, or enterprise SaaS
+ Knowledge of AI safety, evaluation strategies, or explainability techniques
+ Full\-stack experience or ability to deliver end\-to\-end AI features
+ Portfolio, GitHub, or case studies demonstrating deployed AI systems
* Experience working with utilities, broadband providers, or cooperatives, preferred.
* Commitment to NISC's Statement of Shared Values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 Virtual Office Location: Fully remote candidates will be considered for candidates who have a background in providing AI/ML solutions that work in real world applications, not just conceptual understanding or research based projects.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Bachelor's Degree in a Computer Science, Computer Engineering,  or a related field and/or equivalent experience.
 Master's Degree in Artificial Intelligence or Machine Learning, preferred.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Employees must be able to see, speak, and hear, to operate computer keyboards or office equipment, and are required to stand, walk, and sit.
**Disclaimer:**
 Management may modify this job description by assigning or reassigning duties and responsibilities at any time.</t>
        </is>
      </c>
    </row>
    <row r="208">
      <c r="A208" t="inlineStr">
        <is>
          <t>li-4210015264</t>
        </is>
      </c>
      <c r="B208" t="inlineStr">
        <is>
          <t>Quantitative Software Engineer: Techniques Engineering</t>
        </is>
      </c>
      <c r="C208" t="inlineStr">
        <is>
          <t>Two Sigma</t>
        </is>
      </c>
      <c r="D208" t="inlineStr">
        <is>
          <t>linkedin</t>
        </is>
      </c>
      <c r="E208">
        <f>HYPERLINK("https://www.linkedin.com/jobs/view/4210015264", "https://www.linkedin.com/jobs/view/4210015264")</f>
        <v/>
      </c>
      <c r="F208" t="inlineStr"/>
      <c r="G208" t="inlineStr">
        <is>
          <t>New York, United States</t>
        </is>
      </c>
      <c r="H208" t="inlineStr"/>
      <c r="I208" t="inlineStr">
        <is>
          <t>Position Summary
 Two Sigma is a financial sciences company, combining data analysis, invention, and rigorous inquiry to help solve the toughest challenges in investment management, securities, private equity, and venture capital.
 Our team of scientists, technologists, and academics looks beyond the traditional to develop creative solutions to some of the world’s most complex economic problems.
 We’re seeking an experienced Machine Learning/AI Engineer who is passionate about bridging innovative research with production\-level deployment. In this role, you will work closely with researchers, data teams, and platform engineers to transform innovative ideas into scalable, efficient, and robust production systems. You’ll have the opportunity to develop and refine ML workflows and drive best practices across the entire ML lifecycle—from initial prototyping to inference and support.
**You Will Take On The Following Responsibilities**
* Collaborate with ML researchers to explore model architectures, training methodologies, and experimental objectives
* Translate prototypes into reusable, maintainable, and production\-ready code, ensuring research insights scale seamlessly into operation
* Design, implement, and optimize fully automated training pipelines and evaluation workflows
* Optimize models for production—improving efficiency through techniques like quantization, distillation, and intelligent batching
* Continuously assess and fine\-tune both research and production workflows, integrating user feedback and automated monitoring systems
* Identify and implement opportunities for process improvements to reduce bottlenecks and improve overall modeler efficiency.
* Stay ahead of industry trends and new technologies, incorporating sophisticated methodologies into production systems
* Provide technical guidance and mentorship to peers, ensuring the team uses new tools and techniques that drive innovation
**You Should Possess The Following Qualifications**
* BS in Computer Science, Mathematics, Physics, or related technical subject area
* Minimum 1 year of experience required; 7\-15 years of experience preferred
* Strong software engineering skills using Python, version control, testing frameworks, and CI/CD practices
* Ability to work across functions and influence technical strategy while balancing research innovation with operational excellence
* A phenomenal teammate that can work efficiently with modeling and engineering partners
* Experience with leading ML frameworks (e.g., PyTorch, TensorFlow, HuggingFace) and familiarity with model serving/deployment tools, distributed systems and data infrastructures
* Experience with the following are preferred but not required:
+ Working with LLMs, multimodal models, or time\-series forecasting
+ ML Ops platforms
+ Background in research or a proven understanding of ML theory
**You Will Enjoy The Following Benefits**
* Core Benefits: Fully paid medical and dental insurance premiums for employees and dependents, competitive 401k match, employer\-paid life \&amp; disability insurance
* Perks: Onsite gyms with laundry service, wellness activities, casual dress, snacks, game rooms
* Learning: Tuition reimbursement, conference and training sponsorship
* Time Off: Generous vacation and unlimited sick days, competitive paid caregiver leaves
* Hybrid Work Policy: Flexible in\-office days with budget for home office setup
 The base pay for this role will be between $165,000 and $300,000\. This role may also be eligible for other forms of compensation and benefits, such as a discretionary bonus, health, dental and other wellness plans and 401(k) contributions. Discretionary bonus can be a significant portion of total compensation. Actual compensation for successful candidates will be carefully determined based on a number of factors, including their skills, qualifications and experience.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
 Two Sigma is committed to providing reasonable accommodations to qualified individuals in accordance with applicable federal, state, and local laws.
 If you believe you need an accommodation, please visit our website for additional information.</t>
        </is>
      </c>
    </row>
    <row r="209">
      <c r="A209" t="inlineStr">
        <is>
          <t>li-4353095216</t>
        </is>
      </c>
      <c r="B209" t="inlineStr">
        <is>
          <t>Java Software Engineer</t>
        </is>
      </c>
      <c r="C209" t="inlineStr">
        <is>
          <t>BeaconFire Inc.</t>
        </is>
      </c>
      <c r="D209" t="inlineStr">
        <is>
          <t>linkedin</t>
        </is>
      </c>
      <c r="E209">
        <f>HYPERLINK("https://www.linkedin.com/jobs/view/4353095216", "https://www.linkedin.com/jobs/view/4353095216")</f>
        <v/>
      </c>
      <c r="F209" t="inlineStr"/>
      <c r="G209" t="inlineStr">
        <is>
          <t>New York, NY</t>
        </is>
      </c>
      <c r="H209" t="inlineStr"/>
      <c r="I209" t="inlineStr">
        <is>
          <t>BeaconFire is based in Central NJ, specializing in Software Development, Web Development, and Business Intelligence; we are looking for candidates with a strong background in Software Engineering or Computer Science for a Java/Software Developer position.
**Responsibilities:** 
* ● Develop software and web applications using Java 8/J2EE/Java EE (and higher), React.js,Angular2\+, SQL, Spring, HTML5, CSS, JavaScript and TypeScript among other tools;
* ● Write scalable, secure, maintainable code that powers our clients’ platforms;
* ● Create, deploy, and maintain automated system tests;
* ● Work with Testers to understand defects opened and resolves them in a timely manner;
* ● Support continuous improvement by investigating alternatives and technologies and
* presenting these for architectural review;
* ● Collaborate effectively with other team members to accomplish shared user story
* and sprint goals;
* **Basic Qualifications:**
* ● Experience in programming language JavaScript or similar (e.g. Java, Python, C, C\+\+, C\#, etc.) an understanding of the software development life cycle;
* ● Basic programming skills using object\-oriented programming (OOP) languages with in\-depth knowledge of common APIs and data structures like Collections, Maps, lists, Sets etc.
* ● Knowledge of relational databases (e.g. SQL Server, Oracle) basic SQL query language skills
* **Preferred Qualifications:**
* ● Master’s Degree in Computer Science (CS)
* ● 0\-1 year of practical experience in Java coding
* ● Experience using Spring, Maven and Angular frameworks, HTML, CSS
* ● Knowledge with other contemporary Java technologies (e.g. Weblogic, RabbitMQ,
* Tomcat, etc.) · Knowledge of JSP, J2EE, and JDBC
* ·
* **Compensation** 
 : $65,000\.00 to $80,000\.00 /year
* **BeaconFire** 
 is an
 **e\-verified** 
 company. Work visa sponsorship is available.</t>
        </is>
      </c>
    </row>
    <row r="210">
      <c r="A210" t="inlineStr">
        <is>
          <t>li-4377771001</t>
        </is>
      </c>
      <c r="B210" t="inlineStr">
        <is>
          <t>Senior AI Software Engineer</t>
        </is>
      </c>
      <c r="C210" t="inlineStr">
        <is>
          <t>Rockefeller Capital Management</t>
        </is>
      </c>
      <c r="D210" t="inlineStr">
        <is>
          <t>linkedin</t>
        </is>
      </c>
      <c r="E210">
        <f>HYPERLINK("https://www.linkedin.com/jobs/view/4377771001", "https://www.linkedin.com/jobs/view/4377771001")</f>
        <v/>
      </c>
      <c r="F210">
        <f>HYPERLINK("https://careers.rockco.com/jobs/4883?lang=en-us&amp;urlHash=J637", "https://careers.rockco.com/jobs/4883?lang=en-us&amp;urlHash=J637")</f>
        <v/>
      </c>
      <c r="G210" t="inlineStr">
        <is>
          <t>Trenton, NJ</t>
        </is>
      </c>
      <c r="H210" t="inlineStr"/>
      <c r="I210" t="inlineStr">
        <is>
          <t>**About Rockefeller Capital Management**
 Rockefeller Capital Management was established in 2018 as a leading independent financial advisory services firm. Originally founded in 1882 as the family office of John D. Rockefeller, the Firm has evolved to offer strategic advice to ultra\- and high\-net\-worth individuals and families, institutions, and corporations from offices in 32 markets throughout the United States, as well as an office in London. The Firm oversees $204 billion in client assets as of January 31, 2026\.
**Position**
 We're hiring a Senior AI Software Engineer to lead the design and delivery of AI\-powered applications on our Platform Development team. This is a role for someone who can bridge the gap between large language models and real financial data — architecting the backend systems and data layer that make AI genuinely useful for our advisors and their clients.
 Your primary focus will be our text\-to\-SQL agent and other conversational AI tools. Our data lives across SQL Server, Microsoft Fabric, and Databricks, and you'll be the person who architects the schemas, validates AI generated queries, and builds the backend services that tie it all together. The AI writes the SQL — you need to be the one who knows whether it got it right. This is a high\-impact, high\-visibility role where you'll mentor engineers, drive architectural decisions, and help build a culture of learning and shipping. If you've been going deep on AI and want to apply it to meaningful problems in financial services, this is the opportunity.
**Responsibilities**
* Lead the architecture and development of a text\-to\-SQL agent that enables financial advisors to query complex datasets using natural language
* Architect the data layer that AI models query against — designing schemas, structuring data across SQL Server and modern data platforms, and validating AI\-generated SQL for correctness and performance
* Build and iterate on AI integration patterns — prompt engineering, RAG, function calling, and agent based workflows — with appropriate guardrails for a regulated financial environment
* Design and build backend services and APIs that power AI\-driven features, deployed on Microsoft Azure
* Mentor engineers, drive engineering standards, and collaborate across teams to deliver AI features from concept through production
**Qualifications**
* Bachelor's degree in Computer Science or related field (Master's preferred)
* 7\+ years of professional software development experience with backend and API development on a major cloud platform (Azure preferred)
* Strong SQL skills — you can analyze complex queries, design schemas, and evaluate whether AI generated SQL is correct and performant
* Hands\-on experience building with LLMs and AI services — you've shipped AI features in production, not just POCs. Specific frameworks matter less than your ability to evaluate and adopt new ones
* Experience with backend languages and frameworks such as C\#/.NET, Python, Java, or similar
* Familiarity with data platforms like SQL Server, Microsoft Fabric, Databricks, or equivalent
* Demonstrated ability to mentor engineers and drive technical standards across a team
* Experience in regulated environments, preferably financial services
**Compensation Range**
 The anticipated base salary range for this role is $150,000 to $175,000\. Base salary for the role will depend on several factors, including a candidate’s qualifications, skills, competencies, and experience, and may fall outside of the range shown. In addition, this role may be eligible for a discretionary bonus. Rockefeller Capital Management offers a comprehensive benefit package including health coverage, vacation time, paid leave, retirement plan, and more. Visit careers.rockco.com to learn more about additional opportunities and benefits offerings.
**Disclosure**
 Rockefeller \&amp; Co. LLC, Rockefeller Financial LLC, Rockefeller Trust Company, N.A., The Rockefeller Trust Company (Delaware), Rockefeller Financial Services, Inc. and all other subsidiaries of Rockefeller Capital Management L.P. (individually and collectively, “Rockefeller”) is an equal opportunity employer and does not discriminate on the basis of race, religion, sex, gender, sexual orientation, gender identity or expression, national origin, citizenship, age, military or veteran status, marital or partnership status, caregiver status, legally recognized disability, or any other basis protected by applicable federal, state or local law (“protected characteristics”).
 Rockefeller Capital Management participates in the E\-Verify program in certain locations, as required by law.</t>
        </is>
      </c>
    </row>
    <row r="211">
      <c r="A211" t="inlineStr">
        <is>
          <t>li-4379789664</t>
        </is>
      </c>
      <c r="B211" t="inlineStr">
        <is>
          <t>Senior System Software Engineer, Mapping  - Autonomous Vehicles</t>
        </is>
      </c>
      <c r="C211" t="inlineStr">
        <is>
          <t>NVIDIA</t>
        </is>
      </c>
      <c r="D211" t="inlineStr">
        <is>
          <t>linkedin</t>
        </is>
      </c>
      <c r="E211">
        <f>HYPERLINK("https://www.linkedin.com/jobs/view/4379789664", "https://www.linkedin.com/jobs/view/4379789664")</f>
        <v/>
      </c>
      <c r="F211">
        <f>HYPERLINK("https://nvidia.wd5.myworkdayjobs.com/NVIDIAExternalCareerSite/job/US-CA-Santa-Clara/Senior-System-Software-Engineer\u002d\u002dMapping\u002d\u002d\u002d\u002dAutonomous-Vehicles_JR2013984?source=jobboardlinkedin&amp;urlHash=EKmN", "https://nvidia.wd5.myworkdayjobs.com/NVIDIAExternalCareerSite/job/US-CA-Santa-Clara/Senior-System-Software-Engineer\u002d\u002dMapping\u002d\u002d\u002d\u002dAutonomous-Vehicles_JR2013984?source=jobboardlinkedin&amp;urlHash=EKmN")</f>
        <v/>
      </c>
      <c r="G211" t="inlineStr">
        <is>
          <t>Santa Clara, CA</t>
        </is>
      </c>
      <c r="H211" t="inlineStr"/>
      <c r="I211" t="inlineStr">
        <is>
          <t>Today, NVIDIA is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encouraging environment where everyone is inspired to do their best work. Come join the team and see how we can make a lasting impact on the world.
 The NvMap team at NVIDIA’s Autonomous Driving Team is delivering one of the fundamental technologies for the autonomous software stack and beyond. We are looking for hardworking software engineers to work on data collection, data analysis, map creation and map consumption software components on NVIDIA’s current and upcoming driving/mobile platforms and backend processing systems.
**What You'll Be Doing**
* Building software for autonomous mobile platforms, and backend data processing pipelines to do the following:
* Creating software to efficiently access and visualize 2D Navigational Map, 2D aerial images, or 3D semantic HDMaps to create enriched 2D/3D maps for training data of autonomous vehicle perception model training, and in\-vehicle driving stack.
* Provide real\-time and off\-line data analysis tools of autonomous vehicle sensor data (e.g. lidar/camera/radar) to ensure sensor data integrity before map creation and map consumption.
* Analyze the spatial and temporal properties of ground truth location and other vehicle sensor data to ensure successful map creation.
* Building tools to efficiently store and upload large amounts of sensor and 3rd party map data for map creation, or update.
**What We Need To See**
* 5\+ years of working experience.
* BS, MS, or PhD in Computer Science or related field or equivalent experience.
* Proficient in C/C\+\+, familiar with Python/SQL is a plus.
* Solid understanding of computer architecture, operating systems, computer networking principles and multi\-threaded/multi\-process programming
* Understanding of how to write performant software (with efficient memory/cpu/gpu/inter\-processor\-network utilization)
* Proficient in algorithms (e.g. graph theory, combinatorial \&amp; discrete algorithms), data structures and basic statistics.
* Ability to drive a project from conception to completion and deliver to internal or external customers.
* Experience in using a disciplined approach to software engineering (requirements analysis, design doc, unit testing and integration testing and benchmarking) to drive development of scalable software products.
**Ways To Stand Out From The Crowd**
* Experience in building map consumption software (e.g. localization or planning/routing) for autonomous vehicles or robotics. Background with computer vision, computational geometry, robotics, and machine learning algorithms.
* Experience with LLM/ML techniques for map data analytics and enrichments.
* Experience with state\-of\-the\-art autonomous vehicle or robotics sensors (e.g. camera, lidar, radar, GPS)
* Background with runtime optimization on Linux/Unix\-like real\-time operation systems; Experience with edge computing platforms (e.g. automotive)
* Experience in data analysis and visualization in Python or other Javascript libraries, or etc, is a plus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March 5,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JR2013984</t>
        </is>
      </c>
    </row>
    <row r="212">
      <c r="A212" t="inlineStr">
        <is>
          <t>li-4348603703</t>
        </is>
      </c>
      <c r="B212" t="inlineStr">
        <is>
          <t>Senior Software Engineer</t>
        </is>
      </c>
      <c r="C212" t="inlineStr">
        <is>
          <t>Oracle</t>
        </is>
      </c>
      <c r="D212" t="inlineStr">
        <is>
          <t>linkedin</t>
        </is>
      </c>
      <c r="E212">
        <f>HYPERLINK("https://www.linkedin.com/jobs/view/4348603703", "https://www.linkedin.com/jobs/view/4348603703")</f>
        <v/>
      </c>
      <c r="F212" t="inlineStr"/>
      <c r="G212" t="inlineStr">
        <is>
          <t>Redwood City, CA</t>
        </is>
      </c>
      <c r="H212" t="inlineStr"/>
      <c r="I212" t="inlineStr">
        <is>
          <t>**Job Description**
 Are you passionate about creating world\-class services and tools for software developers? Join Oracle Cloud Infrastructure (OCI), where you'll have the opportunity to design, build, and operate a suite of large\-scale, integrated cloud services within a highly distributed, multi\-tenant environment. Our mission is to deliver best\-in\-class solutions, empowering customers to build and manage their Oracle Cloud infrastructure efficiently. We are constantly innovating, delivering new features and products to stay at the forefront of cloud technology.
**Role Overview**
 As a Senior Software Engineer, you will be part of a collaborative team responsible for designing, developing, and operating both new and existing products. You will play a key role in architecting critical system interactions, working hands\-on across the technology stack, and ensuring a strong developer experience. We value simplicity, high\-impact solutions, and a commitment to operational excellence.
**Responsibilities**
**RESPONSIBILITIES**
* Architect, design, and operate distributed systems focusing on reliability, scalability, and performance.
* Lead and mentor engineering efforts, providing technical leadership and independent problem\-solving.
* Develop and maintain high\-scale, resilient cloud services with strong operational standards.
* Drive iterative and incremental improvements while balancing speed and quality.
* Foster a proactive, collaborative, and agile team environment.
* Evaluate and recommend major changes to products using data\-driven approaches.
**Basic Qualifications**
* 3\+ years of software development experience.
* Proficiency in high\-level programming languages such as Java, Python, or similar.
* Experience delivering products throughout the full software development lifecycle.
* Deep understanding of microservices design patterns and service\-to\-service communication protocols.
* Experience in building highly reliable, scalable services.
* Bachelor’s degree in Computer Science, Computer Engineering, or related technical field.
**Preferred Qualifications**
* Prior experience developing cloud services and tools on Oracle Cloud, AWS, GCP, or Azure.
* Experience with IDEs such as Eclipse or IntelliJ.
* Master’s degree in Computer Science or a related technical discipline.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13">
      <c r="A213" t="inlineStr">
        <is>
          <t>li-4378835615</t>
        </is>
      </c>
      <c r="B213" t="inlineStr">
        <is>
          <t>Full Stack Engineer</t>
        </is>
      </c>
      <c r="C213" t="inlineStr">
        <is>
          <t>Helpr</t>
        </is>
      </c>
      <c r="D213" t="inlineStr">
        <is>
          <t>linkedin</t>
        </is>
      </c>
      <c r="E213">
        <f>HYPERLINK("https://www.linkedin.com/jobs/view/4378835615", "https://www.linkedin.com/jobs/view/4378835615")</f>
        <v/>
      </c>
      <c r="F213" t="inlineStr"/>
      <c r="G213" t="inlineStr"/>
      <c r="H213" t="inlineStr"/>
      <c r="I213" t="inlineStr">
        <is>
          <t>**About Helpr** 
 Helpr is a technology platform that connects families with trusted childcare providers. We handle booking, payments, background checks, and scheduling so families can find reliable care quickly. Our platform serves thousands of families and sitters across the US.
 We’re at an inflection point: growing revenue, expanding partnerships, and ready to invest in engineering quality. You’d be our first in\-house engineer — joining a team who is deeply hands\-on and building the foundation for what becomes the in\-house engineering team.
**The Role** 
 This is not a maintenance role. You’ll own the entire backend: shipping features, migrating the stack, integrating with payment and identity providers, and making architectural decisions that will define the platform for years. You’ll work directly with leadership; no layers, no committees, no tickets that disappear into a sprint backlog.
**What You’ll Do** 
* Own all backend and API development — new features, bug fixes, integrations, and infrastructure
* Lead the incremental migration from Laravel (PHP) to Node.js/TypeScript/React, starting with new features and high\-churn areas
* Build and maintain integrations with Stripe (payments, ACH, Checkout Sessions), identity verification providers, and partner APIs
* Design and implement the backend architecture for new product features alongside the product team
* Improve developer experience: CI/CD, testing, monitoring, and deployment workflows
* Collaborate with the offshore mobile team (iOS/Android) on API contracts and shared data models
* Participate in on\-call rotation for production issues
**Requirements** 
**Must Have** 
* 5\+ years of professional software engineering experience
* Strong Node.js and TypeScript/React skills — this is the target stack
* Working experience with PHP/Laravel — you’ll need to read, debug, and modify the existing codebase before migrating it
* Experience with relational databases (MySQL) — schema design, migrations, query optimization
* Solid understanding of RESTful API design and third\-party API integrations
* Experience with Stripe or similar payment platform integrations (payment intents, webhooks, subscription billing)
* Comfortable owning production systems — deployments to kubernetes in GCP
* Kubernetes and container orchestration experience
* Strong communicator who can articulate technical decisions and trade\-offs clearly
* Comfortable with using LLMs to help deliver accurate and maintainable code
**Nice to Have** 
* Google Cloud infrastructure experience
* Experience in a marketplace, booking, or payments\-heavy product
* Experience migrating legacy codebases to modern stacks incrementally (strangler fig pattern)
* Familiarity with CI/CD pipelines, automated testing strategies, and deployment automation
**What We’re NOT Looking For** 
* Someone who needs detailed specs for every task — you’ll help define the specs
* A framework zealot — we care about shipping working software, not stack purity
* Someone who only wants to work on greenfield — you’ll spend real time in legacy PHP before earning the migration work
 For more information, visit
 https://www.hellohelpr.com/careers
 Apply here or email interest to apply@hellohelpr.com</t>
        </is>
      </c>
    </row>
    <row r="214">
      <c r="A214" t="inlineStr">
        <is>
          <t>li-4378025350</t>
        </is>
      </c>
      <c r="B214" t="inlineStr">
        <is>
          <t>Software Engineer II</t>
        </is>
      </c>
      <c r="C214" t="inlineStr">
        <is>
          <t>TSC</t>
        </is>
      </c>
      <c r="D214" t="inlineStr">
        <is>
          <t>linkedin</t>
        </is>
      </c>
      <c r="E214">
        <f>HYPERLINK("https://www.linkedin.com/jobs/view/4378025350", "https://www.linkedin.com/jobs/view/4378025350")</f>
        <v/>
      </c>
      <c r="F214">
        <f>HYPERLINK("https://tsc.wd12.myworkdayjobs.com/en-US/TSC-Careers/job/Washington-DC\u002d\u002d-Naval-Research-Laboratory/Software-Engineer-II_JR2401?source=LinkedIn&amp;urlHash=yIxx", "https://tsc.wd12.myworkdayjobs.com/en-US/TSC-Careers/job/Washington-DC\u002d\u002d-Naval-Research-Laboratory/Software-Engineer-II_JR2401?source=LinkedIn&amp;urlHash=yIxx")</f>
        <v/>
      </c>
      <c r="G214" t="inlineStr">
        <is>
          <t>Washington, DC</t>
        </is>
      </c>
      <c r="H214" t="inlineStr"/>
      <c r="I214" t="inlineStr">
        <is>
          <t>Technology Service Corporation (TSC) is seeking a Software Engineer III. The candidate will be responsible for the development of primarily Python code to control and monitor instrumentation, mechanisms, and sensors for the Large Plasma Test Facility at the Naval Research Laboratory in Washington, DC. The candidate will be part of a small, agile team developing innovative space electrical propulsion systems. The candidate will work with a mixed government\-contractor team on\-site at the Naval Research Laboratory in Washington DC. US Citizenship and a secret are required. One to two days remote work may be possible depending on program needs.
**Responsibilities:**
* Develop software to integrate and control various sensors and mechanisms, collect data, and process and display data.
* Assist propulsion engineers by implementing scientific data reduction algorithms efficiently.
* Assist in troubleshooting laboratory systems.
* Lead the group in adoption and implementation of AI for rapid code prototyping.
* The majority of code will be in Python
**Required Qualifications:**
* DoD Secret clearance.
* BS in Computer Science, Mathematics, Physics, or Electrical Engineering.
* 3\-5 years of professional experience developing code (preference for Python).
* Familiarity with advanced mathematics such as calculus, differential equations, and linear algebra.
* Experience with hardware\-in\-the\-loop data acquisition code.
* Experience developing simulation software and software to compare simulations with experimental results
* Extensive experience with Python.
* Demonstrated ability to work independently and in a team/matrixed organization.
* Adaptable to rapidly changing and vaguely defined coding requirements.
**What We Offer:**
 Headquartered in Arlington, Virginia, Technology Service Corporation (TSC) is an employee\-owned company that has been providing high\-quality technical services and solutions for our customers’ for over 50 years. Our diverse portfolio includes providing full lifecycle support in Precision Strike and Area Effects; Area Protection; Airborne Sensors and Intelligence, Surveillance, and Reconnaissance (ISR); Vehicle Protection; Electronic Warfare Systems; Air and Missile Defense; Space Systems, and Intelligence and Information Systems. TSC offers a professional working environment, a competitive salary, and an excellent benefits package that includes but not limited to: Paid Personal and Military leave and Holidays; Salary Deferrals into a 401(k) Matching Plan; Tuition Reimbursement; Short/Long\-Term Disability Plan; Medical, Dental, and Vision Insurance.
 In compliance with applicable pay transparency laws, the expected salary range for this position is $102,000 – $145,000 per year, depending on experience and location. This role is also eligible for an annual performance bonus and may include equity or incentive compensation as part of the total rewards package.
**Applying to TSC:**
 Only those candidates invited for an interview will be contacted. Employment at TSC is contingent upon the successful completion of a comprehensive background check, security investigation, and a drug screening.
***TSC is committed to hiring and retaining a diverse workforce. We are proud to be an Equal Opportunity Employer/Affirmative Action Employer, making decisions without regard to race, color, religion, creed, sex, sexual orientation, gender identity, marital status, national origin, age, veteran status, disability or any other protected class.***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
 All qualified applicants will receive consideration for employment without regard to race, color, religion, sex, sexual orientation, gender identity, national origin, disability, or status as a protected veteran.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
 All qualified applicants will receive consideration for employment without regard to race, color, religion, sex, sexual orientation, gender identity, national origin, disability, or status as a protected veteran.</t>
        </is>
      </c>
    </row>
    <row r="215">
      <c r="A215" t="inlineStr">
        <is>
          <t>li-4378815339</t>
        </is>
      </c>
      <c r="B215" t="inlineStr">
        <is>
          <t>Java Software Engineer</t>
        </is>
      </c>
      <c r="C215" t="inlineStr">
        <is>
          <t>Wiraa</t>
        </is>
      </c>
      <c r="D215" t="inlineStr">
        <is>
          <t>linkedin</t>
        </is>
      </c>
      <c r="E215">
        <f>HYPERLINK("https://www.linkedin.com/jobs/view/4378815339", "https://www.linkedin.com/jobs/view/4378815339")</f>
        <v/>
      </c>
      <c r="F215">
        <f>HYPERLINK("https://www.wiraa.com/job-description/usFA37DB6E663A569B2265C138BCEF68B6?source=Linkedin&amp;urlHash=4qEP", "https://www.wiraa.com/job-description/usFA37DB6E663A569B2265C138BCEF68B6?source=Linkedin&amp;urlHash=4qEP")</f>
        <v/>
      </c>
      <c r="G215" t="inlineStr"/>
      <c r="H215" t="inlineStr"/>
      <c r="I215" t="inlineStr">
        <is>
          <t>**About The Company**
 Garmin International is global leader in GPS technology and innovative solutions for various markets including automotive, aviation, marine, outdoor, fitness, and health. With a commitment to excellence and a focus on delivering cutting\-edge products, Garmin continuously pushes the boundaries of technology to enhance the lives of its users. The company fosters a dynamic and collaborative work environment that encourages innovation, professional growth, and a culture of integrity. Garmin's headquarters in the United States serves as the hub for its strategic initiatives and technological advancements, supporting a worldwide network of development teams and operational centers.
**About The Role**
 We are seeking a highly experienced and motivated full\-time Lead IT Software Engineer to join Garmin's U.S. headquarters located in the Greater Kansas City area. In this pivotal role, you will lead the development and enhancement of Garmin's Cloud Services portal, a critical platform that supports our enterprise solutions. Your responsibilities will include overseeing the design, development, and deployment of web\-enabled client and server applications within a structured SDLC framework. You will collaborate closely with a global team, primarily based in India, working alongside product owners and architects in the US to drive innovative features and ensure seamless integration and scalability of the platform. As a senior technical leader, you will mentor team members, shape technical strategies, and contribute to the continuous improvement of our systems and processes.
**Qualifications**
* Bachelor's Degree in Computer Science, Information Technology, Management Information Systems, or related field
* Minimum of 9 years of relevant experience or an equivalent combination of education and experience
* Proficiency in web and backend development languages such as Java, SQL, NodeJS, Spring, Kafka, RabbitMQ
* Experience designing, enhancing, and developing single and multi\-system applications
* Hands\-on experience with cloud\-native architectures and microservices solutions
* Proficiency with version control systems, particularly Git
* Experience with automated testing tools and procedures
* Knowledge of secure coding practices
* Strong verbal, written, and interpersonal communication skills
**Responsibilities**
* Design and develop web\-enabled client\-side and server\-side applications following SDLC processes
* Lead project initiatives, ensuring alignment with organizational objectives and architectural standards
* Collaborate with global development teams, product owners, and architects to deliver high\-quality solutions
* Ensure stable production deployment of application changes and features
* Implement system improvements to enhance stability, performance, and maintainability
* Review technical designs and code changes, providing guidance and recommendations to development teams
* Mentor and support less experienced engineers to foster professional growth and technical excellence
* Participate in project planning, feature analysis, and system tradeoff evaluations
* Evaluate new technologies, features, and functions to recommend broader technological solutions
* Provide on\-call support for production systems as needed
* Lead major development projects involving multiple components or sub\-projects
* Promote adherence to architecture roadmaps, development standards, and best practices
* Engage in continuous learning by participating in professional organizations and industry events
**Benefits**
* Competitive salary and benefits package
* Health, dental, and vision insurance
* Retirement plans and savings programs
* Paid time off and holidays
* Professional development opportunities
* Flexible work arrangements where applicable
* Employee wellness programs
* Supportive and innovative work environment
 Equal Opportunity
 Garmin International is an equal opportunity employer. Qualified applicants will receive consideration for employment without regard to race, religion, color, national origin, citizenship, sex, sexual orientation, gender identity, veteran's status, age or disability. We are committed to fostering an inclusive workplace that values diversity and promotes equal opportunity for all employees.</t>
        </is>
      </c>
    </row>
    <row r="216">
      <c r="A216" t="inlineStr">
        <is>
          <t>li-4378824398</t>
        </is>
      </c>
      <c r="B216" t="inlineStr">
        <is>
          <t>Junior Software Engineer</t>
        </is>
      </c>
      <c r="C216" t="inlineStr">
        <is>
          <t>Tech Consulting</t>
        </is>
      </c>
      <c r="D216" t="inlineStr">
        <is>
          <t>linkedin</t>
        </is>
      </c>
      <c r="E216">
        <f>HYPERLINK("https://www.linkedin.com/jobs/view/4378824398", "https://www.linkedin.com/jobs/view/4378824398")</f>
        <v/>
      </c>
      <c r="F216" t="inlineStr"/>
      <c r="G216" t="inlineStr">
        <is>
          <t>New Jersey, United States</t>
        </is>
      </c>
      <c r="H216" t="inlineStr"/>
      <c r="I216" t="inlineStr">
        <is>
          <t>**Job Title:** 
 Junior Software Engineer
 **(\*\*Immediate Joining\*\*)** 
**Location:** 
 \[Anywhere in USA]
**Experience:** 
 1–3 years
**Employment Type:** 
 Full\-Time
**Job Description:**
 Are you excited about taking your technical career to new heights with a full\-time, W\-2 role as a consultant in a dynamic and rapidly growing company? If you are, let's get in touch – your interest is the first step to starting the conversation.
 **\*\*No Sponsorship\*\***
**What This Role Requires:**
* 1\-3 years of experience in software development using Java after your degree.
* Must have Java or C\# experience (one or the other).
* Should understand basics of OOP (Object Oriented Program) concepts.
* Hands\-on experience in XML, SQL, JavaScript/CSS/JQUERY/HTML or SON preferred. 
* Familiarity with version control systems like Git
* Eagerness to learn and adapt to new technologies, frameworks, and best practices in the rapidly evolving Android ecosystem
* Basic understanding of computer science concepts like data structures, algorithms, software architecture, and design patterns.
**To Qualify:**
* You should be willing to relocate anywhere in the US on a client project\-to\-project basis, as this is an onsite, in\-office position.
* Strong English communication skills, both written and verbal.
* Bachelor’s degree in computer science, Information Systems, Electrical Engineering, Mathematics, or a related quantitative field.
**What’s In It For YOU?**
* Gain valuable, career\-enhancing experience working with our Fortune 1,000 clients.
* Receive relocation support for training and project assignments, as required.
* Enjoy comprehensive W2 employee benefits.
* Access full coverage medical, dental, and vision insurance.
* Qualify for 401K eligibility after one year of employment.
**Company Highlights:**
* **Our Specialization** 
 : Providing IT consulting services.
* **Experience** 
 : Over 25 years of combined domestic and international expertise in IT consulting serving hundreds of Fortune 1,000 and innovative startup clients.
* Interested in accelerating your tech career through career\-enhancing IT consulting experience? Do you meet the required qualifications? If so, apply today! We look forward to hearing from you.</t>
        </is>
      </c>
    </row>
    <row r="217">
      <c r="A217" t="inlineStr">
        <is>
          <t>li-4289383619</t>
        </is>
      </c>
      <c r="B217" t="inlineStr">
        <is>
          <t>Senior Software Engineer - Full Stack Web</t>
        </is>
      </c>
      <c r="C217" t="inlineStr">
        <is>
          <t>Zoox</t>
        </is>
      </c>
      <c r="D217" t="inlineStr">
        <is>
          <t>linkedin</t>
        </is>
      </c>
      <c r="E217">
        <f>HYPERLINK("https://www.linkedin.com/jobs/view/4289383619", "https://www.linkedin.com/jobs/view/4289383619")</f>
        <v/>
      </c>
      <c r="F217">
        <f>HYPERLINK("https://jobs.lever.co/zoox/b29f3096-1bb1-472f-a40d-64dc831ef39e/apply?source=LinkedIn&amp;urlHash=oH0P", "https://jobs.lever.co/zoox/b29f3096-1bb1-472f-a40d-64dc831ef39e/apply?source=LinkedIn&amp;urlHash=oH0P")</f>
        <v/>
      </c>
      <c r="G217" t="inlineStr">
        <is>
          <t>Foster City, CA</t>
        </is>
      </c>
      <c r="H217" t="inlineStr"/>
      <c r="I217" t="inlineStr">
        <is>
          <t>The Software Systems Infrastructure team is responsible for aiding the Software Systems organization with all its internal tooling needs, development processes and ensuring that all safety\-critical software meets a high safety bar for production vehicles. We are a fullstack high\-paced software engineering team.
 In this role, you will help establish infrastructure, design and develop software tools that will automate, track or audit processes and methods needed to build safety\-critical software that will revolutionize transportation in the 21st century. Borrowing principles from avionics, automotive, and other safety\-critical industries, you will work with software, systems and firmware engineers across the Zoox software organization, ranging from state\-of\-the\-art AI Perception, all the way to highly\-critical RTOS and middleware components.
**In This Role, You Will**
* Develop infrastructure and tools to support the Software Systems org that can help enable software developers achieve, track and build safety\-critical code.
* Primarily develop in Bazel, Python, ReactJS and TypeScript and also be responsible for setting up backend infrastructure (database, web servers, etc.) and will be interfacing with software developed in C\+\+ and Python.
* Be comfortable to whip up quick scripts to automate tasks, such as generating metrics, establishing traceability, etc, when necessary.
* You will be developing and maintaining tools that support cross\-functional teams in their efforts towards developing software that adheres to a High Assurance Process.
* Autonomous vehicles have some of the largest, most complex software ever shipped in a safety\-critical environment; solving that problem is one of the most exciting technical challenges of our lifetime.
**Qualifications**
* Bachelor’s degree in computer science, engineering, or related field
* 8\+ years of industry experience working on large code bases
* Strong proficiency in Python with frameworks like FastAPI/Django, Shell scripting, and building ETL pipelines
* Strong proficiency in TypeScript/JavaScript and one or more of the frontend frameworks/libraries like React/ Vue.js/Angular
* Strong proficiency in sql/nosql databases like Postgres, MongoDb, etc
* Strong proficiency in cloud technologies like AWS/GCP/OCI
**Bonus Qualifications**
* Masters’ degree in computer science, engineering, or related field
* Robotics, Automotive or Aerospace software experience with safety\-critical systems
* Experience with Linux and systems programming
* Familiarity with Static and Dynamic Analysis Tools \- such as Coverity, Valgrind/Helgrind, CCM, etc
 $219,000 \- $263,000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8">
      <c r="A218" t="inlineStr">
        <is>
          <t>li-4379930478</t>
        </is>
      </c>
      <c r="B218" t="inlineStr">
        <is>
          <t>Sr. Software Engineer | $95/hr</t>
        </is>
      </c>
      <c r="C218" t="inlineStr">
        <is>
          <t>Mercor</t>
        </is>
      </c>
      <c r="D218" t="inlineStr">
        <is>
          <t>linkedin</t>
        </is>
      </c>
      <c r="E218">
        <f>HYPERLINK("https://www.linkedin.com/jobs/view/4379930478", "https://www.linkedin.com/jobs/view/4379930478")</f>
        <v/>
      </c>
      <c r="F218">
        <f>HYPERLINK("https://work.mercor.com/jobs/list_AAABnI0UUdsFkWk0wKhC6IFJ?utm_source=linkedin&amp;utm_medium=job_slot&amp;utm_campaign=auto&amp;utm_content=list_AAABnI0UUdsFkWk0wKhC6IFJ&amp;utm_term=sr-software-engineer-95hr-us-d77242&amp;urlHash=bBM3", "https://work.mercor.com/jobs/list_AAABnI0UUdsFkWk0wKhC6IFJ?utm_source=linkedin&amp;utm_medium=job_slot&amp;utm_campaign=auto&amp;utm_content=list_AAABnI0UUdsFkWk0wKhC6IFJ&amp;utm_term=sr-software-engineer-95hr-us-d77242&amp;urlHash=bBM3")</f>
        <v/>
      </c>
      <c r="G218" t="inlineStr"/>
      <c r="H218" t="inlineStr"/>
      <c r="I218"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II
**Type:** 
**Full\-Time**
**Compensation:** 
**$70–$95/hour**
**Location:** 
**Remote**
**Role Responsibilities**
* Drive technical implementation and testing of complex data pipeline features within the SPECTRA platform. Ensure robust end\-to\-end functionality and meet project release timelines.
* Design and develop data processing pipelines using SQL and Python. Handle large\-scale data collection, transformation, and quality monitoring workflows.
* Build and maintain dashboards and visualization tools. Provide visibility into data quality, rater performance, and platform metrics for stakeholders across multiple teams.
* Create comprehensive end\-to\-end tests and monitoring alerts. Ensure platform reliability, data integrity, and proactive identification of issues in the data collection workflow.
* Debug and troubleshoot complex data flow issues across the SPECTRA platform. Identify root causes and implement solutions to maintain high system availability.
* Collaborate closely with Technical Leads and engineering teams. Implement backend data processing logic and ensure adherence to development standards and best practices.
**Qualifications**
**Must\-Have**
* Experience in SQL development writing complex queries, data transformations, and working with large datasets in production environments.
* Proficient in Python with experience in data processing, automation, and pipeline development using object\-oriented programming principles.
* Experience with data engineering pipelines including ETL processes, data modeling, and building scalable data processing workflows.
* Hands\-on experience with data visualization and dashboard tools such as Tableau or similar platforms.
* Strong analytical and problem\-solving skills with demonstrated ability to debug complex data issues and implement effective solutions.
* Experience with data quality monitoring and automated testing frameworks.
**Preferred**
* Degree in Computer Science or related field.
* Machine Learning experience with understanding of ML model training data requirements, feature engineering, and model evaluation metrics.
* Experience building and scaling large products or systems.
* Experience with building privacy and ads\-related products.
* Experience working with human labeling and annotation systems including workflow design, quality assurance, and vendor management in data collection operations.
* Prior experience working with the company or its internal tools.
**Compensation \&amp; Legal**
* Pursuant to the California Fair Chance Act, Los Angeles County Fair Chance Ordinance for Employers, Los Angeles Fair Chance Initiative for Hiring Ordinance, and San Francisco Fair Chance Ordinance, qualified applicants will be considered for assignment with arrest and conviction records.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219">
      <c r="A219" t="inlineStr">
        <is>
          <t>li-4377730080</t>
        </is>
      </c>
      <c r="B219" t="inlineStr">
        <is>
          <t>Software Engineer III, AI/ML GenAI, Google Cloud</t>
        </is>
      </c>
      <c r="C219" t="inlineStr">
        <is>
          <t>Google</t>
        </is>
      </c>
      <c r="D219" t="inlineStr">
        <is>
          <t>linkedin</t>
        </is>
      </c>
      <c r="E219">
        <f>HYPERLINK("https://www.linkedin.com/jobs/view/4377730080", "https://www.linkedin.com/jobs/view/4377730080")</f>
        <v/>
      </c>
      <c r="F219" t="inlineStr"/>
      <c r="G219" t="inlineStr">
        <is>
          <t>Sunnyvale, CA</t>
        </is>
      </c>
      <c r="H219" t="inlineStr"/>
      <c r="I21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
 **Minimum qualifications:**
* Bachelor’s degree or equivalent practical experience.
* 2 years of experience programming in Python or C\+\+.
* 1 year of experience with ML infrastructure (e.g., model deployment, model evaluation, optimization, data processing, debugging).
* Experience with core GenAI concepts (LLM, Multi\-Modal, Large Vision Models) and experience with text, image, video, or audio generation.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GenAI solutions, utilize ML infrastructure, and contribute to data preparation, optimization, and performance enhancements.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0">
      <c r="A220" t="inlineStr">
        <is>
          <t>li-4378848179</t>
        </is>
      </c>
      <c r="B220" t="inlineStr">
        <is>
          <t>Software Engineer</t>
        </is>
      </c>
      <c r="C220" t="inlineStr">
        <is>
          <t>Insight Global</t>
        </is>
      </c>
      <c r="D220" t="inlineStr">
        <is>
          <t>linkedin</t>
        </is>
      </c>
      <c r="E220">
        <f>HYPERLINK("https://www.linkedin.com/jobs/view/4378848179", "https://www.linkedin.com/jobs/view/4378848179")</f>
        <v/>
      </c>
      <c r="F220" t="inlineStr"/>
      <c r="G220" t="inlineStr"/>
      <c r="H220" t="inlineStr"/>
      <c r="I220" t="inlineStr">
        <is>
          <t>We are seeking a highly skilled Software Engineer with an active Top\-Secret clearance to support a mission‑critical government program in Washington, DC. This is a 6‑month contract to hire position supporting a secure development environment focused on building, enhancing, and maintaining modern software applications.
 The ideal candidate has experience in Java or Python development, has worked within classified or secure environments, and can contribute to a collaborative Agile engineering team.
**Key Responsibilities** 
* Design, develop, test, and deploy secure software applications in a classified environment.
* Write clean, efficient, and maintainable code in
 **Java, Python, or related languages** 
 .
* Build and maintain
 **REST APIs** 
 ,
 **microservices** 
 , and backend systems.
* Support software enhancements, bug fixing, and feature development.
* Participate in Agile ceremonies including daily standups, sprint planning, and reviews.
* Troubleshoot and resolve production issues in coordination with system engineers and mission stakeholders.
* Document technical work clearly and in accordance with government standards.
* Collaborate with cross\-functional teams to integrate software components into secure systems.
* Ensure all work meets security, compliance, and quality requirements.
**Clearance Requirements** 
* Must possess an
 **active Top Secret** 
 clearance.
* TS/SCI strongly preferred.
**Required Skills \&amp; Experience** 
**Must‑Haves:** 
* Active
 **Top Secret** 
 clearance.
* 3\+ years of experience as a Software Engineer.
* Proficiency with
 **Java** 
 or
 **Python**
* Experience with
 **REST APIs** 
 ,
 **microservices** 
 , or backend systems.
* Familiarity with
 **Linux** 
 and
 **Git** 
 .
**Nice‑to‑Haves:** 
* Experience with
 **AWS GovCloud** 
 ,
 **Azure Gov** 
 , or other cloud environments.
* Front\-end experience with
 **React** 
 ,
 **Angular** 
 , or similar frameworks.
* Containerization tools such as
 **Docker** 
 or
 **Kubernetes** 
 .
* CI/CD experience (Jenkins, GitLab, Bamboo).
* Prior experience supporting DoD or Intelligence Community environments.
 Exact compensation may vary based on several factors, including skills, experience, and education.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
 NO THIRD PARTIES or C2C</t>
        </is>
      </c>
    </row>
    <row r="221">
      <c r="A221" t="inlineStr">
        <is>
          <t>li-3986116411</t>
        </is>
      </c>
      <c r="B221" t="inlineStr">
        <is>
          <t>Software Engineer</t>
        </is>
      </c>
      <c r="C221" t="inlineStr">
        <is>
          <t>Epic</t>
        </is>
      </c>
      <c r="D221" t="inlineStr">
        <is>
          <t>linkedin</t>
        </is>
      </c>
      <c r="E221">
        <f>HYPERLINK("https://www.linkedin.com/jobs/view/3986116411", "https://www.linkedin.com/jobs/view/3986116411")</f>
        <v/>
      </c>
      <c r="F221">
        <f>HYPERLINK("https://epic.avature.net/Careers/ApplyFlowCheck?folderId=740&amp;source=LinkedIn&amp;urlHash=fKwC", "https://epic.avature.net/Careers/ApplyFlowCheck?folderId=740&amp;source=LinkedIn&amp;urlHash=fKwC")</f>
        <v/>
      </c>
      <c r="G221" t="inlineStr">
        <is>
          <t>Austin, TX</t>
        </is>
      </c>
      <c r="H221" t="inlineStr"/>
      <c r="I221"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222">
      <c r="A222" t="inlineStr">
        <is>
          <t>li-4379933491</t>
        </is>
      </c>
      <c r="B222" t="inlineStr">
        <is>
          <t>Senior Software Engineer | $110/hr Max</t>
        </is>
      </c>
      <c r="C222" t="inlineStr">
        <is>
          <t>Mercor</t>
        </is>
      </c>
      <c r="D222" t="inlineStr">
        <is>
          <t>linkedin</t>
        </is>
      </c>
      <c r="E222">
        <f>HYPERLINK("https://www.linkedin.com/jobs/view/4379933491", "https://www.linkedin.com/jobs/view/4379933491")</f>
        <v/>
      </c>
      <c r="F222">
        <f>HYPERLINK("https://work.mercor.com/jobs/list_AAABnIvm6RDhDDF2pPdH4ZGq?utm_source=linkedin&amp;utm_medium=job_slot&amp;utm_campaign=auto&amp;utm_content=list_AAABnIvm6RDhDDF2pPdH4ZGq&amp;utm_term=senior-software-engineer-110hr-max-us-a00bb5&amp;urlHash=rmsq", "https://work.mercor.com/jobs/list_AAABnIvm6RDhDDF2pPdH4ZGq?utm_source=linkedin&amp;utm_medium=job_slot&amp;utm_campaign=auto&amp;utm_content=list_AAABnIvm6RDhDDF2pPdH4ZGq&amp;utm_term=senior-software-engineer-110hr-max-us-a00bb5&amp;urlHash=rmsq")</f>
        <v/>
      </c>
      <c r="G222" t="inlineStr"/>
      <c r="H222" t="inlineStr"/>
      <c r="I222"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**Type:** 
**Full\-time**
**Compensation:** 
**$80–$110/hour**
**Location:** 
**Remote**
**Role Responsibilities**
* Develop and enhance AI\-powered interviewing tools and automation systems to optimize the hiring infrastructure.
* Implement frontend experiences using React and related frameworks to create intuitive user interfaces for recruiters, interviewers, and candidates.
* Build and maintain backend services supporting interview scheduling, AI transcription/summarization, and automation workflows.
* Collaborate with AI/ML teams to integrate GPT\-4o and other AI technologies for interview feedback automation and quality improvements.
* Leverage AI\-powered development tools including Cursor, Claude Code, and Devmate to accelerate development velocity.
* Support autonomous scheduling improvements and candidate\-driven experiences that reduce manual coordinator interventions.
**Qualifications**
**Must\-Have**
* Bachelor's degree in Computer Science, Computer Engineering, relevant technical field, or equivalent practical experience.
* 4\+ years of software engineering experience with object\-oriented programming languages such as Java, C\+\+, or C\#.
* Experience with scripting languages including Python, PHP, or JavaScript.
* Proficiency with frontend frameworks such as React, Vue, or similar modern JavaScript frameworks.
* Strong problem\-solving skills and ability to work independently on complex technical challenges.
**Preferred**
* Experience working with AI\-powered development tools such as Cursor, Claude Code, Devmate, or similar AI coding assistants.
* Familiarity with GraphQL and modern API design patterns.
* Experience with React ecosystem including Relay for data fetching.
* Knowledge of AI/ML technologies and experience integrating language models (GPT\-4o, Claude, etc.) into production applications.
**Compensation \&amp; Legal**
* Hourly contractor
* Paid weekly via Stripe Connect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223">
      <c r="A223" t="inlineStr">
        <is>
          <t>li-4379909078</t>
        </is>
      </c>
      <c r="B223" t="inlineStr">
        <is>
          <t>Sr. Software Engineer | Up to $120/hr</t>
        </is>
      </c>
      <c r="C223" t="inlineStr">
        <is>
          <t>Mercor</t>
        </is>
      </c>
      <c r="D223" t="inlineStr">
        <is>
          <t>linkedin</t>
        </is>
      </c>
      <c r="E223">
        <f>HYPERLINK("https://www.linkedin.com/jobs/view/4379909078", "https://www.linkedin.com/jobs/view/4379909078")</f>
        <v/>
      </c>
      <c r="F223">
        <f>HYPERLINK("https://work.mercor.com/jobs/list_AAABnJxZFVfIEAN0_ZNOCrGk?utm_source=linkedin&amp;utm_medium=job_slot&amp;utm_campaign=auto&amp;utm_content=list_AAABnJxZFVfIEAN0_ZNOCrGk&amp;utm_term=sr-software-engineer-up-to-120hr-us-2d6f78&amp;urlHash=y3BJ", "https://work.mercor.com/jobs/list_AAABnJxZFVfIEAN0_ZNOCrGk?utm_source=linkedin&amp;utm_medium=job_slot&amp;utm_campaign=auto&amp;utm_content=list_AAABnJxZFVfIEAN0_ZNOCrGk&amp;utm_term=sr-software-engineer-up-to-120hr-us-2d6f78&amp;urlHash=y3BJ")</f>
        <v/>
      </c>
      <c r="G223" t="inlineStr"/>
      <c r="H223" t="inlineStr"/>
      <c r="I223"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**Type:** 
**Contract**
**Compensation:** 
**$80–$120/hour**
**Location:** 
**Remote**
**Role Responsibilities**
* Ship production features across backend and frontend.
* Design and implement a scalable integrations framework.
* Build real\-time analytics experiences.
* Architect an agentic tool\-use layer compatible with MCP\-style patterns.
* Set up strong engineering hygiene: testing, observability, and on\-call readiness for the pilot.
* Iterate quickly and pragmatically.
**Qualifications**
**Must\-Have**
* Strong, practical software engineering skills; ability to ship end\-to\-end and unblock yourself.
* Experience building SaaS products with APIs, data models, and production constraints.
* Deep comfort with integrations (OAuth2, webhooks, API pagination, rate limiting, sync semantics).
* "Vibe coding" mindset: effective use of AI tools (Copilot, ChatGPT, etc.) without sacrificing correctness.
* Familiarity with MCP\-style tool interfaces and/or building tool servers.
* Clear communicator who can explain tradeoffs and keep stakeholders aligned.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224">
      <c r="A224" t="inlineStr">
        <is>
          <t>li-4290207916</t>
        </is>
      </c>
      <c r="B224" t="inlineStr">
        <is>
          <t>Senior Backend Engineer - Alarms</t>
        </is>
      </c>
      <c r="C224" t="inlineStr">
        <is>
          <t>Verkada</t>
        </is>
      </c>
      <c r="D224" t="inlineStr">
        <is>
          <t>linkedin</t>
        </is>
      </c>
      <c r="E224">
        <f>HYPERLINK("https://www.linkedin.com/jobs/view/4290207916", "https://www.linkedin.com/jobs/view/4290207916")</f>
        <v/>
      </c>
      <c r="F224" t="inlineStr"/>
      <c r="G224" t="inlineStr">
        <is>
          <t>San Mateo, CA</t>
        </is>
      </c>
      <c r="H224" t="inlineStr"/>
      <c r="I224"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Team**
 As a member of the Alarms engineering team, you will be responsible for building compelling user experiences for one of Verkada’s major new product categories. This is an opportunity to take ownership over software products which keep our customers protected in times of critical need.
 You’ll be working alongside a small, dynamic team of frontend, backend and firmware engineers to develop these experiences. Our team operates as a startup within a startup, so you can expect a lot of autonomy and impact on the direction of the Alarms product category.
 If you are an experienced, Backend Engineer who is excited about building new ways to keep people safe and secure, then we want to hear from you.
**About The Role**
 Verkada’s Alarms team builds the intelligent systems that detect, verify, and respond to real\-world security threats—whether it's a break\-in or suspicious activity caught on video. We combine intrusion sensors, cameras, and AI to create a fast, reliable, and modern security experience.
 As a Senior Backend Engineer, you’ll play a key role in designing and scaling our AI\-driven detection and response workflows. These systems power automated threat identification, customer notifications, video verification, and emergency dispatch—all in real time. You’ll be joining a small, high\-impact team working across Verkada’s hardware and cloud platforms to keep people and property safe.
**What You'll Do**
* Design and build low\-latency, high\-availability backend services that orchestrate alarm detection and response
* Create flexible and extensible AI\-powered workflows for intrusion and video monitoring use cases
* Build distributed systems that integrate internal products and third\-party services (e.g., notifications, transcription, dispatch)
* Collaborate closely with product managers, designers, frontend, and firmware engineers to shape end\-to\-end customer experiences
* Operate with autonomy and take ownership of systems from design through production
* Champion best practices in testing, observability, and continuous deployment
**What You Bring**
* 5\+ years of backend engineering experience in a production environment
* Strong programming skills—Go preferred
* Solid grasp of distributed system design, API architecture, and event\-driven workflows
* Experience with cloud infrastructure, preferably AWS
* Background working with databases (e.g. Postgres) and scalable data systems (e.g. Kafka, Redis)
* Track record of delivering robust, maintainable software in fast\-paced teams
* Must be willing and able to work onsite five days per week
**Bonus Points**
* Familiarity with Temporal or other workflow engines
* Interest in building AI\-integrated, real\-time systems
* Experience with Kubernetes, monitoring tools, and performance optimization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$130,000—$280,000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225">
      <c r="A225" t="inlineStr">
        <is>
          <t>li-4379937689</t>
        </is>
      </c>
      <c r="B225" t="inlineStr">
        <is>
          <t>Full Stack Engineer (.NET Core/C#/Next.JS/Azure)</t>
        </is>
      </c>
      <c r="C225" t="inlineStr">
        <is>
          <t>Yoh, A Day &amp; Zimmermann Company</t>
        </is>
      </c>
      <c r="D225" t="inlineStr">
        <is>
          <t>linkedin</t>
        </is>
      </c>
      <c r="E225">
        <f>HYPERLINK("https://www.linkedin.com/jobs/view/4379937689", "https://www.linkedin.com/jobs/view/4379937689")</f>
        <v/>
      </c>
      <c r="F225" t="inlineStr"/>
      <c r="G225" t="inlineStr">
        <is>
          <t>Dallas, TX</t>
        </is>
      </c>
      <c r="H225" t="inlineStr"/>
      <c r="I225" t="inlineStr">
        <is>
          <t>**Full Stack Developer (.NET Core/C\#/Angular/React/Azure)
 Dallas, TX  (Hybrid 2\-3 days a week)
 6 month Contract to Hire**
 Work across both front\-end and back\-end.  80% back end / 20% front end 
 Design, develop, and maintain robust backend services using .NET Core/C\# and RESTful APIs.
 Build dynamic, responsive UI components using Next.js, Angular, or React with TypeScript/JavaScript.
 Integrate and optimize data storage solutions with Azure SQL and Cosmos DB.
 Implement cloud\-native solutions leveraging Microsoft Azure (App Services, Functions, Key Vault).
 Ensure performance, reliability, and security of both backend and frontend components.
 Collaborate with cross\-functional teams to deliver high\-quality software.
 Contribute to technical planning.
 Participate in Agile ceremonies and use tools like Jira/Confluence for project management.
 Implement and manage CI/CD pipelines, containerized deployments (Docker), and Infrastructure as Code (Terraform)
 Understanding of Azure resources like Azure Container Apps, APIM, blob storage, SQL, Key Vaults
 Develop GitHub Actions workflows for any code and Docker builds/deployments.
 Integrate code linting, security scanning, approvals, and environment gates into pipelines.
 Translate business and application requirements into cloud\-native and hybrid Azure solutions.
 Ensure deployments are secure, scalable, and compliant with enterprise policies.
 Collaboration \&amp; DevOps Practices
 Work cross\-functionally with developers, architects, operations, and security teams to deliver infrastructure aligned with application needs.
 Participate in Agile ceremonies (standups, sprint planning, retrospectives).
 Review code, mentor team members, and promote DevOps best practices.
 Maintain comprehensive technical documentation, including architecture diagrams, deployment guides, CI/CD pipeline workflows, operational runbooks, and disaster recovery procedures.
 Conduct internal knowledge\-sharing sessions and training.
 Azure Container Apps, Azure App Services (Web Apps, API Apps, Mobile Apps), Azure Functions (Serverless Compute), Azure SQL Database (Managed relational database), Azure Cosmos DB (NoSQL database for high scalability), Azure Storage (Blob, Table, Queue, File storage), Azure Key Vault (Secrets and key management), APIM, Azure Monitor \&amp; Application Insights (Monitoring and diagnostics), Azure DevOps (CI/CD pipelines, release management)
 **Requirements**
 Bachelor’s degree in computer science, Engineering, or related field.
 6\+ years in full stack development roles \- 10\+ yrs overall experience
 Proficient in .NET Core/C\#, ASP.NET Web API, Entity Framework, LINQ.
 Strong experience with Next.js, Angular, or React; TypeScript/JavaScript; HTML5/CSS3\.
 Hands\-on experience with Microsoft Azure (App Services, Functions, Storage, Key Vault, Azure DevOps), CI/CD, Docker.
 Experience with Azure SQL, Cosmos DB, PostgreSQL.
 Familiarity with unit/integration testing frameworks and API documentation tools (Swagger/OpenAPI).
 Experience with Visual Studio, VS Code, Git, Azure DevOps, Jira, GitHub Actions.
 Excellent communication, analytical thinking, and problem\-solving abilities.
**Estimated Min Rate** 
 : $65\.00
**Estimated Max Rate** 
 : $75\.00
**What’s In It for You?**
 We welcome you to be a part of the largest and legendary global staffing companies to meet your career aspirations. Yoh’s network of client companies has been employing professionals like you for over 65 years in the U.S., UK and Canada. Join Yoh’s extensive talent community that will provide you with access to Yoh’s vast network of opportunities and gain access to this exclusive opportunity available to you. Benefit eligibility is in accordance with applicable laws and client requirements. Benefits include:
* Medical, Prescription, Dental \&amp; Vision Benefits (for employees working 20\+ hours per week)
* Health Savings Account (HSA) (for employees working 20\+ hours per week)
* Life \&amp; Disability Insurance (for employees working 20\+ hours per week)
* MetLife Voluntary Benefits
* Employee Assistance Program (EAP)
* 401K Retirement Savings Plan
* Direct Deposit \&amp; weekly epayroll
* Referral Bonus Programs
* Certification and training opportunities
 Note: Any pay ranges displayed are estimations. Actual pay is determined by an applicant's experience, technical expertise, and other qualifications as listed in the job description. All qualified applicants are welcome to apply.
 Yoh, a Day \&amp; Zimmermann company, is an Equal Opportunity Employer. All qualified applicants will receive consideration for employment without regard to race, color, religion, sex, sexual orientation, gender identity, national origin, disability, or status as a protected veteran.
 Visit
 **https://www.yoh.com/applicants\-with\-disabilities** 
 to contact us if you are an individual with a disability and require accommodation in the application process.
 For California applicants, qualified applicants with arrest or conviction records will be considered for employment in accordance with the Los Angeles County Fair Chance Ordinance for Employers and the California Fair Chance Act. All of the material job duties described in this posting are job duties for which a criminal history may have a direct, adverse, and negative relationship potentially resulting in the withdrawal of a conditional offer of employment.
 It is unlawful in Massachusetts to require or administer a lie detector test as a condition of employment or continued employment. An employer who violates this law shall be subject to criminal penalties and civil liability.
 By applying and submitting your resume, you authorize Yoh to review and reformat your resume to meet Yoh’s hiring clients’ preferences. To learn more about Yoh’s privacy practices, please see our Candidate Privacy Notice: 
 **https://www.yoh.com/privacy\-notice**</t>
        </is>
      </c>
    </row>
    <row r="226">
      <c r="A226" t="inlineStr">
        <is>
          <t>li-4120824647</t>
        </is>
      </c>
      <c r="B226" t="inlineStr">
        <is>
          <t>Software Engineer, Systems ML - SW/HW Co-design</t>
        </is>
      </c>
      <c r="C226" t="inlineStr">
        <is>
          <t>Meta</t>
        </is>
      </c>
      <c r="D226" t="inlineStr">
        <is>
          <t>linkedin</t>
        </is>
      </c>
      <c r="E226">
        <f>HYPERLINK("https://www.linkedin.com/jobs/view/4120824647", "https://www.linkedin.com/jobs/view/4120824647")</f>
        <v/>
      </c>
      <c r="F226" t="inlineStr"/>
      <c r="G226" t="inlineStr">
        <is>
          <t>Sunnyvale, CA</t>
        </is>
      </c>
      <c r="H226" t="inlineStr"/>
      <c r="I226" t="inlineStr">
        <is>
          <t>Meta is seeking an AI Software Engineer to join our Research \&amp; Development teams. The ideal candidate will have industry experience working on AI Infrastructure related topics. The position will involve taking these skills and applying them to solve for some of the most crucial \&amp; exciting problems that exist on the web. We are hiring in multiple locations.
 Software Engineer, Systems ML \- SW/HW Co\-design Responsibilities:
* Apply relevant AI infrastructure and hardware acceleration techniques to build \&amp; optimize our intelligent ML systems that improve Meta’s products and experiences
* Goal setting related to project impact, AI system design, and infrastructure/developer efficiency
* Directly or influencing partners to deliver impact through deep, thorough data\-driven analysis
* Drive large efforts across multiple teams
* Define use cases, and develop methodology \&amp; benchmarks to evaluate different approaches
* Apply in depth knowledge of how the ML infra interacts with the other systems around it
* Mentor other engineers / research scientists \&amp; improve the quality of engineering work in the broader team
 Minimum Qualifications:
* Bachelor's degree in Computer Science, Computer Engineering, relevant technical field, or equivalent practical experience
* Specialized experience in one or more of the following machine learning/deep learning domains: Hardware accelerators architecture, GPU architecture, machine learning compilers, or ML systems, AI infrastructure, high performance computing, performance optimizations, or Machine learning frameworks (e.g. PyTorch), numerics and SW/HW co\-design
* Experience developing AI\-System infrastructure or AI algorithms in C/C\+\+ or Python
 Preferred Qualifications:
* Master/PhD degree in Computer Science, Computer Engineering
* Technical leadership experience
* Experience with distributed systems or on\-device algorithm development
* Experience with recommendation and ranking models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27">
      <c r="A227" t="inlineStr">
        <is>
          <t>li-3986117197</t>
        </is>
      </c>
      <c r="B227" t="inlineStr">
        <is>
          <t>Software Engineer</t>
        </is>
      </c>
      <c r="C227" t="inlineStr">
        <is>
          <t>Epic</t>
        </is>
      </c>
      <c r="D227" t="inlineStr">
        <is>
          <t>linkedin</t>
        </is>
      </c>
      <c r="E227">
        <f>HYPERLINK("https://www.linkedin.com/jobs/view/3986117197", "https://www.linkedin.com/jobs/view/3986117197")</f>
        <v/>
      </c>
      <c r="F227" t="inlineStr"/>
      <c r="G227" t="inlineStr">
        <is>
          <t>Ontario, CA</t>
        </is>
      </c>
      <c r="H227" t="inlineStr"/>
      <c r="I227"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228">
      <c r="A228" t="inlineStr">
        <is>
          <t>li-4378849430</t>
        </is>
      </c>
      <c r="B228" t="inlineStr">
        <is>
          <t>Entry Level Software Engineer</t>
        </is>
      </c>
      <c r="C228" t="inlineStr">
        <is>
          <t>Emonics LLC</t>
        </is>
      </c>
      <c r="D228" t="inlineStr">
        <is>
          <t>linkedin</t>
        </is>
      </c>
      <c r="E228">
        <f>HYPERLINK("https://www.linkedin.com/jobs/view/4378849430", "https://www.linkedin.com/jobs/view/4378849430")</f>
        <v/>
      </c>
      <c r="F228" t="inlineStr"/>
      <c r="G228" t="inlineStr">
        <is>
          <t>San Diego, CA</t>
        </is>
      </c>
      <c r="H228" t="inlineStr"/>
      <c r="I228" t="inlineStr">
        <is>
          <t>Job Overview:
 We are looking for an Entry Level Software Engineer to design, develop, and maintain scalable applications.
 Responsibilities:
 Write clean and efficient code
 Debug and troubleshoot software issues
 Participate in agile development cycles
 Collaborate with cross\-functional teams
 Requirements:
 Degree in Computer Science or related field
 Knowledge of Java, Python, or C\+\+
 Understanding of SDLC</t>
        </is>
      </c>
    </row>
    <row r="229">
      <c r="A229" t="inlineStr">
        <is>
          <t>li-4365586121</t>
        </is>
      </c>
      <c r="B229" t="inlineStr">
        <is>
          <t>Software Engineer III, Infrastructure, Google Cloud Storage</t>
        </is>
      </c>
      <c r="C229" t="inlineStr">
        <is>
          <t>Google</t>
        </is>
      </c>
      <c r="D229" t="inlineStr">
        <is>
          <t>linkedin</t>
        </is>
      </c>
      <c r="E229">
        <f>HYPERLINK("https://www.linkedin.com/jobs/view/4365586121", "https://www.linkedin.com/jobs/view/4365586121")</f>
        <v/>
      </c>
      <c r="F229">
        <f>HYPERLINK("https://careers.google.com/jobs/results/72401075679699654-software-engineer-iii/?src=Online/LinkedIn/linkedin_us&amp;utm_source=linkedin&amp;utm_medium=jobposting&amp;utm_campaign=contract&amp;urlHash=B4oF", "https://careers.google.com/jobs/results/72401075679699654-software-engineer-iii/?src=Online/LinkedIn/linkedin_us&amp;utm_source=linkedin&amp;utm_medium=jobposting&amp;utm_campaign=contract&amp;urlHash=B4oF")</f>
        <v/>
      </c>
      <c r="G229" t="inlineStr">
        <is>
          <t>Cambridge, MA</t>
        </is>
      </c>
      <c r="H229" t="inlineStr"/>
      <c r="I229" t="inlineStr">
        <is>
          <t>Note: By applying to this position you will have an opportunity to share your preferred working location from the following:
 **Sunnyvale, CA, USA; Cambridge, MA, USA** 
 .
 **Minimum qualifications:**
* Bachelor’s degree or equivalent practical experience.
* 2 years of experience programming in C\+\+, Python or Go.
* 2 years of experience with developing large \- scale infrastructure, storage, distributed systems or experience with compute technologies,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0">
      <c r="A230" t="inlineStr">
        <is>
          <t>li-4331347377</t>
        </is>
      </c>
      <c r="B230" t="inlineStr">
        <is>
          <t>Staff Backend Software Engineer</t>
        </is>
      </c>
      <c r="C230" t="inlineStr">
        <is>
          <t>Intuit</t>
        </is>
      </c>
      <c r="D230" t="inlineStr">
        <is>
          <t>linkedin</t>
        </is>
      </c>
      <c r="E230">
        <f>HYPERLINK("https://www.linkedin.com/jobs/view/4331347377", "https://www.linkedin.com/jobs/view/4331347377")</f>
        <v/>
      </c>
      <c r="F230" t="inlineStr"/>
      <c r="G230" t="inlineStr">
        <is>
          <t>Mountain View, CA</t>
        </is>
      </c>
      <c r="H230" t="inlineStr"/>
      <c r="I230" t="inlineStr">
        <is>
          <t>**Overview**
 We're cultivating a culture that prioritizes innovators, risk\-takers, and imaginative thinkers. In pursuit of becoming AI\-native, we recognize that fostering a "builder" mindset is essential. This means seeking out those who can seamlessly integrate AI and emerging technologies to efficiently and effectively solve our customers' problems.
 At Intuit, we hold a global leadership position in financial management solutions. We've been at the forefront of inventing Virtual Platforms and democratizing cloud computing for small businesses and their patrons alike. Our 40 years of expertise have rooted us in the startup mentality, positively disrupting ourselves as we constantly identify cutting\-edge technology and design paradigms. Our teams are dynamic, focused on delivering creative solutions with a side of fun.
**Responsibilities**
* Drive significant technology initiatives end\-to\-end and across multiple layers of architecture.
* Architect and develop scalable applications or systems.
* Drive the design and implementation of durable software solutions to solve critical customer problems that are scalable, secure, easy to maintain, and interact with numerous other systems.
* Provide recommendations and best practices for application development, platform development, and developer tools.
* Actively stay abreast of industry best practices, share learnings, and experiment and apply cutting edge technologies.
* Provide/inspire innovations that fuel the growth of Intuit as a whole and generate creative ideas for emerging business needs.
* Work with global, cross\-functional teams across time zones.
* Communicate clearly, succinctly, and persuasively to all levels of employees, customers, and management (including executives)
* Proactively identify opportunities to enhance software applications with AI technology
* Coach and mentor junior engineers on best practices of software engineering, leveraging AI to enhance applications, and building their technical expertise to ensure efficient and effective outcomes
* Launch AI integrations in production and evaluate their impact on software performance and user satisfaction, using appropriate metrics
 Pay offered is based on factors such as job\-related knowledge, skills, experience, and work location. To drive ongoing fair pay for employees, Intuit conducts regular comparisons across categories of ethnicity and gender.
**Qualifications**
* BS/MS in Computer Science or related area or equivalent experience.
* 7\+ years of total experience delivering enterprise\-class applications.
* Solid foundation in writing scalable application code following best practices of accessibility, internationalization, and instrumentation.
* Experience with cross\-browser, cross\-platform, and design constraints on the web and mobile.
* Solid knowledge of algorithms and design patterns.
* Proficiency in mid\-tier languages like Java.
* Experience with test automation: TDD, unit/integration/functional testing.
* Experience with Relational Database Design and Implementation.
* Interest in building CI/CD pipelines.
* Practical experience in developing applications using microservices, container technologies, container management systems such as Kubernetes, Mesos, etc.
* Strong experience with Databases design (SQL, NoSQL) and analytics.
* Prior working experience in utility computing and/or cloud computing domain.
* Experience building and deploying applications and services into cloud environments.
* Proficient in building or integrating functional AI models using techniques such as LLM prompting, AutoML modeling, etc
* Skilled in evaluating and monitoring the performance of AI technology in production and making necessary adjustments to ensure optimal application performance
* Possesses an in\-depth understanding of AI integration and can lead the integration process effectively, while coaching junior engineers on how to leverage AI
* Ability to work collaboratively with cross\-functional teams, including data scientists, product managers, and software engineers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California,CA: $197,000 \- 266,500</t>
        </is>
      </c>
    </row>
    <row r="231">
      <c r="A231" t="inlineStr">
        <is>
          <t>li-4378837456</t>
        </is>
      </c>
      <c r="B231" t="inlineStr">
        <is>
          <t>Embedded Software Engineer</t>
        </is>
      </c>
      <c r="C231" t="inlineStr">
        <is>
          <t>RevereIT LLC</t>
        </is>
      </c>
      <c r="D231" t="inlineStr">
        <is>
          <t>linkedin</t>
        </is>
      </c>
      <c r="E231">
        <f>HYPERLINK("https://www.linkedin.com/jobs/view/4378837456", "https://www.linkedin.com/jobs/view/4378837456")</f>
        <v/>
      </c>
      <c r="F231" t="inlineStr"/>
      <c r="G231" t="inlineStr">
        <is>
          <t>Urbandale, IA</t>
        </is>
      </c>
      <c r="H231" t="inlineStr"/>
      <c r="I231" t="inlineStr">
        <is>
          <t>**Job Overview** 
 We are seeking an experienced Embedded Systems Engineer to design, develop, and validate safety\-critical control software for off\-highway and agricultural machinery. The role focuses on steering, hydraulic, and ADAS\-related systems, using model\-based development and industry\-standard functional safety practices.
 This position involves close collaboration with systems, mechanical, and verification teams, and plays a key role in delivering reliable, production\-ready embedded control solutions.
**Key Responsibilities** 
 • Design and develop embedded control algorithms for steering, hydraulic, and actuation systems using MATLAB/Simulink and Embedded C.
 • Translate system\-level and customer requirements into detailed software specifications and implement them in model\-based architecture.
 • Develop and maintain ISO 26262\-compliant functional safety solutions, including fault monitoring, diagnostics, safe\-state handling, and degradation strategies.
 • Execute MIL, SIL, and HIL testing to validate functional behavior, safety mechanisms, and system robustness.
 • Integrate embedded controllers with CAN/J1939 communication networks, validating signals, diagnostics, and timing behavior.
 • Support system integration activities include controller bring\-up, wiring validation, sensor troubleshooting, and field testing.
 • Collaborate with mechanical, systems, and V\&amp;V teams to define motion requirements, tune control performance, and resolve cross\-disciplinary issues.
 • Ensure models comply with AUTOSAR guidelines and internal modeling standards for scalability and reuse.
 • Participate in design reviews, safety reviews, and release readiness activities, ensuring traceability and compliance.
 • Automate and maintain CI/CD pipelines (GitHub, Jenkins) for model builds, code generation, and regression testing.
 • Prepare and review technical documentation including software design descriptions, validation reports, and safety artifacts.
**Required Qualifications** 
 • Bachelor's or Master's degree in Electrical Engineering, Computer Engineering, or related field.
 • 8\+ years of experience in embedded systems or control software development (off\-highway, automotive, robotics, or industrial domains).
 • Strong hands\-on experience with MATLAB/Simulink and model\-based design.
 • Solid understanding of embedded control systems, real\-time behavior, and closed\-loop control.
 • Experience with CAN/J1939 protocols and networked embedded systems.
 • Proven experience with MIL/SIL/HIL testing methodologies.
 • Working knowledge of ISO 26262 functional safety concepts.
 • Proficiency in C/C\+\+ for embedded systems.
 • Experience using CANalyzer, CANape, or equivalent tools.
 • Familiarity with Git\-based version control and CI/CD pipelines.
**Additional Qualifications** 
 • Experience in steering or hydraulic control systems.
 • Exposure to ADAS or autonomous system functions.
 • AUTOSAR modeling or embedded software experience.
 • Experience supporting machine builds and field validation.
 • Background in safety documentation such as FMEA, fault trees, or safety traceability.
**Qualification:** 
 Degree in Electrical/Electronics Engineering
**External Skills And Expertise:** 
 Skills: Matlab, Simulink, Embedded C, C\+\+, Git, DevOps, CI/CD pipelines</t>
        </is>
      </c>
    </row>
    <row r="232">
      <c r="A232" t="inlineStr">
        <is>
          <t>li-4375635006</t>
        </is>
      </c>
      <c r="B232" t="inlineStr">
        <is>
          <t>Mid-Level .NET Software Engineer</t>
        </is>
      </c>
      <c r="C232" t="inlineStr">
        <is>
          <t>Stand8 Technology Consulting</t>
        </is>
      </c>
      <c r="D232" t="inlineStr">
        <is>
          <t>linkedin</t>
        </is>
      </c>
      <c r="E232">
        <f>HYPERLINK("https://www.linkedin.com/jobs/view/4375635006", "https://www.linkedin.com/jobs/view/4375635006")</f>
        <v/>
      </c>
      <c r="F232" t="inlineStr"/>
      <c r="G232" t="inlineStr"/>
      <c r="H232" t="inlineStr"/>
      <c r="I232" t="inlineStr">
        <is>
          <t>STAND 8 provides end to end IT solutions to enterprise partners across the United States and with offices in Los Angeles, New York, New Jersey, Atlanta, and more including internationally in Mexico and India
 We are seeking a Mid\-Level .NET Software Engineer to join our global Release Engineering team. In this role, you will work in a matrixed, collaborative environment, partnering closely with Delivery and Client Success teams. You'll be responsible for developing, testing, and maintaining client\-specific configurations and release packages for our cloud\-based profitability solutions.
 This is an excellent opportunity for a hands\-on engineer with strong .NET expertise, an interest in financial systems, and the ability to work effectively with international banking clients in a fully remote setting.
**Key Responsibilities** 
* Design, develop, test, and deploy client\-specific configurations and platform enhancements.
* Support new client onboarding as well as ongoing Business\-as\-Usual (BAU) updates.
* Maintain and improve release processes, ensuring consistency across multiple environments.
* Collaborate with cross\-functional teams\-Customer Success, Delivery, QA, Infrastructure, Project Management, and Support\-to meet release and delivery requirements.
* Contribute to core product development and Release Engineering initiatives.
* Participate in Agile ceremonies, maintain documentation, and drive continuous improvement.
**Required Qualifications** 
* 3\+ years of professional experience in .NET development.
* 1\+ year of experience with ASP.NET Core and Entity Framework Core.
* Proficiency in C\#, ASP.NET, and REST APIs.
* Strong understanding of RDBMS concepts and Microsoft SQL Server.
* Front\-end experience with HTML5, CSS3, and JavaScript.
* Familiarity with version control systems such as Git.
* Experience with modern JavaScript frameworks (e.g., Angular, React).
* Ability to manage complex release cycles across multiple environments.
* Excellent communication and collaboration skills across distributed teams.
**Preferred / Bonus Skills** 
* Experience with Azure Cloud and Azure DevOps.
* Familiarity with Agile methodologies, Jira, and Confluence.
* Exposure to operational tools such as Splunk, PagerDuty, or Zendesk.
* Experience in the banking or financial technology sector.
**Additional Details**
 The base salary range for this position is $95K \- $120K annually, depending on experience.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www.stand8\.io; and reach out today to explore opportunities to grow together!
 By applying to this position, your data will be processed in accordance with the STAND 8 Privacy Policy.</t>
        </is>
      </c>
    </row>
    <row r="233">
      <c r="A233" t="inlineStr">
        <is>
          <t>li-4323979287</t>
        </is>
      </c>
      <c r="B233" t="inlineStr">
        <is>
          <t>Software Engineer III(Full stack)</t>
        </is>
      </c>
      <c r="C233" t="inlineStr">
        <is>
          <t>Guidewire Software</t>
        </is>
      </c>
      <c r="D233" t="inlineStr">
        <is>
          <t>linkedin</t>
        </is>
      </c>
      <c r="E233">
        <f>HYPERLINK("https://www.linkedin.com/jobs/view/4323979287", "https://www.linkedin.com/jobs/view/4323979287")</f>
        <v/>
      </c>
      <c r="F233">
        <f>HYPERLINK("https://guidewire.wd5.myworkdayjobs.com/external/job/United-States\u002d\u002d-San-Mateo-CA/Software-Engineer-III-Full-stack-_JR_13855?source=LinkedIn&amp;urlHash=biym", "https://guidewire.wd5.myworkdayjobs.com/external/job/United-States\u002d\u002d-San-Mateo-CA/Software-Engineer-III-Full-stack-_JR_13855?source=LinkedIn&amp;urlHash=biym")</f>
        <v/>
      </c>
      <c r="G233" t="inlineStr">
        <is>
          <t>San Mateo, CA</t>
        </is>
      </c>
      <c r="H233" t="inlineStr"/>
      <c r="I233" t="inlineStr">
        <is>
          <t>**Summary**
 The Guidewire Claims team is reimagining and creating new claims experiences for insurance providers and millions of people who are submitting insurance claims with our customers. We are building scalable cloud services and web applications that enable our customers to process a multitude of claims simultaneously, gain insights into their business performance, and deliver the best experience to their customers.
**Job Description**
**Successful software engineers at Guidewire typically have:**
* A desire to work collaboratively in an empowered, small, cross\-functional team
* Experience working in an agile and fast paced development environment (e.g. TDD, BDD, Agile, pair programming, etc.)
* A passion for code quality demonstrated by thorough testing
* A desire to be hands\-on in designing and writing code
* Curiosity and internal motivation to constantly improve
* Ability to learn quickly in a dynamic environment
* Excellent communication skills, comfort level to speak their mind and defend ideas based on merit, yet humility and hunger to learn from others
* At Guidewire, we foster a culture of curiosity, innovation, and responsible use of AI—empowering our teams to continuously leverage emerging technologies and data\-driven insights to enhance productivity and outcomes.
**Key Qualifications Include Experience With**
* 5\+ years of Full\-Stack Software Development experience
* Proficiency in Core Java and good working knowledge of JavaScript / TypeScript/ HTML5 / CSS.
* Experience with a market leading client\-side framework \- React is required.
* Strong understanding of Continuous Delivery, Continuous Integration, Unit/Integration Testing
* Object\-Oriented Design using SOLID and Hexagonal design principles
* Experience building secure software and knowledge of web security best\-practices
* Significant experience working with Open Source frameworks (e.g. Spring, Hibernate, jBPM, others)
* Understanding of relational database persistence (e.g. MySQL, Oracle). Familiarity with NoSQL databases (e.g. MongoDB, CouchDB) is a plus
* Excellent understanding of Agile development principles
* Experience designing REST or gRPC based APIs
* Experience building microservices on cloud service platforms (e.g. AWS/GCP/Azure)
* Technical design and leadership of features from inception to release
* Technical leadership experience in mentoring less experienced engineers
* Maintaining and promoting a healthy codebase and ensuring high quality of products
* BS/MS degree (Computer Science or related field)
* Demonstrated ability to embrace AI and apply it to your role as well as use data\-driven insights to drive innovation, productivity, and continuous improvement.
 The US base salary range for this full\-time position is $124,000 \- $186,000 . Your base pay will depend on your experience, skills, education, training, and location among other factors. All full\-time positions or part\-time roles working 30 hours or more a week at Guidewire are eligible for benefits that support their health and well\-being including health, dental, and vision insurance, paid time off, and a company sponsored retirement plan. In addition, some roles may be eligible for the annual company bonus plan, commissions, and/or long term incentive awards which are contingent on a variety of factors including, but not limited to, company and employee performance.
 Disability Accommodations and Guidewire’s Appeals Process. Guidewire provides accommodations to the hiring process to create a fair opportunity for candidates with disabilities to contend for open positions. Accommodation requests should be directed to Accommodations@guidewire.com. If things do not go as hoped, we invite you to use our appeals process. Guidewire promises to independently review any denied accommodation and any decision not to offer you the position. The appeals process is the same in either case. Within five business days of receiving a notice of denial of an accommodation, or receiving a notice of your non\-selection for a vacancy, e\-mail Accommodations@guidewire.com to make an appeal. Guidewire will assign a new decision\-maker to review the request and/or hiring decision, who will then notify you in writing of a decision within 10 business days.
**About Guidewire**
 Guidewire is the platform P\&amp;C insurers trust to engage, innovate, and grow efficiently. We combine digital, core, analytics, and AI to deliver our platform as a cloud service. More than 540\+ insurers in 40 countries, from new ventures to the largest and most complex in the world, run on Guidewire.
 As a partner to our customers, we continually evolve to enable their success. We are proud of our unparalleled implementation track record with 1600\+ successful projects, supported by the largest R\&amp;D team and partner ecosystem in the industry. Our Marketplace provides hundreds of applications that accelerate integration, localization, and innovation.
 For more information, please visit www.guidewire.com and follow us on Twitter: @Guidewire\_PandC.
 Guidewire Software, Inc. is proud to be an equal opportunity and affirmative action employer. We are committed to an inclusive workplace, and believe that a diversity of perspectives, abilities, and cultures is a key to our success. Qualified applicants will receive consideration without regard to race, color, ancestry, religion, sex, national origin, citizenship, marital status, age, sexual orientation, gender identity, gender expression, veteran status, or disability. All offers are contingent upon passing a criminal history and other background checks where it's applicable to the position.</t>
        </is>
      </c>
    </row>
    <row r="234">
      <c r="A234" t="inlineStr">
        <is>
          <t>li-4253101366</t>
        </is>
      </c>
      <c r="B234" t="inlineStr">
        <is>
          <t>Senior Software Engineer, Infrastructure</t>
        </is>
      </c>
      <c r="C234" t="inlineStr">
        <is>
          <t>Sift</t>
        </is>
      </c>
      <c r="D234" t="inlineStr">
        <is>
          <t>linkedin</t>
        </is>
      </c>
      <c r="E234">
        <f>HYPERLINK("https://www.linkedin.com/jobs/view/4253101366", "https://www.linkedin.com/jobs/view/4253101366")</f>
        <v/>
      </c>
      <c r="F234">
        <f>HYPERLINK("https://jobs.ashbyhq.com/siftstack/a54c0f15-d17f-4db8-9ed5-b21d421f2bd2?src=LinkedIn&amp;urlHash=hNwl", "https://jobs.ashbyhq.com/siftstack/a54c0f15-d17f-4db8-9ed5-b21d421f2bd2?src=LinkedIn&amp;urlHash=hNwl")</f>
        <v/>
      </c>
      <c r="G234" t="inlineStr">
        <is>
          <t>San Francisco, CA</t>
        </is>
      </c>
      <c r="H234" t="inlineStr"/>
      <c r="I234" t="inlineStr">
        <is>
          <t>At Sift, we’re redefining how modern machines are built, tested, and operated. Our platform gives engineers real\-time observability over high\-frequency telemetry—eliminating bottlenecks and enabling faster, more reliable development.
 Sift was born from our work at SpaceX on Dragon, Falcon, Starlink, and Starship—where scaling telemetry, debugging flight systems, and ensuring mission reliability demanded new infrastructure. Founded by a team from SpaceX, Google, and Palantir, Sift is built for mission\-critical systems where precision and scalability are non\-negotiable.
 As an early engineer at Sift, you won’t just write code—you’ll help define the architecture, shape the product, and influence the culture of a company focused on solving real engineering problems. If you’re looking for complex technical challenges and the opportunity to build foundational systems supporting complex machines from the ground up, we want to hear from you.
**In This Role, You'll**
* Design, build, and maintain scalable, resilient infrastructure solutions to support our growing platform and customer base.
* Collaborate with software engineers to optimize application performance and reliability.
* Implement monitoring, alerting, and logging systems to ensure proactive identification and resolution of issues.
* Automate deployment processes and streamline infrastructure management using modern DevOps tools and methodologies.
* Evolve our backend architecture/infrastructure for both cloud and on\-premise deployments.
* Work with the team to set and prioritize our roadmap to maximize customer impact.
* Lead initiatives to improve infrastructure reliability, performance, and cost efficiency.
**The Skillset You'll Bring**
* 8\+ years of relevant distributed systems experience focusing on designing and managing cloud\-based environments (e.g., AWS, Azure, GCP).
* Hands\-on experience with containerization technologies (e.g., Docker, Kubernetes) and container orchestration platforms.
* Passion for building and operating developer productivity tools, frameworks, and other aspects of platform engineering.
* Familiarity with CI/CD pipelines and version control systems.
* Knowledge of automated testing best practices and frameworks, ensuring software reliability through integration, performance, and end\-to\-end testing in distributed systems.
* You're excited by the ambiguity and high\-ownership culture of early\-stage startups.
* You are pragmatic, solution\-oriented, and scrappy.
* You enjoy working collaboratively with a broad range of job functions and roles.
* Experience with our tech stack: Go, Java, React, TypeScript, Kafka/Redpanda, Flink, AWS, Azure, GCP, Docker, Kubernetes, and Terraform/CDK
+ Or equivalent distributed systems
* Good knowledge of cloud, on\-prem, networking, and service architecture in multi\-region multi\-cloud setups.
**Engineering At Sift**
 You'll have the opportunity to help evolve and scale our platform because we're still in the early stages of building the product. Relevant technologies include:
* Web frontend \&amp; backend: ECharts, Go, gRPC, PostgreSQL, Protobuf, Radix, React, Redux, and TypeScript
* Data: Arrow, DataFusion, Flink, Parquet, and Rust
* Infrastructure: Argo CD, AWS, Docker, GitHub Actions, Grafana, Kubernetes, Kustomize, Linux, Prometheus, and Terragrunt
**Location:**
 Sift’s headquarters is in
 **El Segundo, CA** 
 . We collaborate
 **in person** 
 twice a week—on
 **Mondays and Thursdays** 
 —and come together for a full week every two months. While we prefer team members to be local, we’re open to
 **relocating candidates to LA** 
 or considering
 **remote work from the San Francisco** 
 area for the right candidate.
 Salary range: $170,000 \- $220,000 per year. Plus equity and benefits.
**Eligibility**
**U.S. Person Required** 
 : Must be a U.S. citizen, lawful permanent resident, or protected individual such as an asylee or refugee in compliance with ITAR (International Traffic in Arms Regulations) / EAR (Export Administration Regulations) regulations.</t>
        </is>
      </c>
    </row>
    <row r="235">
      <c r="A235" t="inlineStr">
        <is>
          <t>li-4336177154</t>
        </is>
      </c>
      <c r="B235" t="inlineStr">
        <is>
          <t>Senior Software Engineer, Backend Full Stack - HR Product</t>
        </is>
      </c>
      <c r="C235" t="inlineStr">
        <is>
          <t>Rippling</t>
        </is>
      </c>
      <c r="D235" t="inlineStr">
        <is>
          <t>linkedin</t>
        </is>
      </c>
      <c r="E235">
        <f>HYPERLINK("https://www.linkedin.com/jobs/view/4336177154", "https://www.linkedin.com/jobs/view/4336177154")</f>
        <v/>
      </c>
      <c r="F235" t="inlineStr"/>
      <c r="G235" t="inlineStr">
        <is>
          <t>New York, NY</t>
        </is>
      </c>
      <c r="H235" t="inlineStr"/>
      <c r="I235"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HR Product Team**
 The HR Product Engineering team is the foundational layer of Rippling's unified workforce management system. Our mission is to build seamless, global, and compliant systems that power the entire employee lifecycle, from hire to retire.
 We operate at the critical intersection of HR, compliance, and enterprise software. Our products manage the most sensitive and essential aspects of a company's relationship with its people, requiring us to solve complex problems related to scale, data security, and multi\-product integration.
**What We Build**
 The team is composed of high\-impact squads focused on four core domains:
* HRIS (Human Resources Information System): Building the core employee record, organizational structure, and workflows that serve as the single source of truth for all other Rippling products.
* Time: Developing accurate, scalable, and globally compliant Time \&amp; Attendance systems, including clocking, time\-off accrual, and scheduling, ensuring employees are paid correctly and legally.
* Benefits: Creating and maintaining the marketplace and administration tools for health, retirement, and other employee benefits, handling complex enrollment, eligibility, and provider integrations.
* Talent: Designing products that manage employee growth, performance, and learning, helping companies develop and retain their workforce effectively.
**What You Will Do**
* Develop and improve both product backend capabilities and user\-facing features, working across the stack to make them shine
* Collaborate closely with PMs and designers to translate complex product requirements and visual designs into responsive, high\-quality code.
* Move quickly and confidently, making smart decisions to fill in the gaps where product details aren’t fully defined—always learning from user feedback.
* Play an active role in building a culture of excellence within our product and engineering teams.
**What You Will Need**
* 5\+ years of experience in a production environment using Python, Django, or related technologies.
* Familiarity in frontend development with React or typescript.
* Exposure and hands on experience with systems operating at a significant technical and organizational scale
* Strong product intuition: you care about design and user experience and are quick to identify how these could be improved.
* Experience shipping complex projects
* Deep understanding of CS/algorithms fundamentals
* Strong communication skills with a variety of stakeholders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159,000 \- 278,250 USD per year(US Tier 1\)</t>
        </is>
      </c>
    </row>
    <row r="236">
      <c r="A236" t="inlineStr">
        <is>
          <t>li-4377744776</t>
        </is>
      </c>
      <c r="B236" t="inlineStr">
        <is>
          <t>Senior Java Software Engineer</t>
        </is>
      </c>
      <c r="C236" t="inlineStr">
        <is>
          <t>Blankfactor</t>
        </is>
      </c>
      <c r="D236" t="inlineStr">
        <is>
          <t>linkedin</t>
        </is>
      </c>
      <c r="E236">
        <f>HYPERLINK("https://www.linkedin.com/jobs/view/4377744776", "https://www.linkedin.com/jobs/view/4377744776")</f>
        <v/>
      </c>
      <c r="F236" t="inlineStr"/>
      <c r="G236" t="inlineStr">
        <is>
          <t>Phoenix, AZ</t>
        </is>
      </c>
      <c r="H236" t="inlineStr"/>
      <c r="I236" t="inlineStr">
        <is>
          <t>This position is a
 **hybrid role** 
 based in
 **Chandler, AZ** 
 , as a full time position supporting the financial services/payments space. Please apply only if you have experience with a valid work authorization. Unfortunately we cannot work via C2C or C2H, this is W2\.
**About Blankfactor** 
 At Blankfactor, we are dedicated to engineering impact. We build high\-quality tech solutions for companies looking to innovate and grow—especially in fast\-moving industries like payments, banking, capital markets, and life sciences.
**About the Role** 
 We are seeking a high\-caliber Java Platform Engineer to build the “Golden Path”, a standardized, secure developer platform that enables the seamless deployment of Finacle\-based Wire Transfer microservices across AWS EKS and On\-Prem Red Hat OpenShift. You will be writing business logic and building the SDKs, scaffolding, and integration frameworks that abstract infrastructure complexities for the entire development organization.
**Core Responsibilities** 
* Strategy for re\-architecting legacy wire systems into Java microservices using Spring Boot scaffolds.
* Java SDK Development Design and maintain the internal Java SDK/Framework used by all Wire Transfer pods. This includes:
* Building custom Spring Boot Starters for Kafka Wrappers, Configurations \&amp; Secret Adapters (AWS Secrets Manager and OpenShift Vault)
* Kafka Wrappers: Abstracting complex retry/idempotency logic and correlation ID propagation for wire tracking.
* Config \&amp; Secret Adapters: Standardizing how Java apps consume secrets across AWS Secrets Manager and OpenShift Vault.
* Observability: Auto\-configuring OpenTelemetry and structured logging for Splunk.
* Build and maintain environment\-agnostic code. Ensure services behave identically on OpenShift on\-prem and EKS in AWS.
* Create and maintain the Java Repo Scaffold. Ensure that when a new microservice is generated, it includes the correct Maven/Gradle structure, Parent POMs, and unit test harnesses by default.
* Build and maintain the "Gold Standard" reference microservice that serves as the blueprint for the entire program.
* Own the "Java\-side" of the security gate. Ensure the code passes SAST/SCA scans by maintaining clean dependencies and addressing vulnerability findings in the base framework.
* Work with DevOps to define the Helm Overlays from a Java perspective. Ensure the application handles "Environment\-Agnostic" properties so it can boot up on OpenShift or EKS without code changes.
**Required Technical Skills:** 
* Expert\-level Java 17\+ and Spring Boot. You should be comfortable writing custom Spring Boot Starters and Auto\-configurations.
* Professional enterprise experience with containerized infrastructure. AWS AKS and Red Hat OpenShift.
* Experience with JVM optimization for container resource limits and handling Kubernetes liveness/readiness probes in Java.
* Proficiency with Apache Kafka for event\-driven wire processing, Redis for stateful caching and Relational Databases (Oracle/Postgres).
* Experience with Saga Patterns (orchestration\-based), idempotency, and the Transactional Outbox pattern.
* Familiarity with OpenTelemetry and log aggregation in Splunk.
* Ability to consume and contribute to Terraform modules and Helm charts with Kustomize overlays.
* Proficiency with Maven/Gradle, Arifactory, Springboot, JUnit/TestContainers, and GitHub Actions.
* Extensive experience with securing Java applications to modern security standards in a regulated environment (mTLS, secret management, etc)
**Preferred Experience** 
* Direct experience with Finacle 11\.x core banking components Finacle Integrator (FI).
* Knowledge of ISO 20022 or SWIFT MT message formats for wire transfers.
* Extensive experience in a regulated, financial environment
* Experience navigating finance sector internal governance processes (AIT, PTO, SbD and CADA).
* Collaborate with architects, engineers, business analysts, and quality assurance teams to ensure the new services meet business requirements and technical standards.
* Write comprehensive unit, integration, and performance tests to guarantee the reliability and scalability of the services.
* Participate actively in agile development processes, including sprint planning, retrospectives, and code reviews.
* Proactively troubleshoot and optimize performance bottlenecks and complex technical issues.
* Mentor junior developers and contribute to technical documentation and training materials.
**Skills and Competencies:** 
* Mastery of Springboot custom Starters, Auto\-configurations, and the Spring lifecycle.
* Experience with Distributed Systems Patterns, such as Saga Patterns (Orchestration\-based), Idempotency, and the Transactional Outbox pattern.
* Mandatory experience with AWS EKS and Red Hat OpenShift. Must understand JVM tuning for cgroups/container limits.
* Deep understanding of modern microservices architectures, RESTful API design, and event\-driven systems (e.g., Kafka, Redis).
* Experience with TestContainers for local integration testing of Kafka/DB flows.
* Strong proficiency in best practices for software development, including test\-driven development (TDD), behavior\-driven development (BDD), continuous integration/delivery (CI/CD), and SOLID principles.
* Experienced with relational and non\-relational databases (Oracle, PostgreSQL, MongoDB).
* Competent in performance optimization and application monitoring tools.
* Comprehensive knowledge of secure coding practices and principles related to authentication, authorization, and data encryption.
* Excellent analytical, problem\-solving, and debugging abilities.
* Exceptional communication skills, able to articulate technical concepts clearly to both technical and non\-technical stakeholders.
* Proven effectiveness in agile and collaborative team environments, adapting well to evolving project priorities.
**Qualifications:** 
* Bachelor’s degree in Computer Science, Engineering, or related technical field, or equivalent practical experience.
* 8\+ years of professional Java software development experience, ideally using Java 11 or newer.
* Proven experience migrating legacy monolithic systems into modern microservices\-based architectures.
* Highly visible Production experience with containerization (Docker) and orchestration technologies (Kubernetes).
* Experience deploying applications both on\-premises (OpenShift) and to AWS Cloud environments
* Familiarity with proprietary language transpilers or code interpreters and the processes for translating such code to Java is advantageous.
* Previous experience in banking or financial services domains is a significant plus.</t>
        </is>
      </c>
    </row>
    <row r="237">
      <c r="A237" t="inlineStr">
        <is>
          <t>li-4205916825</t>
        </is>
      </c>
      <c r="B237" t="inlineStr">
        <is>
          <t>Staff Embedded Software Engineer</t>
        </is>
      </c>
      <c r="C237" t="inlineStr">
        <is>
          <t>Figure</t>
        </is>
      </c>
      <c r="D237" t="inlineStr">
        <is>
          <t>linkedin</t>
        </is>
      </c>
      <c r="E237">
        <f>HYPERLINK("https://www.linkedin.com/jobs/view/4205916825", "https://www.linkedin.com/jobs/view/4205916825")</f>
        <v/>
      </c>
      <c r="F237">
        <f>HYPERLINK("https://job-boards.greenhouse.io/figureai/jobs/4006360006?source=LinkedIn&amp;urlHash=fTrp", "https://job-boards.greenhouse.io/figureai/jobs/4006360006?source=LinkedIn&amp;urlHash=fTrp")</f>
        <v/>
      </c>
      <c r="G237" t="inlineStr">
        <is>
          <t>San Jose, CA</t>
        </is>
      </c>
      <c r="H237" t="inlineStr"/>
      <c r="I237" t="inlineStr">
        <is>
          <t>Figure is an AI Robotics company developing a general purpose humanoid. Our humanoid robot, Figure 02, is designed for commercial tasks and the home. We are based in San Jose, CA and require 5 days/week in\-office collaboration. It’s time to build.
 We are looking for an Embedded Software Engineer to design, implement and test key aspects of our Humanoid software.
**Responsibilities**
* Architect, design, implement and test embedded software in C\+\+ running on the Humanoid compute platform
* Develop Python tools to support data management, test automation or robot calibration
* Continuously improve our development environment
* Contribute to the development of our Continuous Integration and Continuous Deployment (CI/CD) infrastructure
* Support hardware/software integration in the lab
**Requirements**
* 10\+ years of software engineering experience
* Bachelor's or Master's degree in Computer Science or related field
* Mastery of C\+\+, Python and Linux
* Linux Kernel Experience
* Experience implementing real\-time software
* Good knowledge of computer architecture
* Deep understanding of communication buses and protocols like Ethernet, Ethercat, Serial, CAN or USB
* Comfortable using lab instruments (Oscilloscopes, logic analyzers…) and debugging tools (Lauterbach…).
**Bonus Qualifications**
* Experience with the Bazel build system
* Experience with Docker containers
* Experience implementing CI/CD infrastructures
* Familiar with Agile and Test driven development
* Yocto experience
 The US base salary range for this full\-time position is between $225,000 \- $300,000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t>
        </is>
      </c>
    </row>
    <row r="238">
      <c r="A238" t="inlineStr">
        <is>
          <t>li-4376812675</t>
        </is>
      </c>
      <c r="B238" t="inlineStr">
        <is>
          <t>Senior Backend Engineer</t>
        </is>
      </c>
      <c r="C238" t="inlineStr">
        <is>
          <t>MeeruAI</t>
        </is>
      </c>
      <c r="D238" t="inlineStr">
        <is>
          <t>linkedin</t>
        </is>
      </c>
      <c r="E238">
        <f>HYPERLINK("https://www.linkedin.com/jobs/view/4376812675", "https://www.linkedin.com/jobs/view/4376812675")</f>
        <v/>
      </c>
      <c r="F238" t="inlineStr"/>
      <c r="G238" t="inlineStr">
        <is>
          <t>Pleasanton, CA</t>
        </is>
      </c>
      <c r="H238" t="inlineStr"/>
      <c r="I238" t="inlineStr">
        <is>
          <t>**We are hiring: Senior Backend Engineer** 
**MeeruAI \| Pleasanton, California** 
**Full\-Time \| Hybrid (3 days onsite per week)** 
**About MeeruAI** 
**MeeruAI** 
 is an AI\-first enterprise SaaS company building intelligent platforms that help organizations automate workflows, unify data, and deliver real\-time insights with enterprise\-grade reliability and security.
 MeeruAI combines
 **startup speed with proven enterprise execution** 
 , enabling us to build scalable, production\-ready AI systems for modern businesses.
**About the Role** 
 We are seeking a
 **Senior Backend Engineer** 
 to design, build, and scale enterprise\-grade B2B SaaS platforms. This is a senior individual contributor role for an engineer who owns backend architecture end to end and enjoys working on complex, distributed systems that power high\-scale products.
 You will lead development across APIs, microservices, and data pipelines, partner closely with product, frontend, analytics, and security teams, and apply AI\-assisted engineering workflows to accelerate delivery while maintaining high quality, performance, and reliability.
**What You will Do** 
* Architect, build, and scale backend services and APIs
* Design and operate distributed, cloud\-native systems for enterprise SaaS platforms
* Lead complex refactors, code reviews, and backend architecture decisions
* Build services supporting LLMs, RAG pipelines, vector databases, and AI agent workflows
* Develop data pipelines and backend integrations across SQL and NoSQL systems
* Leverage AI\-assisted tools for development and testing
* Prototype ideas through spike\-first experimentation before full implementation
* Define SLIs/SLOs, improve observability, and ensure system reliability and performance
* Produce high\-quality technical documentation and design specifications
* Collaborate cross\-functionally with Product, Frontend, Analytics, and Security teams
**Required Qualifications** 
* 10\+ years of software engineering experience, primarily focused on backend systems
* Hands\-on Python development building scalable, production\-grade services
* Strong experience with Python frameworks (FastAPI, Flask, Django)
* Deep understanding of distributed systems, APIs, and data modeling
* Experience with SQL and NoSQL databases and data pipelines
* Hands\-on experience with cloud platforms (AWS, GCP, or Azure)
* Familiarity with microservices, containerization, Kubernetes, CI/CD, and observability tools
* Proven ability to deliver complex backend systems in fast\-paced or high\-growth environments
* Experience using AI\-assisted developer tools in daily engineering workflows
**Work Location** 
**Hybrid – Pleasanton, CA** 
 This role requires
 **on\-site presence at least three (3\) days per week** 
 in our Pleasanton office.
**Please apply only if you are currently local to the Pleasanton area.** 
**Relocation assistance is not available for this role.**</t>
        </is>
      </c>
    </row>
    <row r="239">
      <c r="A239" t="inlineStr">
        <is>
          <t>li-4379932078</t>
        </is>
      </c>
      <c r="B239" t="inlineStr">
        <is>
          <t>Software Engineer</t>
        </is>
      </c>
      <c r="C239" t="inlineStr">
        <is>
          <t>ComTec Solutions</t>
        </is>
      </c>
      <c r="D239" t="inlineStr">
        <is>
          <t>linkedin</t>
        </is>
      </c>
      <c r="E239">
        <f>HYPERLINK("https://www.linkedin.com/jobs/view/4379932078", "https://www.linkedin.com/jobs/view/4379932078")</f>
        <v/>
      </c>
      <c r="F239" t="inlineStr"/>
      <c r="G239" t="inlineStr">
        <is>
          <t>Richardson, TX</t>
        </is>
      </c>
      <c r="H239" t="inlineStr"/>
      <c r="I239" t="inlineStr">
        <is>
          <t>**SOFTWARE ENGINEER** 
**Richardson, TX** 
**Description** 
 Department: Enterprise Systems Group
 Billable Hours Goal: 80% of worked hours
 Position Type: Full Time
 Travel Required: Minimal as needed
**JOB SUMMARY:** 
 Provide development and customization of Epicor ERP Application. Translate software requirements into workable programming code and maintain and develop programs for use in business. Adhere to ComTec's 4 values: Passionate about the customer, Dedicated to the employee, Do the right thing, Fire in the belly.
**REPORTS TO:** 
 Manager, Enterprise Systems Group
**DIRECT REPORTS:** 
 None
**ESSENTIAL FUNCTIONS:** 
* Utilize ERP and SDK tool set in conjunction with programming knowledge to provide customized solutions both within and external to the application
* Develop and test Customizations, BPM’s, Crystal Reports, SSRS Reports and Queries with attention to detail and accuracy
* Document all modifications to client software according to company policy
* Manage assigned ticket and task queue to meet deadlines and other milestones
* Provide classroom training to end users on Microsoft SSRS, Crystal Reports, and other Epicor technical tools
**ADDITIONAL RESPONSIBILITIES:** 
* Troubleshoot, identify and evaluate alternative solutions to a problem
* Maintain daily timesheet and expense report entries and submit them accurately and timely
* Other duties as required
**Compensation details:** 
 90000\-117000 Yearly Salary</t>
        </is>
      </c>
    </row>
    <row r="240">
      <c r="A240" t="inlineStr">
        <is>
          <t>li-4365577375</t>
        </is>
      </c>
      <c r="B240" t="inlineStr">
        <is>
          <t>Staff Software Engineer, Front End, Google Cloud</t>
        </is>
      </c>
      <c r="C240" t="inlineStr">
        <is>
          <t>Google</t>
        </is>
      </c>
      <c r="D240" t="inlineStr">
        <is>
          <t>linkedin</t>
        </is>
      </c>
      <c r="E240">
        <f>HYPERLINK("https://www.linkedin.com/jobs/view/4365577375", "https://www.linkedin.com/jobs/view/4365577375")</f>
        <v/>
      </c>
      <c r="F240" t="inlineStr"/>
      <c r="G240" t="inlineStr">
        <is>
          <t>Sunnyvale, CA</t>
        </is>
      </c>
      <c r="H240" t="inlineStr"/>
      <c r="I240"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**San Francisco, CA, USA; Sunnyvale, CA, USA; Kirkland, WA, USA; Seattle, WA, USA** 
 .
 **Minimum qualifications:**
* Bachelor's degree or equivalent practical experience.
* 8 years of experience in software development.
* 5 years of experience testing, and launching software products.
* 5 years of experience with front\-end and user interface development.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or cross\-business projects.
* Experience with front\-end development and JavaScript/HTML5/CSS, including AngularJS.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1">
      <c r="A241" t="inlineStr">
        <is>
          <t>li-4378801942</t>
        </is>
      </c>
      <c r="B241" t="inlineStr">
        <is>
          <t>UI Software Engineer III</t>
        </is>
      </c>
      <c r="C241" t="inlineStr">
        <is>
          <t>RemoteHunter</t>
        </is>
      </c>
      <c r="D241" t="inlineStr">
        <is>
          <t>linkedin</t>
        </is>
      </c>
      <c r="E241">
        <f>HYPERLINK("https://www.linkedin.com/jobs/view/4378801942", "https://www.linkedin.com/jobs/view/4378801942")</f>
        <v/>
      </c>
      <c r="F241" t="inlineStr"/>
      <c r="G241" t="inlineStr"/>
      <c r="H241" t="inlineStr"/>
      <c r="I241" t="inlineStr">
        <is>
          <t>About the Opportunity:
 The organization delivers revenue cycle and related business solutions for healthcare professionals aiming to build healthy, thriving organizations. It provides powerful tools, actionable insights, and expansive network reach that medical businesses need to stay competitive in an industry constantly redefined by change. The UI Software Engineer III will develop, maintain, and migrate Onboarding applications and services, focusing on enhancing core solutions and supporting migration efforts to the cloud. The role involves close collaboration with product owners and technical leads and includes approximately 80% hands\-on development and 20% mentoring junior developers.
 Responsibilities:
 • Develop, maintain, and migrate Onboarding applications and services to the cloud
 • Build upon and enhance core software solutions
 • Collaborate with product owners and engineering leads to execute engineering efforts
 • Mentor and guide junior developers
 • Lead Onboarding engineers in delivering complex software solutions through design, development, deployment, and maintenance
 • Formulate architectural strategies to support clinical document evaluation dashboards and future dashboard needs
 • Coordinate software engineering efforts across Onboarding teams, providing leadership in delivering cross\-team data pipelines
 • Establish expertise in Onboarding processes and system architecture, defining roles for User and Organization systems
 • Determine functional and non\-functional requirements for evolving Onboarding products and services
 • Collaborate with product and user experience professionals to lead design and development efforts
 Requirements:
 • Bachelor’s Degree in Computer Science or Software Engineering
 • Minimum 5 years of full\-time Software Engineering experience
 • Strong full\-stack development skills across back\-end and front\-end systems
 • Experience with React, Typescript, and Material UI
 • Experience working in large, distributed platform enterprise environments
 • Proficiency in Java and REST APIs
 • Experience with Gradle build tool
 • Knowledge of object\-oriented and functional design principles
 • Experience with SQL and relational databases such as Postgres and Oracle
 • Experience with containerized and serverless development in AWS or equivalent cloud providers
 • Experience with git, gitlab, or similar source code management tools
 • Ability to improve processes and practices proactively
 • Strong problem\-solving skills and ability to drive clarity amid ambiguity
 • Experience guiding cross\-functional teams across UX, workflow design, software engineering, data engineering, and business intelligence
 • Strong communication and presentation skills for technical and business audiences
 • Customer\-focused mindset with desire to resolve complex issues and drive projects
 • Significant experience with agile/scrum methodologies and collaboration with scrum masters
 • Experience with production troubleshooting using APM tools such as Splunk, New Relic, or Datadog
 Preferred Qualifications:
 • Experience with healthcare information technology
 • Experience with Microsoft .NET Core
 • Experience with Terraform
 • Experience with Java Spring Boot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42">
      <c r="A242" t="inlineStr">
        <is>
          <t>li-4379720420</t>
        </is>
      </c>
      <c r="B242" t="inlineStr">
        <is>
          <t>Embedded System Software Engineer</t>
        </is>
      </c>
      <c r="C242" t="inlineStr">
        <is>
          <t>Mercor</t>
        </is>
      </c>
      <c r="D242" t="inlineStr">
        <is>
          <t>linkedin</t>
        </is>
      </c>
      <c r="E242">
        <f>HYPERLINK("https://www.linkedin.com/jobs/view/4379720420", "https://www.linkedin.com/jobs/view/4379720420")</f>
        <v/>
      </c>
      <c r="F242" t="inlineStr"/>
      <c r="G242" t="inlineStr"/>
      <c r="H242" t="inlineStr"/>
      <c r="I242" t="inlineStr">
        <is>
          <t>**About The Job**
**Mercor** 
 connects elite creative and technical talent with leading AI research labs. Headquartered in San Francisco, our investors include
 **Benchmark** 
 ,
 **General Catalyst** 
 ,
 **Peter Thiel** 
 ,
 **Adam D'Angelo** 
 ,
 **Larry Summers** 
 , and
 **Jack Dorsey** 
 .
**Position:** 
 Embedded Software Engineer
**Type:** 
**Contract**
**Compensation:** 
**$95–$130/hour**
**Location:** 
**Onsite in Redmond**
**Role Responsibilities**
* Develop firmware to integrate custom image sensors with a microcontroller unit (MCU).
* Create firmware to interface with hardware acceleration blocks and various sensors like IMU, barometers, and magnetometers.
* Design and develop bootloaders and test applications for peripheral interfacing.
* Test and validate developed firmware with hardware components.
* Document designs and conduct performance analysis for continuous improvement.
**Qualifications**
**Must\-Have**
* 8\+ years experience in firmware or embedded software development in C/C\+\+.
* 2\+ years experience developing drivers for camera sensors on new integrated circuits (ICs).
* 2\+ years experience with multi\-core SoCs or MCUs.
* Experience with Zephyr OS, Embedded Linux, or other RTOS.
* Bachelor’s degree in computer science, software engineering, or a relevant field.
**Preferred**
* Familiarity with MIPI C\-PHY, I3C, SPI, UART, USB.
* Experience with Embedded Linux and kernel drivers.
* Knowledge of file systems and bootloaders on small MCUs and larger SoCs.
* Low power optimization of embedded systems.
* Strong technical writing skills.
**Compensation \&amp; Legal**
* W\-2 employment provided through Cincinnatus.
* Maximum bill rate of $178\.00/hour.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243">
      <c r="A243" t="inlineStr">
        <is>
          <t>li-4314400665</t>
        </is>
      </c>
      <c r="B243" t="inlineStr">
        <is>
          <t>Principal Software Engineer II - Metadata</t>
        </is>
      </c>
      <c r="C243" t="inlineStr">
        <is>
          <t>Snowflake</t>
        </is>
      </c>
      <c r="D243" t="inlineStr">
        <is>
          <t>linkedin</t>
        </is>
      </c>
      <c r="E243">
        <f>HYPERLINK("https://www.linkedin.com/jobs/view/4314400665", "https://www.linkedin.com/jobs/view/4314400665")</f>
        <v/>
      </c>
      <c r="F243" t="inlineStr"/>
      <c r="G243" t="inlineStr">
        <is>
          <t>Bellevue, WA</t>
        </is>
      </c>
      <c r="H243" t="inlineStr"/>
      <c r="I243"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We are the Snowflake Metadata team. We own Snowflake’s metadata systems that make it easy for customers to query, modify and manage their petabyte\-scale data. We develop distributed systems that store and maintain metadata, transaction frameworks that power Snowflake’s query and DML capabilities, asynchronous systems that provide time travel and lifecycle management capabilities and entity metadata supporting DDL capabilities. We also build foundational capabilities that deliver global features like cross\-region replication (Snowgrid), data sharing, and data marketplace.
 Our mission is to build the next generation Metadata Platform that will significantly unlock new capabilities for Snowflake across Iceberg, unstructured data and extending Snowflake’s enterprise capabilities. Your work will drive industry leading innovation on Iceberg, Analytics, Data Engineering and AI.
**AS A PRINCIPAL SOFTWARE ENGINEER AT SNOWFLAKE YOU WILL:**
* Solve real business needs at large scale by applying your software engineering and analytical problem solving skills.
* Design, develop and support fault\-tolerant scalable distributed systems for Metadata.
* Create and own architecture and design, influence our product roadmap, and identify new projects that will ensure Snowflake creates the best technology for our customers.
* Analyze fault\-tolerance and high availability issues, performance and scale challenges, and solve them.
* Mentor and grow junior engineers.
* Understand trade\-offs between consistency, performance and costs to build solutions which can meet the demands of rapidly growing services.
* Ensure operational readiness of the services and meet the commitments to our customers regarding durability, availability and performance.
**OUR IDEAL PRINCIPAL SOFTWARE ENGINEER WILL HAVE:**
* 15\+ years of industry experience designing, building and supporting large scale distributed services.
* Deep and broad expertise in a variety of database systems internals including metadata management, clustering, compaction, catalogs, storage and replication.
* Strong computer science fundamentals including data structures, algorithms, and distributed systems.
* Excellent understanding of systems infrastructure product development and concepts including multi\-threading, memory management, networking and storage, performance, reliability and scalability.
* Fluency in Java or other similar procedural object\-oriented language is preferred.
* Track record of identifying and implementing creative solutions to complex problems at the cloud scale.
* Ability to work effectively across engineering teams in multiple locations
* BS in Computer Science; Advanced degree preferred.
**WHY JOIN THE ENGINEERING TEAM AT SNOWFLAKE?**
* Build an industry\-leading Cloud Data and AI Platform.
* Solve challenging technical problems related to security, parallel and distributed systems, programming, resource management, large\-scale system maintenance, and more!
* Work closely with our customers \&amp; partners, understand their use cases \&amp; needs, think strategically to seek the right problem to solve at the right time, and innovate with rigor.
* Join a world\-class team of both industry veterans and rising stars.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$304,000 \- $437,000\.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244">
      <c r="A244" t="inlineStr">
        <is>
          <t>li-4378805971</t>
        </is>
      </c>
      <c r="B244" t="inlineStr">
        <is>
          <t>Software Engineer</t>
        </is>
      </c>
      <c r="C244" t="inlineStr">
        <is>
          <t>Haystack</t>
        </is>
      </c>
      <c r="D244" t="inlineStr">
        <is>
          <t>linkedin</t>
        </is>
      </c>
      <c r="E244">
        <f>HYPERLINK("https://www.linkedin.com/jobs/view/4378805971", "https://www.linkedin.com/jobs/view/4378805971")</f>
        <v/>
      </c>
      <c r="F244">
        <f>HYPERLINK("https://haystack.cv/jobs/22c2c0b5-11cf-4a16-953f-588b2b12fe3e?src=google-paid&amp;urlHash=Kufl", "https://haystack.cv/jobs/22c2c0b5-11cf-4a16-953f-588b2b12fe3e?src=google-paid&amp;urlHash=Kufl")</f>
        <v/>
      </c>
      <c r="G244" t="inlineStr">
        <is>
          <t>Washington, DC</t>
        </is>
      </c>
      <c r="H244" t="inlineStr"/>
      <c r="I244" t="inlineStr">
        <is>
          <t>Full Stack Software Engineer (TS/SCI) \| Springfield, Virginia, United States \| On\-site \| $160,000\-$185,000 USD yearly
 We're at the forefront of spatial intelligence, empowering decision\-makers and operators to understand the present and shape the future. Join a team of problem solvers and changemakers dedicated to delivering impactful, mission\-focused solutions for national security.
 The Role
 • Design and implement scalable, efficient software solutions for critical applications.
 • Participate in the full development lifecycle from planning to deployment and maintenance.
 • Apply software standards to produce high\-quality, maintainable software.
 • Perform data extraction, manipulation, transformation, and visualization of geospatial\-temporal data sets using cloud technologies.
 • Develop analytics and derivative data products to extract meaningful knowledge.
 • Collaborate directly with users in the IC/DoD to understand requirements and propose technical solutions.
 What You'll Need
 • US citizenship and a current TS/SCI clearance (with willingness to obtain a CI Polygraph).
 • Bachelor’s degree in Computer Science or a related technical field.
 • 5\+ years of experience developing custom software solutions.
 • Proficiency in Java, Python, or C\+\+ for data extraction, manipulation, visualization, and analysis.
 • Strong Linux skills and familiarity with cloud architectures (AWS, C2S).
 • Experience with NoSQL data stores like Elastic and MongoDB, and development tools such as Git, Eclipse, and Maven.
 What's On Offer
 • Opportunity to work on critical national security missions.
 • Collaborative and innovative environment.
 • Competitive total rewards package, including a robust 401(k) and mental health resources.
 • Additional perks like student loan repayment assistance and pet insurance.
 Apply via Haystack today!</t>
        </is>
      </c>
    </row>
    <row r="245">
      <c r="A245" t="inlineStr">
        <is>
          <t>li-4369540662</t>
        </is>
      </c>
      <c r="B245" t="inlineStr">
        <is>
          <t>Software Engineer: AI-Driven Integrations for HR Solutions</t>
        </is>
      </c>
      <c r="C245" t="inlineStr">
        <is>
          <t>hackajob</t>
        </is>
      </c>
      <c r="D245" t="inlineStr">
        <is>
          <t>linkedin</t>
        </is>
      </c>
      <c r="E245">
        <f>HYPERLINK("https://www.linkedin.com/jobs/view/4369540662", "https://www.linkedin.com/jobs/view/4369540662")</f>
        <v/>
      </c>
      <c r="F245" t="inlineStr"/>
      <c r="G245" t="inlineStr">
        <is>
          <t>Philadelphia, PA</t>
        </is>
      </c>
      <c r="H245" t="inlineStr"/>
      <c r="I245" t="inlineStr">
        <is>
          <t>***hackajob** 
 is collaborating with
 **Comcast** 
 to connect them with exceptional tech professionals for this role.*
 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The Engineer 3 will play a critical role in accelerating business value delivery for the Human Resources (HR) department through advanced integration engineering and AI\-driven software development. This position focuses on leveraging AI\-powered development tools such as GitHub Copilot and Microsoft Copilot Studio, combined with Java Spring Boot integration frameworks and data hygiene best practices, to design and deliver solutions that are rapid to market and high ROI. The ideal candidate will collaborate closely with HR professionals to identify pain points, define requirements, and design innovative solutions that streamline HR processes, enhance employee experiences, and support strategic workforce initiatives.
**Job Description**
* This position is unable to provide work authorization sponsorship or immigration support now or in the future.\*
 Comcast’s Technology, Product \&amp; Experience (TPX) organization works at the intersection of media and technology. Our innovative teams are continually developing and delivering products that transform the customer experience.
**About The Role**
 This engineer will play a critical role in accelerating business value delivery for the Human Resources (HR) department through advanced integration engineering and AI\-driven software development. This position focuses on leveraging AI\-powered development tools such as GitHub Copilot and Microsoft Copilot Studio, combined with Java Spring Boot integration frameworks and data hygiene best practices, to design and deliver solutions that are rapid to market and high ROI. The ideal candidate will collaborate closely with HR professionals to identify pain points, define requirements, and design innovative solutions that streamline HR processes, enhance employee experience, and support strategic workforce initiatives.
**Key Responsibilities**
 AI\-Driven Development \&amp; Low\-Code Solutions
* Utilize GitHub Copilot and Microsoft Copilot Studio to accelerate coding, automate workflows, and reduce development cycles.
* Develop low\-code applications and integrations that enable HR teams to quickly adopt new capabilities without heavy technical overhead.
* Implement AI\-assisted coding practices to improve productivity and maintain high\-quality standards.
 Integration Engineering
* Design and implement robust integrations using Java Spring Boot, RESTful APIs, and secure data exchange protocols.
* Build scalable, reusable integration components for HR systems (e.g., payroll, benefits, talent management platforms).
* Ensure integrations comply with enterprise security, compliance, and data governance standards.
 Data Management \&amp; Hygiene
* Apply data hygiene principles to maintain clean, accurate, and consistent HR data across systems.
* Collaborate with data teams to enforce governance policies and optimize data pipelines for AI\-driven insights.
 Collaboration \&amp; Business Alignment
* Partner with HR stakeholders to identify high\-impact opportunities for automation and AI enablement.
* Translate HR business requirements into technical solutions that deliver measurable ROI and improve employee experience.
* Participate in design workshops, sprint planning, and agile ceremonies to ensure rapid delivery and alignment with HR priorities.
 Innovation \&amp; Continuous Improvement
* Stay current with emerging AI development tools and integration technologies.
* Advocate for best practices in AI\-assisted development, low\-code platforms, and DevSecOps principles.
* Mentor junior engineers and contribute to a culture of innovation and collaboration.
* Other duties as assigned.
**Skills \&amp; Experience We’re Seeking**
* Proactive self\-starter with strong communication skills and solid business acumen
* Innovative, adaptable engineer with the ability to pivot quickly
* 5–7 years of experience developing RESTful APIs
* Proficient in Java and Spring Boot
* Comfortable working with AI frameworks such as Copilot Studio and Azure Bot Framework, with enthusiasm for continued learning
* Demonstrated ability to deliver business value quickly
**Additional “Nice To Have” Skills \&amp; Experience**
* Knowledge of ChatGPT, Google Agent Space, Amazon Bedrock Agents, and similar AI technologies
* Experience supporting HR backend systems and familiarity with core HR processes
* Exposure to platforms such as Workday, SAP, or PeopleSoft
* Experience with Power Automate is a plus
**About Our Perks \&amp; Benefits**
 We are determined to create an environment where our employees feel valued, understand our business goals, and are motivated.
**Here's a look at just some of the perks and benefits we make available to our US\-based employees:**
* Medical \&amp; Dental
* 401(k) Savings Plan
* Generous paid time off
* Life Milestones \- from adoption assistance, childcare resources, pet insurance, and more, Comcast supports you at all life stages.
* Courtesy Services \- We offer all of our full\-time employees in serviceable areas free digital TV and internet.
* Discount tickets for Universal Resorts, including theme park tickets and onsite hotel rooms.
**Learn more at** 
 jobs.comcast.com/benefits
**Reasonable Accommodation**
 We will ensure that individuals with disabilities are provided reasonable accommodation to participate in the job application or interview process, perform essential job functions, and receive other benefits and privileges of employment. Please contact us to request an accommodation.
**Disclaimer**
* This information has been designed to indicate the general nature and level of work performed by employees in this role. It is not designed to contain or be interpreted as a comprehensive inventory of all duties, responsibilities and qualifications.
 Job Profile: Engineer 3, Software Development \&amp; Engineering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RESTful APIs; Java; AI Frameworks; Communication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246">
      <c r="A246" t="inlineStr">
        <is>
          <t>li-4379203199</t>
        </is>
      </c>
      <c r="B246" t="inlineStr">
        <is>
          <t>Full Stack Software Engineer</t>
        </is>
      </c>
      <c r="C246" t="inlineStr">
        <is>
          <t>Motion Recruitment</t>
        </is>
      </c>
      <c r="D246" t="inlineStr">
        <is>
          <t>linkedin</t>
        </is>
      </c>
      <c r="E246">
        <f>HYPERLINK("https://www.linkedin.com/jobs/view/4379203199", "https://www.linkedin.com/jobs/view/4379203199")</f>
        <v/>
      </c>
      <c r="F246">
        <f>HYPERLINK("https://motionrecruitment.com/tech-jobs/arlington/direct-hire/full-stack-software-engineer/861985?utm_source=linkedin&amp;utm_medium=feed&amp;utm_campaign=paid-20210428&amp;urlHash=LcQy", "https://motionrecruitment.com/tech-jobs/arlington/direct-hire/full-stack-software-engineer/861985?utm_source=linkedin&amp;utm_medium=feed&amp;utm_campaign=paid-20210428&amp;urlHash=LcQy")</f>
        <v/>
      </c>
      <c r="G246" t="inlineStr">
        <is>
          <t>Arlington, VA</t>
        </is>
      </c>
      <c r="H246" t="inlineStr"/>
      <c r="I246" t="inlineStr">
        <is>
          <t>An energy commodity trading firm based in Arlington, VA is looking to add a Full Stack Software Engineer to a small, highly collaborative team.
 This role sits close to the business. You’ll be building internal tools that help traders analyze prices, move quickly, reduce risk, and automate decision\-making across energy markets. The work is hands\-on, analytical, and impactful. This role is ideal for someone who enjoys owning problems end to end and seeing their work directly influence outcomes.
 The tech stack includes Python, Java, SQL, and React. You don’t need to come from finance or energy to do well here; curiosity, problem\-solving, and comfort working with data matter far more.
**Minimum Qualifications**
* 5\+ years of software engineering experience.
* You must be located in the DC area and able to come onsite (hybrid).
* 3\+ years of experience using TypeScript, React, Java, and Python.
* Analytical mindset; experience working with data is a plus.
* Proactive, outgoing personality who enjoys working on a small team.
* Math, statistics, or other quantitative background is a plus.
**Posted By:** 
 Sarah Unowsky</t>
        </is>
      </c>
    </row>
    <row r="247">
      <c r="A247" t="inlineStr">
        <is>
          <t>li-4369211192</t>
        </is>
      </c>
      <c r="B247" t="inlineStr">
        <is>
          <t>Senior Software Engineer, Studio team</t>
        </is>
      </c>
      <c r="C247" t="inlineStr">
        <is>
          <t>Sedaro</t>
        </is>
      </c>
      <c r="D247" t="inlineStr">
        <is>
          <t>linkedin</t>
        </is>
      </c>
      <c r="E247">
        <f>HYPERLINK("https://www.linkedin.com/jobs/view/4369211192", "https://www.linkedin.com/jobs/view/4369211192")</f>
        <v/>
      </c>
      <c r="F247">
        <f>HYPERLINK("https://sedarotech.bamboohr.com/careers/85&amp;urlHash=ZyOF", "https://sedarotech.bamboohr.com/careers/85&amp;urlHash=ZyOF")</f>
        <v/>
      </c>
      <c r="G247" t="inlineStr">
        <is>
          <t>Arlington, VA</t>
        </is>
      </c>
      <c r="H247" t="inlineStr"/>
      <c r="I247" t="inlineStr">
        <is>
          <t>**Overview** 
 Sedaro is hiring a Senior Software Engineer to optimize the performance of our data visualization platform for aerospace simulation. You'll profile and eliminate bottlenecks, optimize how we move massive datasets from backend to browser, and build new visualizations. Our customers use our platform to explore and draw conclusions from simulated what\-if scenarios. Your work will enable them to visualize and drill into trends across thousands of related scenarios.
* **Team:** 
 Studio, reporting to the Director of Engineering
* **Location:** 
 80% in\-person in Arlington, VA
* U.S. Citizen or permanent resident status required
**Who We Are** 
 Our mission is simulation at scale. Sedaro runs high\-fidelity physics simulations of satellite constellations and connected fleets. Our platform makes massive datasets explorable through 3D playback and multi\-dimensional analytics. We're built on React, TypeScript, Cesium, Python, and Kubernetes. Join us as an early employee building the interface layer for AI\-augmented engineering and operations.
**Who You Are** 
* You enjoy building sophisticated tools that empower users
* You know the right time for both elegant abstractions and gnarly workarounds
* You track your targets, rally your teammates, and pitch in to win as a team
* You sweat the details and care about craft
**What You’ll Do** 
* Architect Lean solutions with impactful incremental releases
* Build extensible, high\-performance productivity tools
* Profile and eliminate bottlenecks across our Cesium\-based visualization pipeline and data processing backend
* Establish performance budgets, observability, and testing across the platform
* Foster a culture of learning, empowerment, and achievement
**Benefits** 
* Equity
* Unlimited PTO
* 401(k) with 4% match
* 100% premium payment for medical insurance
* Parental Leave
* Flexible work schedule with core hours
* Company provided lunches 3 days a week
* Industry\-leading career development opportunities
**Requirements** 
* Bachelor’s degree in computer science or equivalent experience
* 6\+ years of professional experience in software engineering
* Experience with React and TypeScript
* Track record of delivering performance\-optimized web applications with a full stack perspective
* Experience handling large datasets
* Experience with data visualization</t>
        </is>
      </c>
    </row>
    <row r="248">
      <c r="A248" t="inlineStr">
        <is>
          <t>li-4287418360</t>
        </is>
      </c>
      <c r="B248" t="inlineStr">
        <is>
          <t>Software Engineer Graduate (Applied Machine Learning - Engine - Inference) - 2026 Start (MS)</t>
        </is>
      </c>
      <c r="C248" t="inlineStr">
        <is>
          <t>ByteDance</t>
        </is>
      </c>
      <c r="D248" t="inlineStr">
        <is>
          <t>linkedin</t>
        </is>
      </c>
      <c r="E248">
        <f>HYPERLINK("https://www.linkedin.com/jobs/view/4287418360", "https://www.linkedin.com/jobs/view/4287418360")</f>
        <v/>
      </c>
      <c r="F248">
        <f>HYPERLINK("https://joinbytedance.com/search/7535239293659941138&amp;urlHash=IAOv", "https://joinbytedance.com/search/7535239293659941138&amp;urlHash=IAOv")</f>
        <v/>
      </c>
      <c r="G248" t="inlineStr">
        <is>
          <t>San Jose, CA</t>
        </is>
      </c>
      <c r="H248" t="inlineStr"/>
      <c r="I248" t="inlineStr">
        <is>
          <t>**Responsibilities**
 About the team:
 The mission of our AML team is to push the next\-generation AI infrastructure and recommendation platform for the ads ranking, search ranking, live \&amp; ecom ranking in our company. We also drive substantial impact on core businesses of the company. We are looking for Software Engineer New Grads to join our team to support and advance that mission.
 We are looking for talented individuals to join our team in 2026\. As a graduate, you will get opportunities to pursue bold ideas, tackle complex challenges, and unlock limitless growth. Launch your career where inspiration is infinite at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 Responsible for the design and implementation of a global\-scale machine learning system for feeds, ads and search ranking models.
* Responsible for building monitoring/managing tools to oversee the reliability and scalability of online inference servers
* Responsible for building tools to analyze bottlenecks and sources of instability and then design and implement solutions
**Qualifications**
 Minimum Qualifications:
* Currently pursuing a MS in Software Development, Computer Science, Computer Engineering, or a related technical discipline.
* Experience in developing and deploying large\-scale distributed systems.
* Experience in ML/Deep learning Frameworks.
* Proficient in C/C\+\+/Python/Golang, and have solid programming skills (e.g. algorithms and data structures).
**Preferred Qualifications:**
* Strong background in one of the following fields: Hardware\-Software Co\-Design, High Performance Computing, ML Hardware Acceleration (e.g., GPU/RDMA) or ML for Systems.
* Experience contributing to an open\-sourced machine learning framework (tensorflow / jax / pytorch / torchscript /mxnet/ tensorrt).
 By submitting an application for this role, you accept and agree to our global applicant privacy policy, which may be accessed here: https://jobs.bytedance.com/en/legal/privacy
 Job Information
**【For Pay Transparency】Compensation Description (Annually)**
 The base salary range for this position in the selected city is $122574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249">
      <c r="A249" t="inlineStr">
        <is>
          <t>li-4348528643</t>
        </is>
      </c>
      <c r="B249" t="inlineStr">
        <is>
          <t>Software Developer 5</t>
        </is>
      </c>
      <c r="C249" t="inlineStr">
        <is>
          <t>Oracle</t>
        </is>
      </c>
      <c r="D249" t="inlineStr">
        <is>
          <t>linkedin</t>
        </is>
      </c>
      <c r="E249">
        <f>HYPERLINK("https://www.linkedin.com/jobs/view/4348528643", "https://www.linkedin.com/jobs/view/4348528643")</f>
        <v/>
      </c>
      <c r="F249">
        <f>HYPERLINK("https://eeho.fa.us2.oraclecloud.com/hcmUI/CandidateExperience/en/job/314061/?utm_medium=jobboard&amp;utm_source=LinkedIn&amp;urlHash=oITF", "https://eeho.fa.us2.oraclecloud.com/hcmUI/CandidateExperience/en/job/314061/?utm_medium=jobboard&amp;utm_source=LinkedIn&amp;urlHash=oITF")</f>
        <v/>
      </c>
      <c r="G249" t="inlineStr">
        <is>
          <t>Nashville, TN</t>
        </is>
      </c>
      <c r="H249" t="inlineStr"/>
      <c r="I249" t="inlineStr">
        <is>
          <t>**Job Description**
 In this role you will have opportunity to touch almost all areas of Linux kernel (not just virtualization) and VMMs (primarily QEMU), interact closely with our hardware and software partners, be on the bleeding edge of modern server technology and, most importantly, work with smartest people in the business, both at Oracle and in the industry as a whole.
 Almost everything you do will end up upstream. This team has been main contributing organization for Linux kernel and QEMU at Oracle over the past 10 years, upstream work is a major part of what we do.
**Responsibilities**
 As a member of the software engineering division, you will take an active role in the definition and evolution of standard practices and procedures. Define specifications for significant new projects and specify, design and develop software according to those specifications. You will perform professional software development tasks associated with the developing, designing and debugging of software applications or operating systems.
 Qualifications:
* Experience in kernel development
* Good grasp of virtualization technologies (KVM/QEMU in particular)
* Understanding of hardware architecture (x86/ARM, PCI)
* Upstream contributions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50">
      <c r="A250" t="inlineStr">
        <is>
          <t>li-4377738467</t>
        </is>
      </c>
      <c r="B250" t="inlineStr">
        <is>
          <t>Junior Software Engineer</t>
        </is>
      </c>
      <c r="C250" t="inlineStr">
        <is>
          <t>Jobs via Dice</t>
        </is>
      </c>
      <c r="D250" t="inlineStr">
        <is>
          <t>linkedin</t>
        </is>
      </c>
      <c r="E250">
        <f>HYPERLINK("https://www.linkedin.com/jobs/view/4377738467", "https://www.linkedin.com/jobs/view/4377738467")</f>
        <v/>
      </c>
      <c r="F250">
        <f>HYPERLINK("https://click.appcast.io/t/qopPYHsFOdpiJUOImUDq_mFUBaIU1Bw5BZ7NgBa-xCk=&amp;urlHash=iO7H", "https://click.appcast.io/t/qopPYHsFOdpiJUOImUDq_mFUBaIU1Bw5BZ7NgBa-xCk=&amp;urlHash=iO7H")</f>
        <v/>
      </c>
      <c r="G250" t="inlineStr"/>
      <c r="H250" t="inlineStr"/>
      <c r="I250" t="inlineStr">
        <is>
          <t>Dice is the leading career destination for tech experts at every stage of their careers. Our client, CloudBerry, is seeking the following. Apply via Dice today!
 Junior Software Engineer / Entry\-Level Developer
 Location: Remote – USA / Canada (Open to Relocation)
 Job Type: Full\-Time / Contract
 Experience: 0–2 Years
**Job Summary**
 We are hiring Junior Software Engineers with foundational programming knowledge and a strong interest in full\-stack or backend development. This is an excellent opportunity for entry level candidates, bootcamp graduates, and career transition candidates seeking hands\-on experience in modern software development.
 Candidates with academic projects, internship experience, or personal GitHub portfolios are encouraged to apply.
 Key Responsibilities
* Develop, test, and maintain web and backend applications
* Write clean, scalable, and maintainable code
* Work with REST APIs and database integrations
* Debug and resolve software defects
* Participate in Agile/Scrum development cycles
* Collaborate with cross\-functional teams (QA, DevOps, Product)
* Contribute to application enhancements and performance improvements
**Required Technical Skills**
* Programming knowledge in one or more: Java, JavaScript, Python, C\#, or C\+\+
* Understanding of Object\-Oriented Programming (OOP)
* Knowledge of Data Structures and Algorithms
* Basic SQL and database concepts (MySQL, PostgreSQL, SQL Server)
* Familiarity with RESTful APIs
* Git version control basics
**Preferred Skills**
* Frontend: React, Angular, Vue.js, HTML5, CSS3
* Backend: Spring Boot, Node.js, .NET Core, Django
* Cloud exposure: AWS, Azure, or Google Cloud Platform
* CI/CD knowledge (Jenkins, GitHub Actions)
* Docker or container basics
* Understanding of SDLC
 Education
 Bachelor’s degree in Computer Science, Engineering, IT, or related field (or equivalent practical training).
 Why Apply
* Work with modern tech stacks
* Mentorship and structured career growth
* Opportunity to grow into Mid\-Level Software Engineer
* Competitive compensation
* Supportive and collaborative engineering environment
 Application Requirements
 Please submit your updated resume. GitHub or portfolio link is highly preferred</t>
        </is>
      </c>
    </row>
    <row r="251">
      <c r="A251" t="inlineStr">
        <is>
          <t>li-4378846079</t>
        </is>
      </c>
      <c r="B251" t="inlineStr">
        <is>
          <t>UI Full Stack Software Developer</t>
        </is>
      </c>
      <c r="C251" t="inlineStr">
        <is>
          <t>Booz Allen Hamilton</t>
        </is>
      </c>
      <c r="D251" t="inlineStr">
        <is>
          <t>linkedin</t>
        </is>
      </c>
      <c r="E251">
        <f>HYPERLINK("https://www.linkedin.com/jobs/view/4378846079", "https://www.linkedin.com/jobs/view/4378846079")</f>
        <v/>
      </c>
      <c r="F251">
        <f>HYPERLINK("https://careers.boozallen.com/careers/JobDetail?jobId=118403&amp;source=JB-16500&amp;urlHash=2QCj", "https://careers.boozallen.com/careers/JobDetail?jobId=118403&amp;source=JB-16500&amp;urlHash=2QCj")</f>
        <v/>
      </c>
      <c r="G251" t="inlineStr">
        <is>
          <t>Fort Meade, MD</t>
        </is>
      </c>
      <c r="H251" t="inlineStr"/>
      <c r="I251" t="inlineStr">
        <is>
          <t>**Job Number: R0230446**
 UI Full Stack Software Developer
**The Opportunity:**
 As a full stack developer, you can resolve a problem with a complete end\-to\-end solution in a fast, agile environment. If you’re looking for the chance to not just develop software, but to help create a system that will make a difference, we need you on our team. We’re looking for a developer like you with the skills needed to develop software and systems from vision to production\-ready.
 This role is more than just coding. As a full stack developer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as well as future functionality and enhancements.
 Work with us as we shape systems for the better.
 Join us. The world can’t wait.
**You Have:**
* Experience with version control systems, including Git
* Knowledge of modern JavaScript frameworks, including React, Vue.js, or Angular
* Knowledge of server\-side programming concepts
* Knowledge of UI and UX design and creating user\-friendly interfaces
* Ability to problem solve and learn new technologies quickly, including AI and its applications in software development
* Ability to communicate and work effectively in a team environment
* TS/SCI clearance with a polygraph
* Bachelor's degree in Computer Science or Software Engineering and 3\+ years of experience in Software Engineering, or 7\+ years of experience in Software Engineering in lieu of a degree
**Nice If You Have:**
* Experience in web development
* Experience with any server\-side programming language, including Python, Node.js, or Java
* Experience with data visualization
* Experience with UI development
* Experience with Agile development methodologies
* Knowledge of database systems and basic SQL
* Knowledge of AI and machine learning concepts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52">
      <c r="A252" t="inlineStr">
        <is>
          <t>li-4377729101</t>
        </is>
      </c>
      <c r="B252" t="inlineStr">
        <is>
          <t>Senior Software Engineer, Android, Full Stack, Google Photos</t>
        </is>
      </c>
      <c r="C252" t="inlineStr">
        <is>
          <t>Google</t>
        </is>
      </c>
      <c r="D252" t="inlineStr">
        <is>
          <t>linkedin</t>
        </is>
      </c>
      <c r="E252">
        <f>HYPERLINK("https://www.linkedin.com/jobs/view/4377729101", "https://www.linkedin.com/jobs/view/4377729101")</f>
        <v/>
      </c>
      <c r="F252">
        <f>HYPERLINK("https://careers.google.com/jobs/results/128787907354731206-senior-software-engineer/?src=Online/LinkedIn/linkedin_us&amp;utm_source=linkedin&amp;utm_medium=jobposting&amp;utm_campaign=contract&amp;urlHash=5Fht", "https://careers.google.com/jobs/results/128787907354731206-senior-software-engineer/?src=Online/LinkedIn/linkedin_us&amp;utm_source=linkedin&amp;utm_medium=jobposting&amp;utm_campaign=contract&amp;urlHash=5Fht")</f>
        <v/>
      </c>
      <c r="G252" t="inlineStr">
        <is>
          <t>Mountain View, CA</t>
        </is>
      </c>
      <c r="H252" t="inlineStr"/>
      <c r="I252" t="inlineStr">
        <is>
          <t>**Minimum qualifications:**
* Bachelor’s degree or equivalent practical experience.
* 5 years of experience with software development in the Java or Kotlin programming language.
* 3 years of experience testing, maintaining, or launching software products, and 1 year of experience with software design and architecture.
* 3 years of experience with android application development.
**Preferred qualifications:**
* Master's degree or PhD in Computer Science or a related technical field.
* 5 years of experience with data structures and algorithms.
* 3 years of experience with performance, large\-scale systems data analysis, visualization tools, or debugging.
* 1 year of experience in a technical leadership role.
* Experience building user interfaces in android applications (e.g., Jetpack Compose UI).
* Experience in full\-stack or iOS development.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Photos team is looking for a Software Engineer who is passionate about the Photos product, interested in Android and full\-stack development, and enjoys working cross\-functionally to bring our Large Language Model (LLM) powered features to the next level.
 Google Photos is a photo sharing and storage service developed by Google. Photos is one of the most sought after products at Google and is looking for both client\-side (web and mobile), with server\-side (search, storage, serving) and machine intelligence (learning, computer vision) Software Engineers. We are dedicated to making Google experiences centered around the user.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Translate ideas into functional demos, enabling swift iteration and collaboration with cross\-functional teams.
* Partner closely with product, analytics, and privacy teams to refine requirements, define success metrics, and ensure responsible and impactful feature launches.
* Onboard and scale Large Language Models (LLMs) to our production infrastructure, ensuring seamless integration with user\-facing features.
* Build adaptable and resilient code that can evolve alongside rapid advancements in LLM technology. Maintain the highest standards to guarantee a flawless experience for billions of users.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3">
      <c r="A253" t="inlineStr">
        <is>
          <t>li-4340446403</t>
        </is>
      </c>
      <c r="B253" t="inlineStr">
        <is>
          <t>Sr. Software Engineer, SocialTV</t>
        </is>
      </c>
      <c r="C253" t="inlineStr">
        <is>
          <t>Oracle</t>
        </is>
      </c>
      <c r="D253" t="inlineStr">
        <is>
          <t>linkedin</t>
        </is>
      </c>
      <c r="E253">
        <f>HYPERLINK("https://www.linkedin.com/jobs/view/4340446403", "https://www.linkedin.com/jobs/view/4340446403")</f>
        <v/>
      </c>
      <c r="F253">
        <f>HYPERLINK("https://eeho.fa.us2.oraclecloud.com/hcmUI/CandidateExperience/en/job/313385/?utm_medium=jobboard&amp;utm_source=LinkedIn&amp;urlHash=7b92", "https://eeho.fa.us2.oraclecloud.com/hcmUI/CandidateExperience/en/job/313385/?utm_medium=jobboard&amp;utm_source=LinkedIn&amp;urlHash=7b92")</f>
        <v/>
      </c>
      <c r="G253" t="inlineStr">
        <is>
          <t>Austin, TX</t>
        </is>
      </c>
      <c r="H253" t="inlineStr"/>
      <c r="I253" t="inlineStr">
        <is>
          <t>**Job Description**
* This role can sit out of the following OCI offices: Austin, Texas, Broomfield, Colorado or Nashville, TN.
 As a Senior Software Engineer inside the Oracle Cloud Infrastructure Media Services team, you will have the opportunity to solve challenging technical problems and contribute to the development, delivery and operation of cloud services driving novel consumer video applications.
 This is a rare opportunity to join a high\-performing team building new products that are redefining streaming, transforming how content creators engage audiences and unlock new revenue streams through cloud\-native innovation. You will help create scalable, real\-time systems enabling intelligent content delivery, dynamic interactivity, and monetization—all built on globally distributed infrastructure. The environment is dynamic, fast\-paced, and highly collaborative.
 You will work with a talented group of software developers, designing scalable, highly available cloud services in a world class development environment. We are seeking a highly motivated individual with clear experience in the development, delivery and operation of enterprise\-class cloud services. Prior experience and domain knowledge in media services (specifically video) is a big plus.
 The Senior Software Engineer is an individual contributor role that requires a proven track record of success and technical depth as a software developer. We seek individuals with evolved soft skills in addition to strong technical acumen.
**Responsibilities**
**RESPONSIBILITIES**
* Design, implement, validate, and document components of a distributed, service\-oriented architecture. Ensure proper focus on availability, scalability, observability, and testability.
* Ensure automated and reliable deployment of services end\-to\-end including foundational infrastructure and required dependencies.
* Stay abreast of emerging technologies, industry best practices, ensuring compliance and driving innovation within the organization.
* Launch new cloud services and establish operational excellence.
* Collaborate with architects and technical leads to refine, realize, and achieve the technical vision of the team.
* Work effectively across geographically distributed engineering teams.
* Ensure compliance with software development standards, processes and best practices.
**Qualifications**
* BS/CS Computer Science or related field and 3\+ years software development experience using modern programming languages. Prior experience with Java and/or Go is a big plus.
* Proven experience in large\-scale software development, specifically for cloud services and distributed systems. Any relevant background in video streaming, real\-time communications, or social networking systems is a big plus.
* Experience in development, deployment, and operations of highly scalable cloud microservices using Kubernetes.
* A fundamental understanding of cloud infrastructure (compute, identity, network, storage) and deployment automation tools (e.g. Terraform, Chef, Puppet, or similar).
* Familiarity building, running, and maintaining highly available services in a DevOps environment with established processes for maintaining quality, including failure root cause analysis.
* Experience collaborating with geographically distributed teams.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54">
      <c r="A254" t="inlineStr">
        <is>
          <t>li-4363768656</t>
        </is>
      </c>
      <c r="B254" t="inlineStr">
        <is>
          <t>Staff Software Engineer</t>
        </is>
      </c>
      <c r="C254" t="inlineStr">
        <is>
          <t>Cisco</t>
        </is>
      </c>
      <c r="D254" t="inlineStr">
        <is>
          <t>linkedin</t>
        </is>
      </c>
      <c r="E254">
        <f>HYPERLINK("https://www.linkedin.com/jobs/view/4363768656", "https://www.linkedin.com/jobs/view/4363768656")</f>
        <v/>
      </c>
      <c r="F254" t="inlineStr"/>
      <c r="G254" t="inlineStr">
        <is>
          <t>San Jose, CA</t>
        </is>
      </c>
      <c r="H254" t="inlineStr"/>
      <c r="I254" t="inlineStr">
        <is>
          <t>**Meet the Team**
 Splunk’s mission is to build a safer, more resilient digital world. Leading enterprises rely on our unified security and observability platform to keep systems secure, reliable, and performing at their best. While customers love our technology, it’s our people who truly make Splunk a top career destination, reflected in our many “Best Place to Work” awards.
 If you become a Splunker, we want your whole, authentic self—what we call your “million data points.” Bring your experience, problem solving skills, and talent, plus your energy, passion, and all the unique qualities that make you, you.
 Our Observability Platform Team comprises highly skilled engineers who work on the core data platform that powers Splunk’s observability products. We deliver a scalable data foundation that enables teams across Splunk to build the observability features our customers depend on. We operate in small, high impact teams that tackle data on a massive scale.
**Role Overview**
 As a Staff Software Engineer, you will build real\-time, high\-throughput data processing systems that ingest and analyze
 **billions of metrics per minute** 
 . You will define the technical strategy for our next\-generation observability platform, ensuring it continues to scale, perform, and evolve with customer and AI\-driven demands.
 Partnering closely with product management and engineering teams across Splunk, you will deliver core capabilities that prioritize
 **scalability, reliability, and low\-latency performance** 
 . Your work will directly shape how customers monitor and operate mission\-critical systems worldwide. You will continually drive innovation by evaluating emerging technologies and introducing forward\-looking improvements to the platform.
**Your Impact**
 The rise of agentic AI brings new opportunities and challenges in scaling our platform for both agents and human users. This role is your chance to shape the next era of Splunk Observability – increasing scale, delighting customers, and evolving our successful platform. You’ll work with large scale distributed systems, leverage opensource technologies when practical, and write high performance custom code where necessary.
* Build and optimize petabyte scale ingestion and storage for telemetry data such as Metrics and Events.
* Lead the design of real time analytics and low latency querying for both streaming and batch workflows.
* Drive modernization initiatives and set the technical vision for the platform.
* Establish technical direction for handling high cardinality, high dimensionality, and massive data volumes.
* Develop and enforce system\-wide architecture principles: scalability, resilience, security, cost\-efficiency, and performance.
* Research, evaluate, and integrate emerging technologies, AI frameworks, and open\-source solutions to advance the team’s technical stack and the platform’s scalability and performance.
* Partner closely with product managers to define feature requirements, guide technical execution, and ensure high\-quality, predictable delivery across teams.
* Support production systems by diagnosing and resolving difficult escalations quickly, minimizing customer impact, and maintaining service continuity.
**Minimum Qualifications**
* BS in Computer Science, Engineering, or related field plus 8\+ years of experience, or MS with 6\+ years' experience, or PhD with 3\+ years' experience.
* At least 6 months of experience effectively using LLM based coding assistant tools, with a strong AI first mindset.
* 3\+ years delivering largescale, distributed SaaS solutions.
* Deep knowledge of microservices and distributed application architectures and understanding when simplification is the better path.
* Strong problem solving and communication skills, able to simplify complex technical concepts for any audience.
* Proficient in Java, with a track record of quickly learning new languages.
**Preferred Qualifications**
* Deep domain knowledge in observability and monitoring.
* Robust troubleshooting, profiling, and performance tuning skills.
* DevOps automation mindset with experience in CI/CD pipelines.
* Passion for engineering efficiency and process optimization.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$183,800\.00 to $263,600\.00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$183,800\.00 \- $303,100\.00
**Non\-Metro New York State \&amp; Washington State**
 $163,600\.00 \- $269,800\.00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55">
      <c r="A255" t="inlineStr">
        <is>
          <t>li-4289090841</t>
        </is>
      </c>
      <c r="B255" t="inlineStr">
        <is>
          <t>Senior Software Engineer, SDN Networking</t>
        </is>
      </c>
      <c r="C255" t="inlineStr">
        <is>
          <t>Crusoe</t>
        </is>
      </c>
      <c r="D255" t="inlineStr">
        <is>
          <t>linkedin</t>
        </is>
      </c>
      <c r="E255">
        <f>HYPERLINK("https://www.linkedin.com/jobs/view/4289090841", "https://www.linkedin.com/jobs/view/4289090841")</f>
        <v/>
      </c>
      <c r="F255" t="inlineStr"/>
      <c r="G255" t="inlineStr">
        <is>
          <t>San Francisco, CA</t>
        </is>
      </c>
      <c r="H255" t="inlineStr"/>
      <c r="I255" t="inlineStr">
        <is>
          <t>Crusoe's mission is to accelerate the abundance of energy and intelligence. We’re crafting the engine that powers a world where people can create ambitiously with AI — without sacrificing scale, speed, or sustainability.
 Be a part of the AI revolution with sustainable technology at Crusoe. Here, you'll drive meaningful innovation, make a tangible impact, and join a team that’s setting the pace for responsible, transformative cloud infrastructure.
**About the Role:**
 As a Senior Software Engineer \- Software Defined Networking, you will lead the development and execution of our Software Defined Networking strategy. You will work extensively with the Linux Kernel, utilizing technologies such as XDP/EBPF, DPDK, SmartNIC, and DPU/IPU to drive innovation and performance improvements.
**What You'll Be Working On:**
* Develop and execute the roadmap for the Software Defined Networking strategy at Crusoe Cloud.
* Be highly hands\-on, guiding the engineering team through architecture decisions, design processes, design reviews, code reviews, and implementation tasks.
* Collaborate with the network infrastructure organization to develop industry\-leading networking infrastructure.
* Lead Linux Kernel and driver development, system architecture design, production support, and cross\-functional collaboration.
**What You’ll Bring to the Team:**
* 4\+ years of related experience building and operating at scale in a production environment.
* Proven experience in system programming with C, C\+\+ and/or Rust.
* Extensive knowledge of Linux Systems Internals and computer architecture.
* Expertise in Network Programming and Packet Processing pipelines.
* Hands\-on experience with kernel bypass technologies such as XDP/EBPF, AF\_XDP, and DPDK.
* In\-depth understanding of TCP/IP and network accelerators like Mellanox/Nvidia SmartNIC (ConnectX6/7\), DPU Bluefield3, and Intel IPU.
* Familiarity with SR\-IOV, vDPA, and scalable functions.
* Strong background in kernel or embedded development, particularly with the Linux kernel.
* Experience with Open vSwitch, Openflow, and Open Virtual Networking.
* Knowledge of professional software engineering practices and best practices for the full software development life cycle, including coding standards, code reviews, source control management, build processes, testing, and operations.
* Demonstrated track record of contributions to the open source community (e.g., Open vSwitch/OVS, Open Virtual Networking/OVN, Multus, Cilium).
**Bonus Points:**
* Advanced degree in Computer Science, Engineering, or a related field.
* Proven leadership experience in a technical role.
* Strong analytical and problem\-solving skills.
* Excellent communication and collaboration skills.
* Experience with cloud networking platforms (AWS, Azure, GCP) and virtualization technologies (VMware, KVM).
**Benefits:**
* Industry competitive pay
* Restricted Stock Units in a fast growing, well\-funded technology company
* Health insurance package options that include HDHP and PPO, vision, and dental for you and your dependents
* Employer contributions to HSA accounts
* Paid Parental Leave
* Paid life insurance, short\-term and long\-term disability
* Teladoc
* 401(k) with a 100% match up to 4% of salary
* Generous paid time off and holiday schedule
* Cell phone reimbursement
* Tuition reimbursement
* Subscription to the Calm app
* MetLife Legal
* Company paid commuter benefit; $300 per month
**Compensation Range**
 Compensation will be paid in the range of $152,000 \- $184,000 \+ Bonus. Restricted Stock Units are included in all offers. Compensation to be determined by the applicants knowledge, education, and abilities, as well as internal equity and alignment with market data.
 Crusoe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is>
      </c>
    </row>
    <row r="256">
      <c r="A256" t="inlineStr">
        <is>
          <t>li-4335714136</t>
        </is>
      </c>
      <c r="B256" t="inlineStr">
        <is>
          <t>Product Engineering | PxE Talent | Full Stack Engineer</t>
        </is>
      </c>
      <c r="C256" t="inlineStr">
        <is>
          <t>Deloitte</t>
        </is>
      </c>
      <c r="D256" t="inlineStr">
        <is>
          <t>linkedin</t>
        </is>
      </c>
      <c r="E256">
        <f>HYPERLINK("https://www.linkedin.com/jobs/view/4335714136", "https://www.linkedin.com/jobs/view/4335714136")</f>
        <v/>
      </c>
      <c r="F256" t="inlineStr"/>
      <c r="G256" t="inlineStr">
        <is>
          <t>Portland, OR</t>
        </is>
      </c>
      <c r="H256" t="inlineStr"/>
      <c r="I256" t="inlineStr">
        <is>
          <t>**Full\-Stack Software Engineer \- CL4**
**Role Overview:** 
 As a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3/31/2026\.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Deeply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learning\-forward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successful candidate will possess:**
* Strong software engineering foundation with the understanding of OOPs, data\-structure, algorithms, code instrumentations, beautiful coding practices, etc.
* Excellent interpersonal and organizational skills, with the ability to handle diverse situations, complex projects, and changing priorities, behaving with passion, empathy, and care.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**Qualifications:**
**Required:**
* A bachelor's degree in computer science, software engineering, or a related discipline.
* 5\+ years proven experience with most of the following: Angular, React, NodeJS, Python, C\#, .NET Core, Java, Golang, SQL/NoSQL.
* 5\+ years of experience with cloud\-native engineering, using FaaS/PaaS/micro\-services on cloud hyper\-scalers like Azure (mandatory), AWS, and GCP.
* Prior experience using methodologies \&amp; tools like, XP, Lean, SAFe, DevSecOps, SRE, ADO, GitHub, SonarQube, etc. to deliver high quality products rapidly.
* Prior experience in AI/ML and GenAI.
* Limited immigration sponsorship may be available
* Ability to travel 10%, on average, based on the work you do and the clients and industries/sectors you serve
 Information for applicants with a need for accommodation: https://www2\.deloitte.com/us/en/pages/careers/articles/join\-deloitte\-assistance\-for\-disabled\-applicants.html
**Preferred:**
* A master's degree in computer science, software engineering, or a related discipline.
* 3\+ years proven experience with most of the following: Angular, React, NodeJS, Python, C\#, .NET Core, Java, Golang, SQL/NoSQL.
* 3\+ years of experience with cloud\-native engineering, using FaaS/PaaS/micro\-services on cloud hyper\-scalers like Azure (mandatory), AWS, and GCP.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 to $179,900\.
 You may also be eligible to participate in a discretionary annual incentive program, subject to the rules governing the program, whereby an award, if any, depends on various factors, including, without limitation, individual and organizational performance.
 PXE\_JOBS
 EA\_ITS\_ExpHire</t>
        </is>
      </c>
    </row>
    <row r="257">
      <c r="A257" t="inlineStr">
        <is>
          <t>li-4310459901</t>
        </is>
      </c>
      <c r="B257" t="inlineStr">
        <is>
          <t>Senior Software Engineer, Air Defense</t>
        </is>
      </c>
      <c r="C257" t="inlineStr">
        <is>
          <t>Anduril Industries</t>
        </is>
      </c>
      <c r="D257" t="inlineStr">
        <is>
          <t>linkedin</t>
        </is>
      </c>
      <c r="E257">
        <f>HYPERLINK("https://www.linkedin.com/jobs/view/4310459901", "https://www.linkedin.com/jobs/view/4310459901")</f>
        <v/>
      </c>
      <c r="F257">
        <f>HYPERLINK("https://boards.greenhouse.io/andurilindustries/jobs/4929852007?gh_jid=4929852007&amp;source=LinkedIn&amp;urlHash=VSMb", "https://boards.greenhouse.io/andurilindustries/jobs/4929852007?gh_jid=4929852007&amp;source=LinkedIn&amp;urlHash=VSMb")</f>
        <v/>
      </c>
      <c r="G257" t="inlineStr">
        <is>
          <t>Irvine, CA</t>
        </is>
      </c>
      <c r="H257" t="inlineStr"/>
      <c r="I257"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Air Defense team builds robots that find other robots and knock them out of the sky. At a time when air superiority can no longer be taken for granted, the Air Defense Team provides mission critical capabilities to warfighters. From detection to tracking, identification, deterrence, and defeat, our family of networked sensors and effectors enables our customers to rapidly close the kill chain against a broad range of Unmanned Aerial System (UAS) threats. Working across product, engineering, sales, logistics, operations, and mission success, the Air Defense team develops, tests, deploys, and sustains the Anduril Air Defense Family of Systems (FoS) in challenging operational environments worldwide.
**About The Job**
 We're seeking a Senior Software Engineer to join our rapidly growing team in Irvine, CA. As a Senior Software Engineer, you will solve a wide variety of problems involving networking, autonomy, systems integration, robotics, and more, while making pragmatic engineering tradeoffs along the way. Your efforts will ensure that Anduril products seamlessly work together to achieve a variety of critical outcomes. Above all, Mission Software Engineers are driven by a “Whatever It Takes” mindset—executing in an
 *expedient* 
 ,
 *scalable* 
 , and
 *pragmatic* 
 way while keeping the mission top\-of\-mind and making sound engineering decisions to deliver successful outcomes correctly, on\-time, and with high quality.
**What You’ll Do**
* Own the software solutions that are deployed to customers
* Write code to improve products and scale the mission capability to more customers
* Collaborate across multiple teams to plan, build, and test complex functionality
* Create and analyze metrics that are leveraged for debugging and monitoring
* Triage issues, root cause failures, and coordinate next steps
* Partner with end\-users to turn needs into features while balancing user experience with engineering constraints
* Travel up to 30% of time to build, test, and deploy capabilities in the real world
**Required Qualifications**
* Strong engineering background from industry or school, ideally in areas/fields such as Computer Science, Software Engineering, Mathematics, or Physics
* 6\+ years working with a variety of programming languages such as Python, C\+\+, Rust, Go, JavaScript, etc.
* Experience building software solutions involving significant amounts of data processing and analysis
* Ability to quickly understand and navigate complex systems and established code bases
* A desire to work on critical software that has a real\-world impact
* Eligible to obtain and maintain an active U.S. Secret security clearance
**Preferred Qualifications**
* Strong background with focus in Physics, Mathematics, and/or Motion Planning to inform modeling \&amp; simulation (M\&amp;S) and physical systems
* Developing and testing multi\-agent autonomous systems and deploying in real\-world environments
* Feature and algorithm development with an understanding of behavior trees
* Developing software/hardware for flight systems and safety critical functionality
* Distributed communication networks and message standards
* Knowledge of military systems and operational tactics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58">
      <c r="A258" t="inlineStr">
        <is>
          <t>li-4370508682</t>
        </is>
      </c>
      <c r="B258" t="inlineStr">
        <is>
          <t>Senior Staff Software Engineer - Benefits</t>
        </is>
      </c>
      <c r="C258" t="inlineStr">
        <is>
          <t>Rippling</t>
        </is>
      </c>
      <c r="D258" t="inlineStr">
        <is>
          <t>linkedin</t>
        </is>
      </c>
      <c r="E258">
        <f>HYPERLINK("https://www.linkedin.com/jobs/view/4370508682", "https://www.linkedin.com/jobs/view/4370508682")</f>
        <v/>
      </c>
      <c r="F258" t="inlineStr"/>
      <c r="G258" t="inlineStr">
        <is>
          <t>New York, NY</t>
        </is>
      </c>
      <c r="H258" t="inlineStr"/>
      <c r="I258"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Come help us reinvent one of the largest, most important industries in the world:
 ****global employee benefits.****
 Every year, companies and their people spend
 ****over $5 trillion****
 on benefits—from healthcare to retirement savings to life insurance. These products shape some of the most critical decisions in a family’s life. And yet, despite their importance, the experience today is outdated, fragmented, and unnecessarily expensive.
 At Rippling, we’re building the
 ****first\-ever modern, multi\-sided Global Benefits Marketplace****
 —a platform that brings together brokers, employers, and employees, making benefits discovery, purchase, and usage effortless and transparent. Our benefits vertical spans:
* Benefits Platform – the core engine powering eligibility, recommendations, payments, and configuration.
* Benefits Marketplace – already 100\+ partners strong and growing.
* Rippling\-native Products – beautifully built, deeply integrated offerings that set a new standard for experience.
 If you want to work on a truly
 ****global, high\-impact problem****
 and architect a product used by millions, this is it.
**What You Will Do**
* Architect the future: Design a configurable platform that can onboard entirely new benefit types without writing new code—own schemas, validation, pricing logic, and self\-serve configuration.
* Think global, build global: Define a unified data model and lead complex migrations (shadowing, dual\-writes, safe rollbacks) to deliver a seamless worldwide experience.
* Make customer impact real: Prioritize work that drives adoption, win\-rates, and retention—closing feature and integration gaps for SMBs and enterprises alike.
* Supercharge brokers \&amp; admins: Build dashboards, alerts, and insights that surface under\-used benefits and drive real engagement.
* Be the connector: Align infra, security, compliance, and product stakeholders; communicate tradeoffs clearly; and keep programs on track from kickoff to delivery.
* Innovate \&amp; lead: Own architectural decisions, drive full product lifecycle delivery, and set the standard for technical excellence.
* Collaborate \&amp; execute: Partner across teams, bring customer feedback into the roadmap, and ship with urgency and impact.
* Mentor \&amp; inspire: Uplift teammates, guide junior engineers, and foster a culture of curiosity, craftsmanship, and bold thinking.
**What You Will Need**
* Deep experience: 10\+ years of professional software engineering, with a track record of building large\-scale, high\-impact platforms.
* Technical mastery: Expertise in distributed systems and services, ideally using Python, Golang, or Java.
* Cloud fluency (bonus): Experience building on AWS or similar cloud platforms.
* Ownership mindset: You don’t just write code—you own the problem, the product, and the customer outcome.
* Customer obsession: A passion for product\-focused engineering and for solving real, meaningful problems for people.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t>
        </is>
      </c>
    </row>
    <row r="259">
      <c r="A259" t="inlineStr">
        <is>
          <t>li-4365183163</t>
        </is>
      </c>
      <c r="B259" t="inlineStr">
        <is>
          <t>Senior Staff Software Engineer</t>
        </is>
      </c>
      <c r="C259" t="inlineStr">
        <is>
          <t>Harrison Clarke</t>
        </is>
      </c>
      <c r="D259" t="inlineStr">
        <is>
          <t>linkedin</t>
        </is>
      </c>
      <c r="E259">
        <f>HYPERLINK("https://www.linkedin.com/jobs/view/4365183163", "https://www.linkedin.com/jobs/view/4365183163")</f>
        <v/>
      </c>
      <c r="F259" t="inlineStr"/>
      <c r="G259" t="inlineStr"/>
      <c r="H259" t="inlineStr"/>
      <c r="I259" t="inlineStr">
        <is>
          <t>We’re working with a
 **high\-growth, tier\-1 VC\-backed startup** 
 in the
 **AI code generation** 
 space, hiring a
 **Staff Distributed Systems Engineer** 
 to help design and build the core systems underpinning a next\-generation AI product.
 This is a hands\-on role for someone who enjoys
 **bleeding\-edge tech** 
 and thrives on
 **complex, unsolved engineering problems \-** 
 the kind where you’ll be building new primitives, not just wiring together existing ones.
**The Role** 
 You’ll work on the heart of the platform:
 **low\-latency services, high\-throughput pipelines, scalable data and compute orchestration** 
 , and the reliability foundations required to run production\-grade systems at pace.
 They’re specifically looking for a strong coder with production experience in
 **Python and Go** 
 .
**What You’ll Be Doing** 
* Design, build, and operate
 **distributed systems** 
 that are reliable under real\-world load and failure modes.
* Develop core backend services in
 **Go and Python** 
 (service frameworks, orchestration, control planes, APIs).
* Solve problems across
 **consistency, concurrency, throughput, latency, resiliency, backpressure** 
 , and graceful degradation.
* Build systems for
 **job scheduling / workload orchestration** 
 and efficient compute utilisation (including demanding AI workloads).
* Improve
 **observability and debugging** 
 for complex systems: tracing, metrics, structured logging, and profiling.
* **Lead architectural decisions** 
 : data flows, service boundaries, state management, and scaling strategies.
* Set engineering standards and mentor others, while remaining deeply technical and hands\-on.
**What They’re Looking For** 
* Strong experience building production
 **distributed systems.**
* Excellent coding skills in
 **Go and Python** 
 .
* Deep understanding of:
* **Distributed systems fundamentals** 
 (consensus concepts, replication, consistency trade\-offs)
* **Networking \&amp; performance** 
 (RPC patterns, load balancing, latency analysis)
* **Reliability engineering** 
 (timeouts, retries, idempotency, circuit breaking, chaos/failure testing)
* Experience scaling services and data flows in cloud environments (AWS/GCP/Azure).
* Comfortable working in ambiguity and moving quickly without compromising core quality.
**Nice\-to\-Haves** 
* Experience with high\-scale systems: streaming, queues, event\-driven architectures, or large\-scale caching.
* Familiarity with Kubernetes and cloud\-native infrastructure (helpful, but not the focus).
* Experience with ML/AI infrastructure or compute\-heavy systems (e.g., GPU scheduling, batch/online hybrid workloads).</t>
        </is>
      </c>
    </row>
    <row r="260">
      <c r="A260" t="inlineStr">
        <is>
          <t>li-4374767410</t>
        </is>
      </c>
      <c r="B260" t="inlineStr">
        <is>
          <t>Full Stack Engineer</t>
        </is>
      </c>
      <c r="C260" t="inlineStr">
        <is>
          <t>Underdog.io -Apply to top tech jobs in 60 seconds. A place where companies apply to you</t>
        </is>
      </c>
      <c r="D260" t="inlineStr">
        <is>
          <t>linkedin</t>
        </is>
      </c>
      <c r="E260">
        <f>HYPERLINK("https://www.linkedin.com/jobs/view/4374767410", "https://www.linkedin.com/jobs/view/4374767410")</f>
        <v/>
      </c>
      <c r="F260" t="inlineStr"/>
      <c r="G260" t="inlineStr"/>
      <c r="H260" t="inlineStr"/>
      <c r="I260" t="inlineStr">
        <is>
          <t>**Job Title: Full Stack Engineer, Product \&amp; User Platform** 
**Location:** 
 San Francisco, CA (Hybrid)
**Team:** 
 Engineering
**Partner:** 
 A pioneering AI company building an autonomous operator for growth marketing.
 Underdog.io is a modern recruitment platform. One of our growing hiring partners is looking to hire a Sr Full Stack Engineer.
**About Our Hiring Partner** 
 Our hiring partner is engineering a paradigm shift in digital growth by building an AI Operator that autonomously manages advertising spend with the quantitative rigor of institutional trading. Their platform delivers transformative efficiency gains, replacing manual agency workflows with algorithmic precision. Already managing critical budgets for leading global brands, they are on a definitive path to scaling billions in autonomous ad volume. As an early\-stage San Francisco team, they are assembling foundational talent to build not just the intelligence, but the critical interfaces that foster human trust in autonomous systems.
**Why This is a Foundational Opportunity** 
* **Build the Trust Layer:** 
 Architect the primary interface where executives interact with an autonomous system, directly translating complex AI decisions into actionable insights and strategic control.
* **Lead the Product Evolution:** 
 Own the full\-stack development that transitions the platform from a service to a self\-serve product, empowering brands to manage their P\&amp;L with confidence.
* **Define the Human\-Machine Interface:** 
 Pioneer intuitive patterns for explainable AI, real\-time monitoring, and strategic guardrails within a high\-stakes financial context.
* **SF\-Based Product Leadership:** 
 Join a concentrated team in San Francisco in one of the most user\-centric and impactful San Francisco startup jobs, shaping the product experience for a category\-defining platform.
**About the Role** 
 We are seeking a Full Stack Engineer to build the cockpit for our autonomous system. While our backend engines run the math, you will build the interface that builds trust. You will own the entire layer where humans interact with the machine, creating not static dashboards, but a dynamic Command Center.
 This role is about empowering CFOs and Growth Leaders to monitor live experiments, understand the rationale behind every AI decision, and inject strategic guardrails. You will lead the technical development that transforms the user experience from observation to collaboration.
**What You'll Do** 
* **Build the Command Center:** 
 Architect and develop the primary web interface for monitoring performance. This includes building real\-time dashboards for live experiments, comprehensive audit logs, and admin panels for configuring safety parameters and strategic rules.
* **Engineer the Slack Operating System:** 
 Design and build deep Slack integrations that serve as a primary user interface, creating workflows for anomaly alerts, push notifications, and interactive approval flows for high\-stakes decisions.
* **Develop Generative Analytics:** 
 Integrate LLMs to power on\-demand, conversational analytics. Build interfaces where users can ask natural language questions and receive instant, generated charts, visualizations, and experiment summaries.
* **Design for Explainability:** 
 Create UI components and data visualizations that clearly explain AI decision\-making. Translate complex causal data into intuitive "Rationale" displays that bridge the gap between algorithmic output and human strategic understanding.
**Who You Are** 
* **A Product\-Minded Engineer:** 
 You have 4\+ years of experience building full\-stack web applications. You care deeply about the user journey and possess an intuitive sense for presenting complex data simply and effectively.
* **Modern Stack Expert:** 
 You are fluent in React and TypeScript on the frontend, and have strong backend skills in Python or Node.js. You build fast, responsive, and reliable interfaces.
* **A Communicator of Complexity:** 
 You excel at progressive disclosure and information architecture, knowing how to tailor the presentation of data for different user personas, from executives to analysts.
* **High\-Agency \&amp; Trust\-Obsessed:** 
 You proactively identify and solve UX friction. You view the product interface as the primary engine for building user confidence and trust in an autonomous system.
**Bonus Points** 
* **Slack App Development:** 
 Experience building complex, interactive Slack applications using the Bolt framework or similar platforms.
* **LLM Integration Experience:** 
 Hands\-on experience designing frontend patterns for streaming text and structured data from LLMs to create low\-latency, responsive AI experiences.
* **Design Systems:** 
 Experience building or maintaining a component library or design system.
* **Zero\-to\-One Product Experience:** 
 A background in early\-stage startups, building products from the ground up and iterating rapidly based on user feedback.
**Compensation \&amp; Benefits** 
 This role offers a competitive package designed for a product\-critical, early engineering hire.
* **Salary:** 
 Up to $295,000
* **Equity:** 
 A significant early\-stage equity package.
* **Relocation:** 
 Support for candidates moving to the Bay Area.
* **Daily Meals:** 
 Provided lunch and optional dinner.
* **Comprehensive Benefits:** 
 Full health, dental, and vision coverage, alongside an unlimited PTO policy.
**Apply Now** 
 If you are a full\-stack engineer who is passionate about building intuitive, powerful interfaces that translate complex systems into user confidence and control, we encourage you to apply. This is a defining
 **San Francisco startup job** 
 for those who want to build the critical trust layer for the future of autonomous business operations.</t>
        </is>
      </c>
    </row>
    <row r="261">
      <c r="A261" t="inlineStr">
        <is>
          <t>li-4329305077</t>
        </is>
      </c>
      <c r="B261" t="inlineStr">
        <is>
          <t>Senior Staff Software Engineer</t>
        </is>
      </c>
      <c r="C261" t="inlineStr">
        <is>
          <t>Findhelp</t>
        </is>
      </c>
      <c r="D261" t="inlineStr">
        <is>
          <t>linkedin</t>
        </is>
      </c>
      <c r="E261">
        <f>HYPERLINK("https://www.linkedin.com/jobs/view/4329305077", "https://www.linkedin.com/jobs/view/4329305077")</f>
        <v/>
      </c>
      <c r="F261">
        <f>HYPERLINK("https://jobs.lever.co/findhelp/acfb309f-f3e6-4db7-83bc-144108114913/apply?source=LinkedIn&amp;urlHash=Wmrr", "https://jobs.lever.co/findhelp/acfb309f-f3e6-4db7-83bc-144108114913/apply?source=LinkedIn&amp;urlHash=Wmrr")</f>
        <v/>
      </c>
      <c r="G261" t="inlineStr">
        <is>
          <t>Madison, WI</t>
        </is>
      </c>
      <c r="H261" t="inlineStr"/>
      <c r="I261"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As a Senior Staff Software Engineer at Findhelp, you will play a pivotal role in expanding our platform that seamlessly integrates our nationwide system of social\-services. Serving on a cross\-functional development team, you'll collaborate closely with various teams and departments to ensure the delivery of top\-tier products for our users. You will lead engineering efforts through a combination of a positive attitude, exemplary work ethic, and significant contributions to both the technical and cultural facets of engineering, all underpinned by a deep understanding of user impact. You will be able to consistently level up more junior engineers and the company in your own unique way.
**Responsibilities and Duties:**
* Someone who works to understand the user’s story to design intuitive experiences
* Own work from inception to delivery, and beyond
* Refactor legacy code as you create new features
* Mentor other engineers and foster their growth
* Work within a team and across teams to accomplish our mission of helping others
* Consistently write quality code with the end user in mind
* Architect for robustness, extensibility, scale, sustainability, and security
* Provide quality feedback in code reviews and willing to pair on coding tasks
**Qualifications:**
* 8\+ years working as a professional software developer
* Experience architecting a feature to widen the impact for long term success
* Excellent technical writing and communication skills
* Experience writing technical designs and breaking down complex features to consistently deliver value
* Experience in Python and ReactJS preferred
* Comfortable working independently in a complex Python codebase
* Comfortable scaling up on Python if you haven’t worked on it before
* Interested in mentoring others and fostering individual growth
* Good understanding of SQL, ORMs, and non\-relational databases
* Preferred GCP experience, but other cloud experience welcome
* Understanding of web performance strategies and metrics
* Experience with or a strong understanding of microservices
* Ability to follow through on commitments
* Ability to communicate technical needs and solutions to product partners
 $146,400 \- $183,000 a year
 The salary range provided reflects the national average for this job title and does not represent compensation specific to Findhelp. Actual compensation will vary based on experience, qualifications, and market factors relevant to the position.
**We value being together**
 We believe being together enables stronger relationships, collaboration, and culture.
**This position is in office and candidates must be located in Austin, Texas, Madison, Wisconsin, or Denver, Colorado**
**Perks at Findhelp**
* 401k \&amp; equity grants
* Free food and onsite gym at our Austin HQ
* Paid parental leave
* Competitive PTO \&amp; 10 paid holidays
* Employee only paid Health, Dental, and Vision insurance
* Dog\-friendly office in Austin HQ
* 24/7 access to telemedicine and counseling
*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Accommodations are available for applicants with disabilities.
 Here are some of the ways we support our staff:
* Culture Committee
* Leadership Development Training
* Paid Volunteering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2">
      <c r="A262" t="inlineStr">
        <is>
          <t>li-4370515366</t>
        </is>
      </c>
      <c r="B262" t="inlineStr">
        <is>
          <t>Senior Staff Software Engineer - HRIS</t>
        </is>
      </c>
      <c r="C262" t="inlineStr">
        <is>
          <t>Rippling</t>
        </is>
      </c>
      <c r="D262" t="inlineStr">
        <is>
          <t>linkedin</t>
        </is>
      </c>
      <c r="E262">
        <f>HYPERLINK("https://www.linkedin.com/jobs/view/4370515366", "https://www.linkedin.com/jobs/view/4370515366")</f>
        <v/>
      </c>
      <c r="F262" t="inlineStr"/>
      <c r="G262" t="inlineStr">
        <is>
          <t>New York, NY</t>
        </is>
      </c>
      <c r="H262" t="inlineStr"/>
      <c r="I262"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Rippling is rapidly expanding its global footprint and product ecosystem, and the HRIS (Human Resources Information System) is at the center of that growth. Every Rippling product—from Payroll and Benefits to Time and Identity—depends on HRIS as its source of truth.
 As a
 ****Senior Staff Engineer spanning the entire HRIS org,****
 you will serve as a technical leader responsible for both the foundational platform primitives and the complex product experiences built on top of them. You’ll design and scale the systems that power HRIS globally while also owning the end\-to\-end engineering of mission\-critical workflows relied on by millions of employees and administrators. This role requires broad technical vision, deep hands\-on execution, and the ability to influence across multiple teams and functions.
**What You Will Do**
* Set and drive the technical strategy for the HRIS org, defining long\-term direction for architecture, scalability, reliability, and usability across both platform and product surfaces.
* Design and deliver core data models, APIs, services, and abstractions that underpin HRIS and are adopted broadly across product teams.
* Own end\-to\-end engineering of critical HRIS product flows (e.g. hiring, onboarding, benefits, time, compliance), ensuring robustness, performance, and extensibility.
* Lead cross\-org initiatives such as global scale\-out, regulatory compliance, and high\-availability architecture that cut across multiple teams.
* Raise the engineering bar by influencing design and execution across the org, mentoring senior engineers, and driving best practices in both system design and product engineering.
* Collaborate closely with engineering leadership across HRIS and adjacent domains to align technical vision and deliver cohesive solutions.
**What You Will Need**
* 10\+ years of professional software engineering experience, including technical leadership roles driving org\-wide impact.
* Strong track record spanning both platform and product engineering: designing distributed systems and building complex, user\-facing applications at scale.
* Expertise in system architecture, data modeling, and service design, with an ability to balance long\-term vision with iterative delivery.
* Experience operating in high\-growth, fast\-paced environments where platform primitives and product requirements evolve rapidly.
* Strong technical leadership and mentorship skills, with proven influence across multiple teams and organizations.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t>
        </is>
      </c>
    </row>
    <row r="263">
      <c r="A263" t="inlineStr">
        <is>
          <t>li-4365580349</t>
        </is>
      </c>
      <c r="B263" t="inlineStr">
        <is>
          <t>Staff Software Engineer, TPU Supercomputer Enablement</t>
        </is>
      </c>
      <c r="C263" t="inlineStr">
        <is>
          <t>Google</t>
        </is>
      </c>
      <c r="D263" t="inlineStr">
        <is>
          <t>linkedin</t>
        </is>
      </c>
      <c r="E263">
        <f>HYPERLINK("https://www.linkedin.com/jobs/view/4365580349", "https://www.linkedin.com/jobs/view/4365580349")</f>
        <v/>
      </c>
      <c r="F263">
        <f>HYPERLINK("https://careers.google.com/jobs/results/72597486144758470-staff-software-engineer/?src=Online/LinkedIn/linkedin_us&amp;utm_source=linkedin&amp;utm_medium=jobposting&amp;utm_campaign=contract&amp;urlHash=sAWC", "https://careers.google.com/jobs/results/72597486144758470-staff-software-engineer/?src=Online/LinkedIn/linkedin_us&amp;utm_source=linkedin&amp;utm_medium=jobposting&amp;utm_campaign=contract&amp;urlHash=sAWC")</f>
        <v/>
      </c>
      <c r="G263" t="inlineStr">
        <is>
          <t>Sunnyvale, CA</t>
        </is>
      </c>
      <c r="H263" t="inlineStr"/>
      <c r="I263" t="inlineStr">
        <is>
          <t>**Minimum qualifications:**
* Bachelor's degree or equivalent practical experience.
* 8 years of experience programming in C\+\+.
* 5 years of experience testing, and launching software products.
* 5 years of experience building and developing large\-scale infrastructure, distributed systems or networks, or experience with compute technologies, storage, or hardware architecture.
* 3 years of experience with software design and architecture.
* Experience in systems infrastructure.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64">
      <c r="A264" t="inlineStr">
        <is>
          <t>li-3594479345</t>
        </is>
      </c>
      <c r="B264" t="inlineStr">
        <is>
          <t>Sr Software Engineer – Embedded Linux (Avionics)</t>
        </is>
      </c>
      <c r="C264" t="inlineStr">
        <is>
          <t>Honeywell</t>
        </is>
      </c>
      <c r="D264" t="inlineStr">
        <is>
          <t>linkedin</t>
        </is>
      </c>
      <c r="E264">
        <f>HYPERLINK("https://www.linkedin.com/jobs/view/3594479345", "https://www.linkedin.com/jobs/view/3594479345")</f>
        <v/>
      </c>
      <c r="F264">
        <f>HYPERLINK("https://ibqbjb.fa.ocs.oraclecloud.com/hcmUI/CandidateExperience/en/sites/Honeywell/job/131721/?utm_medium=jobshare&amp;utm_source=External+Job+Share&amp;urlHash=XiAX", "https://ibqbjb.fa.ocs.oraclecloud.com/hcmUI/CandidateExperience/en/sites/Honeywell/job/131721/?utm_medium=jobshare&amp;utm_source=External+Job+Share&amp;urlHash=XiAX")</f>
        <v/>
      </c>
      <c r="G264" t="inlineStr">
        <is>
          <t>Phoenix, AZ</t>
        </is>
      </c>
      <c r="H264" t="inlineStr"/>
      <c r="I264" t="inlineStr">
        <is>
          <t>***The future is what you make it.***
 As a
 **Senior Avionics Software Engineer – Embedded Linux** 
 at Honeywell, you will provide technical strength in the design, development, and delivery of secure, high\-performance avionics and connected systems. In this role, you will lead systems engineering efforts across embedded Linux platforms, define system architectures, and ensure compliance with stringent aerospace safety and security standards. You will work closely with cross\-functional teams to deliver mission\-critical solutions that shape the future of aerospace technology.
**LOCATION:** 
 Phoenix, AZ
**WORK SCHEDULE:** 
 Hybrid work schedule
***Are you ready to help make the future with us?***
 In this role, you will lead and contribute to the development of secure, scalable software solutions for avionics and connected systems operating on embedded Linux platforms. You will be responsible for defining system architectures, guiding technical execution, and ensuring compliance with aerospace certification and cybersecurity standards, while delivering reliable, high\-performance systems for safety\-critical environments.
**BENEFITS:** 
*Learn more at benefits.honeywell.com.* 
**· Unlimited Vacation Plan with No Preset Maximums** 
**· Flexible Hybrid Work Schedule** 
 · Medical/Rx Health Savings Account (HSA)
 · Dental/Vision
 · Life Insurance
 · Short/Long\-Term Disability
 · Employee Assistance Program (EAP)
 · 401(k) Match
 · Education Assistance
 · Flexible Spending Accounts
 · Parental Leave
 · 12 Paid Holidays
**KEY RESPONSIBILITIES:** 
* Develop C/C\+\+ embedded Linux software for flight deck avionics, enabling tablet and cloud connectivity.
* Collaborate with cross\-functional teams to deliver the final product.
* Validate system performance, security, and reliability in labs.
* Ensure compliance with DO\-178C and DO\-326A/356A standards.
* Provide technical guidance and support software improvements.
**YOU MUST HAVE:** 
* Bachelor’s degree from an accredited institution in a technical discipline such as science, technology, engineering, or mathematics (STEM).
* 6\+ years of experience in embedded systems development, preferably within aerospace or defense environments.
* 4\+ years of experience developing on embedded Linux platforms, with an understanding of secure system design and secure communications (e.g., TLS/SSL, certificates, key management).
**U.S. REQUIREMENTS:** 
* Due to compliance with U.S. export control laws and regulations, candidate must be a U.S. Person, which is defined as, a U.S. citizen, a U.S. permanent resident, or have protected status in the U.S. under asylum or refugee status or have the ability to obtain an export authorization
**WE VALUE: (Nice to Have Qualifications)** 
* Experience working in safety\-critical or mission\-critical engineering environments.
* Practical knowledge of avionics protocols and standards, such as ARINC 429, ARINC 615A, ARINC 615\-3, GDL90, and GDL52 is advantageous.
* Familiarity with DO\-178C, DO\-326A/356A, or similar aviation certification frameworks is beneficial.
* Understanding of Aircraft Gateway connectivity systems.
* Experience with CI/CD processes.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Honeywell Benefits information visit: https://benefits.honeywell.com
 The application period for the job is estimated to be 40 days from the job posting date; however, this may be shortened or extended depending on business needs and the availability of qualified candidates. Job Posted: January 07, 2026</t>
        </is>
      </c>
    </row>
    <row r="265">
      <c r="A265" t="inlineStr">
        <is>
          <t>li-4377501627</t>
        </is>
      </c>
      <c r="B265" t="inlineStr">
        <is>
          <t>Senior CI/CD Software Engineer</t>
        </is>
      </c>
      <c r="C265" t="inlineStr">
        <is>
          <t>Talent Stack</t>
        </is>
      </c>
      <c r="D265" t="inlineStr">
        <is>
          <t>linkedin</t>
        </is>
      </c>
      <c r="E265">
        <f>HYPERLINK("https://www.linkedin.com/jobs/view/4377501627", "https://www.linkedin.com/jobs/view/4377501627")</f>
        <v/>
      </c>
      <c r="F265" t="inlineStr"/>
      <c r="G265" t="inlineStr">
        <is>
          <t>Aurora, CO</t>
        </is>
      </c>
      <c r="H265" t="inlineStr"/>
      <c r="I265" t="inlineStr">
        <is>
          <t>**Senior CI/CD Software Engineer** 
 📍 Onsite – Aurora, CO
 💰 $200,000 – $225,000
 🔐 Active TS/SCI Required (Top Secret eligible crossover acceptable)
 Talent Stack LLC is representing a leading defense customer supporting next\-generation
 **Space Intelligence, Surveillance \&amp; Reconnaissance (ISR)** 
 and multi\-domain defense systems. This is a full\-time, onsite role in Aurora, CO supporting mission\-critical national security programs.
**Benefits:** 
 This role includes Medical, Dental, and Vision coverage, 6 weeks of paid PTO, Short\-Term Disability, a 401(k) with 5% company match, and up to $8,000 in relocation assistance. Full Benefits package can be sent upon request.
 If you are a DevOps engineer who thrives in classified, high\-performance environments and knows how to build secure, scalable CI/CD infrastructure — this is the type of program that matters.
**What you'll Do:** 
* Design, build, and maintain CI/CD pipelines using Jenkins and Groovy
* Deploy and manage containerized applications with Docker and Helm
* Troubleshoot Kubernetes at the application level (pods, services, Helm deployments)
* Improve system observability, uptime, disaster recovery readiness, and performance
* Support hybrid and local cloud environments
* Collaborate with development, infrastructure, and IA/security teams
* Lead incident response, root cause analysis, and deployment issue resolution
* Implement DevSecOps best practices and Infrastructure\-as\-Code (IaC) standards
* Integrate vulnerability scanning and secure build automation into pipelines
**Required Qualifications:** 
* STEM degree \+ 8\+ years of relevant DevOps / CI/CD engineering experience
* Strong experience writing and maintaining
 **Groovy\-based Jenkins pipelines**
* **Hands\-on experience with Docker, Helm, Kubernetes**
* **Active and transferable TS/SCI clearance required prior to start**
* **U.S. Citizenship required**
**Preferred skills:** 
* Java application integration experience
* Package repository management (Artifactory, Nexus)
* Maven, Helm, Docker, YUM package creation and mirroring in air\-gapped environments
* Scripting experience (Bash, Python, Go)
* Agile / Scrum experience
**Clearance Requirement:** 
 Active TS/SCI is required. A transferable Top Secret clearance eligible for crossover to TS/SCI is acceptable. This role supports classified programs and requires U.S. citizenship
**Third\-Party Submission Policy** 
 Talent Stack LLC does not accept unsolicited resumes or candidate submissions from third\-party recruiters, staffing agencies, or placement firms. Any resumes submitted without a prior signed agreement and written authorization will be considered the property of Talent Stack LLC and our client, and no placement fees will be paid.
 Reference Number: X16</t>
        </is>
      </c>
    </row>
    <row r="266">
      <c r="A266" t="inlineStr">
        <is>
          <t>li-4377728538</t>
        </is>
      </c>
      <c r="B266" t="inlineStr">
        <is>
          <t>Software Engineering</t>
        </is>
      </c>
      <c r="C266" t="inlineStr">
        <is>
          <t>Jobs via Dice</t>
        </is>
      </c>
      <c r="D266" t="inlineStr">
        <is>
          <t>linkedin</t>
        </is>
      </c>
      <c r="E266">
        <f>HYPERLINK("https://www.linkedin.com/jobs/view/4377728538", "https://www.linkedin.com/jobs/view/4377728538")</f>
        <v/>
      </c>
      <c r="F266" t="inlineStr"/>
      <c r="G266" t="inlineStr">
        <is>
          <t>Redmond, WA</t>
        </is>
      </c>
      <c r="H266" t="inlineStr"/>
      <c r="I266" t="inlineStr">
        <is>
          <t>**Overview**
 Microsoft Teams is revolutionizing how the world collaborates, making work seamless and secure. Join us to shape the future of remote collaboration for hundreds of millions of users, delivering effortless connectivity anywhere. Together, we're transforming modern work, life, and education by making communication truly borderless.
 As a Software Engineer in this role, you will design and build intelligent solutions that leverage data science and AI/ML models, while contributing to the collaboration experiences for meetings and immersive events.
**This opportunity will allow you to:**
* Accelerate your career growth by working on cutting\-edge AI/ML technologies.
* Develop deep technical expertise in data\-driven systems and mobile platforms.
* Gain hands\-on experience in deploying intelligent features that impact millions of users globally.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with appropriate stakeholders to determine user requirements for a set of features.
* Contribute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in AI/ML frameworks such as PyTorch or TensorFlow and practical experience applying Data Science techniques.
* Experience with cloud services.Ability to debug complex issues across client and server layers.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67">
      <c r="A267" t="inlineStr">
        <is>
          <t>li-4375190088</t>
        </is>
      </c>
      <c r="B267" t="inlineStr">
        <is>
          <t>Senior Software Engineer</t>
        </is>
      </c>
      <c r="C267" t="inlineStr">
        <is>
          <t>Underdog.io -Apply to top tech jobs in 60 seconds. A place where companies apply to you</t>
        </is>
      </c>
      <c r="D267" t="inlineStr">
        <is>
          <t>linkedin</t>
        </is>
      </c>
      <c r="E267">
        <f>HYPERLINK("https://www.linkedin.com/jobs/view/4375190088", "https://www.linkedin.com/jobs/view/4375190088")</f>
        <v/>
      </c>
      <c r="F267" t="inlineStr"/>
      <c r="G267" t="inlineStr"/>
      <c r="H267" t="inlineStr"/>
      <c r="I267" t="inlineStr">
        <is>
          <t>Underdog.io is a modern recruiting platform. One of our hiring partners who has been using Underdog to help secure top engineers is looking to hire a Sr Software Engineer.
**Mission:** 
 We exist for the hardworking individuals and businesses that form the backbone of America's economy. Our purpose is to deliver truly affordable, high\-quality healthcare solutions to the millions struggling with the burden of medical costs. We're rewriting the rules of healthcare access and affordability.
**The Role:** 
 As a Senior Software Engineer, you'll be instrumental in building and scaling the commercial SaaS platforms that power our mission. You'll collaborate directly with product managers, designers, and fellow engineers to design, develop, and deliver secure, high\-performance web and mobile applications that provide exceptional value and user experiences. This is a hands\-on role for a full\-stack engineer passionate about building impactful solutions.
**Key Responsibilities** 
**Full\-Stack Development:** 
* **Front\-End:** 
 Develop responsive, accessible, and cross\-browser compatible user interfaces using modern frameworks (React Native experience is crucial). Collaborate closely with UI/UX designers to translate vision into seamless user experiences. Optimize front\-end code for performance and scalability.
* **Back\-End:** 
 Design, develop, and maintain robust, secure server\-side logic using Node.js. Build and maintain efficient APIs for seamless front\-end/back\-end integration. Implement critical security measures (authentication, authorization, data protection).
* **Database Expertise:** 
 Design, implement, and optimize database schemas (SQL\-based technologies) for efficient storage, retrieval, and integrity. Write and optimize complex database queries, ensuring data consistency and security.
* **Cloud\-Native SaaS Development:** 
 Leverage AWS (Azure or GCP is a plus) to build, deploy, and maintain scalable and resilient cloud\-based SaaS applications and platforms.
* **Collaboration \&amp; Quality:**
* Utilize version control (e.g., Git) effectively within a team environment.
* Actively participate in code reviews, fostering high standards of code quality, readability, and maintainability.
* Work cross\-functionally with Product, Design, and QA to define requirements, troubleshoot issues, and deliver high\-quality, incremental value.
* Contribute to technical design discussions and architectural decisions.
**Required Qualifications \&amp; Experience** 
* Bachelor's degree in Engineering, Computer Science, or a related technology field.
* 5\+ years of professional software engineering experience.
* Proven experience in server\-side application development (Node.js required).
* Strong experience developing and deploying cloud\-based SaaS applications (AWS strongly preferred; Azure or GCP a plus).
* Demonstrated experience with React Native or comparable mobile development frameworks/tools.
* Solid experience with SQL database design, management, and optimization.
* Experience building and consuming RESTful APIs.
**Who You Are (Skills)** 
* **Mission\-Driven:** 
 You are energized by tackling complex challenges that have a tangible, positive impact on people's lives.
* **Resilient Problem Solver:** 
 You thrive in tackling "wicked hard" problems without easy answers. You persevere through complexity because the mission matters.
* **Uncommon Thinker:** 
 You challenge the status quo. You're driven to build innovative solutions from the ground up when existing systems fail.
* **Positive Collaborator:** 
 You build strong relationships, give recognition freely, and provide constructive feedback with care. You contribute to a supportive, generous, and humble team environment.
**Join Us:** 
 If you're a talented engineer who wants to leverage your skills to solve one of society's most critical challenges – making healthcare truly affordable and accessible – we want to hear from you. Help us build something better, from the ground up.
**Apply Now!**</t>
        </is>
      </c>
    </row>
    <row r="268">
      <c r="A268" t="inlineStr">
        <is>
          <t>li-4268471164</t>
        </is>
      </c>
      <c r="B268" t="inlineStr">
        <is>
          <t>Software Engineer Graduate (Data Arch - Data Ecosystem ) - 2026 (PhD)</t>
        </is>
      </c>
      <c r="C268" t="inlineStr">
        <is>
          <t>TikTok</t>
        </is>
      </c>
      <c r="D268" t="inlineStr">
        <is>
          <t>linkedin</t>
        </is>
      </c>
      <c r="E268">
        <f>HYPERLINK("https://www.linkedin.com/jobs/view/4268471164", "https://www.linkedin.com/jobs/view/4268471164")</f>
        <v/>
      </c>
      <c r="F268" t="inlineStr"/>
      <c r="G268" t="inlineStr">
        <is>
          <t>San Jose, CA</t>
        </is>
      </c>
      <c r="H268" t="inlineStr"/>
      <c r="I268" t="inlineStr">
        <is>
          <t>**Responsibilities**
 About the team:
 The TikTok Data Ecosystem Team has the vital role of crafting and implementing a storage solution for offline data in TikTok's recommendation system, which caters to more than a billion users. Their primary objectives are to guarantee system reliability, uninterrupted service, and seamless performance. They aim to create a storage and computing infrastructure that can adapt to various data sources within the recommendation system, accommodating diverse storage needs. Their ultimate goal is to deliver efficient, affordable data storage with easy\-to\-use data management tools for the recommendation, search, and advertising functions.
 We are looking for talented individuals to join our team in 2026\.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2026\.
**Responsibilities:**
* Design and implement real\-time and offline data architecture for large\-scale recommendation systems.
* Build scalable and high\-performance streaming Lakehouse systems that power feature pipelines, model training, and real\-time inference.
* Collaborate with ML platform teams to support PyTorch\-based model training workflows and design efficient data formats and access patterns for large\-scale samples and features.
* Own core components of our distributed storage and processing stack, from file format to stream compaction to metadata management.
**Qualifications**
 Minimum Qualifications:
* PhD or Master’s degree in Computer Science or related technical field.
* Experience building large\-scale distributed systems, preferably in storage, stream processing, or ML infrastructure.
* Solid understanding of Apache Flink internals, with hands\-on experience in state management, connectors, or UDFs.
* Familiarity with modern Lakehouse technologies such as Apache Paimon, Iceberg, Delta Lake, or Hudi, especially around incremental ingestion, schema evolution, and snapshot isolation.
**Preferred Qualifications:**
* Experience in designing and optimizing Flink \+ Paimon architectures for unified batch/stream processing.
* Familiarity with feature storage and training data pipelines, and their integration with PyTorch, especially for large\-scale model training.
* Knowledge of columnar file formats (Parquet, ORC, Lance) and how they are used in feature engineering or ML data loading.
* Proficiency in Java/Scala/C\+\+, and strong debugging/performance tuning ability.
* Previous experience in Lakehouse metadata management, compaction scheduling, or data versioning is a plus.
* (Optional) Knowledge of legacy data stores like HBase/Kudu is a bonus but not required.
 Job Information
**【For Pay Transparency】Compensation Description (Annually)**
 The base salary range for this position in the selected city is $122574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269">
      <c r="A269" t="inlineStr">
        <is>
          <t>li-4377756530</t>
        </is>
      </c>
      <c r="B269" t="inlineStr">
        <is>
          <t>Staff Software Engineer - Billing &amp; Subscription</t>
        </is>
      </c>
      <c r="C269" t="inlineStr">
        <is>
          <t>Suno</t>
        </is>
      </c>
      <c r="D269" t="inlineStr">
        <is>
          <t>linkedin</t>
        </is>
      </c>
      <c r="E269">
        <f>HYPERLINK("https://www.linkedin.com/jobs/view/4377756530", "https://www.linkedin.com/jobs/view/4377756530")</f>
        <v/>
      </c>
      <c r="F269">
        <f>HYPERLINK("https://jobs.ashbyhq.com/suno/16c7d5bf-e43c-4319-bdfc-6a7dbdf58e43&amp;urlHash=9cDC", "https://jobs.ashbyhq.com/suno/16c7d5bf-e43c-4319-bdfc-6a7dbdf58e43&amp;urlHash=9cDC")</f>
        <v/>
      </c>
      <c r="G269" t="inlineStr">
        <is>
          <t>Boston, MA</t>
        </is>
      </c>
      <c r="H269" t="inlineStr"/>
      <c r="I269" t="inlineStr">
        <is>
          <t>**About Suno**
 Suno is a music company built to amplify imagination. Powered by the world’s most advanced AI music model, Suno offers an unparalleled creative platform that includes Suno Studio, a breakthrough generative audio workstation. From shower\-singers to aspiring songwriters to seasoned artists, Suno empowers a global community to create, share, and discover music—unlocking the joy of musical expression for all.
**About The Role**
 Billing is one of the most consequential systems at Suno — it's where every product decision about value becomes real. We're looking for a detail\-obsessed engineer to be our first dedicated billing hire and own this domain end\-to\-end. You'll set the technical direction, be a key voice in how we think about the future of our revenue model, and build infrastructure that has to be exactly right at scale.
**What You'll Do**
* Own Suno's billing systems across web and mobile, including our Stripe and RevenueCat integrations, subscription lifecycle, and usage metering.
* Lead the evolution of our billing architecture — including an in\-progress migration to a modern ledger\-based model — making it more maintainable and easier to reason about as the business grows.
* Participate in product and strategy discussions about how Suno monetizes, bringing technical judgment to decisions that have direct revenue impact.
* Build tools and systems that give the broader team more leverage.
**What You'll Need**
* 5\+ years of backend engineering experience, ideally building systems where being wrong has immediate real\-world consequences — payments, financial infrastructure, distributed systems, or similar.
* A natural instinct to think about failure modes first: what happens if this event arrives twice, out of order, or not at all?
* Strong product sense alongside technical depth — you care about what users experience, not just what the code does.
* A high bar for correctness that you hold yourself and others to without being told.
* Bachelor's degree in Computer Science or equivalent experience.
* Experience with Stripe is a plus.
* A love for music is a huge plus.
**Additional Notes:** 
 Applicants must be eligible to work in the US.
**Location:** 
 This is an onsite role in our NYC or Cambridge, MA office.
**Perks \&amp; Benefits For Full\-Time Employees**
* Company Equity Package
* 401(k) with 3% Employer Match \&amp; Roth 401(k)
* Medical, Dental, \&amp; Vision Insurance (PPO w/ HSA \&amp; FSA options)
* 11 Paid Holidays \+ Unlimited PTO \&amp; Sick Time
* 16 Weeks of Paid Parental Leave
* Creative Education Stipend
* Generous Commuter Allowance
*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is>
      </c>
    </row>
    <row r="270">
      <c r="A270" t="inlineStr">
        <is>
          <t>li-4379501246</t>
        </is>
      </c>
      <c r="B270" t="inlineStr">
        <is>
          <t>Lead Software Engineer - Quality engineering</t>
        </is>
      </c>
      <c r="C270" t="inlineStr">
        <is>
          <t>JPMorganChase</t>
        </is>
      </c>
      <c r="D270" t="inlineStr">
        <is>
          <t>linkedin</t>
        </is>
      </c>
      <c r="E270">
        <f>HYPERLINK("https://www.linkedin.com/jobs/view/4379501246", "https://www.linkedin.com/jobs/view/4379501246")</f>
        <v/>
      </c>
      <c r="F270" t="inlineStr"/>
      <c r="G270" t="inlineStr">
        <is>
          <t>Plano, TX</t>
        </is>
      </c>
      <c r="H270" t="inlineStr"/>
      <c r="I270" t="inlineStr">
        <is>
          <t>**Job Description**
 We have an opportunity to impact your career and provide an adventure where you can push the limits of what's possible.
 As a Lead Software Engineer at JPMorganChase within the Consumer and Community Banking technology \- Deposits Platform,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Owns and leads the governance of quality coverage across all scrum teams, including unit, integration, contract, and end\-to\-end testing
* Defines and monitors quality metrics such as coverage percentage, defect leakage, and automation effectiveness
* Acts as the bridge between development and quality enablement, driving consistency and best practices across teams
* Leads, maintains and evolves test frameworks, tools, and CI/CD quality gates to support robust automation
* Fosters a team culture of diversity, inclusion, and respect, supporting collaboration and professional growth in quality initiatives
**Required Qualifications, Capabilities, And Skills**
* Formal training or certification on software engineering concepts and 5\+ years applied experience.
* Deep expertise in test automation frameworks, for backend APIs and stream services, integrating coverage and quality metrics
* Solid understanding of contract testing, mocking frameworks, service virtualization, and automation best practices
* Advanced knowledge of agile methodologies, application resiliency, security, shift\-left quality enablement
* Experience creating scalable microservices using Java, and Spring Boot,
* Strong experience in CI/CD toolsets (including GIT, Jenkins, JUnit, and Mockito) to develop high\-quality software
* 3\+ yrs of hands\-on leadership experience with varying levels of Software Engineers in an agile Scrum environment
**Preferred Qualifications, Capabilities, And Skills**
* Familiarity with modern front\-end technologies
* Exposure to cloud technologies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71">
      <c r="A271" t="inlineStr">
        <is>
          <t>li-4307686635</t>
        </is>
      </c>
      <c r="B271" t="inlineStr">
        <is>
          <t>Senior Software Engineer, Backend (Merchant Interfaces)</t>
        </is>
      </c>
      <c r="C271" t="inlineStr">
        <is>
          <t>Affirm</t>
        </is>
      </c>
      <c r="D271" t="inlineStr">
        <is>
          <t>linkedin</t>
        </is>
      </c>
      <c r="E271">
        <f>HYPERLINK("https://www.linkedin.com/jobs/view/4307686635", "https://www.linkedin.com/jobs/view/4307686635")</f>
        <v/>
      </c>
      <c r="F271">
        <f>HYPERLINK("https://job-boards.greenhouse.io/affirm/jobs/7471141003?gh_src=689c81d53us&amp;urlHash=QPBg", "https://job-boards.greenhouse.io/affirm/jobs/7471141003?gh_src=689c81d53us&amp;urlHash=QPBg")</f>
        <v/>
      </c>
      <c r="G271" t="inlineStr">
        <is>
          <t>Raleigh, NC</t>
        </is>
      </c>
      <c r="H271" t="inlineStr"/>
      <c r="I271" t="inlineStr">
        <is>
          <t>Affirm is reinventing credit to make it more honest and friendly, giving consumers the flexibility to buy now and pay later without any hidden fees or compounding interest.
 The Partner Merchant Interface (PMI) team builds the APIs and solutions that powers Affirm’s integrations with Enterprise Merchants and Partners. We create and manage the APIs and tools that drive checkout and merchant onboarding, and we collaborate with stakeholders to design and build custom end\-to\-end integrated solutions.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contribute to the entire API lifecycle, including designing, developing, testing, maintaining, and evolving our APIs.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USA 8**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72">
      <c r="A272" t="inlineStr">
        <is>
          <t>li-4374590893</t>
        </is>
      </c>
      <c r="B272" t="inlineStr">
        <is>
          <t>Full-Stack Software Engineer II (JavaScript) - S&amp;P Global</t>
        </is>
      </c>
      <c r="C272" t="inlineStr">
        <is>
          <t>Jobs via eFinancialCareers</t>
        </is>
      </c>
      <c r="D272" t="inlineStr">
        <is>
          <t>linkedin</t>
        </is>
      </c>
      <c r="E272">
        <f>HYPERLINK("https://www.linkedin.com/jobs/view/4374590893", "https://www.linkedin.com/jobs/view/4374590893")</f>
        <v/>
      </c>
      <c r="F272" t="inlineStr"/>
      <c r="G272" t="inlineStr">
        <is>
          <t>Cambridge, MA</t>
        </is>
      </c>
      <c r="H272" t="inlineStr"/>
      <c r="I272" t="inlineStr">
        <is>
          <t>Kensho is S\&amp;P Global's hub for AI innovation and transformation. With expertise in machine learning, natural language processing, and data discovery, we develop and deploy novel solutions to innovate and drive progress at S\&amp;P Global and its customers worldwide. Kensho's solutions and research focus on business and financial generative AI applications, agents, data retrieval APIs, data extraction, and much more.
 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
 Kensho's Applications group develops the web apps and APIs that deliver Kensho's AI capabilities to our customers. Our teams are small, product\-focused, and intent on shipping high\-quality code that best leverages our efforts. We're collegial, humble, and inquisitive, and we delight in learning from teammates with backgrounds, skills, and interests different from our own.
 Our App Experiences team focuses on breathing life into novel ML capabilities, translating them into valuable and intuitive end\-user experiences. We collaborate closely with our Product and Design teams to understand user needs, looking for creative applications and delivery mechanisms of our technology. We demo early and often, and we keep a tight iteration loop. We sweat the details when it comes to UX.
 As a Full\-Stack Software Engineer II, you will build AI\-centric web applications in TypeScript ranging from experimental POCs to full\-fledged product offerings. You'll work with the team to understand trade\-offs and make technical and architectural decisions. You'll aim for high iteration velocity and optimize for learning. The ideal candidate loves product and views technology as a means, not an end, and is excited to gain familiarity with all aspects of the software development lifecycle.
 At Kensho, we believe in flexibility\-first, and give our employees the opportunity to work from where they feel most productive and engaged (must be in the United States). We also value in\-person collaboration, so there may be times when travel to one of our Kensho hubs (e.g., Cambridge, MA or NYC) will be required for team meetings or company events.
 Kensho states that the anticipated base salary range for the position is 130 \-175k. In addition, this role is eligible for an annual incentive bonus and equity plans. At Kensho, it is not typical for an individual to be hired at or near the top of the range for their role and compensation decisions are dependent on the facts and circumstances of each case.
**What You'll Do:**
* Build full\-stack and SPA TypeScript applications ranging from experiments to flagship products
* Collaborate on product decisions and communicate technical constraints and considerations
* Collaborate on technical decisions and conventions
* Quickly level up and learn from the team and the broader organization via mentorship, code review, knowledge sharing, etc.
* Manage project priorities, estimates, and deliverables
****What You'll Need:****
* At least three years of direct experience building commercial web applications in JavaScript/TypeScript
* At least two years of that experience working directly on web UIs in a modern framework
* At least one domain of interest to develop deep expertise (e.g., web performance, design systems, framework knowledge, etc.)
* Some interest in product design
* Kind and efficient communication skills for both technical and non\-technical audiences
* Ability to deeply understand product and technical requirements
****Technologies \&amp; Tools We Use:****
* Development : TypeScript, React, Next.js, Tailwind, LangGraph, AI SDK, Drizzle
* Ops : Git, GitHub, Amazon EKS, AWS, Sentry, Langfuse, Prometheus
 At Kensho, we pride ourselves on providing top\-of\-market benefits, including:
* Medical, Dental, and Vision insurance
* 100% company paid premiums
* Unlimited Paid Time Off
* 26 weeks of 100% paid Parental Leave (paternity and maternity)
* 401(k) plan with 6% employer matching
* Generous company matching on donations to non\-profit charities
* Up to $20,000 tuition assistance toward degree programs, plus up to $4,000/year for ongoing professional education such as industry conferences
* Plentiful snacks, drinks, and regularly catered lunches
* Dog\-friendly office (CAM office)
* Bike sharing program memberships
* Compassion leave and elder care leave
* Mentoring and additional learning opportunities
* Opportunity to expand professional network and participate in conferences and events
**Recruitment Fraud Alert:**
 If you receive an email from a spglobalind.com domain or any other regionally based domains, it is a scam and should be reported to reportfraud@spglobal.com .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We are an equal opportunity employer that welcomes future Kenshins with all experiences and perspectives. Kensho is headquartered in Cambridge, MA, with an additional office location in New York City. All qualified applicants will receive consideration for employment without regard to race, color, religion, sex, sexual orientation, gender identity, or national origin.</t>
        </is>
      </c>
    </row>
    <row r="273">
      <c r="A273" t="inlineStr">
        <is>
          <t>li-4309637846</t>
        </is>
      </c>
      <c r="B273" t="inlineStr">
        <is>
          <t>Software Engineer III - Technical Lead</t>
        </is>
      </c>
      <c r="C273" t="inlineStr">
        <is>
          <t>Verisk</t>
        </is>
      </c>
      <c r="D273" t="inlineStr">
        <is>
          <t>linkedin</t>
        </is>
      </c>
      <c r="E273">
        <f>HYPERLINK("https://www.linkedin.com/jobs/view/4309637846", "https://www.linkedin.com/jobs/view/4309637846")</f>
        <v/>
      </c>
      <c r="F273">
        <f>HYPERLINK("https://fa-ewmy-saasfaprod1.fa.ocs.oraclecloud.com/hcmUI/CandidateExperience/en/job/2406/?utm_medium=jobboard&amp;utm_source=linkedin&amp;urlHash=HNNl", "https://fa-ewmy-saasfaprod1.fa.ocs.oraclecloud.com/hcmUI/CandidateExperience/en/job/2406/?utm_medium=jobboard&amp;utm_source=linkedin&amp;urlHash=HNNl")</f>
        <v/>
      </c>
      <c r="G273" t="inlineStr">
        <is>
          <t>Holmdel, NJ</t>
        </is>
      </c>
      <c r="H273" t="inlineStr"/>
      <c r="I273" t="inlineStr">
        <is>
          <t>**Job Description**
 The Senior Software Engineer operates as a senior/lead team member of a team, assisting assigned Insurance Carrier project teams (“our clients”) to implement, integrate, leverage and enhance the FAST platform. We rely on a dynamic team of engineers to create solutions for our rapidly evolving technical stack. We’re seeking a full stack developer who is smart, proactive, and results\-oriented to build elegant solutions for the Life insurance industry's complex business domain and make our industry\-leading products even better.
 The ideal candidate has experience building products across the stack and a firm understanding of web frameworks, APIs, databases, and multiple back\-end languages for a SaaS application. The full stack developer will join a small team to solve challenges for both the front\-end and back\-end architecture, ultimately delivering amazing experiences for the Life insurance industry. This role is based in our Holmdel, NJ location which offers a flexible hybrid work model.
**Responsibilities**
**Objectives of this role**
* Provide guidance to junior and mid\-level engineers, helping them develop their technical skills, career growth, and problem\-solving abilities
* Work across the full stack, building highly scalable distributed solutions that enable positive user experiences and measurable business growth
* Develop new features and infrastructure in support of rapidly emerging business and project objectives
* Ensure application performance, uptime, and scale, and maintain high standards for code quality and application design
* Develop new features and infrastructure in support of rapidly emerging business and project requirements
* Be a leading voice in the continuous modernization of the SaaS offering
* Be the primary point of contact with customers for all aspects of the FAST platform
* Serve as the primary point of contact for technical discussions with senior management, other engineering teams, and business units.
* Translate complex technical topics into clear, understandable language for non\-technical stakeholders both internally and for the customer.
* Participate in all aspects of agile software development, including design, implementation, and deployment
* Design and provide guidance on building end\-to\-end systems optimized for speed and scale leveraging SOA design principles on J2EE and .NET platforms
* Work primarily in technologies like .NET, Angular/REACT, Java Script, SQL Server, Postgres, etc.
* Engage with inspiring designers and front\-end engineers, and collaborate with leading back\-end engineers to create reliable APIs
* Develop next generation user interfaces for all applications and innovate on integration patterns using Microservice design
**Responsibilities**
* Serve as the primary point of contact for technical discussions with senior management, other engineering teams, and business units.
* Translate complex technical topics into clear, understandable language for non\-technical stakeholders both internally and for the customer.
* Participate in all aspects of agile software development, including design, implementation, and deployment
* Design and provide guidance on building end\-to\-end systems optimized for speed and scale leveraging SOA design principles on J2EE and .NET platforms
* Work primarily in technologies like .NET, Angular/REACT, Java Script, SQL Server, Postgres, etc.
* Engage with inspiring designers and front\-end engineers, and collaborate with leading back\-end engineers to create reliable APIs
* Develop next generation user interfaces for all applications and innovate on integration patterns using Microservice design
**Qualifications**
**Soft Skills and Personal Attributes**
* Strong analytical skills to breakdown complex objectives and provide appropriate solutions within the context of the FAST application.
* A strong focus on delivering value to clients, ensuring that their needs are prioritized while balancing operational and regulatory constraints.
* Communication \&amp; Presentation: Excellent communication skills, particularly in articulating complex product features and benefits to clients in a clear, concise, and persuasive manner.
* Communication and Interpersonal skills: Excellent verbal and written communication skills to convey complex information clearly to various stakeholders. Strong relationship\-building skills to foster collaboration across departments.
**Required Technical Skills And Qualifications**
* At least 5\-7 of Industry experience in working and building large\-scale software applications
* Experience in building web applications
* Demonstrated programing expertise in Java, C\#, or .Net
* Experience with data design and working with relational databases (postgres, sqlserver)
* Experience with tuning stored procedures
* Strong skills with object\-oriented programming and Enterprise software design principles
* Development experience with javascript frameworks (React, Angular, ExtJS) a plus
* Prior development utilizing SOA concepts and methodologies. Experience with Microfrontends and Microservices a plus
* Strong leader capable of motivating and energizing resources
* Prior leadership and/or management experience of on\-shore and off\-shore resources
* Experience in designing and integrating RESTful APIs
* Excellent debugging and optimization skills
* Experience in unit/integration testing
* Experience with AWS Services
* Experience with AWS Services
* Experience building configurable enterprise applications
* Bachelor’s degree (or equivalent) in computer science, information technology, or engineering (Masters a plus)
* Interest in learning new tools, languages, workflows, and philosophies
* Professional certifications
**Preferred Skills And Qualifications**
* Experience building configurable enterprise applications
* Bachelor’s degree (or equivalent) in computer science, information technology, or engineering (Masters a plus)
* Interest in learning new tools, languages, workflows, and philosophies
* Professional certifications
**About Us**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Verisk Employee Privacy Notice</t>
        </is>
      </c>
    </row>
    <row r="274">
      <c r="A274" t="inlineStr">
        <is>
          <t>li-4365574701</t>
        </is>
      </c>
      <c r="B274" t="inlineStr">
        <is>
          <t>Staff ML Software Engineer, Generative AI, Search Ads</t>
        </is>
      </c>
      <c r="C274" t="inlineStr">
        <is>
          <t>Google</t>
        </is>
      </c>
      <c r="D274" t="inlineStr">
        <is>
          <t>linkedin</t>
        </is>
      </c>
      <c r="E274">
        <f>HYPERLINK("https://www.linkedin.com/jobs/view/4365574701", "https://www.linkedin.com/jobs/view/4365574701")</f>
        <v/>
      </c>
      <c r="F274">
        <f>HYPERLINK("https://careers.google.com/jobs/results/83118298446602950-staff-ml-software-engineer/?src=Online/LinkedIn/linkedin_us&amp;utm_source=linkedin&amp;utm_medium=jobposting&amp;utm_campaign=contract&amp;urlHash=QJtB", "https://careers.google.com/jobs/results/83118298446602950-staff-ml-software-engineer/?src=Online/LinkedIn/linkedin_us&amp;utm_source=linkedin&amp;utm_medium=jobposting&amp;utm_campaign=contract&amp;urlHash=QJtB")</f>
        <v/>
      </c>
      <c r="G274" t="inlineStr">
        <is>
          <t>Mountain View, CA</t>
        </is>
      </c>
      <c r="H274" t="inlineStr"/>
      <c r="I274" t="inlineStr">
        <is>
          <t>**Minimum qualifications:**
* Bachelor’s degree or equivalent practical experience.
* 8 years of experience in software development.
* 5 years of experience developing or launching products or technologies within artificial intelligence or machine learning.
* 5 years of experience with ML design and ML infrastructure (e.g., model deployment, model evaluation, data processing, debugging, fine tuning).
* Experience developing software applications using C\+\+ programming language.
* Experience with Large Language Models (LLM), Natural Language Processing (NLP), or Generative AI.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 Experience with Google ads or digital advertising platforms and ecosystems, with a focus on ads personalization.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Ads Personalization and Intents team's mission is to build industry\-leading ad personalization and intent solutions that connect people to relevant ads and content, while respecting user privacy and building trust. Our team leverages data and Machine Learning (ML) to understand user interests and intent signals that inform relevant, timely ad experiences. We aim to balance value and transparency, developing innovative personalization models powered by responsible use of first\-party data. In this role, you will focus on personalization in the Generative AI (GenAI) space, such as building ads creatives or ad explanations.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enhance large\-scale software solutions.
* Provide technical leadership on high\-impact projects. Manage project priorities, deadlines, and deliverables.
* Facilitate alignment and clarity across teams on goals, outcomes, and timelines. Influence and coach a distributed team of Engineers.
* Lead the design and implementation of solutions in specialized ML areas, optimize ML infrastructure, and guide the development of model optimization and data processing strategies.
* Collaborate across Generative AI teams in ads quality and Google DeepMind to create and execute on goal and roadmap to ensure that users feel connected with Generative AI ads.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5">
      <c r="A275" t="inlineStr">
        <is>
          <t>li-4377729583</t>
        </is>
      </c>
      <c r="B275" t="inlineStr">
        <is>
          <t>Sr. RF Silicon Software Engineer (Starlink)</t>
        </is>
      </c>
      <c r="C275" t="inlineStr">
        <is>
          <t>Jobs via Dice</t>
        </is>
      </c>
      <c r="D275" t="inlineStr">
        <is>
          <t>linkedin</t>
        </is>
      </c>
      <c r="E275">
        <f>HYPERLINK("https://www.linkedin.com/jobs/view/4377729583", "https://www.linkedin.com/jobs/view/4377729583")</f>
        <v/>
      </c>
      <c r="F275">
        <f>HYPERLINK("https://click.appcast.io/t/415aHZn35G9A33ITpWuyWTW3XfVDKoM32yyJtEdLPsE=&amp;urlHash=AxJq", "https://click.appcast.io/t/415aHZn35G9A33ITpWuyWTW3XfVDKoM32yyJtEdLPsE=&amp;urlHash=AxJq")</f>
        <v/>
      </c>
      <c r="G275" t="inlineStr">
        <is>
          <t>Redmond, WA</t>
        </is>
      </c>
      <c r="H275" t="inlineStr"/>
      <c r="I275"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RF SILICON SOFTWARE ENGINEER (STARLINK)**
 At SpaceX we're leveraging our experience in building rockets and spacecraft to deploy Starlink, the world's most advanced broadband internet system. Starlink is the world's largest satellite constellation and is providing fast, reliable connectivity to millions of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SpaceX is looking for engineers with backgrounds in electrical engineering and software development to bring new silicon to life. The ideal candidate will have real\-world experience in multiple areas that span the hardware/software boundary: RF measurements, automation software, hardware development, and embedded firmware. You will be part of a multidisciplinary team focused on solving challenging problems related to the silicon used in all terrestrial/space\-based elements of a high\-performance wireless digital communication system. You will join a team with "extreme ownership" of the silicon life\-cycle, from system requirements, to chip design, to characterization, to production ramp\-up, to on\-orbit telemetry monitoring.
**RESPONSIBILITIES:**
 As an engineer on the RFIC team, you will solve challenging problems related to all aspects of the RF silicon that we design in\-house. Much of the measurement system software and hardware that you create will be first\-generation, supporting RF/RFIC designs well into the future.
* Bring up new RF silicon as the first engineer to power on chips for the very first time
* Design and build modular, reusable software driver libraries for low\-level silicon control with special attention to timing, throughput, performance, and simplicity
* Design and build hardware test platforms (hardware\-in\-the\-loop/HTIL/HIL), and validate silicon driver software on physical hardware or FPGA emulators
* Support software integration into multiple project\-specific flight software teams such as satellite phased\-arrays and user terminal production
**BASIC QUALIFICATIONS:**
* Bachelor's degree in electrical engineering, computer engineering or computer science
* 5\+ years of professional development experience in C, C\+\+, or Python
**PREFERRED SKILLS AND EXPERIENCE:**
* Professional experience developing, debugging, and deploying software that has been used in real\-world applications or projects
* Solid engineering fundamentals and knowledge of electronics, math, physics, and RF communication systems
* Strong skills in debugging, performance optimization, and unit testing
* Creative approach to problem\-solving and exceptional analytical skills
* Excellent communication skills both written and verbal
* Ability to work effectively in a dynamic environment with changing needs and requirements
**ADDITIONAL REQUIREMENTS:**
* Must be willing to work extended hours and weekends as needed to meet critical milestones
**COMPENSATION AND BENEFITS:**
 Pay range:
 RF Silicon Software Engineer/Senior: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t>
        </is>
      </c>
    </row>
    <row r="276">
      <c r="A276" t="inlineStr">
        <is>
          <t>li-4299767500</t>
        </is>
      </c>
      <c r="B276" t="inlineStr">
        <is>
          <t>Staff Software Engineer - Front End (Bangkok based, Relocation provided)</t>
        </is>
      </c>
      <c r="C276" t="inlineStr">
        <is>
          <t>Agoda</t>
        </is>
      </c>
      <c r="D276" t="inlineStr">
        <is>
          <t>linkedin</t>
        </is>
      </c>
      <c r="E276">
        <f>HYPERLINK("https://www.linkedin.com/jobs/view/4299767500", "https://www.linkedin.com/jobs/view/4299767500")</f>
        <v/>
      </c>
      <c r="F276" t="inlineStr"/>
      <c r="G276" t="inlineStr">
        <is>
          <t>Seattle, WA</t>
        </is>
      </c>
      <c r="H276" t="inlineStr"/>
      <c r="I276"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**Shape the Future of Frontend at Agoda as a Staff Software Engineer in Bangkok**
 Are you a visionary Front\-End architect seeking a new adventure? Lead Agoda’s front end transformation and drive seamless experiences for millions. Join our multilingual, multicultural engineering team in Bangkok and make a global mark—with world\-class relocation and family support.
**Why Agoda \&amp; Why Bangkok?**
* Global Engineering, Global Impact: Join a high\-energy, international team driving innovation across regions.
* Vibrant Bangkok HQ: Work in a tech\-centric city with a thriving expat community, beautiful culture, and world\-famous cuisine.
* English\-First: Work and collaborate in English—no Thai required!
**Your Role \&amp; Impact**
* Spearhead architecture and system design of Agoda’s next\-gen front end systems
* Drive best\-in\-class performance, accessibility, and usability
* Mentor and subject\-matter\-expert for the FE engineering team
* Influence stakeholders in the Product and Business teams
* Set technical standards and ensure scalability
**What You’ll Bring**
* 8\+ years’ experience building and leading rich web applications at scale
* Deep mastery of JavaScript/TypeScript and modern frameworks (React, Next, Vue)
* Portfolio of building robust, high\-performance SPA/SSR front ends and core web vitals
* Strong background in team leadership, system design, and stakeholder influence
* Bonus: Experience with A/B experimentation, international exposure, or travel/e\-commerce products
**What We Offer**
* Premium Relocation \&amp; Expat Support:
* Visa, flight \&amp; moving package for you and family
* Temporary housing, settling\-in help, and expat community onboarding
* Spousal/partner and family adaptation support
* Unique Agoda Perks:
* International healthcare benefits
* Hybrid remote/Bangkok HQ model
* Learning and development budget, hackathons, and internal tech communities
**Get to know first\-hand testimonials of Agodans relocating from around the world to Bangkok:** 
**https://careersatagoda.com/agodans\-in\-bangkok/**
**Agoda’s Engineering Blog:** 
**https://medium.com/agoda\-engineering**
**This position is based in Bangkok, Thailand (Relocation Provided)**
 \#bangalore \#sanfrancisco \#newyork \#seattle \#hyderabad \#Pune \#London \#Delhi \#Chennai \#Toronto \#Dallas \#losangeles \#washingtonDC \#Austin \#Chicago \#Atlanta \#SaoPaulo \#mumbai \#vancouver \#IT \#ENG \#4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277">
      <c r="A277" t="inlineStr">
        <is>
          <t>li-4378470659</t>
        </is>
      </c>
      <c r="B277" t="inlineStr">
        <is>
          <t>Experienced Software Developer Engineer (P-8 Mission Systems)</t>
        </is>
      </c>
      <c r="C277" t="inlineStr">
        <is>
          <t>Jobs via Dice</t>
        </is>
      </c>
      <c r="D277" t="inlineStr">
        <is>
          <t>linkedin</t>
        </is>
      </c>
      <c r="E277">
        <f>HYPERLINK("https://www.linkedin.com/jobs/view/4378470659", "https://www.linkedin.com/jobs/view/4378470659")</f>
        <v/>
      </c>
      <c r="F277">
        <f>HYPERLINK("https://click.appcast.io/t/aXNOUrEB2Twpi5J7FXukcmyQ86SERfYIL36j1CvaAy0=&amp;urlHash=ynEw", "https://click.appcast.io/t/aXNOUrEB2Twpi5J7FXukcmyQ86SERfYIL36j1CvaAy0=&amp;urlHash=ynEw")</f>
        <v/>
      </c>
      <c r="G277" t="inlineStr">
        <is>
          <t>Kent, WA</t>
        </is>
      </c>
      <c r="H277" t="inlineStr"/>
      <c r="I277" t="inlineStr">
        <is>
          <t>**Company:**
 The Boeing Company
 The Boeing Company is currently seeking an
 **Experienced Software Developer Engineer** 
 to support our P\-8 Mission Systems Software team located in Kent, Washington. This position will focus on supporting the Boeing Defense, Space and Security Services (BDS) Software Engineering organization.
 In this position, you will be responsible for designing and developing Mission Systems software, testing, and supporting system functionality including operational support. This position will focus on supporting the Boeing Defense, Space and Security Services (BDS) Software Engineering organization.
 You'll be an integral part of supporting the Boeing Defense, Space and Security (BDS) P\-8 Poseidon program, which is the premier Anti\-Submarine Warfare (ASW) platform for the US Navy and several international partners. Upcoming contract awards have enabled team expansion and growth. This franchise program is anticipated to continue to be a stable program for the foreseeable future.
 We are seeking a leader that is passionate about aerospace and excited to work in a multi\-disciplined, collaborative engineering environment that supports the design, development, and implementation of software for existing and emerging government and international programs.
 This exciting position requires demonstrated experience as a Software Developer Engineer, knowledge of the full software development life cycle (requirements, design, code, test), and the clear exhibition of superior judgment and decision making to engineer new solutions and support existing capabilities for multiple programs and customers. Demonstrated critical thinking and troubleshooting skills are required.
**Position Responsibilities:**
* Designs, develops, tests, and maintains non\-embedded software throughout the end\-to\-end lifecycle that meets industry, customer, safety, and regulation standards.
* Reviews, analyzes, and translates customer requirements into initial design of software products.
* Develops, maintains, enhances and optimizes software products and functionalities for systems integrations.
* Develops, documents and maintains architectures, requirements, algorithms, interfaces and designs for software products.
* Debugs and resolves issues identified to ensure the reliability and efficiency of software products.
* Handles user inquiries, troubleshoots technical issues and user feedback analysis.
* Implements current and emerging technologies, tools, frameworks and changes in regulations relevant to software development.
* Develops, establishes, monitors and improves software processes, tools and key performance metrics that align projects with organizational goals and industry benchmarks.
* Executes and documents software research and development projects.
* Advises on software domains, system\-specific issues, processes and regulations.
* Performs software project management activities and software supplier management functions.
* Tracks and evaluates software team and supplier performance to ensure product and process compliance to project plans and industry standards.
**Basic Qualifications (Required Skills/Experience):**
* ship required
* Ability to obtain a Secret U.S. Security Clearance
* Bachelor of Science degree from an accredited course of study in engineering, engineering technology, mathematics, data science, or computer science with 3 or more years of engineering work experience.
* 3 or more years of engineering work experience in:
+ Java (preferred), C\+\+ or C programming language experience
+ Linux or Windows development environments
+ Agile software development processes
**Preferred Qualifications (Desired Skills/Experience):**
* Software Architecture experience
* Software Requirements experience
* Interface design and control document experience
* Troubleshooting H/W and S/W issues in a complex environment
* Scripting languages: XML, Pearl, Python
* Exposure to Object Oriented Design
* Use case development
* Supporting contractual deliverables
* Development of User Interface design
* Experience in Weapons Integration on military platforms
* Experience in engineering discipline(s) (e.g., electrical, mechanical, software engineering) applied to product related systems throughout the product development life cycle, from concept development to deployment
* Experience with implementation, validation, and verification processes, practices, and guidelines to ensure software development quality, performance, and safety
**Drug Free Workplace:**
 Boeing is a Drug Free Workplace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$135,150 \- $182,850
**Language Requirements:**
 Not Applicable
**Education:**
 Not Applicable
**Relocation:**
 This position offers relocation based on candidate eligibility.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requires the ability to obtain a U.S. Security Clearance for which the U.S. Government requires U.S. Citizenship. An interim U.S. Secret Clearance Pre\-Start and final U.S. Secret Clearance Post\-Start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278">
      <c r="A278" t="inlineStr">
        <is>
          <t>li-4378470656</t>
        </is>
      </c>
      <c r="B278" t="inlineStr">
        <is>
          <t>Senior Software Engineer- Agentic AI &amp; Sentiment Intelligence</t>
        </is>
      </c>
      <c r="C278" t="inlineStr">
        <is>
          <t>Jobs via Dice</t>
        </is>
      </c>
      <c r="D278" t="inlineStr">
        <is>
          <t>linkedin</t>
        </is>
      </c>
      <c r="E278">
        <f>HYPERLINK("https://www.linkedin.com/jobs/view/4378470656", "https://www.linkedin.com/jobs/view/4378470656")</f>
        <v/>
      </c>
      <c r="F278">
        <f>HYPERLINK("https://click.appcast.io/t/98EOEWrOWnOsSfPXbaOfFG-Q7MKYbRKYwFWIxIOybBQ=&amp;urlHash=wU3_", "https://click.appcast.io/t/98EOEWrOWnOsSfPXbaOfFG-Q7MKYbRKYwFWIxIOybBQ=&amp;urlHash=wU3_")</f>
        <v/>
      </c>
      <c r="G278" t="inlineStr">
        <is>
          <t>Redmond, WA</t>
        </is>
      </c>
      <c r="H278" t="inlineStr"/>
      <c r="I278" t="inlineStr">
        <is>
          <t>**Overview**
 If you're an engineer eager to build the next generation of agentic AI systems and redefine how Microsoft understands and acts on customer sentiment, we want to hear from you. Your work will shape high\-visibility AI investments and empower billions of users worldwide.
 Copilots are transforming how we empower people and organizations, and customer sentiment is at the center of building responsible, high\-impact AI. The IDEAS Sentiment team powers how product groups across Microsoft 365\-including Copilot, Windows, Teams, Outlook, Edge, Word, Excel, PowerPoint and more\-listen to customers at scale, generate insights, and close the loop.
 We are now pushing into a new frontier: agentic AI that can reason, orchestrate tasks, enrich feedback, and autonomously produce actionable insights across millions of signals.
 We're seeking a
 **Senior Software Engineer** 
 with deep expertise in agentic AI, LLM systems, modern AI CLI tooling, and scalable cloud architectures. This individual contributor role is designed for an AI expert who will elevate engineering excellence and accelerate our transformation into an Agentic AI\-first sentiment intelligence platform.
 At Microsoft, our mission is to empower every person and every organization on the planet to achieve more. We work with a growth mindset, respect, integrity, and a commitment to inclusion. You'll join a collaborative team that values curiosity, technical rigor, and building AI systems that make a meaningful impact\-at global scale.
**Responsibilities**
* Lead the design, development, and deployment of complex data pipelines and services.
* Write high\-quality, maintainable, and well\-tested code in languages such as C\#, Java, or C\+\+.
* Use scripting languages (e.g., Python, PowerShell) to automate data workflows and operational tasks.
* Collaborate with cross\-functional teams to define technical requirements and drive architectural decisions.
* Mentor junior engineers and contribute to team growth and best practices.
* Apply deep technical expertise to solve challenging data engineering problems at scale.
**Qualifications**
**Required Qualifications:**
* Bachelor's Degree in Computer Science or related technical field AND 4\+ years technical engineering experience with coding in languages including, but not limited to, C, C\+\+, C\#, Java, JavaScript, or Python
+ OR equivalent experience.
* Strong proficiency in agentic AI frameworks, LLM orchestration, prompt engineering, and autonomous workflow design.
* Experience developing cloud\-native systems using Azure, including microservices, data services, and distributed computation.
* Familiarity with modern AI development CLI tools, evaluation frameworks, vector search, embeddings, and model debugging.
* Solid problem\-solving skills and experience with large\-scale data systems.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Experience with cloud platforms (e.g., Azure, AWS) and big data technologies.
* Advanced expertise in LLM\-based agents, including planning, memory management, tool\-use patterns, and multi\-step reasoning.
* Expertise with distributed systems, data modeling, and performance optimization.
* Track record of driving cross\-team collaboration and delivering impactful solutions.
 \#DPG \#DPGHiring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79">
      <c r="A279" t="inlineStr">
        <is>
          <t>li-4361700110</t>
        </is>
      </c>
      <c r="B279" t="inlineStr">
        <is>
          <t>Agentic AI Senior Software Engineer - S&amp;P Global</t>
        </is>
      </c>
      <c r="C279" t="inlineStr">
        <is>
          <t>Jobs via eFinancialCareers</t>
        </is>
      </c>
      <c r="D279" t="inlineStr">
        <is>
          <t>linkedin</t>
        </is>
      </c>
      <c r="E279">
        <f>HYPERLINK("https://www.linkedin.com/jobs/view/4361700110", "https://www.linkedin.com/jobs/view/4361700110")</f>
        <v/>
      </c>
      <c r="F279">
        <f>HYPERLINK("https://click.appcast.io/t/8ng0QN8tLpPzvRmrfSRmtYM0InUEO5e2iWpJ9-ZA32M=&amp;urlHash=7GoX", "https://click.appcast.io/t/8ng0QN8tLpPzvRmrfSRmtYM0InUEO5e2iWpJ9-ZA32M=&amp;urlHash=7GoX")</f>
        <v/>
      </c>
      <c r="G279" t="inlineStr">
        <is>
          <t>Princeton, NJ</t>
        </is>
      </c>
      <c r="H279" t="inlineStr"/>
      <c r="I279" t="inlineStr">
        <is>
          <t>**About the Role:**
**Grade Level (for internal use):**
 12
 **Team:** 
 S\&amp;P Global Ratings
**The role: Agentic AI Senior Software Engineer**
**Location:** 
 NJ or NY (2 days onsite a week)
****Role Summary****
 This
 **Senior role** 
 anchors the
 **Agentic AI strategy** 
 within the
 **S\&amp;P Global Ratings Quality Engineering** 
 organization. You will design and implement
 **AI\-driven solutions** 
 that transform QE practices\-enabling
 **autonomous testing** 
 ,
 **predictive insights** 
 , and
 **intelligent decision\-making** 
 .
 As a hands\-on technical architect, you will collaborate across
 **Engineering** 
 ,
 **Product** 
 ,
 **Data Science** 
 , and
 **Transformation** 
 teams to embed
 **Agentic AI** 
 into the QE lifecycle\-without direct people management responsibilities.
**Key Outcomes**
* Architect and implement Agentic AI platforms for autonomous testing and defect triage.
* Integrate AI copilots and LLM\-powered agents into QE workflows.
* Drive adoption of AI decision frameworks to enhance engineering effectiveness.
* Collaborate with customer experience advocates to align AI quality insights with customer journeys.
* Partner and embed AI maturity benchmarks (e.g., TMMi).
* Enable QE through intelligent environments, data observability, and ethical AI governance.
**Strategic Responsibilities**
* Define and execute the Agentic AI architecture roadmap for QE transformation.
* Evaluate and integrate LLMOps, GenAI, and autonomous agent frameworks.
* Lead AI experimentation labs to validate use cases and proofs of concept.
* Ensure AI solutions are scalable, secure, and compliant with enterprise standards.
* Stay current with advancements in Agentic AI, GenAI, and AI\-powered DevSecOps.
**Required Skills \&amp; Experience**
* 15\+ years in Quality Engineering or Software Engineering, with deep hands\-on expertise in AI/ML.
* Proven experience in AI/ML applications for QE, including GenAI, LLMOps, and intelligent automation.
* Strong proficiency in AI model testing, data observability, and AI governance.
* Hands\-on skills in Python, Azure AI, ML pipelines, and containerized environments.
* Familiarity with data privacy regulations, ethical AI, and secure engineering practices.
* Ability to work across Product, Engineering, CX, and Transformation teams.
**Preferred Qualifications**
* Experience in regulated industries (e.g., finance, healthcare, telecom).
* Certifications in AI/ML, Generative AI, or Enterprise AI Strategy.
* Knowledge of DevSecOps, TMMi, and AI adoption frameworks.
**What's in it for You?**
* Lead the Agentic AI transformation within a global Quality Engineering function.
* Shape the future of AI\-augmented enterprise quality, setting industry benchmarks.
* Drive measurable outcomes in efficiency, engineering effectiveness, and user\-centric quality.
* Collaborate with global teams in a dynamic, inclusive, and innovation\-driven environment.
**Right to work requirements:**
 This role is open only for candidates with indefinite right to work within the USA.
**Compensation/Benefits Information (US Applicants Only):**
 S\&amp;P Global states that the anticipated base salary range for this position is $110,000 \- $170,000\. Final base salary for this role will be based on the individual's geographical location as well as experience and qualifications for the role.
 In addition to base compensation, this role is eligible for an annual incentive plan. This role is not eligible for additional compensation such as an annual incentive bonus or sales commission plan.
 This role is eligible to receive additional S\&amp;P Global benefits. For more information on the benefits we provide to our employees, please click here .
****About S\&amp;P Global Ratings****
 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
 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****About S\&amp;P Global Ratings****
 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
 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www.spglobal.com/ratings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S\&amp;P Global has a Securities Disclosure and Trading Policy ("the Policy") that seeks to mitigate conflicts of interest by monitoring and placing restrictions on personal securities holding and trading. The Policy is designed to promote compliance with global regulations. In some Divisions, pursuant to the Policy's requirements, candidates at S\&amp;P Global may be asked to disclose securities holdings. Some roles may include a trading prohibition and remediation of positions when there is an effective or potential conflict of interest. Employment at S\&amp;P Global is contingent upon compliance with the Policy.
**Recruitment Fraud Alert:**
 If you receive an email from a spglobalind.com domain or any other regionally based domains, it is a scam and should be reported to reportfraud@spglobal.com .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202 \- Middle Professional (EEO Job Group) (inactive), 20 \- Professional (EEO\-2 Job Categories\-United States of America), IFTECH202\.2 \- Middle Professional Tier II (EEO Job Group)</t>
        </is>
      </c>
    </row>
    <row r="280">
      <c r="A280" t="inlineStr">
        <is>
          <t>li-4375214905</t>
        </is>
      </c>
      <c r="B280" t="inlineStr">
        <is>
          <t>Lead Software Engineer - MFS Investment Management</t>
        </is>
      </c>
      <c r="C280" t="inlineStr">
        <is>
          <t>Jobs via eFinancialCareers</t>
        </is>
      </c>
      <c r="D280" t="inlineStr">
        <is>
          <t>linkedin</t>
        </is>
      </c>
      <c r="E280">
        <f>HYPERLINK("https://www.linkedin.com/jobs/view/4375214905", "https://www.linkedin.com/jobs/view/4375214905")</f>
        <v/>
      </c>
      <c r="F280" t="inlineStr"/>
      <c r="G280" t="inlineStr">
        <is>
          <t>Boston, MA</t>
        </is>
      </c>
      <c r="H280" t="inlineStr"/>
      <c r="I280" t="inlineStr">
        <is>
          <t>At MFS, you will find a culture that supports you in doing what you do best. Our employees work together to reach better outcomes, favoring the strongest idea over the strongest individual. We put people first and demonstrate care and compassion for our community and each other. Because what we do matters \- to us as valued professionals and to the millions of people and institutions who rely on us to help them build more secure and prosperous futures.
**THE ROLE**
 Using discretion and judgment, drives solutions to business issues through analyzing business processes and environment and leveraging technology for business units across the organization. Leads effort throughout the software development lifecycle with a focus on creating software at an advanced level with an adherence to standards and internal best practices. May serve as a team lead for small to midsized projects working with project management, business systems analysts and quality assurance to collaboratively meet tight deadlines. Responsible for ensuring that standards are established and adhered to throughout a project. Evaluates and prioritizes work within a project or group of projects. Primary contact with customer base for all work done within a project throughout its life. May lead and/or participate multiple projects. Significant areas of focus will include Legal, Compliance and Enterprise Risks domains \&amp; systems.
**What You Will Do**
* At an expert level contribute to the design and development of tools which end users need for mission critical functions.
* Leads projects through to completion. Interprets business requirements, analyzes environment, maps requirements to design, codes, debugs, unit tests programs to deliver final product. Works with business analysts and user community to understand and evaluate business needs. Analyzes these needs and assists in the selection of appropriate technologies to provide an optimal solution.
* Keeps technical skills current; well\-versed in several areas of technology. Assists System Architects in the selection of new product.
* Able to guide and advise junior colleagues through technical issues.
* Documents code and processes to aid in system support and facilitate knowledge transfer.
* Responsible for process creation and improvement. Examines workflow and recommends ways to increase efficiency or effectiveness. Helps to standardize processes across projects.
* Provide support for processes and applications., including on\-call responsibilities.
* Acts as a consultant to others within the department to share information and advice other development efforts.
* Designs and implements database changes.
* Performs additional related responsibilities as necessary
**WHAT WE ARE LOOKING FOR**
* Bachelor's degree in computer science or related technical field, or equivalent experience.
* Minimum 5\-6\+ years of relevant experience
* Strong programming skills in two or more languages: Power Platform (Power Apps, Power Automate, Power BI), Azure, React/Java script, PL SQL, Python
* Strong adoption of Gen AI using Github Copilot and code generation tools.
* Experience with systems architecture \&amp; configuration
* Experience building integrations with multi\-tiered third\-party systems, both hosted and on\-premises.
* Experience working in a continuous integration environment, i.e., automated build and code scanning is preferred.
* Strong oral/written communication skills and front office support experience preferred. Excellent communication and interpersonal skills
* Experience working within a mature SDLC model; working closely with BA and QA teams as well as end users to drive solutions to completion. Knowledge and proven experience in software development methodology
* Relational database knowledge and experience
* Strong troubleshooting and analytical skills; demonstrated ability to make independent decisions. Planning and estimating skills required.
* Ability to provide support. Knowledge of Maestro scheduler and Perl helpful. Experience as an Informatica Administrator advantageous.
**PREFFERED**
* General knowledge and understanding of Trading or Investment Decision Support Systems are a definite plus
* Project work experience with globally distributed teams is preferred.
* Knowledge of financial services preferred.
 Base Salary Range: $ 110,000 $ 158,500
 At MFS, we believe in fair and transparent compensation. For that reason, we're including the salary range for this position. This range reflects our good\-faith expectation for what we'll pay depending on the candidate's experience, training and education. In addition to the salary, we also offer significant and competitive incentive compensation based on both individual and company performance. Other components of our Total Rewards Package include:
* MFS contributes an amount equal to 15% of your base salary to your retirement account that is separate from the company \-sponsored 401(k)
* Education Assistance: MFS contributes $100 monthly up to $10,000 lifetime maximum directly to loan provider
* Education Assistance: Tuition reimbursement up to $8,000 annually
* Education Assistance: Access to discounted tutors and college coaches
* Generous time off and fully paid leaves including 20\-weeks for maternity, 12\-weeks for parental and caregiver leaves
* Choice of medical and dental plans and an and an employer contribution into the Health Savings Account
* Tax deferred commuter benefits \&amp; flexible spending accounts (medical \&amp; dependent care)
* Wellness Programs: Robust wellness webinars, employee assistance program with a focus on mental health, subsidized fitness benefit via Wellhub (formerly Gympass), where you can workout at gyms, studios and boutique fitness locations near you, join virtual personal training sessions and access a wide variety of well\-being apps
 Our compensation philosophy is to pay competitively for talent while ensuring equity across employees performing comparable work. We are committed to transparency \- if you have questions about how we arrived at this range or what additional benefits and bonus opportunities come with the role, we'll be happy to discuss them
 At MFS, we are dedicated to building a diverse, inclusive and authentic workplace. If you are excited about this role but your past experience doesn't align perfectly, we encourage you to apply \- you might be just the right candidate for this role or others.
 MFS is a
 **hybrid work environment** 
 (remote/onsite) unless otherwise stated in the job posting.
 If any applicant is unable to complete an application or respond to a job opening because of a disability, please contact MFS at 617\-954\-5000 or email talent\_acquisition@mfs.com for assistance.
 MFS is an Equal Opportunity Employer and it is our policy to not discriminate against any employee or applicant for employment because of race, color, religion, sex, national origin, age, marital status, sexual orientation, gender identity, genetic information, disability, veteran status, or any other status protected by federal, state or local laws. Employees and applicants of MFS will not be subject to harassment on the basis of their status.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Please see the Know Your Rights: Workplace Discrimination is Illegal document, linked for your reference.</t>
        </is>
      </c>
    </row>
    <row r="281">
      <c r="A281" t="inlineStr">
        <is>
          <t>li-4299773451</t>
        </is>
      </c>
      <c r="B281" t="inlineStr">
        <is>
          <t>Lead Software Engineer - Front End (Bangkok based, Relocation provided)</t>
        </is>
      </c>
      <c r="C281" t="inlineStr">
        <is>
          <t>Agoda</t>
        </is>
      </c>
      <c r="D281" t="inlineStr">
        <is>
          <t>linkedin</t>
        </is>
      </c>
      <c r="E281">
        <f>HYPERLINK("https://www.linkedin.com/jobs/view/4299773451", "https://www.linkedin.com/jobs/view/4299773451")</f>
        <v/>
      </c>
      <c r="F281" t="inlineStr"/>
      <c r="G281" t="inlineStr">
        <is>
          <t>Los Angeles, CA</t>
        </is>
      </c>
      <c r="H281" t="inlineStr"/>
      <c r="I28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Agoda’s front\-end teams focus on various product aspects including accommodations, flights, and payments. We build localized, optimized user experiences globally across mobile websites, native apps, and desktop sites, fostering innovation and constant improvement through data\-driven practices.
**The Opportunity:** 
 As a Lead Software Engineer (Front End) at Agoda, you will drive the technological evolution of our front\-end systems. You will be responsible for architecting, implementing, and optimizing user interfaces that enhance the user experience for millions of travelers worldwide. This position requires a deep understanding of front\-end development principles, a passion for crafting exceptional user experiences, and expertise in various front\-end technologies.
**In this role, you’ll get to:**
* Lead the design and development of highly distributed, large\-scale front\-end applications.
* Drive collaboration with product managers, product designers, and engineers to design, implement, and improve scalable applications and services.
* Serve as a front\-end expert on large\-scale projects, providing technical guidance and mentorship.
* Hands\-on development of proof of concepts and evaluation of new technologies.
* Implement technical, strategic decisions in cross\-functional teams.
* Leading in building a culture that optimizes applications using best practices for performance.
* Maintaining coding standards and staying up\-to\-date to industry and technology development.
* Part of strategic discussion relating to Agoda's future technology directions and development practices.
* Contribute to the professional development of the team.
**What you’ll Need to Succeed:**
* 12\+ years of software development experience in building large scale web application, with a minimum of 3 years in a Tech Lead role.
* Proven experience designing, building, improving, and operating high\-performance, scalable front\-end systems.
* Extensive experience with client\-side technologies \&amp; modern frameworks (e.g., Javascript, Typescript, React).
* Eager to work in multiple programming languages and frameworks, constantly striving to raise technical excellence.
* Experience mentoring and growing Senior and Staff engineers through thorough and convincing communication.
* Provides technical direction within and across groups by leading projects and building systems with company\-wide impact.
* Strong understanding of the business and how their systems impact the bottom line; able to redirect the team based on business priorities.
* Constantly read and learn, moving Agoda forward technically, influencing other teams, and proactively improving others.
**It’s great if you have:**
* Knowledge of physical architecture at scale, building resilience and highly available solutions.
* Strong experience in all aspects of client\-side performance optimization.
* Proficiency in modern coding and design practices. For example, Clean Code, SOLID principals, and TDD.
* Knowledge of back\-end technologies and how they integrate with front\-end systems.
**This position is based in Bangkok, Thailand (Relocation Provided)**
 \#sanfrancisco \#newyork \#seattle \#bangalore \#london \#toronto \#sydney \#washingtonDC \#boston \#losangeles \#austin \#dallas \#hyderabad \#denver \#melbourne \#chicago \#atlanta \#vancouver \#berlin \#saopaulo \#IT \#ENG \#4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282">
      <c r="A282" t="inlineStr">
        <is>
          <t>li-4363173570</t>
        </is>
      </c>
      <c r="B282" t="inlineStr">
        <is>
          <t>Rust Software Engineer – Low Latency / HFT / Crypto - Tribus</t>
        </is>
      </c>
      <c r="C282" t="inlineStr">
        <is>
          <t>Jobs via eFinancialCareers</t>
        </is>
      </c>
      <c r="D282" t="inlineStr">
        <is>
          <t>linkedin</t>
        </is>
      </c>
      <c r="E282">
        <f>HYPERLINK("https://www.linkedin.com/jobs/view/4363173570", "https://www.linkedin.com/jobs/view/4363173570")</f>
        <v/>
      </c>
      <c r="F282" t="inlineStr"/>
      <c r="G282" t="inlineStr">
        <is>
          <t>New York, NY</t>
        </is>
      </c>
      <c r="H282" t="inlineStr"/>
      <c r="I282" t="inlineStr">
        <is>
          <t>Relocation and Sponsorship Opportunities
 Several leading technology\-driven trading firms are seeking talented Rust Software Engineers to help build ultra\-low\-latency, high\-throughput systems that power cutting\-edge trading across both traditional markets and the digital asset landscape.
 This is an opportunity to work on mission\-critical, latency\-sensitive codebases where every nanosecond counts while contributing to systems that operate at global scale and handle massive throughput.
 These opportunities are based in Singapore, Hong Kong and London.
 Strong experience with Rust in production
* Background in high\-performance systems, ideally in trading, crypto exchanges, HFT, DeFi infrastructure, or real\-time systems
* Deep understanding of systems programming concepts:
* Experience optimising codepaths for l atency, throughput, and efficiency
**Other Desired Skills**
* Experience with C\#, C\+\+, or other systems\-level languages
* Knowledge of exchange connectivity, market microstructure, or crypto market mechanics
* Exposure to FPGA, kernel bypass (DPDK, RDMA), or specialised networking stacks
 For the right candidate
* Highly competitive compensation packages
* Opportunities to work on global, real\-time trading systems
* Greenfield Rust development across HFT, crypto, and next\-generation markets
* Full relocation support and visa sponsorship for candidates at all levels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2026-03-02T16:57:13Z</dcterms:created>
  <dcterms:modified xsi:type="dcterms:W3CDTF">2026-03-02T16:57:13Z</dcterms:modified>
</cp:coreProperties>
</file>