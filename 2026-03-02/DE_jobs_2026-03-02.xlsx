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deed" sheetId="1" state="visible" r:id="rId1"/>
    <sheet name="linkedin" sheetId="2" state="visible" r:id="rId2"/>
  </sheets>
  <definedNames/>
  <calcPr calcId="124519" fullCalcOnLoad="1"/>
</workbook>
</file>

<file path=xl/styles.xml><?xml version="1.0" encoding="utf-8"?>
<styleSheet xmlns="http://schemas.openxmlformats.org/spreadsheetml/2006/main">
  <numFmts count="4">
    <numFmt numFmtId="164" formatCode="yyyy-mm-dd h:mm:ss"/>
    <numFmt numFmtId="165" formatCode="YYYY-MM-DD HH:MM:SS"/>
    <numFmt numFmtId="166" formatCode="yyyy-mm-dd"/>
    <numFmt numFmtId="167" formatCode="YYYY-MM-DD"/>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3">
    <xf numFmtId="0" fontId="0" fillId="0" borderId="0" pivotButton="0" quotePrefix="0" xfId="0"/>
    <xf numFmtId="165" fontId="0" fillId="0" borderId="0" pivotButton="0" quotePrefix="0" xfId="0"/>
    <xf numFmtId="167"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45"/>
  <sheetViews>
    <sheetView workbookViewId="0">
      <selection activeCell="A1" sqref="A1"/>
    </sheetView>
  </sheetViews>
  <sheetFormatPr baseColWidth="8" defaultRowHeight="15"/>
  <sheetData>
    <row r="1">
      <c r="A1" t="inlineStr">
        <is>
          <t>job id</t>
        </is>
      </c>
      <c r="B1" t="inlineStr">
        <is>
          <t>title</t>
        </is>
      </c>
      <c r="C1" t="inlineStr">
        <is>
          <t>company</t>
        </is>
      </c>
      <c r="D1" t="inlineStr">
        <is>
          <t>site</t>
        </is>
      </c>
      <c r="E1" t="inlineStr">
        <is>
          <t>job_url</t>
        </is>
      </c>
      <c r="F1" t="inlineStr">
        <is>
          <t>job_url_direct</t>
        </is>
      </c>
      <c r="G1" t="inlineStr">
        <is>
          <t>location</t>
        </is>
      </c>
      <c r="H1" t="inlineStr">
        <is>
          <t>date posted</t>
        </is>
      </c>
      <c r="I1" t="inlineStr">
        <is>
          <t>description</t>
        </is>
      </c>
    </row>
    <row r="2">
      <c r="A2" t="inlineStr">
        <is>
          <t>in-0a13dfd87b5d5844</t>
        </is>
      </c>
      <c r="B2" t="inlineStr">
        <is>
          <t>Manager, Data Engineering</t>
        </is>
      </c>
      <c r="C2" t="inlineStr">
        <is>
          <t>Centene</t>
        </is>
      </c>
      <c r="D2" t="inlineStr">
        <is>
          <t>indeed</t>
        </is>
      </c>
      <c r="E2" t="inlineStr"/>
      <c r="F2" t="inlineStr"/>
      <c r="G2" t="inlineStr">
        <is>
          <t>TX, US</t>
        </is>
      </c>
      <c r="H2" s="1" t="n">
        <v>46081</v>
      </c>
      <c r="I2" t="inlineStr">
        <is>
          <t>You could be the one who changes everything for our 28 million members by using technology to improve health outcomes around the world. As a diversified, national organization, Centene's technology professionals have access to competitive benefits including a fresh perspective on workplace flexibility.  
**Position Purpose:** Manages the overall data platform and infrastructure and mentors the team of data engineers. Supports developing processes, and expanding technology roadmap, planning features, measuring outputs, and ensuring quality products. They will also derive analytical insights from a variety of business contexts and communicate those insights effectively to a variety of stakeholders.* Manages design and development of software and processes to support large scale, efficient data pipelines and optimizes the availability of data to generate insights and address business needs
* Translates technical business goals and requirements into designs utilizing best practice design patterns and partner with engineering leads, product managers, and design leads in shaping and guiding the technical direction for the data engineering team
* Manages the planning, prioritization and execution of data production projects and processes and the activities of team of data engineers responsible for developing software code that formats, tags, processes, stores and delivers data
* Develops the standards and processes required to ensure the delivery of high\-quality data products
* Participates in code reviews and help lead technical discussions, accountable for the maintenance of agile processes and ceremonies for the data team
* Manages and oversees the automation of key ETL / ELT (Extract / Transform / Load) and quality assurance (in collaboration with quality engineering team) processes for large volumes of data and migrations of workloads
* Performs and monitors data governance, data quality, integrity, standards, master data management, metadata strategy, and business intelligence/analytics
* Contributes to decisions on key technology choices for data pipelines to ensure that they are scalable, repeatable, secure, and can serve users at scale in the organization
* Allocates available resources to meet operating objectives and provides team leadership, fostering a diverse and inclusive workplace
* Performs other duties as assigned
* Complies with all policies and standards
**Education/Experience:** Requires a Bachelor's degree and 5\+ years of related experience. Or equivalent experience acquired through accomplishments of applicable knowledge, duties, scope and skill reflective of the level of this position.  
**Technical Skills:**
* One or more of the following skills are desired.
* Knowledge of Agile Software Development; Scrum (Software Development); Technical Support
* Knowledge of Extract Transform Load (ETL); SQL (Programming Language)
* Knowledge of Other: relational and non\-relational databases, Cloud\-based data processes, and business intelligence
* Experience with one or more of the following Other: Experience in performing and monitoring enterprise level data governance, integrity, quality, managing master data, moving data between databases, providing metadata strategy, and business intelligence/analytics
Pay Range: $102,900\.00 \- $190,500\.00 per year
Centene offers a comprehensive benefits package including: competitive pay, health insurance, 401K and stock purchase plans, tuition reimbursement, paid time off plus holidays, and a flexible approach to work with remote, hybrid, field or office work schedules. Actual pay will be adjusted based on an individual's skills, experience, education, and other job\-related factors permitted by law, including full\-time or part\-time status. Total compensation may also include additional forms of incentives. Benefits may be subject to program eligibility.
Centene is an equal opportunity employer that is committed to diversity, and values the ways in which we are different. All qualified applicants will receive consideration for employment without regard to race, color, religion, sex, sexual orientation, gender identity, national origin, disability, veteran status, or other characteristic protected by applicable law.
Qualified applicants with arrest or conviction records will be considered in accordance with the LA County Ordinance and the California Fair Chance Act</t>
        </is>
      </c>
    </row>
    <row r="3">
      <c r="A3" t="inlineStr">
        <is>
          <t>in-e1534e35cf264fdf</t>
        </is>
      </c>
      <c r="B3" t="inlineStr">
        <is>
          <t>Data Engineer</t>
        </is>
      </c>
      <c r="C3" t="inlineStr">
        <is>
          <t>Visa</t>
        </is>
      </c>
      <c r="D3" t="inlineStr">
        <is>
          <t>indeed</t>
        </is>
      </c>
      <c r="E3" t="inlineStr"/>
      <c r="F3" t="inlineStr"/>
      <c r="G3" t="inlineStr">
        <is>
          <t>Foster City, CA, US</t>
        </is>
      </c>
      <c r="H3" s="1" t="n">
        <v>46083</v>
      </c>
      <c r="I3" t="inlineStr">
        <is>
          <t>**Company Description**  
Visa is a world leader in payments technology, facilitating transactions between consumers, merchants, financial institutions and government entities across more than 200 countries and territories, dedicated to uplifting everyone, everywhere by being the best way to pay and be paid.
At Visa, you'll have the opportunity to create impact at scale — tackling meaningful challenges, growing your skills and seeing your contributions impact lives around the world. Join Visa and do work that matters — to you, to your community, and to the world.
Progress starts with you.
 **Job Description**  
The Data and Artificial Intelligence Platform (DAP) group is a key component of Visa's Technology organization, providing the enabling technology and processes to handle Visa's data assets and deliver valuable information, products, and services to customers. Within DAP, the Data as a Service (DaaS) team consists of skilled data engineers focused on building data pipelines to meet Visa's data needs and delivers secure, high\-quality, and easy\-to\-use data assets.
As a Data Engineer, you'll join our Data \&amp; AI Platform – Data as a Service organization in Foster City, California. You will help enhance and build our data infrastructure and pipelines within an agile development environment, using Gen AI regularly, and collaborating with colleagues who will support and challenge you daily.
**What We Offer:**
* Exciting Challenges: We work at a scale rarely seen in the industry, solving complex data and AI problems across the entire stack, offering limitless opportunities to leverage and lead in this ever\-growing field.
* Teamwork and Fun: Each of us brings diverse and rich experiences to the team, enabling us to deliver much more than the sum of our parts and have fun at the same time.
* Fantastic People: With strong leadership, you will have the opportunity to learn, collaborate, and deliver together with some of the best and most creative minds in the industry.
**Primary responsibilities:**
As a Data Engineer, you will play a key role in the innovation, coding, and development of comprehensive data pipeline solutions. Essential functions includes:
* Coding, testing to develop, and maintain robust and scalable data pipelines and ETL processes on non\-production and production environment
* Ensure data services are highly available, secure, scalable, and resilient.
* Improve and support production systems, ensuring that production issues are promptly resolved
* Collaborate with the agile team, user community, architects, and support teams to understand requirements and implement effective solutions
* Drive innovation to differentiate our data products and accelerate time\-to\-market delivery
* Adhere to established software development guidelines, security standards and responsible use of Gen AI tools and frameworks
* Help maintain atmosphere of mutual accountability
**This is a hybrid position. Expectation of days in office will be confirmed by your hiring manager.**
 **Qualifications** **Basic Qualifications:**
* Bachelor's degree, OR 3\+ years of relevant work experience
**Preferred Qualifications:**
* 1 or more years of work experience with a Bachelor’s Degree in Computer Science or Computer Engineering.
* Strong programming skills in at least one of the following languages: Java, Python, or Scala
* Experience utilizing GenAI technologies in software development.
* Hands\-on experience developing data processing pipeline, feature extraction, production deployment and monitoring.
* Knowledge and working experience on Apache Spark, Kafka, Hadoop, Hive, Trino, Presto, Apache Airflow and NoSQL databases like Hbase working with PB level data volume.
* Experience with GenAI or Agentic AI technologies (e.g., LLMs, NLP) and RAG\-based architecture and Vector DBs.
* Knowledge and experience in J2EE technologies, Microservices and REST APIs.
* Experience in an Agile environment, with a strong emphasis on best software development practices such as CI/CD, code reviews, and test automation, using tools like Jira and Jira Align
**Additional Information** **Work Hours:** Varies upon the needs of the department.
**Travel Requirements:** This position requires travel 5\-10% of the time.
**Mental/Physical Requirements:** This position will be performed in an office setting. The position will require the incumbent to sit and stand at a desk, communicate in person and by telephone, frequently operate standard office equipment, such as telephones and computers.
Visa is an EEO Employer. Qualified applicants will receive consideration for employment without regard to race, color, religion, sex, national origin, sexual orientation, gender identity, disability or protected veteran status. Visa will also consider for employment qualified applicants with criminal histories in a manner consistent with EEOC guidelines and applicable local law.
Visa will consider for employment qualified applicants with criminal histories in a manner consistent with applicable local law, including the requirements of Article 49 of the San Francisco Police Code.
**U.S. APPLICANTS ONLY: The estimated salary range for this position is $97,800\.00 to $152,100\.00 USD per year, which may include potential sales incentive payments (if applicable). Salary may vary depending on job\-related factors which may include knowledge, skills, experience, and location. In addition, this position may be eligible for bonus and equity. Visa has a comprehensive benefits package for which this position may be eligible that includes Medical, Dental, Vision, 401 (k), FSA/HSA, Life Insurance, Paid Time Off, and Wellness Program.**</t>
        </is>
      </c>
    </row>
    <row r="4">
      <c r="A4" t="inlineStr">
        <is>
          <t>in-5bfcb1ae0dba9326</t>
        </is>
      </c>
      <c r="B4" t="inlineStr">
        <is>
          <t>AIML - Sr Software Data Engineer, Evaluation</t>
        </is>
      </c>
      <c r="C4" t="inlineStr">
        <is>
          <t>Apple</t>
        </is>
      </c>
      <c r="D4" t="inlineStr">
        <is>
          <t>indeed</t>
        </is>
      </c>
      <c r="E4" t="inlineStr"/>
      <c r="F4" t="inlineStr"/>
      <c r="G4" t="inlineStr">
        <is>
          <t>Cupertino, CA, US</t>
        </is>
      </c>
      <c r="H4" s="1" t="n">
        <v>46082</v>
      </c>
      <c r="I4" t="inlineStr">
        <is>
          <t>Are you excited about using data to shape the experience of products used by hundreds of millions of people around the world?  
The Evaluation Data Engineering team, part of Apple’s SWE organization, builds the scalable and reliable data platform that powers Siri, Search, and Machine Learning across Apple.  
We’re looking for collaborative and mission\-driven software engineers who care deeply about data quality, user impact, and building at scale.  
If you’re passionate about tackling complex data challenges, eager to work with petabytes of data, and inspired by Apple’s commitment to privacy and innovation, we’d love to hear from you.  
**Description**  
In this role, you’ll work cross\-functionally across product and data science teams to build large\-scale stream and batch processing data pipelines that power Analytics, Experimentation, and Machine Learning.  
You will design a unified and groundbreaking data processing framework using Flink, and/or Spark.  
Your work will focus on optimizing performance, ensuring data quality, and contributing to a long\-term vision that extends the framework’s capabilities to new user scenarios and groundbreaking machine learning applications.  
You will collaborate closely with Siri, Search, and other teams to design solutions that transform raw data into datasets that drive innovation.  
You’ll automate dataset lifecycles with strong quality standards and help partners confidently use the data for product insights.  
**Preferred Qualifications**  
Strong in algorithms, data structures, data modeling, and SQL, with experience working on large\-scale, complex, and high\-dimensional datasets.  
Experience with machine learning algorithms or pipelines, particularly in the context of data engineering.  
Experience supporting ML engineers or data scientists with feature engineering or model data pipelines is a plus.  
Familiarity with testing tools and methodologies for validating large\-scale, distributed data systems (e.g., data quality checks, pipeline testing frameworks, fault tolerance testing).  
Proven software engineering fundamentals, including experience with design, testing, version control, and CI/CD best practices.  
Comfortable working independently in a fast\-paced, ambiguous environment.  
Excellent communication and problem\-solving skills.  
**Minimum Qualifications**  
7\+ years of experience designing, building, and maintaining distributed data processing systems at scale.  
5\+ years of hands\-on experience with stream and/or batch processing technologies such as Flink, Spark, Kafka, Airflow, Iceberg, and Trino.  
2\-3 years of experience in full\-stack development  
Proficient in at least one modern programming language (e.g., Java, Scala, and Python).  
MS or BS in Computer Science, Engineering, Math, Statistics, or a related field, or equivalent practical experience in data engineering.  
Apple is an equal opportunity employer that is committed to inclusion and diversity. We seek to promote equal opportunity for all applicants without regard to race, color, religion, sex, sexual orientation, gender identity, national origin, disability, Veteran status, or other legally protected characteristics. Learn more about your EEO rights as an applicant .  
**Pay \&amp; Benefits**  
At Apple, base pay is one part of our total compensation package and is determined within a range. This provides the opportunity to progress as you grow and develop within a role. The base pay range for this role is between $181,100 and $318,400, and your base pay will depend on your skills, qualifications, experience, and location.  
Apple employees also have the opportunity to become an Apple shareholder through participation in Apple's discretionary employee stock programs. Apple employees are eligible for discretionary restricted stock unit awards, and can purchase Apple stock at a discount if voluntarily participating in Apple's Employee Stock Purchase Plan. You'll also receive benefits including: Comprehensive medical and dental coverage, retirement benefits, a range of discounted products and free services, and for formal education related to advancing your career at Apple, reimbursement for certain educational expenses \- including tuition. Additionally, this role might be eligible for discretionary bonuses or commission payments as well as relocation. Learn more about Apple Benefits.  
Note: Apple benefit, compensation and employee stock programs are subject to eligibility requirements and other terms of the applicable plan or program.</t>
        </is>
      </c>
    </row>
    <row r="5">
      <c r="A5" t="inlineStr">
        <is>
          <t>in-70d00c11b32ca7a0</t>
        </is>
      </c>
      <c r="B5" t="inlineStr">
        <is>
          <t>Sr. Data Engineer, iCloud</t>
        </is>
      </c>
      <c r="C5" t="inlineStr">
        <is>
          <t>Apple</t>
        </is>
      </c>
      <c r="D5" t="inlineStr">
        <is>
          <t>indeed</t>
        </is>
      </c>
      <c r="E5" t="inlineStr"/>
      <c r="F5" t="inlineStr"/>
      <c r="G5" t="inlineStr">
        <is>
          <t>Austin, TX, US</t>
        </is>
      </c>
      <c r="H5" s="1" t="n">
        <v>46082</v>
      </c>
      <c r="I5" t="inlineStr">
        <is>
          <t>Would you like to drive the future of Apple’s products, applications, and platform while having the unique opportunity to impact some of the most far\-reaching software applications in the world? iCloud Data organization enables Apple to ship better products for iCloud users to access all their content across apps (Photos, Mail, Messages, FaceTime, Calendar etc) from all of their devices all the time by providing consistent, scalable, timely, accurate, complete and fully integrated data infrastructure and capabilities to accurately surface relevant information. If this excites you and you are energized by solving hard, high\-leverage problems at scale, we'd love to hear from you! We’re looking for exceptional data engineers who have a strong background in distributed data processing, have great and demonstrable data intuition, and share our passion for continuously improving the ways we use data to make the Apple’s products, applications, and platform better.  
**Description**  
What you will do: Engineer efficient, adaptable and scalable data pipelines to process structured and unstructured data Own and evolve extremely rich datasets on iCloud products and platform interactions to power a wide variety of use cases Build forward\-looking data solutions that interface well with existing systems and use judgement to bring cutting edge technologies in the industry to suit iCloud needs Understand how key technical decisions will drive business outcomes and deliver/aid data frameworks and platforms that improve delivery with high\-quality to those outcomes by partnering with cross functional teams Join a stunning team of data experts with diverse skill set, and deliver excellent solutions that better enable our decision\-making process.  
**Preferred Qualifications**  
Experience with Cloud Computing platforms like Amazon AWS, Google Cloud  
Experience with building stream\-processing applications using Apache Flink, Spark\-Streaming, Apache Storm, Kafka Streams or others  
Experience with Search systems (such as ElasticSearch, Solr), NoSQL datastores (such as HBase, Cassandra, MongoDB)  
Experience building distributed, high\-volume data services is a plus  
**Minimum Qualifications**  
8\+ years of experience working with Spark and other distributed data technologies (e.g. Hadoop, Presto, Flink, Druid) for building efficient \&amp; large scale data pipelines  
Highly proficient in at least one of Java, Python or Scala  
Deep expertise in Data Principles, Data Architecture \&amp; Data Modeling, Strong SQL skills  
Strong problem solver with meticulous attention to detail, capable of taking on loosely defined problems  
Experience working in a complex, matrixed organization involving cross\-functional, and/or cross\-business projects  
Strong communication and collaboration skills \&amp; ability to lead high\-level discussions on technology strategy and approach  
Conceptually familiar with AWS cloud resources (S3, EC2, RDS etc)  
MS or BS or equivalent experience in Computer Science, Engineering, Mathematics, Statistics or a related field OR equivalent practical experience in Software or Data Engineering  
Apple is an equal opportunity employer that is committed to inclusion and diversity. We seek to promote equal opportunity for all applicants without regard to race, color, religion, sex, sexual orientation, gender identity, national origin, disability, Veteran status, or other legally protected characteristics. Learn more about your EEO rights as an applicant .  
**Pay \&amp; Benefits**  
At Apple, base pay is one part of our total compensation package and is determined within a range. This provides the opportunity to progress as you grow and develop within a role. The base pay range for this role is between $181,100 and $318,400, and your base pay will depend on your skills, qualifications, experience, and location.  
Apple employees also have the opportunity to become an Apple shareholder through participation in Apple's discretionary employee stock programs. Apple employees are eligible for discretionary restricted stock unit awards, and can purchase Apple stock at a discount if voluntarily participating in Apple's Employee Stock Purchase Plan. You'll also receive benefits including: Comprehensive medical and dental coverage, retirement benefits, a range of discounted products and free services, and for formal education related to advancing your career at Apple, reimbursement for certain educational expenses \- including tuition. Additionally, this role might be eligible for discretionary bonuses or commission payments as well as relocation. Learn more about Apple Benefits.  
Note: Apple benefit, compensation and employee stock programs are subject to eligibility requirements and other terms of the applicable plan or program.</t>
        </is>
      </c>
    </row>
    <row r="6">
      <c r="A6" t="inlineStr">
        <is>
          <t>in-7d14f34815d1a540</t>
        </is>
      </c>
      <c r="B6" t="inlineStr">
        <is>
          <t>Data Engineer II, AWS Commerce Platform-ADC</t>
        </is>
      </c>
      <c r="C6" t="inlineStr">
        <is>
          <t>Amazon Web Services</t>
        </is>
      </c>
      <c r="D6" t="inlineStr">
        <is>
          <t>indeed</t>
        </is>
      </c>
      <c r="E6" t="inlineStr"/>
      <c r="F6" t="inlineStr"/>
      <c r="G6" t="inlineStr">
        <is>
          <t>Seattle, WA, US</t>
        </is>
      </c>
      <c r="H6" s="1" t="n">
        <v>46078</v>
      </c>
      <c r="I6" t="inlineStr">
        <is>
          <t>**DESCRIPTION**
---------------
Application deadline: Mar 4, 2026  
The US ADC Commerce Platform team is looking for a Data Engineer to join us in building, owning, and operating massively scalable solutions in support of the U.S. Intelligence Community.  
In this role you will join a team of highly talented engineers developing and maintaining Amazon’s billing systems in air\-gapped cloud environments as well as services and tooling to improve how we operate these services. This role enables you to deliver impact at scale, and the work you do unlocks the latest in billing and cost management capabilities for all of our U.S. ADC customers.  
A successful Data Engineer is passionate about using data science to answer questions on behalf of customers, optimizes system workflows and identifies other operational efficiencies, plus implements audit and safety controls to ensure availability, reliability, and accuracy.  
This position requires that the candidate selected must currently possess and maintain an active TS/SCI with polygraph security clearance. The position further requires that, after start, the selected candidate obtain and maintain an active TS/SCI security clearance with polygraph or commensurate clearance for each government agency for which they perform AWS work.  
10012  
Key job responsibilities  
* Collaboration and Product Development: Interact with business and software teams to understand their requirements and operational processes, to inform design
* Data Modeling and Architecture: Develop robust data models and architectures that support the organization's data\-driven initiatives, ensuring data quality, consistency, and accessibility.
* Data Pipelines: Maintain existing data sources and integrations while supporting migrations, ingestion, transforms, and new performance/scaling requirements
* Scalability and Performance: Design and implement scalable data solutions that can handle increasing data volumes and support high\-performance data access and querying.
* Documentation \&amp; Continuous Improvement: Create, enhance, and maintain technical documentation
About the team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AWS Infrastructure Services (AIS)  
AWS Infrastructure Services owns the design, planning, delivery, and operation of all AWS global infrastructure. In other words, we’re the people who keep the cloud running. We support all AWS data centers and all of the servers, storage, networking, power, and cooling equipment that ensure our customers have continual access to the innovation they rely on. We work on the most challenging problems, with thousands of variables impacting the supply chain — and we’re looking for talented people who want to help.  
Inclusive Team Culture  
Here at AWS, it’s in our nature to learn and be curious. Our employee\-led affinity groups foster a culture of inclusion that empower us to be proud of our differences. Ongoing events and learning experiences, including our Conversations on Race and Ethnicity (CORE) and AmazeCon conferences, inspire us to never stop embracing our uniqueness.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  
Mentorship and Career Growth  
We’re continuously raising our performance bar as we strive to become Earth’s Best Employer. That’s why you’ll find endless knowledge\-sharing, mentorship and other career\-advancing resources here to help you develop into a better\-rounded professional.  
Diverse Experiences  
Amazon values diverse experiences. Even if you do not meet all of the preferred qualifications and skills listed in the job description, we encourage candidates to apply. If your career is just starting, hasn’t followed a traditional path, or includes alternative experiences, don’t let it stop you from applying.**BASIC QUALIFICATIONS**
------------------------
* 3\+ years of data engineering experience
* 1\+ years of developing and operating large\-scale data structures for business intelligence analytics using ETL/ELT processes experience
* Experience with data modeling, warehousing and building ETL pipelines
* 1\+ years of developing and operating large\-scale data structures for business intelligence analytics using data modeling or OLAP technologies experience
* 1\+ years of developing and operating large\-scale data structures for business intelligence analytics using Oracle or SQL experience
* Current, active US Government Security Clearance of TS/SCI with Polygraph
**PREFERRED QUALIFICATIONS**
----------------------------
* Experience with AWS technologies like Redshift, S3, AWS Glue, EMR, Kinesis, FireHose, Lambda, and IAM roles and permissions
* Experience with non\-relational databases / data stores (object storage, document or key\-value stores, graph databases, column\-family databases)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CO, Denver \- 132,100\.00 \- 178,800\.00 USD annually  
USA, MD, Jessup \- 132,100\.00 \- 178,800\.00 USD annually  
USA, VA, Arlington \- 132,100\.00 \- 178,800\.00 USD annually  
USA, VA, Herndon \- 132,100\.00 \- 178,800\.00 USD annually  
USA, WA, Seattle \- 132,100\.00 \- 178,800\.00 USD annually</t>
        </is>
      </c>
    </row>
    <row r="7">
      <c r="A7" t="inlineStr">
        <is>
          <t>in-e178eb83904af203</t>
        </is>
      </c>
      <c r="B7" t="inlineStr">
        <is>
          <t>Data Engineer II, AWS Commerce Platform-ADC</t>
        </is>
      </c>
      <c r="C7" t="inlineStr">
        <is>
          <t>Amazon Web Services</t>
        </is>
      </c>
      <c r="D7" t="inlineStr">
        <is>
          <t>indeed</t>
        </is>
      </c>
      <c r="E7" t="inlineStr"/>
      <c r="F7" t="inlineStr"/>
      <c r="G7" t="inlineStr">
        <is>
          <t>Denver, CO, US</t>
        </is>
      </c>
      <c r="H7" s="1" t="n">
        <v>46078</v>
      </c>
      <c r="I7" t="inlineStr">
        <is>
          <t>**DESCRIPTION**
---------------
Application deadline: Mar 4, 2026  
The US ADC Commerce Platform team is looking for a Data Engineer to join us in building, owning, and operating massively scalable solutions in support of the U.S. Intelligence Community.  
In this role you will join a team of highly talented engineers developing and maintaining Amazon’s billing systems in air\-gapped cloud environments as well as services and tooling to improve how we operate these services. This role enables you to deliver impact at scale, and the work you do unlocks the latest in billing and cost management capabilities for all of our U.S. ADC customers.  
A successful Data Engineer is passionate about using data science to answer questions on behalf of customers, optimizes system workflows and identifies other operational efficiencies, plus implements audit and safety controls to ensure availability, reliability, and accuracy.  
This position requires that the candidate selected must currently possess and maintain an active TS/SCI with polygraph security clearance. The position further requires that, after start, the selected candidate obtain and maintain an active TS/SCI security clearance with polygraph or commensurate clearance for each government agency for which they perform AWS work.  
10012  
Key job responsibilities  
* Collaboration and Product Development: Interact with business and software teams to understand their requirements and operational processes, to inform design
* Data Modeling and Architecture: Develop robust data models and architectures that support the organization's data\-driven initiatives, ensuring data quality, consistency, and accessibility.
* Data Pipelines: Maintain existing data sources and integrations while supporting migrations, ingestion, transforms, and new performance/scaling requirements
* Scalability and Performance: Design and implement scalable data solutions that can handle increasing data volumes and support high\-performance data access and querying.
* Documentation \&amp; Continuous Improvement: Create, enhance, and maintain technical documentation
About the team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AWS Infrastructure Services (AIS)  
AWS Infrastructure Services owns the design, planning, delivery, and operation of all AWS global infrastructure. In other words, we’re the people who keep the cloud running. We support all AWS data centers and all of the servers, storage, networking, power, and cooling equipment that ensure our customers have continual access to the innovation they rely on. We work on the most challenging problems, with thousands of variables impacting the supply chain — and we’re looking for talented people who want to help.  
Inclusive Team Culture  
Here at AWS, it’s in our nature to learn and be curious. Our employee\-led affinity groups foster a culture of inclusion that empower us to be proud of our differences. Ongoing events and learning experiences, including our Conversations on Race and Ethnicity (CORE) and AmazeCon conferences, inspire us to never stop embracing our uniqueness.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  
Mentorship and Career Growth  
We’re continuously raising our performance bar as we strive to become Earth’s Best Employer. That’s why you’ll find endless knowledge\-sharing, mentorship and other career\-advancing resources here to help you develop into a better\-rounded professional.  
Diverse Experiences  
Amazon values diverse experiences. Even if you do not meet all of the preferred qualifications and skills listed in the job description, we encourage candidates to apply. If your career is just starting, hasn’t followed a traditional path, or includes alternative experiences, don’t let it stop you from applying.**BASIC QUALIFICATIONS**
------------------------
* 3\+ years of data engineering experience
* 1\+ years of developing and operating large\-scale data structures for business intelligence analytics using ETL/ELT processes experience
* Experience with data modeling, warehousing and building ETL pipelines
* 1\+ years of developing and operating large\-scale data structures for business intelligence analytics using data modeling or OLAP technologies experience
* 1\+ years of developing and operating large\-scale data structures for business intelligence analytics using Oracle or SQL experience
* Current, active US Government Security Clearance of TS/SCI with Polygraph
**PREFERRED QUALIFICATIONS**
----------------------------
* Experience with AWS technologies like Redshift, S3, AWS Glue, EMR, Kinesis, FireHose, Lambda, and IAM roles and permissions
* Experience with non\-relational databases / data stores (object storage, document or key\-value stores, graph databases, column\-family databases)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CO, Denver \- 132,100\.00 \- 178,800\.00 USD annually  
USA, MD, Jessup \- 132,100\.00 \- 178,800\.00 USD annually  
USA, VA, Arlington \- 132,100\.00 \- 178,800\.00 USD annually  
USA, VA, Herndon \- 132,100\.00 \- 178,800\.00 USD annually  
USA, WA, Seattle \- 132,100\.00 \- 178,800\.00 USD annually</t>
        </is>
      </c>
    </row>
    <row r="8">
      <c r="A8" t="inlineStr">
        <is>
          <t>in-dc259ed5f27e7295</t>
        </is>
      </c>
      <c r="B8" t="inlineStr">
        <is>
          <t>Data Engineer II, AWS Commerce Platform-ADC</t>
        </is>
      </c>
      <c r="C8" t="inlineStr">
        <is>
          <t>Amazon Web Services</t>
        </is>
      </c>
      <c r="D8" t="inlineStr">
        <is>
          <t>indeed</t>
        </is>
      </c>
      <c r="E8" t="inlineStr"/>
      <c r="F8" t="inlineStr"/>
      <c r="G8" t="inlineStr">
        <is>
          <t>Arlington, VA, US</t>
        </is>
      </c>
      <c r="H8" s="1" t="n">
        <v>46078</v>
      </c>
      <c r="I8" t="inlineStr">
        <is>
          <t>**DESCRIPTION**
---------------
Application deadline: Mar 4, 2026  
The US ADC Commerce Platform team is looking for a Data Engineer to join us in building, owning, and operating massively scalable solutions in support of the U.S. Intelligence Community.  
In this role you will join a team of highly talented engineers developing and maintaining Amazon’s billing systems in air\-gapped cloud environments as well as services and tooling to improve how we operate these services. This role enables you to deliver impact at scale, and the work you do unlocks the latest in billing and cost management capabilities for all of our U.S. ADC customers.  
A successful Data Engineer is passionate about using data science to answer questions on behalf of customers, optimizes system workflows and identifies other operational efficiencies, plus implements audit and safety controls to ensure availability, reliability, and accuracy.  
This position requires that the candidate selected must currently possess and maintain an active TS/SCI with polygraph security clearance. The position further requires that, after start, the selected candidate obtain and maintain an active TS/SCI security clearance with polygraph or commensurate clearance for each government agency for which they perform AWS work.  
10012  
Key job responsibilities  
* Collaboration and Product Development: Interact with business and software teams to understand their requirements and operational processes, to inform design
* Data Modeling and Architecture: Develop robust data models and architectures that support the organization's data\-driven initiatives, ensuring data quality, consistency, and accessibility.
* Data Pipelines: Maintain existing data sources and integrations while supporting migrations, ingestion, transforms, and new performance/scaling requirements
* Scalability and Performance: Design and implement scalable data solutions that can handle increasing data volumes and support high\-performance data access and querying.
* Documentation \&amp; Continuous Improvement: Create, enhance, and maintain technical documentation
About the team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AWS Infrastructure Services (AIS)  
AWS Infrastructure Services owns the design, planning, delivery, and operation of all AWS global infrastructure. In other words, we’re the people who keep the cloud running. We support all AWS data centers and all of the servers, storage, networking, power, and cooling equipment that ensure our customers have continual access to the innovation they rely on. We work on the most challenging problems, with thousands of variables impacting the supply chain — and we’re looking for talented people who want to help.  
Inclusive Team Culture  
Here at AWS, it’s in our nature to learn and be curious. Our employee\-led affinity groups foster a culture of inclusion that empower us to be proud of our differences. Ongoing events and learning experiences, including our Conversations on Race and Ethnicity (CORE) and AmazeCon conferences, inspire us to never stop embracing our uniqueness.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  
Mentorship and Career Growth  
We’re continuously raising our performance bar as we strive to become Earth’s Best Employer. That’s why you’ll find endless knowledge\-sharing, mentorship and other career\-advancing resources here to help you develop into a better\-rounded professional.  
Diverse Experiences  
Amazon values diverse experiences. Even if you do not meet all of the preferred qualifications and skills listed in the job description, we encourage candidates to apply. If your career is just starting, hasn’t followed a traditional path, or includes alternative experiences, don’t let it stop you from applying.**BASIC QUALIFICATIONS**
------------------------
* 3\+ years of data engineering experience
* 1\+ years of developing and operating large\-scale data structures for business intelligence analytics using ETL/ELT processes experience
* Experience with data modeling, warehousing and building ETL pipelines
* 1\+ years of developing and operating large\-scale data structures for business intelligence analytics using data modeling or OLAP technologies experience
* 1\+ years of developing and operating large\-scale data structures for business intelligence analytics using Oracle or SQL experience
* Current, active US Government Security Clearance of TS/SCI with Polygraph
**PREFERRED QUALIFICATIONS**
----------------------------
* Experience with AWS technologies like Redshift, S3, AWS Glue, EMR, Kinesis, FireHose, Lambda, and IAM roles and permissions
* Experience with non\-relational databases / data stores (object storage, document or key\-value stores, graph databases, column\-family databases)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CO, Denver \- 132,100\.00 \- 178,800\.00 USD annually  
USA, MD, Jessup \- 132,100\.00 \- 178,800\.00 USD annually  
USA, VA, Arlington \- 132,100\.00 \- 178,800\.00 USD annually  
USA, VA, Herndon \- 132,100\.00 \- 178,800\.00 USD annually  
USA, WA, Seattle \- 132,100\.00 \- 178,800\.00 USD annually</t>
        </is>
      </c>
    </row>
    <row r="9">
      <c r="A9" t="inlineStr">
        <is>
          <t>in-239a8e4c12d17798</t>
        </is>
      </c>
      <c r="B9" t="inlineStr">
        <is>
          <t>Data Engineer II, AWS Commerce Platform-ADC</t>
        </is>
      </c>
      <c r="C9" t="inlineStr">
        <is>
          <t>Amazon Web Services</t>
        </is>
      </c>
      <c r="D9" t="inlineStr">
        <is>
          <t>indeed</t>
        </is>
      </c>
      <c r="E9" t="inlineStr"/>
      <c r="F9" t="inlineStr"/>
      <c r="G9" t="inlineStr">
        <is>
          <t>Jessup, MD, US</t>
        </is>
      </c>
      <c r="H9" s="1" t="n">
        <v>46078</v>
      </c>
      <c r="I9" t="inlineStr">
        <is>
          <t>**DESCRIPTION**
---------------
Application deadline: Mar 4, 2026  
The US ADC Commerce Platform team is looking for a Data Engineer to join us in building, owning, and operating massively scalable solutions in support of the U.S. Intelligence Community.  
In this role you will join a team of highly talented engineers developing and maintaining Amazon’s billing systems in air\-gapped cloud environments as well as services and tooling to improve how we operate these services. This role enables you to deliver impact at scale, and the work you do unlocks the latest in billing and cost management capabilities for all of our U.S. ADC customers.  
A successful Data Engineer is passionate about using data science to answer questions on behalf of customers, optimizes system workflows and identifies other operational efficiencies, plus implements audit and safety controls to ensure availability, reliability, and accuracy.  
This position requires that the candidate selected must currently possess and maintain an active TS/SCI with polygraph security clearance. The position further requires that, after start, the selected candidate obtain and maintain an active TS/SCI security clearance with polygraph or commensurate clearance for each government agency for which they perform AWS work.  
10012  
Key job responsibilities  
* Collaboration and Product Development: Interact with business and software teams to understand their requirements and operational processes, to inform design
* Data Modeling and Architecture: Develop robust data models and architectures that support the organization's data\-driven initiatives, ensuring data quality, consistency, and accessibility.
* Data Pipelines: Maintain existing data sources and integrations while supporting migrations, ingestion, transforms, and new performance/scaling requirements
* Scalability and Performance: Design and implement scalable data solutions that can handle increasing data volumes and support high\-performance data access and querying.
* Documentation \&amp; Continuous Improvement: Create, enhance, and maintain technical documentation
About the team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AWS Infrastructure Services (AIS)  
AWS Infrastructure Services owns the design, planning, delivery, and operation of all AWS global infrastructure. In other words, we’re the people who keep the cloud running. We support all AWS data centers and all of the servers, storage, networking, power, and cooling equipment that ensure our customers have continual access to the innovation they rely on. We work on the most challenging problems, with thousands of variables impacting the supply chain — and we’re looking for talented people who want to help.  
Inclusive Team Culture  
Here at AWS, it’s in our nature to learn and be curious. Our employee\-led affinity groups foster a culture of inclusion that empower us to be proud of our differences. Ongoing events and learning experiences, including our Conversations on Race and Ethnicity (CORE) and AmazeCon conferences, inspire us to never stop embracing our uniqueness.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  
Mentorship and Career Growth  
We’re continuously raising our performance bar as we strive to become Earth’s Best Employer. That’s why you’ll find endless knowledge\-sharing, mentorship and other career\-advancing resources here to help you develop into a better\-rounded professional.  
Diverse Experiences  
Amazon values diverse experiences. Even if you do not meet all of the preferred qualifications and skills listed in the job description, we encourage candidates to apply. If your career is just starting, hasn’t followed a traditional path, or includes alternative experiences, don’t let it stop you from applying.**BASIC QUALIFICATIONS**
------------------------
* 3\+ years of data engineering experience
* 1\+ years of developing and operating large\-scale data structures for business intelligence analytics using ETL/ELT processes experience
* Experience with data modeling, warehousing and building ETL pipelines
* 1\+ years of developing and operating large\-scale data structures for business intelligence analytics using data modeling or OLAP technologies experience
* 1\+ years of developing and operating large\-scale data structures for business intelligence analytics using Oracle or SQL experience
* Current, active US Government Security Clearance of TS/SCI with Polygraph
**PREFERRED QUALIFICATIONS**
----------------------------
* Experience with AWS technologies like Redshift, S3, AWS Glue, EMR, Kinesis, FireHose, Lambda, and IAM roles and permissions
* Experience with non\-relational databases / data stores (object storage, document or key\-value stores, graph databases, column\-family databases)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CO, Denver \- 132,100\.00 \- 178,800\.00 USD annually  
USA, MD, Jessup \- 132,100\.00 \- 178,800\.00 USD annually  
USA, VA, Arlington \- 132,100\.00 \- 178,800\.00 USD annually  
USA, VA, Herndon \- 132,100\.00 \- 178,800\.00 USD annually  
USA, WA, Seattle \- 132,100\.00 \- 178,800\.00 USD annually</t>
        </is>
      </c>
    </row>
    <row r="10">
      <c r="A10" t="inlineStr">
        <is>
          <t>in-633d1b593be3630d</t>
        </is>
      </c>
      <c r="B10" t="inlineStr">
        <is>
          <t>Data Engineer II, AWS Commerce Platform-ADC</t>
        </is>
      </c>
      <c r="C10" t="inlineStr">
        <is>
          <t>Amazon Web Services</t>
        </is>
      </c>
      <c r="D10" t="inlineStr">
        <is>
          <t>indeed</t>
        </is>
      </c>
      <c r="E10" t="inlineStr"/>
      <c r="F10" t="inlineStr"/>
      <c r="G10" t="inlineStr">
        <is>
          <t>Herndon, VA, US</t>
        </is>
      </c>
      <c r="H10" s="1" t="n">
        <v>46078</v>
      </c>
      <c r="I10" t="inlineStr">
        <is>
          <t>**DESCRIPTION**
---------------
Application deadline: Mar 4, 2026  
The US ADC Commerce Platform team is looking for a Data Engineer to join us in building, owning, and operating massively scalable solutions in support of the U.S. Intelligence Community.  
In this role you will join a team of highly talented engineers developing and maintaining Amazon’s billing systems in air\-gapped cloud environments as well as services and tooling to improve how we operate these services. This role enables you to deliver impact at scale, and the work you do unlocks the latest in billing and cost management capabilities for all of our U.S. ADC customers.  
A successful Data Engineer is passionate about using data science to answer questions on behalf of customers, optimizes system workflows and identifies other operational efficiencies, plus implements audit and safety controls to ensure availability, reliability, and accuracy.  
This position requires that the candidate selected must currently possess and maintain an active TS/SCI with polygraph security clearance. The position further requires that, after start, the selected candidate obtain and maintain an active TS/SCI security clearance with polygraph or commensurate clearance for each government agency for which they perform AWS work.  
10012  
Key job responsibilities  
* Collaboration and Product Development: Interact with business and software teams to understand their requirements and operational processes, to inform design
* Data Modeling and Architecture: Develop robust data models and architectures that support the organization's data\-driven initiatives, ensuring data quality, consistency, and accessibility.
* Data Pipelines: Maintain existing data sources and integrations while supporting migrations, ingestion, transforms, and new performance/scaling requirements
* Scalability and Performance: Design and implement scalable data solutions that can handle increasing data volumes and support high\-performance data access and querying.
* Documentation \&amp; Continuous Improvement: Create, enhance, and maintain technical documentation
About the team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AWS Infrastructure Services (AIS)  
AWS Infrastructure Services owns the design, planning, delivery, and operation of all AWS global infrastructure. In other words, we’re the people who keep the cloud running. We support all AWS data centers and all of the servers, storage, networking, power, and cooling equipment that ensure our customers have continual access to the innovation they rely on. We work on the most challenging problems, with thousands of variables impacting the supply chain — and we’re looking for talented people who want to help.  
Inclusive Team Culture  
Here at AWS, it’s in our nature to learn and be curious. Our employee\-led affinity groups foster a culture of inclusion that empower us to be proud of our differences. Ongoing events and learning experiences, including our Conversations on Race and Ethnicity (CORE) and AmazeCon conferences, inspire us to never stop embracing our uniqueness.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  
Mentorship and Career Growth  
We’re continuously raising our performance bar as we strive to become Earth’s Best Employer. That’s why you’ll find endless knowledge\-sharing, mentorship and other career\-advancing resources here to help you develop into a better\-rounded professional.  
Diverse Experiences  
Amazon values diverse experiences. Even if you do not meet all of the preferred qualifications and skills listed in the job description, we encourage candidates to apply. If your career is just starting, hasn’t followed a traditional path, or includes alternative experiences, don’t let it stop you from applying.**BASIC QUALIFICATIONS**
------------------------
* 3\+ years of data engineering experience
* 1\+ years of developing and operating large\-scale data structures for business intelligence analytics using ETL/ELT processes experience
* Experience with data modeling, warehousing and building ETL pipelines
* 1\+ years of developing and operating large\-scale data structures for business intelligence analytics using data modeling or OLAP technologies experience
* 1\+ years of developing and operating large\-scale data structures for business intelligence analytics using Oracle or SQL experience
* Current, active US Government Security Clearance of TS/SCI with Polygraph
**PREFERRED QUALIFICATIONS**
----------------------------
* Experience with AWS technologies like Redshift, S3, AWS Glue, EMR, Kinesis, FireHose, Lambda, and IAM roles and permissions
* Experience with non\-relational databases / data stores (object storage, document or key\-value stores, graph databases, column\-family databases)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CO, Denver \- 132,100\.00 \- 178,800\.00 USD annually  
USA, MD, Jessup \- 132,100\.00 \- 178,800\.00 USD annually  
USA, VA, Arlington \- 132,100\.00 \- 178,800\.00 USD annually  
USA, VA, Herndon \- 132,100\.00 \- 178,800\.00 USD annually  
USA, WA, Seattle \- 132,100\.00 \- 178,800\.00 USD annually</t>
        </is>
      </c>
    </row>
    <row r="11">
      <c r="A11" t="inlineStr">
        <is>
          <t>in-5e1c8010c76a0645</t>
        </is>
      </c>
      <c r="B11" t="inlineStr">
        <is>
          <t>Data Engineer II , UTR PLanning Tech</t>
        </is>
      </c>
      <c r="C11" t="inlineStr">
        <is>
          <t>Amazon.com</t>
        </is>
      </c>
      <c r="D11" t="inlineStr">
        <is>
          <t>indeed</t>
        </is>
      </c>
      <c r="E11" t="inlineStr"/>
      <c r="F11" t="inlineStr"/>
      <c r="G11" t="inlineStr">
        <is>
          <t>Bellevue, WA, US</t>
        </is>
      </c>
      <c r="H11" s="1" t="n">
        <v>46070</v>
      </c>
      <c r="I11" t="inlineStr">
        <is>
          <t>**DESCRIPTION**
---------------
UTR Planning Tech builds the data infrastructure that powers labor planning across 12 Amazon last\-mile and sort\-center business lines. Our pipelines feed the planning systems that determine how Amazon staffs its delivery network, serving hundreds of sites and processing millions of data points daily.  
Our team is shifting from hand\-coded, custom pipelines to an AI\-native approach. We are building reusable frameworks where engineers and business users define what they need through configurations and natural language instead of writing custom code for every use case. AI agents handle orchestration, validation, and deployment. We are early in this transformation, which means you will not inherit a finished system. You will help define how we build, what patterns we standardize, and how AI fits into data engineering workflows. If you want to learn fast and have a hand in shaping the way a team works, this is that opportunity.  
We are hiring a Data Engineer to own significant portions of our data architecture, drive the design of AI\-powered frameworks, and deliver data solutions that directly impact planning accuracy across Amazon's delivery network.  
Key job responsibilities  
UTR Planning Tech builds the data infrastructure that powers labor planning across 12 Amazon last\-mile and sort\-center business lines. Our pipelines feed the planning systems that determine how Amazon staffs its delivery network, serving hundreds of sites and processing millions of data points daily.  
Our team is shifting from hand\-coded, custom pipelines to an AI\-native approach. We are building reusable frameworks where engineers and business users define what they need through configurations and natural language instead of writing custom code for every use case. AI agents handle orchestration, validation, and deployment. We are early in this transformation, which means you will not inherit a finished system. You will help define how we build, what patterns we standardize, and how AI fits into data engineering workflows. If you want to learn fast and have a hand in shaping the way a team works, this is that opportunity.  
We are hiring a Data Engineer to own significant portions of our data architecture, drive the design of AI\-powered frameworks, and deliver data solutions that directly impact planning accuracy across Amazon's delivery network.  
Key job responsibilities  
* Design and own logical and physical data models for major datasets in the team's architecture. Create coherent models that drive physical design and serve multiple downstream consumers.
* Build and optimize ETL pipelines for complex datasets using AWS services (Redshift, S3, EMR, Glue, Lambda, Athena) and Python\-based orchestration (Airflow/MWAA). Your solutions will be testable, maintainable, and efficient.
* Design and build configuration\-driven data frameworks that replace repetitive custom code with reusable, declarative patterns for ingestion, transformation, and metric curation. Own the design of these frameworks, not just the implementation.
* Build AI agent tooling and MCP\-based interfaces that allow conversational agents to generate SQL, validate configurations, manage data quality rules, and execute pipeline operations through natural language.
* Own ongoing data quality for datasets you build. Implement standardized data contracts, define SLAs, establish data certification processes, and automate manual quality processes.
* Work with planning scientists, software engineers, BI engineers, and product managers to balance customer requirements with technical requirements. Help shape what we build, not just how.
* Improve self\-service access to data. Build analytical data models and tooling that reduce dependency on the DE team for common data access patterns.
* Improve engineering processes: automate manual operations, establish monitoring and alerting standards, and drive code quality and dependency management practices.
* Mentor engineers and interns. Train new team members on how team data solutions are constructed, how they operate, and how they fit into the broader architecture.
* Participate in the interview process and help recruit for the team.
**BASIC QUALIFICATIONS**
------------------------
* 3\+ years of data engineering experience
* 1\+ years of developing and operating large\-scale data structures for business intelligence analytics using ETL/ELT processes experience
* 1\+ years of developing and operating large\-scale data structures for business intelligence analytics using OLAP technologies experience
* 1\+ years of developing and operating large\-scale data structures for business intelligence analytics using data modeling experience
* 1\+ years of developing and operating large\-scale data structures for business intelligence analytics using SQL experience
* 1\+ years of developing and operating large\-scale data structures for business intelligence analytics using Oracle experience
* Experience with data modeling, warehousing and building ETL pipelines
**PREFERRED QUALIFICATIONS**
----------------------------
* Experience with AWS technologies like Redshift, S3, AWS Glue, EMR, Kinesis, FireHose, Lambda, and IAM roles and permissions
* Experience with non\-relational databases / data stores (object storage, document or key\-value stores, graph databases, column\-family databases)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TN, Nashville \- 125,500\.00 \- 169,800\.00 USD annually  
USA, TX, Austin \- 132,100\.00 \- 178,800\.00 USD annually  
USA, WA, Bellevue \- 132,100\.00 \- 178,800\.00 USD annually</t>
        </is>
      </c>
    </row>
    <row r="12">
      <c r="A12" t="inlineStr">
        <is>
          <t>in-9fc9a630a15eea25</t>
        </is>
      </c>
      <c r="B12" t="inlineStr">
        <is>
          <t>Data Engineer II , UTR PLanning Tech</t>
        </is>
      </c>
      <c r="C12" t="inlineStr">
        <is>
          <t>Amazon.com</t>
        </is>
      </c>
      <c r="D12" t="inlineStr">
        <is>
          <t>indeed</t>
        </is>
      </c>
      <c r="E12" t="inlineStr"/>
      <c r="F12" t="inlineStr"/>
      <c r="G12" t="inlineStr">
        <is>
          <t>Nashville, TN, US</t>
        </is>
      </c>
      <c r="H12" s="1" t="n">
        <v>46070</v>
      </c>
      <c r="I12" t="inlineStr">
        <is>
          <t>**DESCRIPTION**
---------------
UTR Planning Tech builds the data infrastructure that powers labor planning across 12 Amazon last\-mile and sort\-center business lines. Our pipelines feed the planning systems that determine how Amazon staffs its delivery network, serving hundreds of sites and processing millions of data points daily.  
Our team is shifting from hand\-coded, custom pipelines to an AI\-native approach. We are building reusable frameworks where engineers and business users define what they need through configurations and natural language instead of writing custom code for every use case. AI agents handle orchestration, validation, and deployment. We are early in this transformation, which means you will not inherit a finished system. You will help define how we build, what patterns we standardize, and how AI fits into data engineering workflows. If you want to learn fast and have a hand in shaping the way a team works, this is that opportunity.  
We are hiring a Data Engineer to own significant portions of our data architecture, drive the design of AI\-powered frameworks, and deliver data solutions that directly impact planning accuracy across Amazon's delivery network.  
Key job responsibilities  
UTR Planning Tech builds the data infrastructure that powers labor planning across 12 Amazon last\-mile and sort\-center business lines. Our pipelines feed the planning systems that determine how Amazon staffs its delivery network, serving hundreds of sites and processing millions of data points daily.  
Our team is shifting from hand\-coded, custom pipelines to an AI\-native approach. We are building reusable frameworks where engineers and business users define what they need through configurations and natural language instead of writing custom code for every use case. AI agents handle orchestration, validation, and deployment. We are early in this transformation, which means you will not inherit a finished system. You will help define how we build, what patterns we standardize, and how AI fits into data engineering workflows. If you want to learn fast and have a hand in shaping the way a team works, this is that opportunity.  
We are hiring a Data Engineer to own significant portions of our data architecture, drive the design of AI\-powered frameworks, and deliver data solutions that directly impact planning accuracy across Amazon's delivery network.  
Key job responsibilities  
* Design and own logical and physical data models for major datasets in the team's architecture. Create coherent models that drive physical design and serve multiple downstream consumers.
* Build and optimize ETL pipelines for complex datasets using AWS services (Redshift, S3, EMR, Glue, Lambda, Athena) and Python\-based orchestration (Airflow/MWAA). Your solutions will be testable, maintainable, and efficient.
* Design and build configuration\-driven data frameworks that replace repetitive custom code with reusable, declarative patterns for ingestion, transformation, and metric curation. Own the design of these frameworks, not just the implementation.
* Build AI agent tooling and MCP\-based interfaces that allow conversational agents to generate SQL, validate configurations, manage data quality rules, and execute pipeline operations through natural language.
* Own ongoing data quality for datasets you build. Implement standardized data contracts, define SLAs, establish data certification processes, and automate manual quality processes.
* Work with planning scientists, software engineers, BI engineers, and product managers to balance customer requirements with technical requirements. Help shape what we build, not just how.
* Improve self\-service access to data. Build analytical data models and tooling that reduce dependency on the DE team for common data access patterns.
* Improve engineering processes: automate manual operations, establish monitoring and alerting standards, and drive code quality and dependency management practices.
* Mentor engineers and interns. Train new team members on how team data solutions are constructed, how they operate, and how they fit into the broader architecture.
* Participate in the interview process and help recruit for the team.
**BASIC QUALIFICATIONS**
------------------------
* 3\+ years of data engineering experience
* 1\+ years of developing and operating large\-scale data structures for business intelligence analytics using ETL/ELT processes experience
* 1\+ years of developing and operating large\-scale data structures for business intelligence analytics using OLAP technologies experience
* 1\+ years of developing and operating large\-scale data structures for business intelligence analytics using data modeling experience
* 1\+ years of developing and operating large\-scale data structures for business intelligence analytics using SQL experience
* 1\+ years of developing and operating large\-scale data structures for business intelligence analytics using Oracle experience
* Experience with data modeling, warehousing and building ETL pipelines
**PREFERRED QUALIFICATIONS**
----------------------------
* Experience with AWS technologies like Redshift, S3, AWS Glue, EMR, Kinesis, FireHose, Lambda, and IAM roles and permissions
* Experience with non\-relational databases / data stores (object storage, document or key\-value stores, graph databases, column\-family databases)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TN, Nashville \- 125,500\.00 \- 169,800\.00 USD annually  
USA, TX, Austin \- 132,100\.00 \- 178,800\.00 USD annually  
USA, WA, Bellevue \- 132,100\.00 \- 178,800\.00 USD annually</t>
        </is>
      </c>
    </row>
    <row r="13">
      <c r="A13" t="inlineStr">
        <is>
          <t>in-537b8152eb075641</t>
        </is>
      </c>
      <c r="B13" t="inlineStr">
        <is>
          <t>Data Engineer II , UTR PLanning Tech</t>
        </is>
      </c>
      <c r="C13" t="inlineStr">
        <is>
          <t>Amazon.com</t>
        </is>
      </c>
      <c r="D13" t="inlineStr">
        <is>
          <t>indeed</t>
        </is>
      </c>
      <c r="E13" t="inlineStr"/>
      <c r="F13" t="inlineStr"/>
      <c r="G13" t="inlineStr">
        <is>
          <t>Austin, TX, US</t>
        </is>
      </c>
      <c r="H13" s="1" t="n">
        <v>46070</v>
      </c>
      <c r="I13" t="inlineStr">
        <is>
          <t>**DESCRIPTION**
---------------
UTR Planning Tech builds the data infrastructure that powers labor planning across 12 Amazon last\-mile and sort\-center business lines. Our pipelines feed the planning systems that determine how Amazon staffs its delivery network, serving hundreds of sites and processing millions of data points daily.  
Our team is shifting from hand\-coded, custom pipelines to an AI\-native approach. We are building reusable frameworks where engineers and business users define what they need through configurations and natural language instead of writing custom code for every use case. AI agents handle orchestration, validation, and deployment. We are early in this transformation, which means you will not inherit a finished system. You will help define how we build, what patterns we standardize, and how AI fits into data engineering workflows. If you want to learn fast and have a hand in shaping the way a team works, this is that opportunity.  
We are hiring a Data Engineer to own significant portions of our data architecture, drive the design of AI\-powered frameworks, and deliver data solutions that directly impact planning accuracy across Amazon's delivery network.  
Key job responsibilities  
UTR Planning Tech builds the data infrastructure that powers labor planning across 12 Amazon last\-mile and sort\-center business lines. Our pipelines feed the planning systems that determine how Amazon staffs its delivery network, serving hundreds of sites and processing millions of data points daily.  
Our team is shifting from hand\-coded, custom pipelines to an AI\-native approach. We are building reusable frameworks where engineers and business users define what they need through configurations and natural language instead of writing custom code for every use case. AI agents handle orchestration, validation, and deployment. We are early in this transformation, which means you will not inherit a finished system. You will help define how we build, what patterns we standardize, and how AI fits into data engineering workflows. If you want to learn fast and have a hand in shaping the way a team works, this is that opportunity.  
We are hiring a Data Engineer to own significant portions of our data architecture, drive the design of AI\-powered frameworks, and deliver data solutions that directly impact planning accuracy across Amazon's delivery network.  
Key job responsibilities  
* Design and own logical and physical data models for major datasets in the team's architecture. Create coherent models that drive physical design and serve multiple downstream consumers.
* Build and optimize ETL pipelines for complex datasets using AWS services (Redshift, S3, EMR, Glue, Lambda, Athena) and Python\-based orchestration (Airflow/MWAA). Your solutions will be testable, maintainable, and efficient.
* Design and build configuration\-driven data frameworks that replace repetitive custom code with reusable, declarative patterns for ingestion, transformation, and metric curation. Own the design of these frameworks, not just the implementation.
* Build AI agent tooling and MCP\-based interfaces that allow conversational agents to generate SQL, validate configurations, manage data quality rules, and execute pipeline operations through natural language.
* Own ongoing data quality for datasets you build. Implement standardized data contracts, define SLAs, establish data certification processes, and automate manual quality processes.
* Work with planning scientists, software engineers, BI engineers, and product managers to balance customer requirements with technical requirements. Help shape what we build, not just how.
* Improve self\-service access to data. Build analytical data models and tooling that reduce dependency on the DE team for common data access patterns.
* Improve engineering processes: automate manual operations, establish monitoring and alerting standards, and drive code quality and dependency management practices.
* Mentor engineers and interns. Train new team members on how team data solutions are constructed, how they operate, and how they fit into the broader architecture.
* Participate in the interview process and help recruit for the team.
**BASIC QUALIFICATIONS**
------------------------
* 3\+ years of data engineering experience
* 1\+ years of developing and operating large\-scale data structures for business intelligence analytics using ETL/ELT processes experience
* 1\+ years of developing and operating large\-scale data structures for business intelligence analytics using OLAP technologies experience
* 1\+ years of developing and operating large\-scale data structures for business intelligence analytics using data modeling experience
* 1\+ years of developing and operating large\-scale data structures for business intelligence analytics using SQL experience
* 1\+ years of developing and operating large\-scale data structures for business intelligence analytics using Oracle experience
* Experience with data modeling, warehousing and building ETL pipelines
**PREFERRED QUALIFICATIONS**
----------------------------
* Experience with AWS technologies like Redshift, S3, AWS Glue, EMR, Kinesis, FireHose, Lambda, and IAM roles and permissions
* Experience with non\-relational databases / data stores (object storage, document or key\-value stores, graph databases, column\-family databases)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TN, Nashville \- 125,500\.00 \- 169,800\.00 USD annually  
USA, TX, Austin \- 132,100\.00 \- 178,800\.00 USD annually  
USA, WA, Bellevue \- 132,100\.00 \- 178,800\.00 USD annually</t>
        </is>
      </c>
    </row>
    <row r="14">
      <c r="A14" t="inlineStr">
        <is>
          <t>in-13a52573dd463d7d</t>
        </is>
      </c>
      <c r="B14" t="inlineStr">
        <is>
          <t>Data Engineer II, UTR PLanning Tech</t>
        </is>
      </c>
      <c r="C14" t="inlineStr">
        <is>
          <t>Amazon.com</t>
        </is>
      </c>
      <c r="D14" t="inlineStr">
        <is>
          <t>indeed</t>
        </is>
      </c>
      <c r="E14" t="inlineStr"/>
      <c r="F14" t="inlineStr"/>
      <c r="G14" t="inlineStr">
        <is>
          <t>Austin, TX, US</t>
        </is>
      </c>
      <c r="H14" s="1" t="n">
        <v>46065</v>
      </c>
      <c r="I14" t="inlineStr">
        <is>
          <t>**DESCRIPTION**
---------------
UTR Planning Tech builds the data infrastructure that powers labor planning across 12 Amazon last\-mile and sort\-center business lines. Our pipelines feed the planning systems that determine how Amazon staffs its delivery network, serving hundreds of sites and processing millions of data points daily.  
Our team is shifting from hand\-coded, custom pipelines to an AI\-native approach. We are building reusable frameworks where engineers and business users define what they need through configurations and natural language instead of writing custom code for every use case. AI agents handle orchestration, validation, and deployment. We are early in this transformation, which means you will not inherit a finished system. You will help define how we build, what patterns we standardize, and how AI fits into data engineering workflows. If you want to learn fast and have a hand in shaping the way a team works, this is that opportunity.  
We are hiring an L5 Data Engineer to own significant portions of our data architecture, drive the design of AI\-powered frameworks, and deliver data solutions that directly impact planning accuracy across Amazon's delivery network.  
Key job responsibilities  
* Design and own logical and physical data models for major datasets in the team's architecture. Create coherent models that drive physical design and serve multiple downstream consumers.
* Build and optimize ETL pipelines for complex datasets using AWS services (Redshift, S3, EMR, Glue, Lambda, Athena) and Python\-based orchestration (Airflow/MWAA). Your solutions will be testable, maintainable, and efficient.
* Design and build configuration\-driven data frameworks that replace repetitive custom code with reusable, declarative patterns for ingestion, transformation, and metric curation. Own the design of these frameworks, not just the implementation.
* Build AI agent tooling and MCP\-based interfaces that allow conversational agents to generate SQL, validate configurations, manage data quality rules, and execute pipeline operations through natural language.
* Own ongoing data quality for datasets you build. Implement standardized data contracts, define SLAs, establish data certification processes, and automate manual quality processes.
* Work with planning scientists, software engineers, BI engineers, and product managers to balance customer requirements with technical requirements. Help shape what we build, not just how.
* Improve self\-service access to data. Build analytical data models and tooling that reduce dependency on the DE team for common data access patterns.
* Improve engineering processes: automate manual operations, establish monitoring and alerting standards, and drive code quality and dependency management practices.
* Mentor engineers and interns. Train new team members on how team data solutions are constructed, how they operate, and how they fit into the broader architecture.
* Participate in the interview process and help recruit for the team.
**BASIC QUALIFICATIONS**
------------------------
* 3\+ years of data engineering experience
* 1\+ years of developing and operating large\-scale data structures for business intelligence analytics using ETL/ELT processes experience
* 1\+ years of developing and operating large\-scale data structures for business intelligence analytics using OLAP technologies experience
* 1\+ years of developing and operating large\-scale data structures for business intelligence analytics using data modeling experience
* 1\+ years of developing and operating large\-scale data structures for business intelligence analytics using SQL experience
* 1\+ years of developing and operating large\-scale data structures for business intelligence analytics using Oracle experience
* Experience with data modeling, warehousing and building ETL pipelines
**PREFERRED QUALIFICATIONS**
----------------------------
* Experience with AWS technologies like Redshift, S3, AWS Glue, EMR, Kinesis, FireHose, Lambda, and IAM roles and permissions
* Experience with non\-relational databases / data stores (object storage, document or key\-value stores, graph databases, column\-family databases)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TN, Nashville \- 125,500\.00 \- 169,800\.00 USD annually  
USA, TX, Austin \- 132,100\.00 \- 178,800\.00 USD annually  
USA, WA, Bellevue \- 132,100\.00 \- 178,800\.00 USD annually</t>
        </is>
      </c>
    </row>
    <row r="15">
      <c r="A15" t="inlineStr">
        <is>
          <t>in-778d6aee074fcf52</t>
        </is>
      </c>
      <c r="B15" t="inlineStr">
        <is>
          <t>Data Engineer II, UTR PLanning Tech</t>
        </is>
      </c>
      <c r="C15" t="inlineStr">
        <is>
          <t>Amazon.com</t>
        </is>
      </c>
      <c r="D15" t="inlineStr">
        <is>
          <t>indeed</t>
        </is>
      </c>
      <c r="E15" t="inlineStr"/>
      <c r="F15" t="inlineStr"/>
      <c r="G15" t="inlineStr">
        <is>
          <t>Bellevue, WA, US</t>
        </is>
      </c>
      <c r="H15" s="1" t="n">
        <v>46065</v>
      </c>
      <c r="I15" t="inlineStr">
        <is>
          <t>**DESCRIPTION**
---------------
UTR Planning Tech builds the data infrastructure that powers labor planning across 12 Amazon last\-mile and sort\-center business lines. Our pipelines feed the planning systems that determine how Amazon staffs its delivery network, serving hundreds of sites and processing millions of data points daily.  
Our team is shifting from hand\-coded, custom pipelines to an AI\-native approach. We are building reusable frameworks where engineers and business users define what they need through configurations and natural language instead of writing custom code for every use case. AI agents handle orchestration, validation, and deployment. We are early in this transformation, which means you will not inherit a finished system. You will help define how we build, what patterns we standardize, and how AI fits into data engineering workflows. If you want to learn fast and have a hand in shaping the way a team works, this is that opportunity.  
We are hiring an L5 Data Engineer to own significant portions of our data architecture, drive the design of AI\-powered frameworks, and deliver data solutions that directly impact planning accuracy across Amazon's delivery network.  
Key job responsibilities  
* Design and own logical and physical data models for major datasets in the team's architecture. Create coherent models that drive physical design and serve multiple downstream consumers.
* Build and optimize ETL pipelines for complex datasets using AWS services (Redshift, S3, EMR, Glue, Lambda, Athena) and Python\-based orchestration (Airflow/MWAA). Your solutions will be testable, maintainable, and efficient.
* Design and build configuration\-driven data frameworks that replace repetitive custom code with reusable, declarative patterns for ingestion, transformation, and metric curation. Own the design of these frameworks, not just the implementation.
* Build AI agent tooling and MCP\-based interfaces that allow conversational agents to generate SQL, validate configurations, manage data quality rules, and execute pipeline operations through natural language.
* Own ongoing data quality for datasets you build. Implement standardized data contracts, define SLAs, establish data certification processes, and automate manual quality processes.
* Work with planning scientists, software engineers, BI engineers, and product managers to balance customer requirements with technical requirements. Help shape what we build, not just how.
* Improve self\-service access to data. Build analytical data models and tooling that reduce dependency on the DE team for common data access patterns.
* Improve engineering processes: automate manual operations, establish monitoring and alerting standards, and drive code quality and dependency management practices.
* Mentor engineers and interns. Train new team members on how team data solutions are constructed, how they operate, and how they fit into the broader architecture.
* Participate in the interview process and help recruit for the team.
**BASIC QUALIFICATIONS**
------------------------
* 3\+ years of data engineering experience
* 1\+ years of developing and operating large\-scale data structures for business intelligence analytics using ETL/ELT processes experience
* 1\+ years of developing and operating large\-scale data structures for business intelligence analytics using OLAP technologies experience
* 1\+ years of developing and operating large\-scale data structures for business intelligence analytics using data modeling experience
* 1\+ years of developing and operating large\-scale data structures for business intelligence analytics using SQL experience
* 1\+ years of developing and operating large\-scale data structures for business intelligence analytics using Oracle experience
* Experience with data modeling, warehousing and building ETL pipelines
**PREFERRED QUALIFICATIONS**
----------------------------
* Experience with AWS technologies like Redshift, S3, AWS Glue, EMR, Kinesis, FireHose, Lambda, and IAM roles and permissions
* Experience with non\-relational databases / data stores (object storage, document or key\-value stores, graph databases, column\-family databases)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TN, Nashville \- 125,500\.00 \- 169,800\.00 USD annually  
USA, TX, Austin \- 132,100\.00 \- 178,800\.00 USD annually  
USA, WA, Bellevue \- 132,100\.00 \- 178,800\.00 USD annually</t>
        </is>
      </c>
    </row>
    <row r="16">
      <c r="A16" t="inlineStr">
        <is>
          <t>in-d62582d5722a8d0f</t>
        </is>
      </c>
      <c r="B16" t="inlineStr">
        <is>
          <t>Data Engineer II, UTR PLanning Tech</t>
        </is>
      </c>
      <c r="C16" t="inlineStr">
        <is>
          <t>Amazon.com</t>
        </is>
      </c>
      <c r="D16" t="inlineStr">
        <is>
          <t>indeed</t>
        </is>
      </c>
      <c r="E16" t="inlineStr"/>
      <c r="F16" t="inlineStr"/>
      <c r="G16" t="inlineStr">
        <is>
          <t>Nashville, TN, US</t>
        </is>
      </c>
      <c r="H16" s="1" t="n">
        <v>46065</v>
      </c>
      <c r="I16" t="inlineStr">
        <is>
          <t>**DESCRIPTION**
---------------
UTR Planning Tech builds the data infrastructure that powers labor planning across 12 Amazon last\-mile and sort\-center business lines. Our pipelines feed the planning systems that determine how Amazon staffs its delivery network, serving hundreds of sites and processing millions of data points daily.  
Our team is shifting from hand\-coded, custom pipelines to an AI\-native approach. We are building reusable frameworks where engineers and business users define what they need through configurations and natural language instead of writing custom code for every use case. AI agents handle orchestration, validation, and deployment. We are early in this transformation, which means you will not inherit a finished system. You will help define how we build, what patterns we standardize, and how AI fits into data engineering workflows. If you want to learn fast and have a hand in shaping the way a team works, this is that opportunity.  
We are hiring an L5 Data Engineer to own significant portions of our data architecture, drive the design of AI\-powered frameworks, and deliver data solutions that directly impact planning accuracy across Amazon's delivery network.  
Key job responsibilities  
* Design and own logical and physical data models for major datasets in the team's architecture. Create coherent models that drive physical design and serve multiple downstream consumers.
* Build and optimize ETL pipelines for complex datasets using AWS services (Redshift, S3, EMR, Glue, Lambda, Athena) and Python\-based orchestration (Airflow/MWAA). Your solutions will be testable, maintainable, and efficient.
* Design and build configuration\-driven data frameworks that replace repetitive custom code with reusable, declarative patterns for ingestion, transformation, and metric curation. Own the design of these frameworks, not just the implementation.
* Build AI agent tooling and MCP\-based interfaces that allow conversational agents to generate SQL, validate configurations, manage data quality rules, and execute pipeline operations through natural language.
* Own ongoing data quality for datasets you build. Implement standardized data contracts, define SLAs, establish data certification processes, and automate manual quality processes.
* Work with planning scientists, software engineers, BI engineers, and product managers to balance customer requirements with technical requirements. Help shape what we build, not just how.
* Improve self\-service access to data. Build analytical data models and tooling that reduce dependency on the DE team for common data access patterns.
* Improve engineering processes: automate manual operations, establish monitoring and alerting standards, and drive code quality and dependency management practices.
* Mentor engineers and interns. Train new team members on how team data solutions are constructed, how they operate, and how they fit into the broader architecture.
* Participate in the interview process and help recruit for the team.
**BASIC QUALIFICATIONS**
------------------------
* 3\+ years of data engineering experience
* 1\+ years of developing and operating large\-scale data structures for business intelligence analytics using ETL/ELT processes experience
* 1\+ years of developing and operating large\-scale data structures for business intelligence analytics using OLAP technologies experience
* 1\+ years of developing and operating large\-scale data structures for business intelligence analytics using data modeling experience
* 1\+ years of developing and operating large\-scale data structures for business intelligence analytics using SQL experience
* 1\+ years of developing and operating large\-scale data structures for business intelligence analytics using Oracle experience
* Experience with data modeling, warehousing and building ETL pipelines
**PREFERRED QUALIFICATIONS**
----------------------------
* Experience with AWS technologies like Redshift, S3, AWS Glue, EMR, Kinesis, FireHose, Lambda, and IAM roles and permissions
* Experience with non\-relational databases / data stores (object storage, document or key\-value stores, graph databases, column\-family databases)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TN, Nashville \- 125,500\.00 \- 169,800\.00 USD annually  
USA, TX, Austin \- 132,100\.00 \- 178,800\.00 USD annually  
USA, WA, Bellevue \- 132,100\.00 \- 178,800\.00 USD annually</t>
        </is>
      </c>
    </row>
    <row r="17">
      <c r="A17" t="inlineStr">
        <is>
          <t>in-45da0fa01424cbab</t>
        </is>
      </c>
      <c r="B17" t="inlineStr">
        <is>
          <t>Software Development Manager, Amazon Security Data Engineering</t>
        </is>
      </c>
      <c r="C17" t="inlineStr">
        <is>
          <t>Amazon.com</t>
        </is>
      </c>
      <c r="D17" t="inlineStr">
        <is>
          <t>indeed</t>
        </is>
      </c>
      <c r="E17" t="inlineStr"/>
      <c r="F17" t="inlineStr"/>
      <c r="G17" t="inlineStr">
        <is>
          <t>Herndon, VA, US</t>
        </is>
      </c>
      <c r="H17" s="1" t="n">
        <v>46063</v>
      </c>
      <c r="I17" t="inlineStr">
        <is>
          <t>**DESCRIPTION**
---------------
Amazon Security Data Engineering seeks a Software Development Manager to lead our Data Cataloging and Optimization team. You'll manage a team of software developers building the critical optimization layer of Amazon's Security Data Lake—a petabyte\-scale platform supporting Apache Iceberg, AWS Glue, and Parquet formats. Your team develops distributed systems for data compaction, re\-organization, and indexing that enable data engineers across AWS, Amazon Stores, Digital, and other business units to reduce Incident Response and Threat Hunting times from months to minutes. This role requires deep technical expertise in building large\-scale distributed systems and proven people leadership skills. You'll drive technical vision, establish engineering best practices, and grow high\-performing teams while balancing multiple latency requirements from real\-time batch detections to historical threat hunting across months of data.  
Key job responsibilities  
Lead, mentor, and grow a team of software developers building the Security Data Lake's cataloging and optimization platform  
* Drive technical vision and roadmap for systems that manage petabyte\-scale data catalogs supporting Apache Iceberg, AWS Glue, Parquet, and other formats
* Oversee the design and implementation of distributed systems for data optimization including compaction, re\-organization, and indexing at scale
* Partner with data engineers and security teams across AWS, Amazon Stores, Digital, and other business units to understand their requirements and deliver platform capabilities
* Guide architectural decisions for systems that balance multiple latency scenarios—from minute\-level batch detections to month\-spanning threat hunting queries
* Establish software engineering best practices, code quality standards, and operational excellence for platform development
* Build systems that enable data engineers to optimize performance and reduce Incident Response and Threat Hunting times, directly impacting security outcomes
* Manage team capacity planning, sprint execution, and delivery commitments for critical security infrastructure
* Conduct performance reviews, career development conversations, and hiring activities
* Foster a culture of innovation, ownership, and customer obsession focused on building scalable platforms
* Collaborate with peer teams across Amazon Security and data platform teams to drive cross\-functional initiatives
* Manage on\-call and operational readiness
About the team  
The Data Cataloging and Optimization team builds the platform layer that makes Amazon's Security Data Lake fast and efficient at petabyte scale. We're software developers passionate about distributed systems, working with Apache Iceberg, AWS Glue, and Parquet to build optimization systems for data compaction, re\-organization, and indexing. Our platform enables data engineers and security analysts across AWS, Amazon Stores, and Digital to investigate incidents and hunt threats—reducing query times from months to minutes. We emphasize ownership, technical excellence, and customer obsession while collaborating across Amazon Security to solve hard problems that directly impact Amazon's security posture.**BASIC QUALIFICATIONS**
------------------------
* 3\+ years of engineering team management experience
* 7\+ years of engineering experience
* 8\+ years of leading the definition and development of multi tier web services experience
* 3\+ years of Software Engineer, Software Developer, or related occupational experience
* 1\+ years of providing technical leadership and project management for all aspects of the software development lifecycle experience
* 1\+ years of developing large\-scale, multi\-tiered distributed software systems using Java, C\#, or C\+\+ experience
* 1\+ years of developing large\-scale, multi\-tiered distributed software systems using service\-oriented architecture experience
* 1\+ years of developing large\-scale, multi\-tiered distributed software systems using distributed programming experience
* Bachelor's degree or foreign equivalent in Computer Science, Engineering, Mathematics, or a related field
* Knowledge of engineering practices and patterns for the full software/hardware/networks development life cycle, including coding standards, code reviews, source control management, build processes, testing, certification, and livesite operations
* Experience partnering with product or program management teams
**PREFERRED QUALIFICATIONS**
----------------------------
* Experience in communicating with users, other technical teams, and senior leadership to collect requirements, describe software product features, technical designs, and product strategy
* Experience in recruiting, hiring, mentoring/coaching and managing teams of Software Engineers to improve their skills, and make them more effective, product software engineers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San Diego \- 184,900\.00 \- 250,200\.00 USD annually  
USA, VA, Herndon \- 184,900\.00 \- 250,200\.00 USD annually</t>
        </is>
      </c>
    </row>
    <row r="18">
      <c r="A18" t="inlineStr">
        <is>
          <t>in-af531f6031ce72e1</t>
        </is>
      </c>
      <c r="B18" t="inlineStr">
        <is>
          <t>Software Development Manager, Amazon Security Data Engineering</t>
        </is>
      </c>
      <c r="C18" t="inlineStr">
        <is>
          <t>Amazon.com</t>
        </is>
      </c>
      <c r="D18" t="inlineStr">
        <is>
          <t>indeed</t>
        </is>
      </c>
      <c r="E18" t="inlineStr"/>
      <c r="F18" t="inlineStr"/>
      <c r="G18" t="inlineStr">
        <is>
          <t>San Diego, CA, US</t>
        </is>
      </c>
      <c r="H18" s="1" t="n">
        <v>46063</v>
      </c>
      <c r="I18" t="inlineStr">
        <is>
          <t>**DESCRIPTION**
---------------
Amazon Security Data Engineering seeks a Software Development Manager to lead our Data Cataloging and Optimization team. You'll manage a team of software developers building the critical optimization layer of Amazon's Security Data Lake—a petabyte\-scale platform supporting Apache Iceberg, AWS Glue, and Parquet formats. Your team develops distributed systems for data compaction, re\-organization, and indexing that enable data engineers across AWS, Amazon Stores, Digital, and other business units to reduce Incident Response and Threat Hunting times from months to minutes. This role requires deep technical expertise in building large\-scale distributed systems and proven people leadership skills. You'll drive technical vision, establish engineering best practices, and grow high\-performing teams while balancing multiple latency requirements from real\-time batch detections to historical threat hunting across months of data.  
Key job responsibilities  
Lead, mentor, and grow a team of software developers building the Security Data Lake's cataloging and optimization platform  
* Drive technical vision and roadmap for systems that manage petabyte\-scale data catalogs supporting Apache Iceberg, AWS Glue, Parquet, and other formats
* Oversee the design and implementation of distributed systems for data optimization including compaction, re\-organization, and indexing at scale
* Partner with data engineers and security teams across AWS, Amazon Stores, Digital, and other business units to understand their requirements and deliver platform capabilities
* Guide architectural decisions for systems that balance multiple latency scenarios—from minute\-level batch detections to month\-spanning threat hunting queries
* Establish software engineering best practices, code quality standards, and operational excellence for platform development
* Build systems that enable data engineers to optimize performance and reduce Incident Response and Threat Hunting times, directly impacting security outcomes
* Manage team capacity planning, sprint execution, and delivery commitments for critical security infrastructure
* Conduct performance reviews, career development conversations, and hiring activities
* Foster a culture of innovation, ownership, and customer obsession focused on building scalable platforms
* Collaborate with peer teams across Amazon Security and data platform teams to drive cross\-functional initiatives
* Manage on\-call and operational readiness
About the team  
The Data Cataloging and Optimization team builds the platform layer that makes Amazon's Security Data Lake fast and efficient at petabyte scale. We're software developers passionate about distributed systems, working with Apache Iceberg, AWS Glue, and Parquet to build optimization systems for data compaction, re\-organization, and indexing. Our platform enables data engineers and security analysts across AWS, Amazon Stores, and Digital to investigate incidents and hunt threats—reducing query times from months to minutes. We emphasize ownership, technical excellence, and customer obsession while collaborating across Amazon Security to solve hard problems that directly impact Amazon's security posture.**BASIC QUALIFICATIONS**
------------------------
* 3\+ years of engineering team management experience
* 7\+ years of engineering experience
* 8\+ years of leading the definition and development of multi tier web services experience
* 3\+ years of Software Engineer, Software Developer, or related occupational experience
* 1\+ years of providing technical leadership and project management for all aspects of the software development lifecycle experience
* 1\+ years of developing large\-scale, multi\-tiered distributed software systems using Java, C\#, or C\+\+ experience
* 1\+ years of developing large\-scale, multi\-tiered distributed software systems using service\-oriented architecture experience
* 1\+ years of developing large\-scale, multi\-tiered distributed software systems using distributed programming experience
* Bachelor's degree or foreign equivalent in Computer Science, Engineering, Mathematics, or a related field
* Knowledge of engineering practices and patterns for the full software/hardware/networks development life cycle, including coding standards, code reviews, source control management, build processes, testing, certification, and livesite operations
* Experience partnering with product or program management teams
**PREFERRED QUALIFICATIONS**
----------------------------
* Experience in communicating with users, other technical teams, and senior leadership to collect requirements, describe software product features, technical designs, and product strategy
* Experience in recruiting, hiring, mentoring/coaching and managing teams of Software Engineers to improve their skills, and make them more effective, product software engineers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San Diego \- 184,900\.00 \- 250,200\.00 USD annually  
USA, VA, Herndon \- 184,900\.00 \- 250,200\.00 USD annually</t>
        </is>
      </c>
    </row>
    <row r="19">
      <c r="A19" t="inlineStr">
        <is>
          <t>in-00befd677350965e</t>
        </is>
      </c>
      <c r="B19" t="inlineStr">
        <is>
          <t>Data Engineer, AMZL Orbit Data Engineering</t>
        </is>
      </c>
      <c r="C19" t="inlineStr">
        <is>
          <t>Amazon.com</t>
        </is>
      </c>
      <c r="D19" t="inlineStr">
        <is>
          <t>indeed</t>
        </is>
      </c>
      <c r="E19" t="inlineStr"/>
      <c r="F19" t="inlineStr"/>
      <c r="G19" t="inlineStr">
        <is>
          <t>Austin, TX, US</t>
        </is>
      </c>
      <c r="H19" s="1" t="n">
        <v>46054</v>
      </c>
      <c r="I19" t="inlineStr">
        <is>
          <t>**DESCRIPTION**
---------------
Open to hire in the following Job locations: Bellevue,USA, WA.  
Do you want to be in the forefront of engineering big data solutions that takes Transportation models to the next generation? Do you have a solid analytical thinking, metrics driven decision making and want to solve problems with solutions that will meet the growing worldwide need? We are looking for top notch Data Engineers to be part of our world class Transportation Business Intelligence team. We are building real time analytical platforms using big data tools and AWS technologies like Hadoop, Spark, EMR, SNS, SQS, Lambda, Kinesis Firehose, DynamoDB Streams.  
The ideal candidate relishes working with large volumes of data, enjoys the challenge of highly complex technical contexts, and, above all else, is passionate about data and analytics. An expert with data modeling, ETL design and business intelligence tools and passionately partners with the business to identify strategic opportunities where improvements in data infrastructure creates out\-sized business impact. The ideal candidate is self\-starter, comfortable with ambiguity, able to think big (while paying careful attention to detail), and enjoys working in a fast\-paced and global team. It's a big ask, and we're excited to talk to those up to the challenge!
**BASIC QUALIFICATIONS**
------------------------
* 1\+ years of data engineering experience
* Experience with data modeling, warehousing and building ETL pipelines
* Experience with one or more query language (e.g., SQL, PL/SQL, DDL, MDX, HiveQL, SparkSQL, Scala)
* Experience with one or more scripting language (e.g., Python, KornShell)
**PREFERRED QUALIFICATIONS**
----------------------------
* Experience with big data technologies such as: Hadoop, Hive, Spark, EMR
* Experience with any ETL tool like, Informatica, ODI, SSIS, BODI, Datastage, etc.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TN, Nashville \- 96,200\.00 \- 160,000\.00 USD annually  
USA, TX, Austin \- 101,300\.00 \- 160,000\.00 USD annually  
USA, WA, Bellevue \- 101,300\.00 \- 160,000\.00 USD annually</t>
        </is>
      </c>
    </row>
    <row r="20">
      <c r="A20" t="inlineStr">
        <is>
          <t>in-153a43266fc2467d</t>
        </is>
      </c>
      <c r="B20" t="inlineStr">
        <is>
          <t>Data Engineer, AMZL Orbit Data Engineering</t>
        </is>
      </c>
      <c r="C20" t="inlineStr">
        <is>
          <t>Amazon.com</t>
        </is>
      </c>
      <c r="D20" t="inlineStr">
        <is>
          <t>indeed</t>
        </is>
      </c>
      <c r="E20" t="inlineStr"/>
      <c r="F20" t="inlineStr"/>
      <c r="G20" t="inlineStr">
        <is>
          <t>Bellevue, WA, US</t>
        </is>
      </c>
      <c r="H20" s="1" t="n">
        <v>46054</v>
      </c>
      <c r="I20" t="inlineStr">
        <is>
          <t>**DESCRIPTION**
---------------
Open to hire in the following Job locations: Bellevue,USA, WA.  
Do you want to be in the forefront of engineering big data solutions that takes Transportation models to the next generation? Do you have a solid analytical thinking, metrics driven decision making and want to solve problems with solutions that will meet the growing worldwide need? We are looking for top notch Data Engineers to be part of our world class Transportation Business Intelligence team. We are building real time analytical platforms using big data tools and AWS technologies like Hadoop, Spark, EMR, SNS, SQS, Lambda, Kinesis Firehose, DynamoDB Streams.  
The ideal candidate relishes working with large volumes of data, enjoys the challenge of highly complex technical contexts, and, above all else, is passionate about data and analytics. An expert with data modeling, ETL design and business intelligence tools and passionately partners with the business to identify strategic opportunities where improvements in data infrastructure creates out\-sized business impact. The ideal candidate is self\-starter, comfortable with ambiguity, able to think big (while paying careful attention to detail), and enjoys working in a fast\-paced and global team. It's a big ask, and we're excited to talk to those up to the challenge!
**BASIC QUALIFICATIONS**
------------------------
* 1\+ years of data engineering experience
* Experience with data modeling, warehousing and building ETL pipelines
* Experience with one or more query language (e.g., SQL, PL/SQL, DDL, MDX, HiveQL, SparkSQL, Scala)
* Experience with one or more scripting language (e.g., Python, KornShell)
**PREFERRED QUALIFICATIONS**
----------------------------
* Experience with big data technologies such as: Hadoop, Hive, Spark, EMR
* Experience with any ETL tool like, Informatica, ODI, SSIS, BODI, Datastage, etc.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TN, Nashville \- 96,200\.00 \- 160,000\.00 USD annually  
USA, TX, Austin \- 101,300\.00 \- 160,000\.00 USD annually  
USA, WA, Bellevue \- 101,300\.00 \- 160,000\.00 USD annually</t>
        </is>
      </c>
    </row>
    <row r="21">
      <c r="A21" t="inlineStr">
        <is>
          <t>in-2acd13e1fda0bdcb</t>
        </is>
      </c>
      <c r="B21" t="inlineStr">
        <is>
          <t>Data Engineer, AMZL Orbit Data Engineering</t>
        </is>
      </c>
      <c r="C21" t="inlineStr">
        <is>
          <t>Amazon.com</t>
        </is>
      </c>
      <c r="D21" t="inlineStr">
        <is>
          <t>indeed</t>
        </is>
      </c>
      <c r="E21" t="inlineStr"/>
      <c r="F21" t="inlineStr"/>
      <c r="G21" t="inlineStr">
        <is>
          <t>Nashville, TN, US</t>
        </is>
      </c>
      <c r="H21" s="1" t="n">
        <v>46054</v>
      </c>
      <c r="I21" t="inlineStr">
        <is>
          <t>**DESCRIPTION**
---------------
Open to hire in the following Job locations: Bellevue,USA, WA.  
Do you want to be in the forefront of engineering big data solutions that takes Transportation models to the next generation? Do you have a solid analytical thinking, metrics driven decision making and want to solve problems with solutions that will meet the growing worldwide need? We are looking for top notch Data Engineers to be part of our world class Transportation Business Intelligence team. We are building real time analytical platforms using big data tools and AWS technologies like Hadoop, Spark, EMR, SNS, SQS, Lambda, Kinesis Firehose, DynamoDB Streams.  
The ideal candidate relishes working with large volumes of data, enjoys the challenge of highly complex technical contexts, and, above all else, is passionate about data and analytics. An expert with data modeling, ETL design and business intelligence tools and passionately partners with the business to identify strategic opportunities where improvements in data infrastructure creates out\-sized business impact. The ideal candidate is self\-starter, comfortable with ambiguity, able to think big (while paying careful attention to detail), and enjoys working in a fast\-paced and global team. It's a big ask, and we're excited to talk to those up to the challenge!
**BASIC QUALIFICATIONS**
------------------------
* 1\+ years of data engineering experience
* Experience with data modeling, warehousing and building ETL pipelines
* Experience with one or more query language (e.g., SQL, PL/SQL, DDL, MDX, HiveQL, SparkSQL, Scala)
* Experience with one or more scripting language (e.g., Python, KornShell)
**PREFERRED QUALIFICATIONS**
----------------------------
* Experience with big data technologies such as: Hadoop, Hive, Spark, EMR
* Experience with any ETL tool like, Informatica, ODI, SSIS, BODI, Datastage, etc.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TN, Nashville \- 96,200\.00 \- 160,000\.00 USD annually  
USA, TX, Austin \- 101,300\.00 \- 160,000\.00 USD annually  
USA, WA, Bellevue \- 101,300\.00 \- 160,000\.00 USD annually</t>
        </is>
      </c>
    </row>
    <row r="22">
      <c r="A22" t="inlineStr">
        <is>
          <t>in-3ffeafa3995d4e1d</t>
        </is>
      </c>
      <c r="B22" t="inlineStr">
        <is>
          <t>Data Engineer, Denied Party Screening, AWS Compliance &amp; Security Assurance</t>
        </is>
      </c>
      <c r="C22" t="inlineStr">
        <is>
          <t>Amazon.com</t>
        </is>
      </c>
      <c r="D22" t="inlineStr">
        <is>
          <t>indeed</t>
        </is>
      </c>
      <c r="E22" t="inlineStr"/>
      <c r="F22" t="inlineStr"/>
      <c r="G22" t="inlineStr">
        <is>
          <t>Dallas, TX, US</t>
        </is>
      </c>
      <c r="H22" s="1" t="n">
        <v>46029</v>
      </c>
      <c r="I22" t="inlineStr">
        <is>
          <t>**DESCRIPTION**
---------------
Amazon seeks an experienced Data Engineer to join the DPS (Deny Party Screening) team. Our mission is to prevent denied parties from transacting with Amazon businesses, including AWS, customers, vendors, sellers, subsidiaries, etc. We screen billions of events every day. We integrate with Tier 1 systems, build DPS systems, and deal with unique scaling challenges.  
As a Data Engineer, you will design, implement and support scalable data infrastructure solutions to integrate with multi heterogeneous data sources, aggregate and retrieve data in a fast and safe mode, curate data that can be used in reporting, analysis, machine learning models and ad\-hoc data requests. You will be exposed to cutting edge AWS big data technologies. You should have excellent business and communication skills to be able to work with business owners and Tech leaders to gather infrastructure requirements, design data infrastructure, build up data pipelines and datasets to meet business needs. You stay abreast of emerging technologies, investigating and implementing where appropriate.  
Key job responsibilities  
* Design, implement, and support data warehouse/ data lake infrastructure using AWS bigdata stack, Python, Redshift, QuickSight, Glue/lake formation, EMR/Spark, Athena etc.
* Develop and manage ETLs to source data from various financial, AWS networking and operational systems and create unified data model for analytics and reporting.
* Creation and support of real\-time data pipelines built on AWS technologies including EMR, Glue, Redshift/Spectrum and Athena.
* Collaborate with other Engineering teams, Product/Finance Managers/Analysts to implement advanced analytics algorithms that exploit our rich datasets for financial model development, statistical analysis, prediction, etc.
* Continual research of the latest big data and visualization technologies to provide new capabilities and increase efficiency.
* Use business intelligence and visualization software (e.g., QuickSight) to develop dashboards those are used by senior leadership.
* Empower technical and non\-technical, internal customers to drive their own analytics and reporting (self\-serve reporting) and support ad\-hoc reporting when needed.
* Working closely with team members to drive real\-time model implementations for monitoring and alerting of risk systems.
* Manage numerous requests concurrently and strategically, prioritizing when necessary
* Partner/collaborate across teams/roles to deliver results.
* Mentor other engineers, influence positively team culture, and help grow the team
About the team  
Denied Party Screening (DPS) is a part of Amazon Security, an organization designed to drive bar\-raising security engagements. The vision of the Amazon DPS program is to ensure that 1\+ billion Amazon accounts spanning across consumers, sellers, developers, employees, and all other Amazon party, are not a denied party, located or incorporated in a sanctioned region or country, or owned or controlled by or subject to the jurisdiction of the government of a sanctioned country.
Why Amazon Security  
At Amazon, security is central to maintaining customer trust and delivering delightful customer experiences. Our organization is responsible for creating and maintaining a high bar for security across all of Amazon’s products and services.  
Work/Life Balance  
We value work\-life harmony. Achieving success at work should never come at the expense of sacrifices at home, which is why flexible work hours and arrangements are part of our culture. When we feel supported in the workplace and at home, there’s nothing we can’t achieve.  
Inclusive Team Culture  
In Amazon Security, it’s in our nature to learn and be curious. Ongoing DEI events and learning experiences inspire us to continue learning and to embrace our uniqueness. Addressing the toughest security challenges requires that we seek out and celebrate a diversity of ideas, perspectives, and voices.  
Training and Career growth  
We’re continuously raising our performance bar as we strive to become Earth’s Best Employer. That’s why you’ll find endless knowledge\-sharing, training, and other career\-advancing resources here to help you develop into a better\-rounded professional.**BASIC QUALIFICATIONS**
------------------------
* 5\+ years of data engineering experience
* Experience programming with at least one modern language such as C\+\+, C\#, Java, Python, Golang, PowerShell, Ruby
* Experience working on and delivering end to end projects independently
* Experience with big data technologies such as: Hadoop, Hive, Spark, EMR
**PREFERRED QUALIFICATIONS**
----------------------------
* Experience with AWS technologies like Redshift, S3, AWS Glue, EMR, Kinesis, FireHose, Lambda, and IAM roles and permissions
* Experience with non\-relational databases / data stores (object storage, document or key\-value stores, graph databases, column\-family databases)
* Experience in at least one modern scripting or programming language, such as Python, Java, Scala, or NodeJS
* Experience with distributed systems as it pertains to data storage and computing
* Experience as a data engineer or related specialty (e.g., software engineer, business intelligence engineer, data scientist) with a track record of manipulating, processing, and extracting value from large datasets
* Experience providing technical leadership and mentoring other engineers for best practices on data engineering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TX, Dallas \- 132,100\.00 \- 178,800\.00 USD annually  
USA, WA, Seattle \- 132,100\.00 \- 178,800\.00 USD annually</t>
        </is>
      </c>
    </row>
    <row r="23">
      <c r="A23" t="inlineStr">
        <is>
          <t>in-9db9c19452370748</t>
        </is>
      </c>
      <c r="B23" t="inlineStr">
        <is>
          <t>Data Engineer, Denied Party Screening, AWS Compliance &amp; Security Assurance</t>
        </is>
      </c>
      <c r="C23" t="inlineStr">
        <is>
          <t>Amazon.com</t>
        </is>
      </c>
      <c r="D23" t="inlineStr">
        <is>
          <t>indeed</t>
        </is>
      </c>
      <c r="E23" t="inlineStr"/>
      <c r="F23" t="inlineStr"/>
      <c r="G23" t="inlineStr">
        <is>
          <t>Seattle, WA, US</t>
        </is>
      </c>
      <c r="H23" s="1" t="n">
        <v>46029</v>
      </c>
      <c r="I23" t="inlineStr">
        <is>
          <t>**DESCRIPTION**
---------------
Amazon seeks an experienced Data Engineer to join the DPS (Deny Party Screening) team. Our mission is to prevent denied parties from transacting with Amazon businesses, including AWS, customers, vendors, sellers, subsidiaries, etc. We screen billions of events every day. We integrate with Tier 1 systems, build DPS systems, and deal with unique scaling challenges.  
As a Data Engineer, you will design, implement and support scalable data infrastructure solutions to integrate with multi heterogeneous data sources, aggregate and retrieve data in a fast and safe mode, curate data that can be used in reporting, analysis, machine learning models and ad\-hoc data requests. You will be exposed to cutting edge AWS big data technologies. You should have excellent business and communication skills to be able to work with business owners and Tech leaders to gather infrastructure requirements, design data infrastructure, build up data pipelines and datasets to meet business needs. You stay abreast of emerging technologies, investigating and implementing where appropriate.  
Key job responsibilities  
* Design, implement, and support data warehouse/ data lake infrastructure using AWS bigdata stack, Python, Redshift, QuickSight, Glue/lake formation, EMR/Spark, Athena etc.
* Develop and manage ETLs to source data from various financial, AWS networking and operational systems and create unified data model for analytics and reporting.
* Creation and support of real\-time data pipelines built on AWS technologies including EMR, Glue, Redshift/Spectrum and Athena.
* Collaborate with other Engineering teams, Product/Finance Managers/Analysts to implement advanced analytics algorithms that exploit our rich datasets for financial model development, statistical analysis, prediction, etc.
* Continual research of the latest big data and visualization technologies to provide new capabilities and increase efficiency.
* Use business intelligence and visualization software (e.g., QuickSight) to develop dashboards those are used by senior leadership.
* Empower technical and non\-technical, internal customers to drive their own analytics and reporting (self\-serve reporting) and support ad\-hoc reporting when needed.
* Working closely with team members to drive real\-time model implementations for monitoring and alerting of risk systems.
* Manage numerous requests concurrently and strategically, prioritizing when necessary
* Partner/collaborate across teams/roles to deliver results.
* Mentor other engineers, influence positively team culture, and help grow the team
About the team  
Denied Party Screening (DPS) is a part of Amazon Security, an organization designed to drive bar\-raising security engagements. The vision of the Amazon DPS program is to ensure that 1\+ billion Amazon accounts spanning across consumers, sellers, developers, employees, and all other Amazon party, are not a denied party, located or incorporated in a sanctioned region or country, or owned or controlled by or subject to the jurisdiction of the government of a sanctioned country.
Why Amazon Security  
At Amazon, security is central to maintaining customer trust and delivering delightful customer experiences. Our organization is responsible for creating and maintaining a high bar for security across all of Amazon’s products and services.  
Work/Life Balance  
We value work\-life harmony. Achieving success at work should never come at the expense of sacrifices at home, which is why flexible work hours and arrangements are part of our culture. When we feel supported in the workplace and at home, there’s nothing we can’t achieve.  
Inclusive Team Culture  
In Amazon Security, it’s in our nature to learn and be curious. Ongoing DEI events and learning experiences inspire us to continue learning and to embrace our uniqueness. Addressing the toughest security challenges requires that we seek out and celebrate a diversity of ideas, perspectives, and voices.  
Training and Career growth  
We’re continuously raising our performance bar as we strive to become Earth’s Best Employer. That’s why you’ll find endless knowledge\-sharing, training, and other career\-advancing resources here to help you develop into a better\-rounded professional.**BASIC QUALIFICATIONS**
------------------------
* 5\+ years of data engineering experience
* Experience programming with at least one modern language such as C\+\+, C\#, Java, Python, Golang, PowerShell, Ruby
* Experience working on and delivering end to end projects independently
* Experience with big data technologies such as: Hadoop, Hive, Spark, EMR
**PREFERRED QUALIFICATIONS**
----------------------------
* Experience with AWS technologies like Redshift, S3, AWS Glue, EMR, Kinesis, FireHose, Lambda, and IAM roles and permissions
* Experience with non\-relational databases / data stores (object storage, document or key\-value stores, graph databases, column\-family databases)
* Experience in at least one modern scripting or programming language, such as Python, Java, Scala, or NodeJS
* Experience with distributed systems as it pertains to data storage and computing
* Experience as a data engineer or related specialty (e.g., software engineer, business intelligence engineer, data scientist) with a track record of manipulating, processing, and extracting value from large datasets
* Experience providing technical leadership and mentoring other engineers for best practices on data engineering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TX, Dallas \- 132,100\.00 \- 178,800\.00 USD annually  
USA, WA, Seattle \- 132,100\.00 \- 178,800\.00 USD annually</t>
        </is>
      </c>
    </row>
    <row r="24">
      <c r="A24" t="inlineStr">
        <is>
          <t>in-0a13dfd87b5d5844</t>
        </is>
      </c>
      <c r="B24" t="inlineStr">
        <is>
          <t>Manager, Data Engineering</t>
        </is>
      </c>
      <c r="C24" t="inlineStr">
        <is>
          <t>Centene</t>
        </is>
      </c>
      <c r="D24" t="inlineStr">
        <is>
          <t>indeed</t>
        </is>
      </c>
      <c r="E24">
        <f>HYPERLINK("https://www.indeed.com/viewjob?jk=0a13dfd87b5d5844", "https://www.indeed.com/viewjob?jk=0a13dfd87b5d5844")</f>
        <v/>
      </c>
      <c r="F24">
        <f>HYPERLINK("https://jobs.centene.com/us/en/jobs/1632711/manager-data-engineering/", "https://jobs.centene.com/us/en/jobs/1632711/manager-data-engineering/")</f>
        <v/>
      </c>
      <c r="G24" t="inlineStr">
        <is>
          <t>TX, US</t>
        </is>
      </c>
      <c r="H24" s="2" t="n">
        <v>46081</v>
      </c>
      <c r="I24" t="inlineStr">
        <is>
          <t>You could be the one who changes everything for our 28 million members by using technology to improve health outcomes around the world. As a diversified, national organization, Centene's technology professionals have access to competitive benefits including a fresh perspective on workplace flexibility.  
**Position Purpose:** Manages the overall data platform and infrastructure and mentors the team of data engineers. Supports developing processes, and expanding technology roadmap, planning features, measuring outputs, and ensuring quality products. They will also derive analytical insights from a variety of business contexts and communicate those insights effectively to a variety of stakeholders.* Manages design and development of software and processes to support large scale, efficient data pipelines and optimizes the availability of data to generate insights and address business needs
* Translates technical business goals and requirements into designs utilizing best practice design patterns and partner with engineering leads, product managers, and design leads in shaping and guiding the technical direction for the data engineering team
* Manages the planning, prioritization and execution of data production projects and processes and the activities of team of data engineers responsible for developing software code that formats, tags, processes, stores and delivers data
* Develops the standards and processes required to ensure the delivery of high\-quality data products
* Participates in code reviews and help lead technical discussions, accountable for the maintenance of agile processes and ceremonies for the data team
* Manages and oversees the automation of key ETL / ELT (Extract / Transform / Load) and quality assurance (in collaboration with quality engineering team) processes for large volumes of data and migrations of workloads
* Performs and monitors data governance, data quality, integrity, standards, master data management, metadata strategy, and business intelligence/analytics
* Contributes to decisions on key technology choices for data pipelines to ensure that they are scalable, repeatable, secure, and can serve users at scale in the organization
* Allocates available resources to meet operating objectives and provides team leadership, fostering a diverse and inclusive workplace
* Performs other duties as assigned
* Complies with all policies and standards
**Education/Experience:** Requires a Bachelor's degree and 5\+ years of related experience. Or equivalent experience acquired through accomplishments of applicable knowledge, duties, scope and skill reflective of the level of this position.  
**Technical Skills:**
* One or more of the following skills are desired.
* Knowledge of Agile Software Development; Scrum (Software Development); Technical Support
* Knowledge of Extract Transform Load (ETL); SQL (Programming Language)
* Knowledge of Other: relational and non\-relational databases, Cloud\-based data processes, and business intelligence
* Experience with one or more of the following Other: Experience in performing and monitoring enterprise level data governance, integrity, quality, managing master data, moving data between databases, providing metadata strategy, and business intelligence/analytics
Pay Range: $102,900\.00 \- $190,500\.00 per year
Centene offers a comprehensive benefits package including: competitive pay, health insurance, 401K and stock purchase plans, tuition reimbursement, paid time off plus holidays, and a flexible approach to work with remote, hybrid, field or office work schedules. Actual pay will be adjusted based on an individual's skills, experience, education, and other job\-related factors permitted by law, including full\-time or part\-time status. Total compensation may also include additional forms of incentives. Benefits may be subject to program eligibility.
Centene is an equal opportunity employer that is committed to diversity, and values the ways in which we are different. All qualified applicants will receive consideration for employment without regard to race, color, religion, sex, sexual orientation, gender identity, national origin, disability, veteran status, or other characteristic protected by applicable law.
Qualified applicants with arrest or conviction records will be considered in accordance with the LA County Ordinance and the California Fair Chance Act</t>
        </is>
      </c>
    </row>
    <row r="25">
      <c r="A25" t="inlineStr">
        <is>
          <t>in-e1534e35cf264fdf</t>
        </is>
      </c>
      <c r="B25" t="inlineStr">
        <is>
          <t>Data Engineer</t>
        </is>
      </c>
      <c r="C25" t="inlineStr">
        <is>
          <t>Visa</t>
        </is>
      </c>
      <c r="D25" t="inlineStr">
        <is>
          <t>indeed</t>
        </is>
      </c>
      <c r="E25">
        <f>HYPERLINK("https://www.indeed.com/viewjob?jk=e1534e35cf264fdf", "https://www.indeed.com/viewjob?jk=e1534e35cf264fdf")</f>
        <v/>
      </c>
      <c r="F25">
        <f>HYPERLINK("https://jobs.smartrecruiters.com/Visa/744000112201227-data-engineer", "https://jobs.smartrecruiters.com/Visa/744000112201227-data-engineer")</f>
        <v/>
      </c>
      <c r="G25" t="inlineStr">
        <is>
          <t>Foster City, CA, US</t>
        </is>
      </c>
      <c r="H25" s="2" t="n">
        <v>46083</v>
      </c>
      <c r="I25" t="inlineStr">
        <is>
          <t>**Company Description**  
Visa is a world leader in payments technology, facilitating transactions between consumers, merchants, financial institutions and government entities across more than 200 countries and territories, dedicated to uplifting everyone, everywhere by being the best way to pay and be paid.
At Visa, you'll have the opportunity to create impact at scale — tackling meaningful challenges, growing your skills and seeing your contributions impact lives around the world. Join Visa and do work that matters — to you, to your community, and to the world.
Progress starts with you.
 **Job Description**  
The Data and Artificial Intelligence Platform (DAP) group is a key component of Visa's Technology organization, providing the enabling technology and processes to handle Visa's data assets and deliver valuable information, products, and services to customers. Within DAP, the Data as a Service (DaaS) team consists of skilled data engineers focused on building data pipelines to meet Visa's data needs and delivers secure, high\-quality, and easy\-to\-use data assets.
As a Data Engineer, you'll join our Data \&amp; AI Platform – Data as a Service organization in Foster City, California. You will help enhance and build our data infrastructure and pipelines within an agile development environment, using Gen AI regularly, and collaborating with colleagues who will support and challenge you daily.
**What We Offer:**
* Exciting Challenges: We work at a scale rarely seen in the industry, solving complex data and AI problems across the entire stack, offering limitless opportunities to leverage and lead in this ever\-growing field.
* Teamwork and Fun: Each of us brings diverse and rich experiences to the team, enabling us to deliver much more than the sum of our parts and have fun at the same time.
* Fantastic People: With strong leadership, you will have the opportunity to learn, collaborate, and deliver together with some of the best and most creative minds in the industry.
**Primary responsibilities:**
As a Data Engineer, you will play a key role in the innovation, coding, and development of comprehensive data pipeline solutions. Essential functions includes:
* Coding, testing to develop, and maintain robust and scalable data pipelines and ETL processes on non\-production and production environment
* Ensure data services are highly available, secure, scalable, and resilient.
* Improve and support production systems, ensuring that production issues are promptly resolved
* Collaborate with the agile team, user community, architects, and support teams to understand requirements and implement effective solutions
* Drive innovation to differentiate our data products and accelerate time\-to\-market delivery
* Adhere to established software development guidelines, security standards and responsible use of Gen AI tools and frameworks
* Help maintain atmosphere of mutual accountability
**This is a hybrid position. Expectation of days in office will be confirmed by your hiring manager.**
 **Qualifications** **Basic Qualifications:**
* Bachelor's degree, OR 3\+ years of relevant work experience
**Preferred Qualifications:**
* 1 or more years of work experience with a Bachelor’s Degree in Computer Science or Computer Engineering.
* Strong programming skills in at least one of the following languages: Java, Python, or Scala
* Experience utilizing GenAI technologies in software development.
* Hands\-on experience developing data processing pipeline, feature extraction, production deployment and monitoring.
* Knowledge and working experience on Apache Spark, Kafka, Hadoop, Hive, Trino, Presto, Apache Airflow and NoSQL databases like Hbase working with PB level data volume.
* Experience with GenAI or Agentic AI technologies (e.g., LLMs, NLP) and RAG\-based architecture and Vector DBs.
* Knowledge and experience in J2EE technologies, Microservices and REST APIs.
* Experience in an Agile environment, with a strong emphasis on best software development practices such as CI/CD, code reviews, and test automation, using tools like Jira and Jira Align
**Additional Information** **Work Hours:** Varies upon the needs of the department.
**Travel Requirements:** This position requires travel 5\-10% of the time.
**Mental/Physical Requirements:** This position will be performed in an office setting. The position will require the incumbent to sit and stand at a desk, communicate in person and by telephone, frequently operate standard office equipment, such as telephones and computers.
Visa is an EEO Employer. Qualified applicants will receive consideration for employment without regard to race, color, religion, sex, national origin, sexual orientation, gender identity, disability or protected veteran status. Visa will also consider for employment qualified applicants with criminal histories in a manner consistent with EEOC guidelines and applicable local law.
Visa will consider for employment qualified applicants with criminal histories in a manner consistent with applicable local law, including the requirements of Article 49 of the San Francisco Police Code.
**U.S. APPLICANTS ONLY: The estimated salary range for this position is $97,800\.00 to $152,100\.00 USD per year, which may include potential sales incentive payments (if applicable). Salary may vary depending on job\-related factors which may include knowledge, skills, experience, and location. In addition, this position may be eligible for bonus and equity. Visa has a comprehensive benefits package for which this position may be eligible that includes Medical, Dental, Vision, 401 (k), FSA/HSA, Life Insurance, Paid Time Off, and Wellness Program.**</t>
        </is>
      </c>
    </row>
    <row r="26">
      <c r="A26" t="inlineStr">
        <is>
          <t>in-5bfcb1ae0dba9326</t>
        </is>
      </c>
      <c r="B26" t="inlineStr">
        <is>
          <t>AIML - Sr Software Data Engineer, Evaluation</t>
        </is>
      </c>
      <c r="C26" t="inlineStr">
        <is>
          <t>Apple</t>
        </is>
      </c>
      <c r="D26" t="inlineStr">
        <is>
          <t>indeed</t>
        </is>
      </c>
      <c r="E26">
        <f>HYPERLINK("https://www.indeed.com/viewjob?jk=5bfcb1ae0dba9326", "https://www.indeed.com/viewjob?jk=5bfcb1ae0dba9326")</f>
        <v/>
      </c>
      <c r="F26">
        <f>HYPERLINK("https://jsv3.recruitics.com/redirect?rx_cid=3427&amp;rx_jobId=200648837-0836_rxr-661&amp;rx_url=https%3A%2F%2Fjobs.apple.com%2Fen-us%2Fdetails%2F200648837-0836%2Faiml-sr-software-data-engineer-evaluation%3Fboard_id%3DJB001%26rx_campaign%3Dindeed0%26rx_ch%3Djobp4p%26rx_group%3D122365%26rx_id%3Dfe30f422-1603-11f1-9298-61baf780c336%26rx_job%3D200648837-0836_rxr-661%26rx_medium%3Dcpc%26rx_r%3Dnone%26rx_source%3Dindeed%26rx_ts%3D20260302T103830Z%26rx_vp%3Dcpc%26team%3DMLAI", "https://jsv3.recruitics.com/redirect?rx_cid=3427&amp;rx_jobId=200648837-0836_rxr-661&amp;rx_url=https%3A%2F%2Fjobs.apple.com%2Fen-us%2Fdetails%2F200648837-0836%2Faiml-sr-software-data-engineer-evaluation%3Fboard_id%3DJB001%26rx_campaign%3Dindeed0%26rx_ch%3Djobp4p%26rx_group%3D122365%26rx_id%3Dfe30f422-1603-11f1-9298-61baf780c336%26rx_job%3D200648837-0836_rxr-661%26rx_medium%3Dcpc%26rx_r%3Dnone%26rx_source%3Dindeed%26rx_ts%3D20260302T103830Z%26rx_vp%3Dcpc%26team%3DMLAI")</f>
        <v/>
      </c>
      <c r="G26" t="inlineStr">
        <is>
          <t>Cupertino, CA, US</t>
        </is>
      </c>
      <c r="H26" s="2" t="n">
        <v>46082</v>
      </c>
      <c r="I26" t="inlineStr">
        <is>
          <t>Are you excited about using data to shape the experience of products used by hundreds of millions of people around the world?  
The Evaluation Data Engineering team, part of Apple’s SWE organization, builds the scalable and reliable data platform that powers Siri, Search, and Machine Learning across Apple.  
We’re looking for collaborative and mission\-driven software engineers who care deeply about data quality, user impact, and building at scale.  
If you’re passionate about tackling complex data challenges, eager to work with petabytes of data, and inspired by Apple’s commitment to privacy and innovation, we’d love to hear from you.  
**Description**  
In this role, you’ll work cross\-functionally across product and data science teams to build large\-scale stream and batch processing data pipelines that power Analytics, Experimentation, and Machine Learning.  
You will design a unified and groundbreaking data processing framework using Flink, and/or Spark.  
Your work will focus on optimizing performance, ensuring data quality, and contributing to a long\-term vision that extends the framework’s capabilities to new user scenarios and groundbreaking machine learning applications.  
You will collaborate closely with Siri, Search, and other teams to design solutions that transform raw data into datasets that drive innovation.  
You’ll automate dataset lifecycles with strong quality standards and help partners confidently use the data for product insights.  
**Preferred Qualifications**  
Strong in algorithms, data structures, data modeling, and SQL, with experience working on large\-scale, complex, and high\-dimensional datasets.  
Experience with machine learning algorithms or pipelines, particularly in the context of data engineering.  
Experience supporting ML engineers or data scientists with feature engineering or model data pipelines is a plus.  
Familiarity with testing tools and methodologies for validating large\-scale, distributed data systems (e.g., data quality checks, pipeline testing frameworks, fault tolerance testing).  
Proven software engineering fundamentals, including experience with design, testing, version control, and CI/CD best practices.  
Comfortable working independently in a fast\-paced, ambiguous environment.  
Excellent communication and problem\-solving skills.  
**Minimum Qualifications**  
7\+ years of experience designing, building, and maintaining distributed data processing systems at scale.  
5\+ years of hands\-on experience with stream and/or batch processing technologies such as Flink, Spark, Kafka, Airflow, Iceberg, and Trino.  
2\-3 years of experience in full\-stack development  
Proficient in at least one modern programming language (e.g., Java, Scala, and Python).  
MS or BS in Computer Science, Engineering, Math, Statistics, or a related field, or equivalent practical experience in data engineering.  
Apple is an equal opportunity employer that is committed to inclusion and diversity. We seek to promote equal opportunity for all applicants without regard to race, color, religion, sex, sexual orientation, gender identity, national origin, disability, Veteran status, or other legally protected characteristics. Learn more about your EEO rights as an applicant .  
**Pay \&amp; Benefits**  
At Apple, base pay is one part of our total compensation package and is determined within a range. This provides the opportunity to progress as you grow and develop within a role. The base pay range for this role is between $181,100 and $318,400, and your base pay will depend on your skills, qualifications, experience, and location.  
Apple employees also have the opportunity to become an Apple shareholder through participation in Apple's discretionary employee stock programs. Apple employees are eligible for discretionary restricted stock unit awards, and can purchase Apple stock at a discount if voluntarily participating in Apple's Employee Stock Purchase Plan. You'll also receive benefits including: Comprehensive medical and dental coverage, retirement benefits, a range of discounted products and free services, and for formal education related to advancing your career at Apple, reimbursement for certain educational expenses \- including tuition. Additionally, this role might be eligible for discretionary bonuses or commission payments as well as relocation. Learn more about Apple Benefits.  
Note: Apple benefit, compensation and employee stock programs are subject to eligibility requirements and other terms of the applicable plan or program.</t>
        </is>
      </c>
    </row>
    <row r="27">
      <c r="A27" t="inlineStr">
        <is>
          <t>in-70d00c11b32ca7a0</t>
        </is>
      </c>
      <c r="B27" t="inlineStr">
        <is>
          <t>Sr. Data Engineer, iCloud</t>
        </is>
      </c>
      <c r="C27" t="inlineStr">
        <is>
          <t>Apple</t>
        </is>
      </c>
      <c r="D27" t="inlineStr">
        <is>
          <t>indeed</t>
        </is>
      </c>
      <c r="E27">
        <f>HYPERLINK("https://www.indeed.com/viewjob?jk=70d00c11b32ca7a0", "https://www.indeed.com/viewjob?jk=70d00c11b32ca7a0")</f>
        <v/>
      </c>
      <c r="F27">
        <f>HYPERLINK("https://jsv3.recruitics.com/redirect?rx_cid=3427&amp;rx_jobId=200643956-0836_rxr-661&amp;rx_url=https%3A%2F%2Fjobs.apple.com%2Fen-us%2Fdetails%2F200643956-0836%2Fsr-data-engineer-icloud%3Fboard_id%3DJB001%26rx_campaign%3Dindeed0%26rx_ch%3Djobp4p%26rx_group%3D122365%26rx_id%3D07f84f6a-1604-11f1-9298-e3f201f660e6%26rx_job%3D200643956-0836_rxr-661%26rx_medium%3Dcpc%26rx_r%3Dnone%26rx_source%3Dindeed%26rx_ts%3D20260302T103830Z%26rx_vp%3Dcpc%26team%3DSFTWR", "https://jsv3.recruitics.com/redirect?rx_cid=3427&amp;rx_jobId=200643956-0836_rxr-661&amp;rx_url=https%3A%2F%2Fjobs.apple.com%2Fen-us%2Fdetails%2F200643956-0836%2Fsr-data-engineer-icloud%3Fboard_id%3DJB001%26rx_campaign%3Dindeed0%26rx_ch%3Djobp4p%26rx_group%3D122365%26rx_id%3D07f84f6a-1604-11f1-9298-e3f201f660e6%26rx_job%3D200643956-0836_rxr-661%26rx_medium%3Dcpc%26rx_r%3Dnone%26rx_source%3Dindeed%26rx_ts%3D20260302T103830Z%26rx_vp%3Dcpc%26team%3DSFTWR")</f>
        <v/>
      </c>
      <c r="G27" t="inlineStr">
        <is>
          <t>Austin, TX, US</t>
        </is>
      </c>
      <c r="H27" s="2" t="n">
        <v>46082</v>
      </c>
      <c r="I27" t="inlineStr">
        <is>
          <t>Would you like to drive the future of Apple’s products, applications, and platform while having the unique opportunity to impact some of the most far\-reaching software applications in the world? iCloud Data organization enables Apple to ship better products for iCloud users to access all their content across apps (Photos, Mail, Messages, FaceTime, Calendar etc) from all of their devices all the time by providing consistent, scalable, timely, accurate, complete and fully integrated data infrastructure and capabilities to accurately surface relevant information. If this excites you and you are energized by solving hard, high\-leverage problems at scale, we'd love to hear from you! We’re looking for exceptional data engineers who have a strong background in distributed data processing, have great and demonstrable data intuition, and share our passion for continuously improving the ways we use data to make the Apple’s products, applications, and platform better.  
**Description**  
What you will do: Engineer efficient, adaptable and scalable data pipelines to process structured and unstructured data Own and evolve extremely rich datasets on iCloud products and platform interactions to power a wide variety of use cases Build forward\-looking data solutions that interface well with existing systems and use judgement to bring cutting edge technologies in the industry to suit iCloud needs Understand how key technical decisions will drive business outcomes and deliver/aid data frameworks and platforms that improve delivery with high\-quality to those outcomes by partnering with cross functional teams Join a stunning team of data experts with diverse skill set, and deliver excellent solutions that better enable our decision\-making process.  
**Preferred Qualifications**  
Experience with Cloud Computing platforms like Amazon AWS, Google Cloud  
Experience with building stream\-processing applications using Apache Flink, Spark\-Streaming, Apache Storm, Kafka Streams or others  
Experience with Search systems (such as ElasticSearch, Solr), NoSQL datastores (such as HBase, Cassandra, MongoDB)  
Experience building distributed, high\-volume data services is a plus  
**Minimum Qualifications**  
8\+ years of experience working with Spark and other distributed data technologies (e.g. Hadoop, Presto, Flink, Druid) for building efficient \&amp; large scale data pipelines  
Highly proficient in at least one of Java, Python or Scala  
Deep expertise in Data Principles, Data Architecture \&amp; Data Modeling, Strong SQL skills  
Strong problem solver with meticulous attention to detail, capable of taking on loosely defined problems  
Experience working in a complex, matrixed organization involving cross\-functional, and/or cross\-business projects  
Strong communication and collaboration skills \&amp; ability to lead high\-level discussions on technology strategy and approach  
Conceptually familiar with AWS cloud resources (S3, EC2, RDS etc)  
MS or BS or equivalent experience in Computer Science, Engineering, Mathematics, Statistics or a related field OR equivalent practical experience in Software or Data Engineering  
Apple is an equal opportunity employer that is committed to inclusion and diversity. We seek to promote equal opportunity for all applicants without regard to race, color, religion, sex, sexual orientation, gender identity, national origin, disability, Veteran status, or other legally protected characteristics. Learn more about your EEO rights as an applicant .  
**Pay \&amp; Benefits**  
At Apple, base pay is one part of our total compensation package and is determined within a range. This provides the opportunity to progress as you grow and develop within a role. The base pay range for this role is between $181,100 and $318,400, and your base pay will depend on your skills, qualifications, experience, and location.  
Apple employees also have the opportunity to become an Apple shareholder through participation in Apple's discretionary employee stock programs. Apple employees are eligible for discretionary restricted stock unit awards, and can purchase Apple stock at a discount if voluntarily participating in Apple's Employee Stock Purchase Plan. You'll also receive benefits including: Comprehensive medical and dental coverage, retirement benefits, a range of discounted products and free services, and for formal education related to advancing your career at Apple, reimbursement for certain educational expenses \- including tuition. Additionally, this role might be eligible for discretionary bonuses or commission payments as well as relocation. Learn more about Apple Benefits.  
Note: Apple benefit, compensation and employee stock programs are subject to eligibility requirements and other terms of the applicable plan or program.</t>
        </is>
      </c>
    </row>
    <row r="28">
      <c r="A28" t="inlineStr">
        <is>
          <t>in-7d14f34815d1a540</t>
        </is>
      </c>
      <c r="B28" t="inlineStr">
        <is>
          <t>Data Engineer II, AWS Commerce Platform-ADC</t>
        </is>
      </c>
      <c r="C28" t="inlineStr">
        <is>
          <t>Amazon Web Services</t>
        </is>
      </c>
      <c r="D28" t="inlineStr">
        <is>
          <t>indeed</t>
        </is>
      </c>
      <c r="E28">
        <f>HYPERLINK("https://www.indeed.com/viewjob?jk=7d14f34815d1a540", "https://www.indeed.com/viewjob?jk=7d14f34815d1a540")</f>
        <v/>
      </c>
      <c r="F28">
        <f>HYPERLINK("https://www.amazon.jobs/jobs/3191228/data-engineer-ii-aws-commerce-platformadc?cmpid=DA_INAD200785B", "https://www.amazon.jobs/jobs/3191228/data-engineer-ii-aws-commerce-platformadc?cmpid=DA_INAD200785B")</f>
        <v/>
      </c>
      <c r="G28" t="inlineStr">
        <is>
          <t>Seattle, WA, US</t>
        </is>
      </c>
      <c r="H28" s="2" t="n">
        <v>46078</v>
      </c>
      <c r="I28" t="inlineStr">
        <is>
          <t>**DESCRIPTION**
---------------
Application deadline: Mar 4, 2026  
The US ADC Commerce Platform team is looking for a Data Engineer to join us in building, owning, and operating massively scalable solutions in support of the U.S. Intelligence Community.  
In this role you will join a team of highly talented engineers developing and maintaining Amazon’s billing systems in air\-gapped cloud environments as well as services and tooling to improve how we operate these services. This role enables you to deliver impact at scale, and the work you do unlocks the latest in billing and cost management capabilities for all of our U.S. ADC customers.  
A successful Data Engineer is passionate about using data science to answer questions on behalf of customers, optimizes system workflows and identifies other operational efficiencies, plus implements audit and safety controls to ensure availability, reliability, and accuracy.  
This position requires that the candidate selected must currently possess and maintain an active TS/SCI with polygraph security clearance. The position further requires that, after start, the selected candidate obtain and maintain an active TS/SCI security clearance with polygraph or commensurate clearance for each government agency for which they perform AWS work.  
10012  
Key job responsibilities  
* Collaboration and Product Development: Interact with business and software teams to understand their requirements and operational processes, to inform design
* Data Modeling and Architecture: Develop robust data models and architectures that support the organization's data\-driven initiatives, ensuring data quality, consistency, and accessibility.
* Data Pipelines: Maintain existing data sources and integrations while supporting migrations, ingestion, transforms, and new performance/scaling requirements
* Scalability and Performance: Design and implement scalable data solutions that can handle increasing data volumes and support high\-performance data access and querying.
* Documentation \&amp; Continuous Improvement: Create, enhance, and maintain technical documentation
About the team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AWS Infrastructure Services (AIS)  
AWS Infrastructure Services owns the design, planning, delivery, and operation of all AWS global infrastructure. In other words, we’re the people who keep the cloud running. We support all AWS data centers and all of the servers, storage, networking, power, and cooling equipment that ensure our customers have continual access to the innovation they rely on. We work on the most challenging problems, with thousands of variables impacting the supply chain — and we’re looking for talented people who want to help.  
Inclusive Team Culture  
Here at AWS, it’s in our nature to learn and be curious. Our employee\-led affinity groups foster a culture of inclusion that empower us to be proud of our differences. Ongoing events and learning experiences, including our Conversations on Race and Ethnicity (CORE) and AmazeCon conferences, inspire us to never stop embracing our uniqueness.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  
Mentorship and Career Growth  
We’re continuously raising our performance bar as we strive to become Earth’s Best Employer. That’s why you’ll find endless knowledge\-sharing, mentorship and other career\-advancing resources here to help you develop into a better\-rounded professional.  
Diverse Experiences  
Amazon values diverse experiences. Even if you do not meet all of the preferred qualifications and skills listed in the job description, we encourage candidates to apply. If your career is just starting, hasn’t followed a traditional path, or includes alternative experiences, don’t let it stop you from applying.**BASIC QUALIFICATIONS**
------------------------
* 3\+ years of data engineering experience
* 1\+ years of developing and operating large\-scale data structures for business intelligence analytics using ETL/ELT processes experience
* Experience with data modeling, warehousing and building ETL pipelines
* 1\+ years of developing and operating large\-scale data structures for business intelligence analytics using data modeling or OLAP technologies experience
* 1\+ years of developing and operating large\-scale data structures for business intelligence analytics using Oracle or SQL experience
* Current, active US Government Security Clearance of TS/SCI with Polygraph
**PREFERRED QUALIFICATIONS**
----------------------------
* Experience with AWS technologies like Redshift, S3, AWS Glue, EMR, Kinesis, FireHose, Lambda, and IAM roles and permissions
* Experience with non\-relational databases / data stores (object storage, document or key\-value stores, graph databases, column\-family databases)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CO, Denver \- 132,100\.00 \- 178,800\.00 USD annually  
USA, MD, Jessup \- 132,100\.00 \- 178,800\.00 USD annually  
USA, VA, Arlington \- 132,100\.00 \- 178,800\.00 USD annually  
USA, VA, Herndon \- 132,100\.00 \- 178,800\.00 USD annually  
USA, WA, Seattle \- 132,100\.00 \- 178,800\.00 USD annually</t>
        </is>
      </c>
    </row>
    <row r="29">
      <c r="A29" t="inlineStr">
        <is>
          <t>in-e178eb83904af203</t>
        </is>
      </c>
      <c r="B29" t="inlineStr">
        <is>
          <t>Data Engineer II, AWS Commerce Platform-ADC</t>
        </is>
      </c>
      <c r="C29" t="inlineStr">
        <is>
          <t>Amazon Web Services</t>
        </is>
      </c>
      <c r="D29" t="inlineStr">
        <is>
          <t>indeed</t>
        </is>
      </c>
      <c r="E29">
        <f>HYPERLINK("https://www.indeed.com/viewjob?jk=e178eb83904af203", "https://www.indeed.com/viewjob?jk=e178eb83904af203")</f>
        <v/>
      </c>
      <c r="F29">
        <f>HYPERLINK("https://www.amazon.jobs/jobs/3191228/data-engineer-ii-aws-commerce-platformadc?cmpid=DA_INAD200785B", "https://www.amazon.jobs/jobs/3191228/data-engineer-ii-aws-commerce-platformadc?cmpid=DA_INAD200785B")</f>
        <v/>
      </c>
      <c r="G29" t="inlineStr">
        <is>
          <t>Denver, CO, US</t>
        </is>
      </c>
      <c r="H29" s="2" t="n">
        <v>46078</v>
      </c>
      <c r="I29" t="inlineStr">
        <is>
          <t>**DESCRIPTION**
---------------
Application deadline: Mar 4, 2026  
The US ADC Commerce Platform team is looking for a Data Engineer to join us in building, owning, and operating massively scalable solutions in support of the U.S. Intelligence Community.  
In this role you will join a team of highly talented engineers developing and maintaining Amazon’s billing systems in air\-gapped cloud environments as well as services and tooling to improve how we operate these services. This role enables you to deliver impact at scale, and the work you do unlocks the latest in billing and cost management capabilities for all of our U.S. ADC customers.  
A successful Data Engineer is passionate about using data science to answer questions on behalf of customers, optimizes system workflows and identifies other operational efficiencies, plus implements audit and safety controls to ensure availability, reliability, and accuracy.  
This position requires that the candidate selected must currently possess and maintain an active TS/SCI with polygraph security clearance. The position further requires that, after start, the selected candidate obtain and maintain an active TS/SCI security clearance with polygraph or commensurate clearance for each government agency for which they perform AWS work.  
10012  
Key job responsibilities  
* Collaboration and Product Development: Interact with business and software teams to understand their requirements and operational processes, to inform design
* Data Modeling and Architecture: Develop robust data models and architectures that support the organization's data\-driven initiatives, ensuring data quality, consistency, and accessibility.
* Data Pipelines: Maintain existing data sources and integrations while supporting migrations, ingestion, transforms, and new performance/scaling requirements
* Scalability and Performance: Design and implement scalable data solutions that can handle increasing data volumes and support high\-performance data access and querying.
* Documentation \&amp; Continuous Improvement: Create, enhance, and maintain technical documentation
About the team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AWS Infrastructure Services (AIS)  
AWS Infrastructure Services owns the design, planning, delivery, and operation of all AWS global infrastructure. In other words, we’re the people who keep the cloud running. We support all AWS data centers and all of the servers, storage, networking, power, and cooling equipment that ensure our customers have continual access to the innovation they rely on. We work on the most challenging problems, with thousands of variables impacting the supply chain — and we’re looking for talented people who want to help.  
Inclusive Team Culture  
Here at AWS, it’s in our nature to learn and be curious. Our employee\-led affinity groups foster a culture of inclusion that empower us to be proud of our differences. Ongoing events and learning experiences, including our Conversations on Race and Ethnicity (CORE) and AmazeCon conferences, inspire us to never stop embracing our uniqueness.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  
Mentorship and Career Growth  
We’re continuously raising our performance bar as we strive to become Earth’s Best Employer. That’s why you’ll find endless knowledge\-sharing, mentorship and other career\-advancing resources here to help you develop into a better\-rounded professional.  
Diverse Experiences  
Amazon values diverse experiences. Even if you do not meet all of the preferred qualifications and skills listed in the job description, we encourage candidates to apply. If your career is just starting, hasn’t followed a traditional path, or includes alternative experiences, don’t let it stop you from applying.**BASIC QUALIFICATIONS**
------------------------
* 3\+ years of data engineering experience
* 1\+ years of developing and operating large\-scale data structures for business intelligence analytics using ETL/ELT processes experience
* Experience with data modeling, warehousing and building ETL pipelines
* 1\+ years of developing and operating large\-scale data structures for business intelligence analytics using data modeling or OLAP technologies experience
* 1\+ years of developing and operating large\-scale data structures for business intelligence analytics using Oracle or SQL experience
* Current, active US Government Security Clearance of TS/SCI with Polygraph
**PREFERRED QUALIFICATIONS**
----------------------------
* Experience with AWS technologies like Redshift, S3, AWS Glue, EMR, Kinesis, FireHose, Lambda, and IAM roles and permissions
* Experience with non\-relational databases / data stores (object storage, document or key\-value stores, graph databases, column\-family databases)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CO, Denver \- 132,100\.00 \- 178,800\.00 USD annually  
USA, MD, Jessup \- 132,100\.00 \- 178,800\.00 USD annually  
USA, VA, Arlington \- 132,100\.00 \- 178,800\.00 USD annually  
USA, VA, Herndon \- 132,100\.00 \- 178,800\.00 USD annually  
USA, WA, Seattle \- 132,100\.00 \- 178,800\.00 USD annually</t>
        </is>
      </c>
    </row>
    <row r="30">
      <c r="A30" t="inlineStr">
        <is>
          <t>in-dc259ed5f27e7295</t>
        </is>
      </c>
      <c r="B30" t="inlineStr">
        <is>
          <t>Data Engineer II, AWS Commerce Platform-ADC</t>
        </is>
      </c>
      <c r="C30" t="inlineStr">
        <is>
          <t>Amazon Web Services</t>
        </is>
      </c>
      <c r="D30" t="inlineStr">
        <is>
          <t>indeed</t>
        </is>
      </c>
      <c r="E30">
        <f>HYPERLINK("https://www.indeed.com/viewjob?jk=dc259ed5f27e7295", "https://www.indeed.com/viewjob?jk=dc259ed5f27e7295")</f>
        <v/>
      </c>
      <c r="F30">
        <f>HYPERLINK("https://www.amazon.jobs/jobs/3191228/data-engineer-ii-aws-commerce-platformadc?cmpid=DA_INAD200785B", "https://www.amazon.jobs/jobs/3191228/data-engineer-ii-aws-commerce-platformadc?cmpid=DA_INAD200785B")</f>
        <v/>
      </c>
      <c r="G30" t="inlineStr">
        <is>
          <t>Arlington, VA, US</t>
        </is>
      </c>
      <c r="H30" s="2" t="n">
        <v>46078</v>
      </c>
      <c r="I30" t="inlineStr">
        <is>
          <t>**DESCRIPTION**
---------------
Application deadline: Mar 4, 2026  
The US ADC Commerce Platform team is looking for a Data Engineer to join us in building, owning, and operating massively scalable solutions in support of the U.S. Intelligence Community.  
In this role you will join a team of highly talented engineers developing and maintaining Amazon’s billing systems in air\-gapped cloud environments as well as services and tooling to improve how we operate these services. This role enables you to deliver impact at scale, and the work you do unlocks the latest in billing and cost management capabilities for all of our U.S. ADC customers.  
A successful Data Engineer is passionate about using data science to answer questions on behalf of customers, optimizes system workflows and identifies other operational efficiencies, plus implements audit and safety controls to ensure availability, reliability, and accuracy.  
This position requires that the candidate selected must currently possess and maintain an active TS/SCI with polygraph security clearance. The position further requires that, after start, the selected candidate obtain and maintain an active TS/SCI security clearance with polygraph or commensurate clearance for each government agency for which they perform AWS work.  
10012  
Key job responsibilities  
* Collaboration and Product Development: Interact with business and software teams to understand their requirements and operational processes, to inform design
* Data Modeling and Architecture: Develop robust data models and architectures that support the organization's data\-driven initiatives, ensuring data quality, consistency, and accessibility.
* Data Pipelines: Maintain existing data sources and integrations while supporting migrations, ingestion, transforms, and new performance/scaling requirements
* Scalability and Performance: Design and implement scalable data solutions that can handle increasing data volumes and support high\-performance data access and querying.
* Documentation \&amp; Continuous Improvement: Create, enhance, and maintain technical documentation
About the team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AWS Infrastructure Services (AIS)  
AWS Infrastructure Services owns the design, planning, delivery, and operation of all AWS global infrastructure. In other words, we’re the people who keep the cloud running. We support all AWS data centers and all of the servers, storage, networking, power, and cooling equipment that ensure our customers have continual access to the innovation they rely on. We work on the most challenging problems, with thousands of variables impacting the supply chain — and we’re looking for talented people who want to help.  
Inclusive Team Culture  
Here at AWS, it’s in our nature to learn and be curious. Our employee\-led affinity groups foster a culture of inclusion that empower us to be proud of our differences. Ongoing events and learning experiences, including our Conversations on Race and Ethnicity (CORE) and AmazeCon conferences, inspire us to never stop embracing our uniqueness.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  
Mentorship and Career Growth  
We’re continuously raising our performance bar as we strive to become Earth’s Best Employer. That’s why you’ll find endless knowledge\-sharing, mentorship and other career\-advancing resources here to help you develop into a better\-rounded professional.  
Diverse Experiences  
Amazon values diverse experiences. Even if you do not meet all of the preferred qualifications and skills listed in the job description, we encourage candidates to apply. If your career is just starting, hasn’t followed a traditional path, or includes alternative experiences, don’t let it stop you from applying.**BASIC QUALIFICATIONS**
------------------------
* 3\+ years of data engineering experience
* 1\+ years of developing and operating large\-scale data structures for business intelligence analytics using ETL/ELT processes experience
* Experience with data modeling, warehousing and building ETL pipelines
* 1\+ years of developing and operating large\-scale data structures for business intelligence analytics using data modeling or OLAP technologies experience
* 1\+ years of developing and operating large\-scale data structures for business intelligence analytics using Oracle or SQL experience
* Current, active US Government Security Clearance of TS/SCI with Polygraph
**PREFERRED QUALIFICATIONS**
----------------------------
* Experience with AWS technologies like Redshift, S3, AWS Glue, EMR, Kinesis, FireHose, Lambda, and IAM roles and permissions
* Experience with non\-relational databases / data stores (object storage, document or key\-value stores, graph databases, column\-family databases)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CO, Denver \- 132,100\.00 \- 178,800\.00 USD annually  
USA, MD, Jessup \- 132,100\.00 \- 178,800\.00 USD annually  
USA, VA, Arlington \- 132,100\.00 \- 178,800\.00 USD annually  
USA, VA, Herndon \- 132,100\.00 \- 178,800\.00 USD annually  
USA, WA, Seattle \- 132,100\.00 \- 178,800\.00 USD annually</t>
        </is>
      </c>
    </row>
    <row r="31">
      <c r="A31" t="inlineStr">
        <is>
          <t>in-239a8e4c12d17798</t>
        </is>
      </c>
      <c r="B31" t="inlineStr">
        <is>
          <t>Data Engineer II, AWS Commerce Platform-ADC</t>
        </is>
      </c>
      <c r="C31" t="inlineStr">
        <is>
          <t>Amazon Web Services</t>
        </is>
      </c>
      <c r="D31" t="inlineStr">
        <is>
          <t>indeed</t>
        </is>
      </c>
      <c r="E31">
        <f>HYPERLINK("https://www.indeed.com/viewjob?jk=239a8e4c12d17798", "https://www.indeed.com/viewjob?jk=239a8e4c12d17798")</f>
        <v/>
      </c>
      <c r="F31">
        <f>HYPERLINK("https://www.amazon.jobs/jobs/3191228/data-engineer-ii-aws-commerce-platformadc?cmpid=DA_INAD200785B", "https://www.amazon.jobs/jobs/3191228/data-engineer-ii-aws-commerce-platformadc?cmpid=DA_INAD200785B")</f>
        <v/>
      </c>
      <c r="G31" t="inlineStr">
        <is>
          <t>Jessup, MD, US</t>
        </is>
      </c>
      <c r="H31" s="2" t="n">
        <v>46078</v>
      </c>
      <c r="I31" t="inlineStr">
        <is>
          <t>**DESCRIPTION**
---------------
Application deadline: Mar 4, 2026  
The US ADC Commerce Platform team is looking for a Data Engineer to join us in building, owning, and operating massively scalable solutions in support of the U.S. Intelligence Community.  
In this role you will join a team of highly talented engineers developing and maintaining Amazon’s billing systems in air\-gapped cloud environments as well as services and tooling to improve how we operate these services. This role enables you to deliver impact at scale, and the work you do unlocks the latest in billing and cost management capabilities for all of our U.S. ADC customers.  
A successful Data Engineer is passionate about using data science to answer questions on behalf of customers, optimizes system workflows and identifies other operational efficiencies, plus implements audit and safety controls to ensure availability, reliability, and accuracy.  
This position requires that the candidate selected must currently possess and maintain an active TS/SCI with polygraph security clearance. The position further requires that, after start, the selected candidate obtain and maintain an active TS/SCI security clearance with polygraph or commensurate clearance for each government agency for which they perform AWS work.  
10012  
Key job responsibilities  
* Collaboration and Product Development: Interact with business and software teams to understand their requirements and operational processes, to inform design
* Data Modeling and Architecture: Develop robust data models and architectures that support the organization's data\-driven initiatives, ensuring data quality, consistency, and accessibility.
* Data Pipelines: Maintain existing data sources and integrations while supporting migrations, ingestion, transforms, and new performance/scaling requirements
* Scalability and Performance: Design and implement scalable data solutions that can handle increasing data volumes and support high\-performance data access and querying.
* Documentation \&amp; Continuous Improvement: Create, enhance, and maintain technical documentation
About the team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AWS Infrastructure Services (AIS)  
AWS Infrastructure Services owns the design, planning, delivery, and operation of all AWS global infrastructure. In other words, we’re the people who keep the cloud running. We support all AWS data centers and all of the servers, storage, networking, power, and cooling equipment that ensure our customers have continual access to the innovation they rely on. We work on the most challenging problems, with thousands of variables impacting the supply chain — and we’re looking for talented people who want to help.  
Inclusive Team Culture  
Here at AWS, it’s in our nature to learn and be curious. Our employee\-led affinity groups foster a culture of inclusion that empower us to be proud of our differences. Ongoing events and learning experiences, including our Conversations on Race and Ethnicity (CORE) and AmazeCon conferences, inspire us to never stop embracing our uniqueness.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  
Mentorship and Career Growth  
We’re continuously raising our performance bar as we strive to become Earth’s Best Employer. That’s why you’ll find endless knowledge\-sharing, mentorship and other career\-advancing resources here to help you develop into a better\-rounded professional.  
Diverse Experiences  
Amazon values diverse experiences. Even if you do not meet all of the preferred qualifications and skills listed in the job description, we encourage candidates to apply. If your career is just starting, hasn’t followed a traditional path, or includes alternative experiences, don’t let it stop you from applying.**BASIC QUALIFICATIONS**
------------------------
* 3\+ years of data engineering experience
* 1\+ years of developing and operating large\-scale data structures for business intelligence analytics using ETL/ELT processes experience
* Experience with data modeling, warehousing and building ETL pipelines
* 1\+ years of developing and operating large\-scale data structures for business intelligence analytics using data modeling or OLAP technologies experience
* 1\+ years of developing and operating large\-scale data structures for business intelligence analytics using Oracle or SQL experience
* Current, active US Government Security Clearance of TS/SCI with Polygraph
**PREFERRED QUALIFICATIONS**
----------------------------
* Experience with AWS technologies like Redshift, S3, AWS Glue, EMR, Kinesis, FireHose, Lambda, and IAM roles and permissions
* Experience with non\-relational databases / data stores (object storage, document or key\-value stores, graph databases, column\-family databases)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CO, Denver \- 132,100\.00 \- 178,800\.00 USD annually  
USA, MD, Jessup \- 132,100\.00 \- 178,800\.00 USD annually  
USA, VA, Arlington \- 132,100\.00 \- 178,800\.00 USD annually  
USA, VA, Herndon \- 132,100\.00 \- 178,800\.00 USD annually  
USA, WA, Seattle \- 132,100\.00 \- 178,800\.00 USD annually</t>
        </is>
      </c>
    </row>
    <row r="32">
      <c r="A32" t="inlineStr">
        <is>
          <t>in-633d1b593be3630d</t>
        </is>
      </c>
      <c r="B32" t="inlineStr">
        <is>
          <t>Data Engineer II, AWS Commerce Platform-ADC</t>
        </is>
      </c>
      <c r="C32" t="inlineStr">
        <is>
          <t>Amazon Web Services</t>
        </is>
      </c>
      <c r="D32" t="inlineStr">
        <is>
          <t>indeed</t>
        </is>
      </c>
      <c r="E32">
        <f>HYPERLINK("https://www.indeed.com/viewjob?jk=633d1b593be3630d", "https://www.indeed.com/viewjob?jk=633d1b593be3630d")</f>
        <v/>
      </c>
      <c r="F32">
        <f>HYPERLINK("https://www.amazon.jobs/jobs/3191228/data-engineer-ii-aws-commerce-platformadc?cmpid=DA_INAD200785B", "https://www.amazon.jobs/jobs/3191228/data-engineer-ii-aws-commerce-platformadc?cmpid=DA_INAD200785B")</f>
        <v/>
      </c>
      <c r="G32" t="inlineStr">
        <is>
          <t>Herndon, VA, US</t>
        </is>
      </c>
      <c r="H32" s="2" t="n">
        <v>46078</v>
      </c>
      <c r="I32" t="inlineStr">
        <is>
          <t>**DESCRIPTION**
---------------
Application deadline: Mar 4, 2026  
The US ADC Commerce Platform team is looking for a Data Engineer to join us in building, owning, and operating massively scalable solutions in support of the U.S. Intelligence Community.  
In this role you will join a team of highly talented engineers developing and maintaining Amazon’s billing systems in air\-gapped cloud environments as well as services and tooling to improve how we operate these services. This role enables you to deliver impact at scale, and the work you do unlocks the latest in billing and cost management capabilities for all of our U.S. ADC customers.  
A successful Data Engineer is passionate about using data science to answer questions on behalf of customers, optimizes system workflows and identifies other operational efficiencies, plus implements audit and safety controls to ensure availability, reliability, and accuracy.  
This position requires that the candidate selected must currently possess and maintain an active TS/SCI with polygraph security clearance. The position further requires that, after start, the selected candidate obtain and maintain an active TS/SCI security clearance with polygraph or commensurate clearance for each government agency for which they perform AWS work.  
10012  
Key job responsibilities  
* Collaboration and Product Development: Interact with business and software teams to understand their requirements and operational processes, to inform design
* Data Modeling and Architecture: Develop robust data models and architectures that support the organization's data\-driven initiatives, ensuring data quality, consistency, and accessibility.
* Data Pipelines: Maintain existing data sources and integrations while supporting migrations, ingestion, transforms, and new performance/scaling requirements
* Scalability and Performance: Design and implement scalable data solutions that can handle increasing data volumes and support high\-performance data access and querying.
* Documentation \&amp; Continuous Improvement: Create, enhance, and maintain technical documentation
About the team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AWS Infrastructure Services (AIS)  
AWS Infrastructure Services owns the design, planning, delivery, and operation of all AWS global infrastructure. In other words, we’re the people who keep the cloud running. We support all AWS data centers and all of the servers, storage, networking, power, and cooling equipment that ensure our customers have continual access to the innovation they rely on. We work on the most challenging problems, with thousands of variables impacting the supply chain — and we’re looking for talented people who want to help.  
Inclusive Team Culture  
Here at AWS, it’s in our nature to learn and be curious. Our employee\-led affinity groups foster a culture of inclusion that empower us to be proud of our differences. Ongoing events and learning experiences, including our Conversations on Race and Ethnicity (CORE) and AmazeCon conferences, inspire us to never stop embracing our uniqueness.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  
Mentorship and Career Growth  
We’re continuously raising our performance bar as we strive to become Earth’s Best Employer. That’s why you’ll find endless knowledge\-sharing, mentorship and other career\-advancing resources here to help you develop into a better\-rounded professional.  
Diverse Experiences  
Amazon values diverse experiences. Even if you do not meet all of the preferred qualifications and skills listed in the job description, we encourage candidates to apply. If your career is just starting, hasn’t followed a traditional path, or includes alternative experiences, don’t let it stop you from applying.**BASIC QUALIFICATIONS**
------------------------
* 3\+ years of data engineering experience
* 1\+ years of developing and operating large\-scale data structures for business intelligence analytics using ETL/ELT processes experience
* Experience with data modeling, warehousing and building ETL pipelines
* 1\+ years of developing and operating large\-scale data structures for business intelligence analytics using data modeling or OLAP technologies experience
* 1\+ years of developing and operating large\-scale data structures for business intelligence analytics using Oracle or SQL experience
* Current, active US Government Security Clearance of TS/SCI with Polygraph
**PREFERRED QUALIFICATIONS**
----------------------------
* Experience with AWS technologies like Redshift, S3, AWS Glue, EMR, Kinesis, FireHose, Lambda, and IAM roles and permissions
* Experience with non\-relational databases / data stores (object storage, document or key\-value stores, graph databases, column\-family databases)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CO, Denver \- 132,100\.00 \- 178,800\.00 USD annually  
USA, MD, Jessup \- 132,100\.00 \- 178,800\.00 USD annually  
USA, VA, Arlington \- 132,100\.00 \- 178,800\.00 USD annually  
USA, VA, Herndon \- 132,100\.00 \- 178,800\.00 USD annually  
USA, WA, Seattle \- 132,100\.00 \- 178,800\.00 USD annually</t>
        </is>
      </c>
    </row>
    <row r="33">
      <c r="A33" t="inlineStr">
        <is>
          <t>in-5e1c8010c76a0645</t>
        </is>
      </c>
      <c r="B33" t="inlineStr">
        <is>
          <t>Data Engineer II , UTR PLanning Tech</t>
        </is>
      </c>
      <c r="C33" t="inlineStr">
        <is>
          <t>Amazon.com</t>
        </is>
      </c>
      <c r="D33" t="inlineStr">
        <is>
          <t>indeed</t>
        </is>
      </c>
      <c r="E33">
        <f>HYPERLINK("https://www.indeed.com/viewjob?jk=5e1c8010c76a0645", "https://www.indeed.com/viewjob?jk=5e1c8010c76a0645")</f>
        <v/>
      </c>
      <c r="F33">
        <f>HYPERLINK("https://www.amazon.jobs/jobs/3186425/data-engineer-ii--utr-planning-tech?cmpid=DA_INAD200785B", "https://www.amazon.jobs/jobs/3186425/data-engineer-ii--utr-planning-tech?cmpid=DA_INAD200785B")</f>
        <v/>
      </c>
      <c r="G33" t="inlineStr">
        <is>
          <t>Bellevue, WA, US</t>
        </is>
      </c>
      <c r="H33" s="2" t="n">
        <v>46070</v>
      </c>
      <c r="I33" t="inlineStr">
        <is>
          <t>**DESCRIPTION**
---------------
UTR Planning Tech builds the data infrastructure that powers labor planning across 12 Amazon last\-mile and sort\-center business lines. Our pipelines feed the planning systems that determine how Amazon staffs its delivery network, serving hundreds of sites and processing millions of data points daily.  
Our team is shifting from hand\-coded, custom pipelines to an AI\-native approach. We are building reusable frameworks where engineers and business users define what they need through configurations and natural language instead of writing custom code for every use case. AI agents handle orchestration, validation, and deployment. We are early in this transformation, which means you will not inherit a finished system. You will help define how we build, what patterns we standardize, and how AI fits into data engineering workflows. If you want to learn fast and have a hand in shaping the way a team works, this is that opportunity.  
We are hiring a Data Engineer to own significant portions of our data architecture, drive the design of AI\-powered frameworks, and deliver data solutions that directly impact planning accuracy across Amazon's delivery network.  
Key job responsibilities  
UTR Planning Tech builds the data infrastructure that powers labor planning across 12 Amazon last\-mile and sort\-center business lines. Our pipelines feed the planning systems that determine how Amazon staffs its delivery network, serving hundreds of sites and processing millions of data points daily.  
Our team is shifting from hand\-coded, custom pipelines to an AI\-native approach. We are building reusable frameworks where engineers and business users define what they need through configurations and natural language instead of writing custom code for every use case. AI agents handle orchestration, validation, and deployment. We are early in this transformation, which means you will not inherit a finished system. You will help define how we build, what patterns we standardize, and how AI fits into data engineering workflows. If you want to learn fast and have a hand in shaping the way a team works, this is that opportunity.  
We are hiring a Data Engineer to own significant portions of our data architecture, drive the design of AI\-powered frameworks, and deliver data solutions that directly impact planning accuracy across Amazon's delivery network.  
Key job responsibilities  
* Design and own logical and physical data models for major datasets in the team's architecture. Create coherent models that drive physical design and serve multiple downstream consumers.
* Build and optimize ETL pipelines for complex datasets using AWS services (Redshift, S3, EMR, Glue, Lambda, Athena) and Python\-based orchestration (Airflow/MWAA). Your solutions will be testable, maintainable, and efficient.
* Design and build configuration\-driven data frameworks that replace repetitive custom code with reusable, declarative patterns for ingestion, transformation, and metric curation. Own the design of these frameworks, not just the implementation.
* Build AI agent tooling and MCP\-based interfaces that allow conversational agents to generate SQL, validate configurations, manage data quality rules, and execute pipeline operations through natural language.
* Own ongoing data quality for datasets you build. Implement standardized data contracts, define SLAs, establish data certification processes, and automate manual quality processes.
* Work with planning scientists, software engineers, BI engineers, and product managers to balance customer requirements with technical requirements. Help shape what we build, not just how.
* Improve self\-service access to data. Build analytical data models and tooling that reduce dependency on the DE team for common data access patterns.
* Improve engineering processes: automate manual operations, establish monitoring and alerting standards, and drive code quality and dependency management practices.
* Mentor engineers and interns. Train new team members on how team data solutions are constructed, how they operate, and how they fit into the broader architecture.
* Participate in the interview process and help recruit for the team.
**BASIC QUALIFICATIONS**
------------------------
* 3\+ years of data engineering experience
* 1\+ years of developing and operating large\-scale data structures for business intelligence analytics using ETL/ELT processes experience
* 1\+ years of developing and operating large\-scale data structures for business intelligence analytics using OLAP technologies experience
* 1\+ years of developing and operating large\-scale data structures for business intelligence analytics using data modeling experience
* 1\+ years of developing and operating large\-scale data structures for business intelligence analytics using SQL experience
* 1\+ years of developing and operating large\-scale data structures for business intelligence analytics using Oracle experience
* Experience with data modeling, warehousing and building ETL pipelines
**PREFERRED QUALIFICATIONS**
----------------------------
* Experience with AWS technologies like Redshift, S3, AWS Glue, EMR, Kinesis, FireHose, Lambda, and IAM roles and permissions
* Experience with non\-relational databases / data stores (object storage, document or key\-value stores, graph databases, column\-family databases)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TN, Nashville \- 125,500\.00 \- 169,800\.00 USD annually  
USA, TX, Austin \- 132,100\.00 \- 178,800\.00 USD annually  
USA, WA, Bellevue \- 132,100\.00 \- 178,800\.00 USD annually</t>
        </is>
      </c>
    </row>
    <row r="34">
      <c r="A34" t="inlineStr">
        <is>
          <t>in-9fc9a630a15eea25</t>
        </is>
      </c>
      <c r="B34" t="inlineStr">
        <is>
          <t>Data Engineer II , UTR PLanning Tech</t>
        </is>
      </c>
      <c r="C34" t="inlineStr">
        <is>
          <t>Amazon.com</t>
        </is>
      </c>
      <c r="D34" t="inlineStr">
        <is>
          <t>indeed</t>
        </is>
      </c>
      <c r="E34">
        <f>HYPERLINK("https://www.indeed.com/viewjob?jk=9fc9a630a15eea25", "https://www.indeed.com/viewjob?jk=9fc9a630a15eea25")</f>
        <v/>
      </c>
      <c r="F34">
        <f>HYPERLINK("https://www.amazon.jobs/jobs/3186425/data-engineer-ii--utr-planning-tech?cmpid=DA_INAD200785B", "https://www.amazon.jobs/jobs/3186425/data-engineer-ii--utr-planning-tech?cmpid=DA_INAD200785B")</f>
        <v/>
      </c>
      <c r="G34" t="inlineStr">
        <is>
          <t>Nashville, TN, US</t>
        </is>
      </c>
      <c r="H34" s="2" t="n">
        <v>46070</v>
      </c>
      <c r="I34" t="inlineStr">
        <is>
          <t>**DESCRIPTION**
---------------
UTR Planning Tech builds the data infrastructure that powers labor planning across 12 Amazon last\-mile and sort\-center business lines. Our pipelines feed the planning systems that determine how Amazon staffs its delivery network, serving hundreds of sites and processing millions of data points daily.  
Our team is shifting from hand\-coded, custom pipelines to an AI\-native approach. We are building reusable frameworks where engineers and business users define what they need through configurations and natural language instead of writing custom code for every use case. AI agents handle orchestration, validation, and deployment. We are early in this transformation, which means you will not inherit a finished system. You will help define how we build, what patterns we standardize, and how AI fits into data engineering workflows. If you want to learn fast and have a hand in shaping the way a team works, this is that opportunity.  
We are hiring a Data Engineer to own significant portions of our data architecture, drive the design of AI\-powered frameworks, and deliver data solutions that directly impact planning accuracy across Amazon's delivery network.  
Key job responsibilities  
UTR Planning Tech builds the data infrastructure that powers labor planning across 12 Amazon last\-mile and sort\-center business lines. Our pipelines feed the planning systems that determine how Amazon staffs its delivery network, serving hundreds of sites and processing millions of data points daily.  
Our team is shifting from hand\-coded, custom pipelines to an AI\-native approach. We are building reusable frameworks where engineers and business users define what they need through configurations and natural language instead of writing custom code for every use case. AI agents handle orchestration, validation, and deployment. We are early in this transformation, which means you will not inherit a finished system. You will help define how we build, what patterns we standardize, and how AI fits into data engineering workflows. If you want to learn fast and have a hand in shaping the way a team works, this is that opportunity.  
We are hiring a Data Engineer to own significant portions of our data architecture, drive the design of AI\-powered frameworks, and deliver data solutions that directly impact planning accuracy across Amazon's delivery network.  
Key job responsibilities  
* Design and own logical and physical data models for major datasets in the team's architecture. Create coherent models that drive physical design and serve multiple downstream consumers.
* Build and optimize ETL pipelines for complex datasets using AWS services (Redshift, S3, EMR, Glue, Lambda, Athena) and Python\-based orchestration (Airflow/MWAA). Your solutions will be testable, maintainable, and efficient.
* Design and build configuration\-driven data frameworks that replace repetitive custom code with reusable, declarative patterns for ingestion, transformation, and metric curation. Own the design of these frameworks, not just the implementation.
* Build AI agent tooling and MCP\-based interfaces that allow conversational agents to generate SQL, validate configurations, manage data quality rules, and execute pipeline operations through natural language.
* Own ongoing data quality for datasets you build. Implement standardized data contracts, define SLAs, establish data certification processes, and automate manual quality processes.
* Work with planning scientists, software engineers, BI engineers, and product managers to balance customer requirements with technical requirements. Help shape what we build, not just how.
* Improve self\-service access to data. Build analytical data models and tooling that reduce dependency on the DE team for common data access patterns.
* Improve engineering processes: automate manual operations, establish monitoring and alerting standards, and drive code quality and dependency management practices.
* Mentor engineers and interns. Train new team members on how team data solutions are constructed, how they operate, and how they fit into the broader architecture.
* Participate in the interview process and help recruit for the team.
**BASIC QUALIFICATIONS**
------------------------
* 3\+ years of data engineering experience
* 1\+ years of developing and operating large\-scale data structures for business intelligence analytics using ETL/ELT processes experience
* 1\+ years of developing and operating large\-scale data structures for business intelligence analytics using OLAP technologies experience
* 1\+ years of developing and operating large\-scale data structures for business intelligence analytics using data modeling experience
* 1\+ years of developing and operating large\-scale data structures for business intelligence analytics using SQL experience
* 1\+ years of developing and operating large\-scale data structures for business intelligence analytics using Oracle experience
* Experience with data modeling, warehousing and building ETL pipelines
**PREFERRED QUALIFICATIONS**
----------------------------
* Experience with AWS technologies like Redshift, S3, AWS Glue, EMR, Kinesis, FireHose, Lambda, and IAM roles and permissions
* Experience with non\-relational databases / data stores (object storage, document or key\-value stores, graph databases, column\-family databases)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TN, Nashville \- 125,500\.00 \- 169,800\.00 USD annually  
USA, TX, Austin \- 132,100\.00 \- 178,800\.00 USD annually  
USA, WA, Bellevue \- 132,100\.00 \- 178,800\.00 USD annually</t>
        </is>
      </c>
    </row>
    <row r="35">
      <c r="A35" t="inlineStr">
        <is>
          <t>in-537b8152eb075641</t>
        </is>
      </c>
      <c r="B35" t="inlineStr">
        <is>
          <t>Data Engineer II , UTR PLanning Tech</t>
        </is>
      </c>
      <c r="C35" t="inlineStr">
        <is>
          <t>Amazon.com</t>
        </is>
      </c>
      <c r="D35" t="inlineStr">
        <is>
          <t>indeed</t>
        </is>
      </c>
      <c r="E35">
        <f>HYPERLINK("https://www.indeed.com/viewjob?jk=537b8152eb075641", "https://www.indeed.com/viewjob?jk=537b8152eb075641")</f>
        <v/>
      </c>
      <c r="F35">
        <f>HYPERLINK("https://www.amazon.jobs/jobs/3186425/data-engineer-ii--utr-planning-tech?cmpid=DA_INAD200785B", "https://www.amazon.jobs/jobs/3186425/data-engineer-ii--utr-planning-tech?cmpid=DA_INAD200785B")</f>
        <v/>
      </c>
      <c r="G35" t="inlineStr">
        <is>
          <t>Austin, TX, US</t>
        </is>
      </c>
      <c r="H35" s="2" t="n">
        <v>46070</v>
      </c>
      <c r="I35" t="inlineStr">
        <is>
          <t>**DESCRIPTION**
---------------
UTR Planning Tech builds the data infrastructure that powers labor planning across 12 Amazon last\-mile and sort\-center business lines. Our pipelines feed the planning systems that determine how Amazon staffs its delivery network, serving hundreds of sites and processing millions of data points daily.  
Our team is shifting from hand\-coded, custom pipelines to an AI\-native approach. We are building reusable frameworks where engineers and business users define what they need through configurations and natural language instead of writing custom code for every use case. AI agents handle orchestration, validation, and deployment. We are early in this transformation, which means you will not inherit a finished system. You will help define how we build, what patterns we standardize, and how AI fits into data engineering workflows. If you want to learn fast and have a hand in shaping the way a team works, this is that opportunity.  
We are hiring a Data Engineer to own significant portions of our data architecture, drive the design of AI\-powered frameworks, and deliver data solutions that directly impact planning accuracy across Amazon's delivery network.  
Key job responsibilities  
UTR Planning Tech builds the data infrastructure that powers labor planning across 12 Amazon last\-mile and sort\-center business lines. Our pipelines feed the planning systems that determine how Amazon staffs its delivery network, serving hundreds of sites and processing millions of data points daily.  
Our team is shifting from hand\-coded, custom pipelines to an AI\-native approach. We are building reusable frameworks where engineers and business users define what they need through configurations and natural language instead of writing custom code for every use case. AI agents handle orchestration, validation, and deployment. We are early in this transformation, which means you will not inherit a finished system. You will help define how we build, what patterns we standardize, and how AI fits into data engineering workflows. If you want to learn fast and have a hand in shaping the way a team works, this is that opportunity.  
We are hiring a Data Engineer to own significant portions of our data architecture, drive the design of AI\-powered frameworks, and deliver data solutions that directly impact planning accuracy across Amazon's delivery network.  
Key job responsibilities  
* Design and own logical and physical data models for major datasets in the team's architecture. Create coherent models that drive physical design and serve multiple downstream consumers.
* Build and optimize ETL pipelines for complex datasets using AWS services (Redshift, S3, EMR, Glue, Lambda, Athena) and Python\-based orchestration (Airflow/MWAA). Your solutions will be testable, maintainable, and efficient.
* Design and build configuration\-driven data frameworks that replace repetitive custom code with reusable, declarative patterns for ingestion, transformation, and metric curation. Own the design of these frameworks, not just the implementation.
* Build AI agent tooling and MCP\-based interfaces that allow conversational agents to generate SQL, validate configurations, manage data quality rules, and execute pipeline operations through natural language.
* Own ongoing data quality for datasets you build. Implement standardized data contracts, define SLAs, establish data certification processes, and automate manual quality processes.
* Work with planning scientists, software engineers, BI engineers, and product managers to balance customer requirements with technical requirements. Help shape what we build, not just how.
* Improve self\-service access to data. Build analytical data models and tooling that reduce dependency on the DE team for common data access patterns.
* Improve engineering processes: automate manual operations, establish monitoring and alerting standards, and drive code quality and dependency management practices.
* Mentor engineers and interns. Train new team members on how team data solutions are constructed, how they operate, and how they fit into the broader architecture.
* Participate in the interview process and help recruit for the team.
**BASIC QUALIFICATIONS**
------------------------
* 3\+ years of data engineering experience
* 1\+ years of developing and operating large\-scale data structures for business intelligence analytics using ETL/ELT processes experience
* 1\+ years of developing and operating large\-scale data structures for business intelligence analytics using OLAP technologies experience
* 1\+ years of developing and operating large\-scale data structures for business intelligence analytics using data modeling experience
* 1\+ years of developing and operating large\-scale data structures for business intelligence analytics using SQL experience
* 1\+ years of developing and operating large\-scale data structures for business intelligence analytics using Oracle experience
* Experience with data modeling, warehousing and building ETL pipelines
**PREFERRED QUALIFICATIONS**
----------------------------
* Experience with AWS technologies like Redshift, S3, AWS Glue, EMR, Kinesis, FireHose, Lambda, and IAM roles and permissions
* Experience with non\-relational databases / data stores (object storage, document or key\-value stores, graph databases, column\-family databases)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TN, Nashville \- 125,500\.00 \- 169,800\.00 USD annually  
USA, TX, Austin \- 132,100\.00 \- 178,800\.00 USD annually  
USA, WA, Bellevue \- 132,100\.00 \- 178,800\.00 USD annually</t>
        </is>
      </c>
    </row>
    <row r="36">
      <c r="A36" t="inlineStr">
        <is>
          <t>in-13a52573dd463d7d</t>
        </is>
      </c>
      <c r="B36" t="inlineStr">
        <is>
          <t>Data Engineer II, UTR PLanning Tech</t>
        </is>
      </c>
      <c r="C36" t="inlineStr">
        <is>
          <t>Amazon.com</t>
        </is>
      </c>
      <c r="D36" t="inlineStr">
        <is>
          <t>indeed</t>
        </is>
      </c>
      <c r="E36">
        <f>HYPERLINK("https://www.indeed.com/viewjob?jk=13a52573dd463d7d", "https://www.indeed.com/viewjob?jk=13a52573dd463d7d")</f>
        <v/>
      </c>
      <c r="F36">
        <f>HYPERLINK("https://www.amazon.jobs/jobs/3190311/data-engineer-ii-utr-planning-tech?cmpid=DA_INAD200785B", "https://www.amazon.jobs/jobs/3190311/data-engineer-ii-utr-planning-tech?cmpid=DA_INAD200785B")</f>
        <v/>
      </c>
      <c r="G36" t="inlineStr">
        <is>
          <t>Austin, TX, US</t>
        </is>
      </c>
      <c r="H36" s="2" t="n">
        <v>46065</v>
      </c>
      <c r="I36" t="inlineStr">
        <is>
          <t>**DESCRIPTION**
---------------
UTR Planning Tech builds the data infrastructure that powers labor planning across 12 Amazon last\-mile and sort\-center business lines. Our pipelines feed the planning systems that determine how Amazon staffs its delivery network, serving hundreds of sites and processing millions of data points daily.  
Our team is shifting from hand\-coded, custom pipelines to an AI\-native approach. We are building reusable frameworks where engineers and business users define what they need through configurations and natural language instead of writing custom code for every use case. AI agents handle orchestration, validation, and deployment. We are early in this transformation, which means you will not inherit a finished system. You will help define how we build, what patterns we standardize, and how AI fits into data engineering workflows. If you want to learn fast and have a hand in shaping the way a team works, this is that opportunity.  
We are hiring an L5 Data Engineer to own significant portions of our data architecture, drive the design of AI\-powered frameworks, and deliver data solutions that directly impact planning accuracy across Amazon's delivery network.  
Key job responsibilities  
* Design and own logical and physical data models for major datasets in the team's architecture. Create coherent models that drive physical design and serve multiple downstream consumers.
* Build and optimize ETL pipelines for complex datasets using AWS services (Redshift, S3, EMR, Glue, Lambda, Athena) and Python\-based orchestration (Airflow/MWAA). Your solutions will be testable, maintainable, and efficient.
* Design and build configuration\-driven data frameworks that replace repetitive custom code with reusable, declarative patterns for ingestion, transformation, and metric curation. Own the design of these frameworks, not just the implementation.
* Build AI agent tooling and MCP\-based interfaces that allow conversational agents to generate SQL, validate configurations, manage data quality rules, and execute pipeline operations through natural language.
* Own ongoing data quality for datasets you build. Implement standardized data contracts, define SLAs, establish data certification processes, and automate manual quality processes.
* Work with planning scientists, software engineers, BI engineers, and product managers to balance customer requirements with technical requirements. Help shape what we build, not just how.
* Improve self\-service access to data. Build analytical data models and tooling that reduce dependency on the DE team for common data access patterns.
* Improve engineering processes: automate manual operations, establish monitoring and alerting standards, and drive code quality and dependency management practices.
* Mentor engineers and interns. Train new team members on how team data solutions are constructed, how they operate, and how they fit into the broader architecture.
* Participate in the interview process and help recruit for the team.
**BASIC QUALIFICATIONS**
------------------------
* 3\+ years of data engineering experience
* 1\+ years of developing and operating large\-scale data structures for business intelligence analytics using ETL/ELT processes experience
* 1\+ years of developing and operating large\-scale data structures for business intelligence analytics using OLAP technologies experience
* 1\+ years of developing and operating large\-scale data structures for business intelligence analytics using data modeling experience
* 1\+ years of developing and operating large\-scale data structures for business intelligence analytics using SQL experience
* 1\+ years of developing and operating large\-scale data structures for business intelligence analytics using Oracle experience
* Experience with data modeling, warehousing and building ETL pipelines
**PREFERRED QUALIFICATIONS**
----------------------------
* Experience with AWS technologies like Redshift, S3, AWS Glue, EMR, Kinesis, FireHose, Lambda, and IAM roles and permissions
* Experience with non\-relational databases / data stores (object storage, document or key\-value stores, graph databases, column\-family databases)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TN, Nashville \- 125,500\.00 \- 169,800\.00 USD annually  
USA, TX, Austin \- 132,100\.00 \- 178,800\.00 USD annually  
USA, WA, Bellevue \- 132,100\.00 \- 178,800\.00 USD annually</t>
        </is>
      </c>
    </row>
    <row r="37">
      <c r="A37" t="inlineStr">
        <is>
          <t>in-778d6aee074fcf52</t>
        </is>
      </c>
      <c r="B37" t="inlineStr">
        <is>
          <t>Data Engineer II, UTR PLanning Tech</t>
        </is>
      </c>
      <c r="C37" t="inlineStr">
        <is>
          <t>Amazon.com</t>
        </is>
      </c>
      <c r="D37" t="inlineStr">
        <is>
          <t>indeed</t>
        </is>
      </c>
      <c r="E37">
        <f>HYPERLINK("https://www.indeed.com/viewjob?jk=778d6aee074fcf52", "https://www.indeed.com/viewjob?jk=778d6aee074fcf52")</f>
        <v/>
      </c>
      <c r="F37">
        <f>HYPERLINK("https://www.amazon.jobs/jobs/3190311/data-engineer-ii-utr-planning-tech?cmpid=DA_INAD200785B", "https://www.amazon.jobs/jobs/3190311/data-engineer-ii-utr-planning-tech?cmpid=DA_INAD200785B")</f>
        <v/>
      </c>
      <c r="G37" t="inlineStr">
        <is>
          <t>Bellevue, WA, US</t>
        </is>
      </c>
      <c r="H37" s="2" t="n">
        <v>46065</v>
      </c>
      <c r="I37" t="inlineStr">
        <is>
          <t>**DESCRIPTION**
---------------
UTR Planning Tech builds the data infrastructure that powers labor planning across 12 Amazon last\-mile and sort\-center business lines. Our pipelines feed the planning systems that determine how Amazon staffs its delivery network, serving hundreds of sites and processing millions of data points daily.  
Our team is shifting from hand\-coded, custom pipelines to an AI\-native approach. We are building reusable frameworks where engineers and business users define what they need through configurations and natural language instead of writing custom code for every use case. AI agents handle orchestration, validation, and deployment. We are early in this transformation, which means you will not inherit a finished system. You will help define how we build, what patterns we standardize, and how AI fits into data engineering workflows. If you want to learn fast and have a hand in shaping the way a team works, this is that opportunity.  
We are hiring an L5 Data Engineer to own significant portions of our data architecture, drive the design of AI\-powered frameworks, and deliver data solutions that directly impact planning accuracy across Amazon's delivery network.  
Key job responsibilities  
* Design and own logical and physical data models for major datasets in the team's architecture. Create coherent models that drive physical design and serve multiple downstream consumers.
* Build and optimize ETL pipelines for complex datasets using AWS services (Redshift, S3, EMR, Glue, Lambda, Athena) and Python\-based orchestration (Airflow/MWAA). Your solutions will be testable, maintainable, and efficient.
* Design and build configuration\-driven data frameworks that replace repetitive custom code with reusable, declarative patterns for ingestion, transformation, and metric curation. Own the design of these frameworks, not just the implementation.
* Build AI agent tooling and MCP\-based interfaces that allow conversational agents to generate SQL, validate configurations, manage data quality rules, and execute pipeline operations through natural language.
* Own ongoing data quality for datasets you build. Implement standardized data contracts, define SLAs, establish data certification processes, and automate manual quality processes.
* Work with planning scientists, software engineers, BI engineers, and product managers to balance customer requirements with technical requirements. Help shape what we build, not just how.
* Improve self\-service access to data. Build analytical data models and tooling that reduce dependency on the DE team for common data access patterns.
* Improve engineering processes: automate manual operations, establish monitoring and alerting standards, and drive code quality and dependency management practices.
* Mentor engineers and interns. Train new team members on how team data solutions are constructed, how they operate, and how they fit into the broader architecture.
* Participate in the interview process and help recruit for the team.
**BASIC QUALIFICATIONS**
------------------------
* 3\+ years of data engineering experience
* 1\+ years of developing and operating large\-scale data structures for business intelligence analytics using ETL/ELT processes experience
* 1\+ years of developing and operating large\-scale data structures for business intelligence analytics using OLAP technologies experience
* 1\+ years of developing and operating large\-scale data structures for business intelligence analytics using data modeling experience
* 1\+ years of developing and operating large\-scale data structures for business intelligence analytics using SQL experience
* 1\+ years of developing and operating large\-scale data structures for business intelligence analytics using Oracle experience
* Experience with data modeling, warehousing and building ETL pipelines
**PREFERRED QUALIFICATIONS**
----------------------------
* Experience with AWS technologies like Redshift, S3, AWS Glue, EMR, Kinesis, FireHose, Lambda, and IAM roles and permissions
* Experience with non\-relational databases / data stores (object storage, document or key\-value stores, graph databases, column\-family databases)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TN, Nashville \- 125,500\.00 \- 169,800\.00 USD annually  
USA, TX, Austin \- 132,100\.00 \- 178,800\.00 USD annually  
USA, WA, Bellevue \- 132,100\.00 \- 178,800\.00 USD annually</t>
        </is>
      </c>
    </row>
    <row r="38">
      <c r="A38" t="inlineStr">
        <is>
          <t>in-d62582d5722a8d0f</t>
        </is>
      </c>
      <c r="B38" t="inlineStr">
        <is>
          <t>Data Engineer II, UTR PLanning Tech</t>
        </is>
      </c>
      <c r="C38" t="inlineStr">
        <is>
          <t>Amazon.com</t>
        </is>
      </c>
      <c r="D38" t="inlineStr">
        <is>
          <t>indeed</t>
        </is>
      </c>
      <c r="E38">
        <f>HYPERLINK("https://www.indeed.com/viewjob?jk=d62582d5722a8d0f", "https://www.indeed.com/viewjob?jk=d62582d5722a8d0f")</f>
        <v/>
      </c>
      <c r="F38">
        <f>HYPERLINK("https://www.amazon.jobs/jobs/3190311/data-engineer-ii-utr-planning-tech?cmpid=DA_INAD200785B", "https://www.amazon.jobs/jobs/3190311/data-engineer-ii-utr-planning-tech?cmpid=DA_INAD200785B")</f>
        <v/>
      </c>
      <c r="G38" t="inlineStr">
        <is>
          <t>Nashville, TN, US</t>
        </is>
      </c>
      <c r="H38" s="2" t="n">
        <v>46065</v>
      </c>
      <c r="I38" t="inlineStr">
        <is>
          <t>**DESCRIPTION**
---------------
UTR Planning Tech builds the data infrastructure that powers labor planning across 12 Amazon last\-mile and sort\-center business lines. Our pipelines feed the planning systems that determine how Amazon staffs its delivery network, serving hundreds of sites and processing millions of data points daily.  
Our team is shifting from hand\-coded, custom pipelines to an AI\-native approach. We are building reusable frameworks where engineers and business users define what they need through configurations and natural language instead of writing custom code for every use case. AI agents handle orchestration, validation, and deployment. We are early in this transformation, which means you will not inherit a finished system. You will help define how we build, what patterns we standardize, and how AI fits into data engineering workflows. If you want to learn fast and have a hand in shaping the way a team works, this is that opportunity.  
We are hiring an L5 Data Engineer to own significant portions of our data architecture, drive the design of AI\-powered frameworks, and deliver data solutions that directly impact planning accuracy across Amazon's delivery network.  
Key job responsibilities  
* Design and own logical and physical data models for major datasets in the team's architecture. Create coherent models that drive physical design and serve multiple downstream consumers.
* Build and optimize ETL pipelines for complex datasets using AWS services (Redshift, S3, EMR, Glue, Lambda, Athena) and Python\-based orchestration (Airflow/MWAA). Your solutions will be testable, maintainable, and efficient.
* Design and build configuration\-driven data frameworks that replace repetitive custom code with reusable, declarative patterns for ingestion, transformation, and metric curation. Own the design of these frameworks, not just the implementation.
* Build AI agent tooling and MCP\-based interfaces that allow conversational agents to generate SQL, validate configurations, manage data quality rules, and execute pipeline operations through natural language.
* Own ongoing data quality for datasets you build. Implement standardized data contracts, define SLAs, establish data certification processes, and automate manual quality processes.
* Work with planning scientists, software engineers, BI engineers, and product managers to balance customer requirements with technical requirements. Help shape what we build, not just how.
* Improve self\-service access to data. Build analytical data models and tooling that reduce dependency on the DE team for common data access patterns.
* Improve engineering processes: automate manual operations, establish monitoring and alerting standards, and drive code quality and dependency management practices.
* Mentor engineers and interns. Train new team members on how team data solutions are constructed, how they operate, and how they fit into the broader architecture.
* Participate in the interview process and help recruit for the team.
**BASIC QUALIFICATIONS**
------------------------
* 3\+ years of data engineering experience
* 1\+ years of developing and operating large\-scale data structures for business intelligence analytics using ETL/ELT processes experience
* 1\+ years of developing and operating large\-scale data structures for business intelligence analytics using OLAP technologies experience
* 1\+ years of developing and operating large\-scale data structures for business intelligence analytics using data modeling experience
* 1\+ years of developing and operating large\-scale data structures for business intelligence analytics using SQL experience
* 1\+ years of developing and operating large\-scale data structures for business intelligence analytics using Oracle experience
* Experience with data modeling, warehousing and building ETL pipelines
**PREFERRED QUALIFICATIONS**
----------------------------
* Experience with AWS technologies like Redshift, S3, AWS Glue, EMR, Kinesis, FireHose, Lambda, and IAM roles and permissions
* Experience with non\-relational databases / data stores (object storage, document or key\-value stores, graph databases, column\-family databases)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TN, Nashville \- 125,500\.00 \- 169,800\.00 USD annually  
USA, TX, Austin \- 132,100\.00 \- 178,800\.00 USD annually  
USA, WA, Bellevue \- 132,100\.00 \- 178,800\.00 USD annually</t>
        </is>
      </c>
    </row>
    <row r="39">
      <c r="A39" t="inlineStr">
        <is>
          <t>in-45da0fa01424cbab</t>
        </is>
      </c>
      <c r="B39" t="inlineStr">
        <is>
          <t>Software Development Manager, Amazon Security Data Engineering</t>
        </is>
      </c>
      <c r="C39" t="inlineStr">
        <is>
          <t>Amazon.com</t>
        </is>
      </c>
      <c r="D39" t="inlineStr">
        <is>
          <t>indeed</t>
        </is>
      </c>
      <c r="E39">
        <f>HYPERLINK("https://www.indeed.com/viewjob?jk=45da0fa01424cbab", "https://www.indeed.com/viewjob?jk=45da0fa01424cbab")</f>
        <v/>
      </c>
      <c r="F39">
        <f>HYPERLINK("https://www.amazon.jobs/jobs/3188767/software-development-manager-amazon-security-data-engineering?cmpid=DA_INAD200785B", "https://www.amazon.jobs/jobs/3188767/software-development-manager-amazon-security-data-engineering?cmpid=DA_INAD200785B")</f>
        <v/>
      </c>
      <c r="G39" t="inlineStr">
        <is>
          <t>Herndon, VA, US</t>
        </is>
      </c>
      <c r="H39" s="2" t="n">
        <v>46063</v>
      </c>
      <c r="I39" t="inlineStr">
        <is>
          <t>**DESCRIPTION**
---------------
Amazon Security Data Engineering seeks a Software Development Manager to lead our Data Cataloging and Optimization team. You'll manage a team of software developers building the critical optimization layer of Amazon's Security Data Lake—a petabyte\-scale platform supporting Apache Iceberg, AWS Glue, and Parquet formats. Your team develops distributed systems for data compaction, re\-organization, and indexing that enable data engineers across AWS, Amazon Stores, Digital, and other business units to reduce Incident Response and Threat Hunting times from months to minutes. This role requires deep technical expertise in building large\-scale distributed systems and proven people leadership skills. You'll drive technical vision, establish engineering best practices, and grow high\-performing teams while balancing multiple latency requirements from real\-time batch detections to historical threat hunting across months of data.  
Key job responsibilities  
Lead, mentor, and grow a team of software developers building the Security Data Lake's cataloging and optimization platform  
* Drive technical vision and roadmap for systems that manage petabyte\-scale data catalogs supporting Apache Iceberg, AWS Glue, Parquet, and other formats
* Oversee the design and implementation of distributed systems for data optimization including compaction, re\-organization, and indexing at scale
* Partner with data engineers and security teams across AWS, Amazon Stores, Digital, and other business units to understand their requirements and deliver platform capabilities
* Guide architectural decisions for systems that balance multiple latency scenarios—from minute\-level batch detections to month\-spanning threat hunting queries
* Establish software engineering best practices, code quality standards, and operational excellence for platform development
* Build systems that enable data engineers to optimize performance and reduce Incident Response and Threat Hunting times, directly impacting security outcomes
* Manage team capacity planning, sprint execution, and delivery commitments for critical security infrastructure
* Conduct performance reviews, career development conversations, and hiring activities
* Foster a culture of innovation, ownership, and customer obsession focused on building scalable platforms
* Collaborate with peer teams across Amazon Security and data platform teams to drive cross\-functional initiatives
* Manage on\-call and operational readiness
About the team  
The Data Cataloging and Optimization team builds the platform layer that makes Amazon's Security Data Lake fast and efficient at petabyte scale. We're software developers passionate about distributed systems, working with Apache Iceberg, AWS Glue, and Parquet to build optimization systems for data compaction, re\-organization, and indexing. Our platform enables data engineers and security analysts across AWS, Amazon Stores, and Digital to investigate incidents and hunt threats—reducing query times from months to minutes. We emphasize ownership, technical excellence, and customer obsession while collaborating across Amazon Security to solve hard problems that directly impact Amazon's security posture.**BASIC QUALIFICATIONS**
------------------------
* 3\+ years of engineering team management experience
* 7\+ years of engineering experience
* 8\+ years of leading the definition and development of multi tier web services experience
* 3\+ years of Software Engineer, Software Developer, or related occupational experience
* 1\+ years of providing technical leadership and project management for all aspects of the software development lifecycle experience
* 1\+ years of developing large\-scale, multi\-tiered distributed software systems using Java, C\#, or C\+\+ experience
* 1\+ years of developing large\-scale, multi\-tiered distributed software systems using service\-oriented architecture experience
* 1\+ years of developing large\-scale, multi\-tiered distributed software systems using distributed programming experience
* Bachelor's degree or foreign equivalent in Computer Science, Engineering, Mathematics, or a related field
* Knowledge of engineering practices and patterns for the full software/hardware/networks development life cycle, including coding standards, code reviews, source control management, build processes, testing, certification, and livesite operations
* Experience partnering with product or program management teams
**PREFERRED QUALIFICATIONS**
----------------------------
* Experience in communicating with users, other technical teams, and senior leadership to collect requirements, describe software product features, technical designs, and product strategy
* Experience in recruiting, hiring, mentoring/coaching and managing teams of Software Engineers to improve their skills, and make them more effective, product software engineers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San Diego \- 184,900\.00 \- 250,200\.00 USD annually  
USA, VA, Herndon \- 184,900\.00 \- 250,200\.00 USD annually</t>
        </is>
      </c>
    </row>
    <row r="40">
      <c r="A40" t="inlineStr">
        <is>
          <t>in-af531f6031ce72e1</t>
        </is>
      </c>
      <c r="B40" t="inlineStr">
        <is>
          <t>Software Development Manager, Amazon Security Data Engineering</t>
        </is>
      </c>
      <c r="C40" t="inlineStr">
        <is>
          <t>Amazon.com</t>
        </is>
      </c>
      <c r="D40" t="inlineStr">
        <is>
          <t>indeed</t>
        </is>
      </c>
      <c r="E40">
        <f>HYPERLINK("https://www.indeed.com/viewjob?jk=af531f6031ce72e1", "https://www.indeed.com/viewjob?jk=af531f6031ce72e1")</f>
        <v/>
      </c>
      <c r="F40">
        <f>HYPERLINK("https://www.amazon.jobs/jobs/3188767/software-development-manager-amazon-security-data-engineering?cmpid=DA_INAD200785B", "https://www.amazon.jobs/jobs/3188767/software-development-manager-amazon-security-data-engineering?cmpid=DA_INAD200785B")</f>
        <v/>
      </c>
      <c r="G40" t="inlineStr">
        <is>
          <t>San Diego, CA, US</t>
        </is>
      </c>
      <c r="H40" s="2" t="n">
        <v>46063</v>
      </c>
      <c r="I40" t="inlineStr">
        <is>
          <t>**DESCRIPTION**
---------------
Amazon Security Data Engineering seeks a Software Development Manager to lead our Data Cataloging and Optimization team. You'll manage a team of software developers building the critical optimization layer of Amazon's Security Data Lake—a petabyte\-scale platform supporting Apache Iceberg, AWS Glue, and Parquet formats. Your team develops distributed systems for data compaction, re\-organization, and indexing that enable data engineers across AWS, Amazon Stores, Digital, and other business units to reduce Incident Response and Threat Hunting times from months to minutes. This role requires deep technical expertise in building large\-scale distributed systems and proven people leadership skills. You'll drive technical vision, establish engineering best practices, and grow high\-performing teams while balancing multiple latency requirements from real\-time batch detections to historical threat hunting across months of data.  
Key job responsibilities  
Lead, mentor, and grow a team of software developers building the Security Data Lake's cataloging and optimization platform  
* Drive technical vision and roadmap for systems that manage petabyte\-scale data catalogs supporting Apache Iceberg, AWS Glue, Parquet, and other formats
* Oversee the design and implementation of distributed systems for data optimization including compaction, re\-organization, and indexing at scale
* Partner with data engineers and security teams across AWS, Amazon Stores, Digital, and other business units to understand their requirements and deliver platform capabilities
* Guide architectural decisions for systems that balance multiple latency scenarios—from minute\-level batch detections to month\-spanning threat hunting queries
* Establish software engineering best practices, code quality standards, and operational excellence for platform development
* Build systems that enable data engineers to optimize performance and reduce Incident Response and Threat Hunting times, directly impacting security outcomes
* Manage team capacity planning, sprint execution, and delivery commitments for critical security infrastructure
* Conduct performance reviews, career development conversations, and hiring activities
* Foster a culture of innovation, ownership, and customer obsession focused on building scalable platforms
* Collaborate with peer teams across Amazon Security and data platform teams to drive cross\-functional initiatives
* Manage on\-call and operational readiness
About the team  
The Data Cataloging and Optimization team builds the platform layer that makes Amazon's Security Data Lake fast and efficient at petabyte scale. We're software developers passionate about distributed systems, working with Apache Iceberg, AWS Glue, and Parquet to build optimization systems for data compaction, re\-organization, and indexing. Our platform enables data engineers and security analysts across AWS, Amazon Stores, and Digital to investigate incidents and hunt threats—reducing query times from months to minutes. We emphasize ownership, technical excellence, and customer obsession while collaborating across Amazon Security to solve hard problems that directly impact Amazon's security posture.**BASIC QUALIFICATIONS**
------------------------
* 3\+ years of engineering team management experience
* 7\+ years of engineering experience
* 8\+ years of leading the definition and development of multi tier web services experience
* 3\+ years of Software Engineer, Software Developer, or related occupational experience
* 1\+ years of providing technical leadership and project management for all aspects of the software development lifecycle experience
* 1\+ years of developing large\-scale, multi\-tiered distributed software systems using Java, C\#, or C\+\+ experience
* 1\+ years of developing large\-scale, multi\-tiered distributed software systems using service\-oriented architecture experience
* 1\+ years of developing large\-scale, multi\-tiered distributed software systems using distributed programming experience
* Bachelor's degree or foreign equivalent in Computer Science, Engineering, Mathematics, or a related field
* Knowledge of engineering practices and patterns for the full software/hardware/networks development life cycle, including coding standards, code reviews, source control management, build processes, testing, certification, and livesite operations
* Experience partnering with product or program management teams
**PREFERRED QUALIFICATIONS**
----------------------------
* Experience in communicating with users, other technical teams, and senior leadership to collect requirements, describe software product features, technical designs, and product strategy
* Experience in recruiting, hiring, mentoring/coaching and managing teams of Software Engineers to improve their skills, and make them more effective, product software engineers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San Diego \- 184,900\.00 \- 250,200\.00 USD annually  
USA, VA, Herndon \- 184,900\.00 \- 250,200\.00 USD annually</t>
        </is>
      </c>
    </row>
    <row r="41">
      <c r="A41" t="inlineStr">
        <is>
          <t>in-00befd677350965e</t>
        </is>
      </c>
      <c r="B41" t="inlineStr">
        <is>
          <t>Data Engineer, AMZL Orbit Data Engineering</t>
        </is>
      </c>
      <c r="C41" t="inlineStr">
        <is>
          <t>Amazon.com</t>
        </is>
      </c>
      <c r="D41" t="inlineStr">
        <is>
          <t>indeed</t>
        </is>
      </c>
      <c r="E41">
        <f>HYPERLINK("https://www.indeed.com/viewjob?jk=00befd677350965e", "https://www.indeed.com/viewjob?jk=00befd677350965e")</f>
        <v/>
      </c>
      <c r="F41">
        <f>HYPERLINK("https://www.amazon.jobs/jobs/3184381/data-engineer-amzl-orbit-data-engineering?cmpid=DA_INAD200785B", "https://www.amazon.jobs/jobs/3184381/data-engineer-amzl-orbit-data-engineering?cmpid=DA_INAD200785B")</f>
        <v/>
      </c>
      <c r="G41" t="inlineStr">
        <is>
          <t>Austin, TX, US</t>
        </is>
      </c>
      <c r="H41" s="2" t="n">
        <v>46054</v>
      </c>
      <c r="I41" t="inlineStr">
        <is>
          <t>**DESCRIPTION**
---------------
Open to hire in the following Job locations: Bellevue,USA, WA.  
Do you want to be in the forefront of engineering big data solutions that takes Transportation models to the next generation? Do you have a solid analytical thinking, metrics driven decision making and want to solve problems with solutions that will meet the growing worldwide need? We are looking for top notch Data Engineers to be part of our world class Transportation Business Intelligence team. We are building real time analytical platforms using big data tools and AWS technologies like Hadoop, Spark, EMR, SNS, SQS, Lambda, Kinesis Firehose, DynamoDB Streams.  
The ideal candidate relishes working with large volumes of data, enjoys the challenge of highly complex technical contexts, and, above all else, is passionate about data and analytics. An expert with data modeling, ETL design and business intelligence tools and passionately partners with the business to identify strategic opportunities where improvements in data infrastructure creates out\-sized business impact. The ideal candidate is self\-starter, comfortable with ambiguity, able to think big (while paying careful attention to detail), and enjoys working in a fast\-paced and global team. It's a big ask, and we're excited to talk to those up to the challenge!
**BASIC QUALIFICATIONS**
------------------------
* 1\+ years of data engineering experience
* Experience with data modeling, warehousing and building ETL pipelines
* Experience with one or more query language (e.g., SQL, PL/SQL, DDL, MDX, HiveQL, SparkSQL, Scala)
* Experience with one or more scripting language (e.g., Python, KornShell)
**PREFERRED QUALIFICATIONS**
----------------------------
* Experience with big data technologies such as: Hadoop, Hive, Spark, EMR
* Experience with any ETL tool like, Informatica, ODI, SSIS, BODI, Datastage, etc.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TN, Nashville \- 96,200\.00 \- 160,000\.00 USD annually  
USA, TX, Austin \- 101,300\.00 \- 160,000\.00 USD annually  
USA, WA, Bellevue \- 101,300\.00 \- 160,000\.00 USD annually</t>
        </is>
      </c>
    </row>
    <row r="42">
      <c r="A42" t="inlineStr">
        <is>
          <t>in-153a43266fc2467d</t>
        </is>
      </c>
      <c r="B42" t="inlineStr">
        <is>
          <t>Data Engineer, AMZL Orbit Data Engineering</t>
        </is>
      </c>
      <c r="C42" t="inlineStr">
        <is>
          <t>Amazon.com</t>
        </is>
      </c>
      <c r="D42" t="inlineStr">
        <is>
          <t>indeed</t>
        </is>
      </c>
      <c r="E42">
        <f>HYPERLINK("https://www.indeed.com/viewjob?jk=153a43266fc2467d", "https://www.indeed.com/viewjob?jk=153a43266fc2467d")</f>
        <v/>
      </c>
      <c r="F42">
        <f>HYPERLINK("https://www.amazon.jobs/jobs/3184381/data-engineer-amzl-orbit-data-engineering?cmpid=DA_INAD200785B", "https://www.amazon.jobs/jobs/3184381/data-engineer-amzl-orbit-data-engineering?cmpid=DA_INAD200785B")</f>
        <v/>
      </c>
      <c r="G42" t="inlineStr">
        <is>
          <t>Bellevue, WA, US</t>
        </is>
      </c>
      <c r="H42" s="2" t="n">
        <v>46054</v>
      </c>
      <c r="I42" t="inlineStr">
        <is>
          <t>**DESCRIPTION**
---------------
Open to hire in the following Job locations: Bellevue,USA, WA.  
Do you want to be in the forefront of engineering big data solutions that takes Transportation models to the next generation? Do you have a solid analytical thinking, metrics driven decision making and want to solve problems with solutions that will meet the growing worldwide need? We are looking for top notch Data Engineers to be part of our world class Transportation Business Intelligence team. We are building real time analytical platforms using big data tools and AWS technologies like Hadoop, Spark, EMR, SNS, SQS, Lambda, Kinesis Firehose, DynamoDB Streams.  
The ideal candidate relishes working with large volumes of data, enjoys the challenge of highly complex technical contexts, and, above all else, is passionate about data and analytics. An expert with data modeling, ETL design and business intelligence tools and passionately partners with the business to identify strategic opportunities where improvements in data infrastructure creates out\-sized business impact. The ideal candidate is self\-starter, comfortable with ambiguity, able to think big (while paying careful attention to detail), and enjoys working in a fast\-paced and global team. It's a big ask, and we're excited to talk to those up to the challenge!
**BASIC QUALIFICATIONS**
------------------------
* 1\+ years of data engineering experience
* Experience with data modeling, warehousing and building ETL pipelines
* Experience with one or more query language (e.g., SQL, PL/SQL, DDL, MDX, HiveQL, SparkSQL, Scala)
* Experience with one or more scripting language (e.g., Python, KornShell)
**PREFERRED QUALIFICATIONS**
----------------------------
* Experience with big data technologies such as: Hadoop, Hive, Spark, EMR
* Experience with any ETL tool like, Informatica, ODI, SSIS, BODI, Datastage, etc.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TN, Nashville \- 96,200\.00 \- 160,000\.00 USD annually  
USA, TX, Austin \- 101,300\.00 \- 160,000\.00 USD annually  
USA, WA, Bellevue \- 101,300\.00 \- 160,000\.00 USD annually</t>
        </is>
      </c>
    </row>
    <row r="43">
      <c r="A43" t="inlineStr">
        <is>
          <t>in-2acd13e1fda0bdcb</t>
        </is>
      </c>
      <c r="B43" t="inlineStr">
        <is>
          <t>Data Engineer, AMZL Orbit Data Engineering</t>
        </is>
      </c>
      <c r="C43" t="inlineStr">
        <is>
          <t>Amazon.com</t>
        </is>
      </c>
      <c r="D43" t="inlineStr">
        <is>
          <t>indeed</t>
        </is>
      </c>
      <c r="E43">
        <f>HYPERLINK("https://www.indeed.com/viewjob?jk=2acd13e1fda0bdcb", "https://www.indeed.com/viewjob?jk=2acd13e1fda0bdcb")</f>
        <v/>
      </c>
      <c r="F43">
        <f>HYPERLINK("https://www.amazon.jobs/jobs/3184381/data-engineer-amzl-orbit-data-engineering?cmpid=DA_INAD200785B", "https://www.amazon.jobs/jobs/3184381/data-engineer-amzl-orbit-data-engineering?cmpid=DA_INAD200785B")</f>
        <v/>
      </c>
      <c r="G43" t="inlineStr">
        <is>
          <t>Nashville, TN, US</t>
        </is>
      </c>
      <c r="H43" s="2" t="n">
        <v>46054</v>
      </c>
      <c r="I43" t="inlineStr">
        <is>
          <t>**DESCRIPTION**
---------------
Open to hire in the following Job locations: Bellevue,USA, WA.  
Do you want to be in the forefront of engineering big data solutions that takes Transportation models to the next generation? Do you have a solid analytical thinking, metrics driven decision making and want to solve problems with solutions that will meet the growing worldwide need? We are looking for top notch Data Engineers to be part of our world class Transportation Business Intelligence team. We are building real time analytical platforms using big data tools and AWS technologies like Hadoop, Spark, EMR, SNS, SQS, Lambda, Kinesis Firehose, DynamoDB Streams.  
The ideal candidate relishes working with large volumes of data, enjoys the challenge of highly complex technical contexts, and, above all else, is passionate about data and analytics. An expert with data modeling, ETL design and business intelligence tools and passionately partners with the business to identify strategic opportunities where improvements in data infrastructure creates out\-sized business impact. The ideal candidate is self\-starter, comfortable with ambiguity, able to think big (while paying careful attention to detail), and enjoys working in a fast\-paced and global team. It's a big ask, and we're excited to talk to those up to the challenge!
**BASIC QUALIFICATIONS**
------------------------
* 1\+ years of data engineering experience
* Experience with data modeling, warehousing and building ETL pipelines
* Experience with one or more query language (e.g., SQL, PL/SQL, DDL, MDX, HiveQL, SparkSQL, Scala)
* Experience with one or more scripting language (e.g., Python, KornShell)
**PREFERRED QUALIFICATIONS**
----------------------------
* Experience with big data technologies such as: Hadoop, Hive, Spark, EMR
* Experience with any ETL tool like, Informatica, ODI, SSIS, BODI, Datastage, etc.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TN, Nashville \- 96,200\.00 \- 160,000\.00 USD annually  
USA, TX, Austin \- 101,300\.00 \- 160,000\.00 USD annually  
USA, WA, Bellevue \- 101,300\.00 \- 160,000\.00 USD annually</t>
        </is>
      </c>
    </row>
    <row r="44">
      <c r="A44" t="inlineStr">
        <is>
          <t>in-3ffeafa3995d4e1d</t>
        </is>
      </c>
      <c r="B44" t="inlineStr">
        <is>
          <t>Data Engineer, Denied Party Screening, AWS Compliance &amp; Security Assurance</t>
        </is>
      </c>
      <c r="C44" t="inlineStr">
        <is>
          <t>Amazon.com</t>
        </is>
      </c>
      <c r="D44" t="inlineStr">
        <is>
          <t>indeed</t>
        </is>
      </c>
      <c r="E44">
        <f>HYPERLINK("https://www.indeed.com/viewjob?jk=3ffeafa3995d4e1d", "https://www.indeed.com/viewjob?jk=3ffeafa3995d4e1d")</f>
        <v/>
      </c>
      <c r="F44">
        <f>HYPERLINK("https://www.amazon.jobs/jobs/3160403/data-engineer-denied-party-screening-aws-compliance--security-assurance?cmpid=DA_INAD200785B", "https://www.amazon.jobs/jobs/3160403/data-engineer-denied-party-screening-aws-compliance--security-assurance?cmpid=DA_INAD200785B")</f>
        <v/>
      </c>
      <c r="G44" t="inlineStr">
        <is>
          <t>Dallas, TX, US</t>
        </is>
      </c>
      <c r="H44" s="2" t="n">
        <v>46029</v>
      </c>
      <c r="I44" t="inlineStr">
        <is>
          <t>**DESCRIPTION**
---------------
Amazon seeks an experienced Data Engineer to join the DPS (Deny Party Screening) team. Our mission is to prevent denied parties from transacting with Amazon businesses, including AWS, customers, vendors, sellers, subsidiaries, etc. We screen billions of events every day. We integrate with Tier 1 systems, build DPS systems, and deal with unique scaling challenges.  
As a Data Engineer, you will design, implement and support scalable data infrastructure solutions to integrate with multi heterogeneous data sources, aggregate and retrieve data in a fast and safe mode, curate data that can be used in reporting, analysis, machine learning models and ad\-hoc data requests. You will be exposed to cutting edge AWS big data technologies. You should have excellent business and communication skills to be able to work with business owners and Tech leaders to gather infrastructure requirements, design data infrastructure, build up data pipelines and datasets to meet business needs. You stay abreast of emerging technologies, investigating and implementing where appropriate.  
Key job responsibilities  
* Design, implement, and support data warehouse/ data lake infrastructure using AWS bigdata stack, Python, Redshift, QuickSight, Glue/lake formation, EMR/Spark, Athena etc.
* Develop and manage ETLs to source data from various financial, AWS networking and operational systems and create unified data model for analytics and reporting.
* Creation and support of real\-time data pipelines built on AWS technologies including EMR, Glue, Redshift/Spectrum and Athena.
* Collaborate with other Engineering teams, Product/Finance Managers/Analysts to implement advanced analytics algorithms that exploit our rich datasets for financial model development, statistical analysis, prediction, etc.
* Continual research of the latest big data and visualization technologies to provide new capabilities and increase efficiency.
* Use business intelligence and visualization software (e.g., QuickSight) to develop dashboards those are used by senior leadership.
* Empower technical and non\-technical, internal customers to drive their own analytics and reporting (self\-serve reporting) and support ad\-hoc reporting when needed.
* Working closely with team members to drive real\-time model implementations for monitoring and alerting of risk systems.
* Manage numerous requests concurrently and strategically, prioritizing when necessary
* Partner/collaborate across teams/roles to deliver results.
* Mentor other engineers, influence positively team culture, and help grow the team
About the team  
Denied Party Screening (DPS) is a part of Amazon Security, an organization designed to drive bar\-raising security engagements. The vision of the Amazon DPS program is to ensure that 1\+ billion Amazon accounts spanning across consumers, sellers, developers, employees, and all other Amazon party, are not a denied party, located or incorporated in a sanctioned region or country, or owned or controlled by or subject to the jurisdiction of the government of a sanctioned country.
Why Amazon Security  
At Amazon, security is central to maintaining customer trust and delivering delightful customer experiences. Our organization is responsible for creating and maintaining a high bar for security across all of Amazon’s products and services.  
Work/Life Balance  
We value work\-life harmony. Achieving success at work should never come at the expense of sacrifices at home, which is why flexible work hours and arrangements are part of our culture. When we feel supported in the workplace and at home, there’s nothing we can’t achieve.  
Inclusive Team Culture  
In Amazon Security, it’s in our nature to learn and be curious. Ongoing DEI events and learning experiences inspire us to continue learning and to embrace our uniqueness. Addressing the toughest security challenges requires that we seek out and celebrate a diversity of ideas, perspectives, and voices.  
Training and Career growth  
We’re continuously raising our performance bar as we strive to become Earth’s Best Employer. That’s why you’ll find endless knowledge\-sharing, training, and other career\-advancing resources here to help you develop into a better\-rounded professional.**BASIC QUALIFICATIONS**
------------------------
* 5\+ years of data engineering experience
* Experience programming with at least one modern language such as C\+\+, C\#, Java, Python, Golang, PowerShell, Ruby
* Experience working on and delivering end to end projects independently
* Experience with big data technologies such as: Hadoop, Hive, Spark, EMR
**PREFERRED QUALIFICATIONS**
----------------------------
* Experience with AWS technologies like Redshift, S3, AWS Glue, EMR, Kinesis, FireHose, Lambda, and IAM roles and permissions
* Experience with non\-relational databases / data stores (object storage, document or key\-value stores, graph databases, column\-family databases)
* Experience in at least one modern scripting or programming language, such as Python, Java, Scala, or NodeJS
* Experience with distributed systems as it pertains to data storage and computing
* Experience as a data engineer or related specialty (e.g., software engineer, business intelligence engineer, data scientist) with a track record of manipulating, processing, and extracting value from large datasets
* Experience providing technical leadership and mentoring other engineers for best practices on data engineering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TX, Dallas \- 132,100\.00 \- 178,800\.00 USD annually  
USA, WA, Seattle \- 132,100\.00 \- 178,800\.00 USD annually</t>
        </is>
      </c>
    </row>
    <row r="45">
      <c r="A45" t="inlineStr">
        <is>
          <t>in-9db9c19452370748</t>
        </is>
      </c>
      <c r="B45" t="inlineStr">
        <is>
          <t>Data Engineer, Denied Party Screening, AWS Compliance &amp; Security Assurance</t>
        </is>
      </c>
      <c r="C45" t="inlineStr">
        <is>
          <t>Amazon.com</t>
        </is>
      </c>
      <c r="D45" t="inlineStr">
        <is>
          <t>indeed</t>
        </is>
      </c>
      <c r="E45">
        <f>HYPERLINK("https://www.indeed.com/viewjob?jk=9db9c19452370748", "https://www.indeed.com/viewjob?jk=9db9c19452370748")</f>
        <v/>
      </c>
      <c r="F45">
        <f>HYPERLINK("https://www.amazon.jobs/jobs/3160403/data-engineer-denied-party-screening-aws-compliance--security-assurance?cmpid=DA_INAD200785B", "https://www.amazon.jobs/jobs/3160403/data-engineer-denied-party-screening-aws-compliance--security-assurance?cmpid=DA_INAD200785B")</f>
        <v/>
      </c>
      <c r="G45" t="inlineStr">
        <is>
          <t>Seattle, WA, US</t>
        </is>
      </c>
      <c r="H45" s="2" t="n">
        <v>46029</v>
      </c>
      <c r="I45" t="inlineStr">
        <is>
          <t>**DESCRIPTION**
---------------
Amazon seeks an experienced Data Engineer to join the DPS (Deny Party Screening) team. Our mission is to prevent denied parties from transacting with Amazon businesses, including AWS, customers, vendors, sellers, subsidiaries, etc. We screen billions of events every day. We integrate with Tier 1 systems, build DPS systems, and deal with unique scaling challenges.  
As a Data Engineer, you will design, implement and support scalable data infrastructure solutions to integrate with multi heterogeneous data sources, aggregate and retrieve data in a fast and safe mode, curate data that can be used in reporting, analysis, machine learning models and ad\-hoc data requests. You will be exposed to cutting edge AWS big data technologies. You should have excellent business and communication skills to be able to work with business owners and Tech leaders to gather infrastructure requirements, design data infrastructure, build up data pipelines and datasets to meet business needs. You stay abreast of emerging technologies, investigating and implementing where appropriate.  
Key job responsibilities  
* Design, implement, and support data warehouse/ data lake infrastructure using AWS bigdata stack, Python, Redshift, QuickSight, Glue/lake formation, EMR/Spark, Athena etc.
* Develop and manage ETLs to source data from various financial, AWS networking and operational systems and create unified data model for analytics and reporting.
* Creation and support of real\-time data pipelines built on AWS technologies including EMR, Glue, Redshift/Spectrum and Athena.
* Collaborate with other Engineering teams, Product/Finance Managers/Analysts to implement advanced analytics algorithms that exploit our rich datasets for financial model development, statistical analysis, prediction, etc.
* Continual research of the latest big data and visualization technologies to provide new capabilities and increase efficiency.
* Use business intelligence and visualization software (e.g., QuickSight) to develop dashboards those are used by senior leadership.
* Empower technical and non\-technical, internal customers to drive their own analytics and reporting (self\-serve reporting) and support ad\-hoc reporting when needed.
* Working closely with team members to drive real\-time model implementations for monitoring and alerting of risk systems.
* Manage numerous requests concurrently and strategically, prioritizing when necessary
* Partner/collaborate across teams/roles to deliver results.
* Mentor other engineers, influence positively team culture, and help grow the team
About the team  
Denied Party Screening (DPS) is a part of Amazon Security, an organization designed to drive bar\-raising security engagements. The vision of the Amazon DPS program is to ensure that 1\+ billion Amazon accounts spanning across consumers, sellers, developers, employees, and all other Amazon party, are not a denied party, located or incorporated in a sanctioned region or country, or owned or controlled by or subject to the jurisdiction of the government of a sanctioned country.
Why Amazon Security  
At Amazon, security is central to maintaining customer trust and delivering delightful customer experiences. Our organization is responsible for creating and maintaining a high bar for security across all of Amazon’s products and services.  
Work/Life Balance  
We value work\-life harmony. Achieving success at work should never come at the expense of sacrifices at home, which is why flexible work hours and arrangements are part of our culture. When we feel supported in the workplace and at home, there’s nothing we can’t achieve.  
Inclusive Team Culture  
In Amazon Security, it’s in our nature to learn and be curious. Ongoing DEI events and learning experiences inspire us to continue learning and to embrace our uniqueness. Addressing the toughest security challenges requires that we seek out and celebrate a diversity of ideas, perspectives, and voices.  
Training and Career growth  
We’re continuously raising our performance bar as we strive to become Earth’s Best Employer. That’s why you’ll find endless knowledge\-sharing, training, and other career\-advancing resources here to help you develop into a better\-rounded professional.**BASIC QUALIFICATIONS**
------------------------
* 5\+ years of data engineering experience
* Experience programming with at least one modern language such as C\+\+, C\#, Java, Python, Golang, PowerShell, Ruby
* Experience working on and delivering end to end projects independently
* Experience with big data technologies such as: Hadoop, Hive, Spark, EMR
**PREFERRED QUALIFICATIONS**
----------------------------
* Experience with AWS technologies like Redshift, S3, AWS Glue, EMR, Kinesis, FireHose, Lambda, and IAM roles and permissions
* Experience with non\-relational databases / data stores (object storage, document or key\-value stores, graph databases, column\-family databases)
* Experience in at least one modern scripting or programming language, such as Python, Java, Scala, or NodeJS
* Experience with distributed systems as it pertains to data storage and computing
* Experience as a data engineer or related specialty (e.g., software engineer, business intelligence engineer, data scientist) with a track record of manipulating, processing, and extracting value from large datasets
* Experience providing technical leadership and mentoring other engineers for best practices on data engineering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TX, Dallas \- 132,100\.00 \- 178,800\.00 USD annually  
USA, WA, Seattle \- 132,100\.00 \- 178,800\.00 USD annually</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85"/>
  <sheetViews>
    <sheetView workbookViewId="0">
      <selection activeCell="A1" sqref="A1"/>
    </sheetView>
  </sheetViews>
  <sheetFormatPr baseColWidth="8" defaultRowHeight="15"/>
  <sheetData>
    <row r="1">
      <c r="A1" t="inlineStr">
        <is>
          <t>job id</t>
        </is>
      </c>
      <c r="B1" t="inlineStr">
        <is>
          <t>title</t>
        </is>
      </c>
      <c r="C1" t="inlineStr">
        <is>
          <t>company</t>
        </is>
      </c>
      <c r="D1" t="inlineStr">
        <is>
          <t>site</t>
        </is>
      </c>
      <c r="E1" t="inlineStr">
        <is>
          <t>job_url</t>
        </is>
      </c>
      <c r="F1" t="inlineStr">
        <is>
          <t>job_url_direct</t>
        </is>
      </c>
      <c r="G1" t="inlineStr">
        <is>
          <t>location</t>
        </is>
      </c>
      <c r="H1" t="inlineStr">
        <is>
          <t>date posted</t>
        </is>
      </c>
      <c r="I1" t="inlineStr">
        <is>
          <t>description</t>
        </is>
      </c>
    </row>
    <row r="2">
      <c r="A2" t="inlineStr">
        <is>
          <t>li-4120830018</t>
        </is>
      </c>
      <c r="B2" t="inlineStr">
        <is>
          <t>Data Engineer, Product Analytics</t>
        </is>
      </c>
      <c r="C2" t="inlineStr">
        <is>
          <t>Meta</t>
        </is>
      </c>
      <c r="D2" t="inlineStr">
        <is>
          <t>linkedin</t>
        </is>
      </c>
      <c r="E2" t="inlineStr"/>
      <c r="F2" t="inlineStr"/>
      <c r="G2" t="inlineStr">
        <is>
          <t>Menlo Park, CA</t>
        </is>
      </c>
      <c r="H2" t="inlineStr"/>
      <c r="I2" t="inlineStr">
        <is>
          <t>As a Data Engineer at Meta, you will shape the future of people\-facing and business\-facing products we build across our entire family of applications (Facebook, Instagram, Messenger, WhatsApp, Reality Labs, Threads). Your technical skills and analytical mindset will be utilized designing and building some of the world's most extensive data sets, helping to craft experiences for billions of people and hundreds of millions of businesses worldwide.In this role, you will collaborate with software engineering, data science, and product management teams to design/build scalable data solutions across Meta to optimize growth, strategy, and user experience for our 3 billion plus users, as well as our internal employee community.You will be at the forefront of identifying and solving some of the most interesting data challenges at a scale few companies can match. By joining Meta, you will become part of a world\-class data engineering community dedicated to skill development and career growth in data engineering and beyond.Data Engineering: You will guide teams by building optimal data artifacts (including datasets and visualizations) to address key questions. You will refine our systems, design logging solutions, and create scalable data models. Ensuring data security and quality, and with a strong focus on efficiency, you will suggest architecture and development approaches and data management standards to address complex analytical problems.Product leadership: You will use data to shape product development, identify new opportunities, and tackle upcoming challenges. You'll ensure our products add value for users and businesses, by prioritizing projects, and driving innovative solutions to respond to challenges or opportunities.Communication and influence: You won't simply present data, but tell data\-driven stories. You will convince and influence your partners using clear insights and recommendations. You will build credibility through structure and clarity, and be a trusted strategic partner.
 Data Engineer, Product Analytics Responsibilities:
* Conceptualize and own the data architecture for multiple large\-scale projects, while evaluating design and operational cost\-benefit tradeoffs within systems
* Create and contribute to frameworks that improve the efficacy of logging data, while working with data infrastructure to triage issues and resolve
* Collaborate with engineers, product managers, and data scientists to understand data needs, representing key data insights in a meaningful way
* Define and manage Service Level Agreements for all data sets in allocated areas of ownership
* Determine and implement the security model based on privacy requirements, confirm safeguards are followed, address data quality issues, and evolve governance processes within allocated areas of ownership
* Design, build, and launch collections of sophisticated data models and visualizations that support multiple use cases across different products or domains
* Solve our most challenging data integration problems, utilizing optimal Extract, Transform, Load (ETL) patterns, frameworks, query techniques, sourcing from structured and unstructured data sources
* Assist in owning existing processes running in production, optimizing complex code through advanced algorithmic concepts
* Optimize pipelines, dashboards, frameworks, and systems to facilitate easier development of data artifacts
* Influence product and cross\-functional teams to identify data opportunities to drive impact
* Mentor team members by giving/receiving actionable feedback
 Minimum Qualifications:
* Bachelor's degree in Computer Science, Computer Engineering, relevant technical field, or equivalent practical experience
* 4\+ years of experience where the primary responsibility involves working with data. This could include roles such as data analyst, data scientist, data engineer, or similar positions
* 4\+ years of experience with SQL, ETL, data modeling, and at least one programming language (e.g., Python, C\+\+, C\#, Scala, etc.)
 Preferred Qualifications:
* Master's or Ph.D degree in a STEM field
 About Meta:
 Meta builds technologies that help people connect, find communities, and grow businesses. When Facebook launched in 2004, it changed the way people connect. Apps like Messenger, Instagram and WhatsApp further empowered billions around the world. Now, Meta is moving beyond 2D screens toward immersive experiences like augmented and virtual reality to help build the next evolution in social technology. People who choose to build their careers by building with us at Meta help shape a future that will take us beyond what digital connection makes possible today—beyond the constraints of screens, the limits of distance, and even the rules of physics.
 Meta is proud to be an Equal Employment Opportunity and Affirmative Action employer. We do not discriminate based upon race, religion, color, national origin, sex (including pregnancy, childbirth, or related medical conditions), sexual orientation, gender, gender identity, gender expression, transgender status, sexual stereotypes, age, status as a protected veteran, status as an individual with a disability, or other applicable legally protected characteristics. We also consider qualified applicants with criminal histories, consistent with applicable federal, state and local law. Meta participates in the E\-Verify program in certain locations, as required by law. Please note that Meta may leverage artificial intelligence and machine learning technologies in connection with applications for employment.
 Meta is committed to providing reasonable accommodations for candidates with disabilities in our recruiting process. If you need any assistance or accommodations due to a disability, please let us know at accommodations\-ext@meta.com.
 $147,000/year to $208,000/year \+ bonus \+ equity \+ benefits
 Individual compensation is determined by skills, qualifications, experience, and location. Compensation details listed in this posting reflect the base hourly rate, monthly rate, or annual salary only, and do not include bonus, equity or sales incentives, if applicable. In addition to base compensation, Meta offers benefits. Learn more about benefits at Meta.</t>
        </is>
      </c>
    </row>
    <row r="3">
      <c r="A3" t="inlineStr">
        <is>
          <t>li-4378837887</t>
        </is>
      </c>
      <c r="B3" t="inlineStr">
        <is>
          <t>Data Engineer II</t>
        </is>
      </c>
      <c r="C3" t="inlineStr">
        <is>
          <t>GoGuardian</t>
        </is>
      </c>
      <c r="D3" t="inlineStr">
        <is>
          <t>linkedin</t>
        </is>
      </c>
      <c r="E3" t="inlineStr"/>
      <c r="F3" t="inlineStr"/>
      <c r="G3" t="inlineStr">
        <is>
          <t>El Segundo, CA</t>
        </is>
      </c>
      <c r="H3" t="inlineStr"/>
      <c r="I3" t="inlineStr">
        <is>
          <t>**What We Do**
 At GoGuardian, we're helping build a future where all learners are ready and inspired to solve the world's greatest challenges. Our award\-winning system of learning solutions is purpose\-built for K\-12 and trusted by school leaders to promote effective teaching and equitable engagement while helping empower educators to keep students safe.
**What It's Like to Work at GoGuardian**
 We are an outcomes\-focused learning company with a steadfast focus on improving learning environments, one classroom at a time. Working with us means joining a remote team of diverse, committed, mission\-driven employees who are inspired by our vision, dedicated to our customers, and ready to roll up their sleeves. Guardians put their heads together to solve problems, learn together from experiments that fail, and stand together by their work with full accountability. We balance our diligence with an inclusive culture that invites everyone to bring their whole self to work. Join us and learn why "I love the people here" is one of the most frequent comments we hear from Guardians.
**The Role**
 We're looking for a
 **Data Engineer II** 
 to help design, build, and continuously improve the GoGuardian Analytics and AI/ML ecosystem. This position sits on the
 **Data Engineering team** 
 , a group responsible for building and maintaining the core data platform that powers analytics, product insights, and machine learning across the company. You'll collaborate closely with Data Science, Business Intelligence, and other teams to enable the next generation of data\-driven products and AI capabilities.
 The ideal candidate combines strong software engineering and data architecture skills with curiosity about machine learning systems and a drive to automate, optimize, and scale data workflows.
**What You'll Do**
* Design, build, and optimize ETL pipelines that power analytics, data science, and ML workflows using tools such as Databricks, PySpark, and Airflow.
* Develop and maintain labeling and retraining pipelines for machine learning models, ensuring quality, reproducibility, and observability.
* Implement and support MLOps practices, including model versioning, CI/CD for ML, and model monitoring in production environments.
* Collaborate with data scientists to productionize and scale model training, inference, and evaluation pipelines.
* Contribute to the design and evolution of the data lakehouse, including schema design, partitioning strategies, and performance optimization.
* Document and communicate data architecture, lineage, and dependencies to ensure transparency and maintainability across teams.
* Champion data quality and governance, ensuring that datasets are accurate, well\-structured, and compliant with organizational standards.
* Leverage infrastructure\-as\-code and containerization to build reproducible, maintainable environments.
* Participate in code reviews and continuous improvement of engineering best practices within the team.
**Who You Are**
* Bachelor's degree in Computer Science, Engineering, or related field.
* 2–4 years of experience building and operating large\-scale data systems, ideally supporting analytics and ML workloads.
* Proficiency in Python and SQL, with experience in PySpark, pandas, or similar data processing frameworks.
* Experience with DBT
* Experience with modern data warehousing and lakehouse platforms, preferably Databricks.
* Hands\-on experience with workflow orchestration tools such as Airflow, Dagster, or Prefect.
* Strong understanding of data modeling, ETL design, and distributed data systems.
* Experience with AWS data and compute services (S3, Lambda, ECS, CloudWatch, etc.) or equivalent cloud platforms.
* Familiarity with MLOps concepts (e.g., feature stores, model registries, CI/CD for ML).
* Experience using Infrastructure as Code, preferably Terraform.
* Excellent problem\-solving, collaboration, and communication skills; comfortable working in a dynamic, fast\-paced environment.
**What We Offer**
* Competitive pay, complete health insurance, 401(k) matching, and an employee equity plan.
* Flexible time off, paid holidays, paid parental leave, and a paid year\-end holiday break.
* A robust catalog of benefits that support your professional growth and personal wellbeing, including work from home funds, fertility \&amp; adoption reimbursement, and more…
*Plus the intangible:*
* A varied and challenging role in an innovative, global company.
* Supportive, driven colleagues who have your back and share your passion.
 The typical base salary range for this position is $130,000 \- $140,000 per year. The range displayed on this job posting reflects the minimum and maximum target for new hire base pay for this position and your pay will be determined by a variety of factors, including your primary work location, skills, qualifications and experience. Additional benefits information is listed on our careers page.
 Please share this with your friends or co\-workers who may be interested in working at GoGuardian! We have multiple openings and are always looking for talented people.
 GoGuardian is an equal opportunity employer and makes employment decisions on the basis of merit and business needs. GoGuardian does not discriminate against employees, applicants, interns or volunteers on the basis of race, religion, color, national origin, ancestry, physical disability, mental disability, medical condition, pregnancy, marital status, sex, age, sexual orientation, military and veteran status, registered domestic partner status, genetic information, gender, gender identity, gender expression, or any other characteristic protected by applicable law.
 GoGuardian's Job Applicant Privacy Policy is located
 **here** 
 .
 \#BI\-Remote</t>
        </is>
      </c>
    </row>
    <row r="4">
      <c r="A4" t="inlineStr">
        <is>
          <t>li-4307288159</t>
        </is>
      </c>
      <c r="B4" t="inlineStr">
        <is>
          <t>Senior Data Platform Engineer</t>
        </is>
      </c>
      <c r="C4" t="inlineStr">
        <is>
          <t>Sony Interactive Entertainment</t>
        </is>
      </c>
      <c r="D4" t="inlineStr">
        <is>
          <t>linkedin</t>
        </is>
      </c>
      <c r="E4" t="inlineStr"/>
      <c r="F4" t="inlineStr"/>
      <c r="G4" t="inlineStr"/>
      <c r="H4" t="inlineStr"/>
      <c r="I4" t="inlineStr">
        <is>
          <t>**Why PlayStation?**
 PlayStation isn’t just the Best Place to Play — it’s also the Best Place to Work. Today, we’re recognized as a global leader in entertainment producing The PlayStation family of products and services including PlayStation®5, PlayStation®4, PlayStation®VR, PlayStation®Plus, acclaimed PlayStation software titles from PlayStation Studios, and more.
 PlayStation also strives to create an inclusive environment that empowers employees and embraces diversity. We welcome and encourage everyone who has a passion and curiosity for innovation, technology, and play to explore our open positions and join our growing global team.
 The PlayStation brand falls under Sony Interactive Entertainment, a wholly\-owned subsidiary of Sony Group Corporation.
**Senior Data Platform Engineer**
**Sony Interactive Entertainment America, LLC**
**Location: San Diego Studio/Remote**
 Are you an expert in all things data? Are you a fan of baseball and MLB The Show? Would you enjoy supporting the development efforts of games used by passionate loyalists around the world? Does a career opportunity influencing the most successful gaming platform of all time interest you?
 The San Diego Studio analytics team is looking for a highly motivated, hands\-on Senior Data Platform Engineer to own and evolve our data infrastructure on AWS and Databricks. You’ll lead cloud\-driven Databricks configurations, reliability and cost optimization (FinOps), and jump in on ETL development. This role is ideal for an engineer who enjoys wearing multiple hats across DevOps, platform engineering, and data engineering. If this is you, you need to come and play with us here at Sony PlayStation!
**Responsibilities:** 
* AWS and Databricks administration
* 
+ Configure and manage core AWS services
+ Work with Data Scientists to manage Databricks environment in conjunction with Data Engineering AWS environment
+ Implement security best practices, network segmentation, and secrets management
+ Own relationships with external vendors
* ETL/Data Engineering
* 
+ Support development and maintenance of data pipelines (Python/Spark/SQL/API Gateway/EC2/DynamoDB/Glue), data quality checks, and documentation.
+ Contribute to code reviews and standards.
* Own Infrastructure as Code
* 
+ Design, build, and maintain IaC with Terraform for AWS and Databricks (modules, workspaces, remote state, CI/CD).
+ Standardize and templatize environment provisioning across dev/prod
* FinOps and cost governance
* 
+ Establish tagging, budgets, and chargeback/showback; rightsized compute, storage, and job configurations
+ Manage Savings Plans/Reserved Instances, Spot strategies, storage lifecycle policies.
* Studio Collaboration
* 
+ Work closely with data engineers, data scientists, and stakeholders to unblock deliverables
+ Work with internal teams to help them realize optimizations and cost savings
+ Document designs, standards, and operational practices to enable a small team to move quickly and safely
**Qualifications:**
* 3\+ years in data/platform/DevOps engineering with significant AWS experience
* Proficient in Python and SQL
* Proficient in AWS Budget and Cost Management, AWS Trusted Advisor, CloudWatch \&amp; CloudTrail
* CI/CD for infra and data (GitHub Actions/Jenkins), code reviews, testing, and change management
* Security\-first mindset: IAM/RBAC, least privilege, network controls, encryption, secrets
* FinOps knowledge: RI/Savings Plans, rightsizing, storage lifecycle, cost allocation/tagging, monitoring/alerts
* Excellent communication and ability to operate in a small, high\-impact team
**Pluses:**
* Experience with AWS ETL products: Glue, Kinesis, Lambda, etc.
* Terraform experience
* Understand the rules of the sport of baseball
* Passion for video games
 This role can be fully remote, hybrid or fully in\-person in San Diego, CA.
 Please note, Sony Interactive Entertainment conducts background checks at the offer stage for all new employees (which may include criminal background checks for some roles) and will need to process personal information to support these checks.
 Please refer to our Candidate Privacy Notice for more information about what personal information we collect, how we use it, who we share it with, and your data protection rights.
**Equal Opportunity Statement:**
*Sony is an Equal Opportunity Employer. All persons will receive consideration for employment without regard to gender (including gender identity, gender expression and gender reassignment), race (including colour, nationality, ethnic or national origin), religion or belief, marital or civil partnership status, disability, age, sexual orientation, pregnancy, maternity or parental status, trade union membership or membership in any other legally protected category.*
*We strive to create an inclusive environment, empower employees and embrace diversity. We encourage everyone to respond.*
*PlayStation is a Fair Chance employer and qualified applicants with arrest and conviction records will be considered for employment.*</t>
        </is>
      </c>
    </row>
    <row r="5">
      <c r="A5" t="inlineStr">
        <is>
          <t>li-4378835474</t>
        </is>
      </c>
      <c r="B5" t="inlineStr">
        <is>
          <t>Data Engineer</t>
        </is>
      </c>
      <c r="C5" t="inlineStr">
        <is>
          <t>AARATECH</t>
        </is>
      </c>
      <c r="D5" t="inlineStr">
        <is>
          <t>linkedin</t>
        </is>
      </c>
      <c r="E5" t="inlineStr"/>
      <c r="F5" t="inlineStr"/>
      <c r="G5" t="inlineStr"/>
      <c r="H5" t="inlineStr"/>
      <c r="I5" t="inlineStr">
        <is>
          <t>**Location:** 
 United States (Remote / On\-site – based on client needs)
**Employment Type:** 
 Full\-time (Contract or Contract\-to\-Hire)
**Experience Level:** 
 Entry\-level (0–2 years)
**Company:** 
 Aaratech Inc
 🛑
 **Eligibility:** 
 Open to U.S. Citizens and Green Card holders only. We do not offer visa sponsorship.
 🔍
 **About Aaratech Inc** 
 Aaratech Inc is a specialized IT consulting and staffing company focused on placing talented individuals across data, cloud, and software disciplines. We work with top U.S. enterprises to deliver long\-term roles, competitive compensation, and opportunities to grow in modern data environments.
 🎯
 **Position Overview** 
 We are seeking a
 **Junior Data Analyst** 
 with 0–2 years of experience to support data analysis, reporting, and dashboard development for enterprise clients. This role is ideal for early\-career candidates who want to gain hands\-on experience working with real\-world datasets, analytical tools, and business teams. You will collaborate with senior analysts and data engineers to deliver clean, reliable insights that support business decisions.
 🛠️
 **Key Responsibilities** 
* Assist in analyzing datasets to identify trends and insights
* Support the creation of dashboards and reports using Power BI, Tableau, or Excel
* Write basic SQL queries for data extraction and validation
* Clean, organize, and prepare datasets for analysis
* Document findings and prepare simple data summaries for business teams
* Collaborate with senior analysts on KPIs, metrics, and data requirements
* Help with data quality checks and troubleshoot data discrepancies
* Maintain documentation for reports, dashboards, and data processes
 ✅
 **Required Skills \&amp; Experience** 
* 0–2 years of experience in Data Analysis or a related field
* Basic proficiency in SQL
* Hands\-on experience with Excel (pivot tables, formulas, charts)
* Familiarity with any BI tool (Power BI, Tableau, or Looker)
* Understanding of data cleaning, validation, and analytical concepts
* Knowledge of Python (optional but preferred) for basic data manipulation
* Strong attention to detail and analytical thinking
* Good communication skills and willingness to learn
 ⭐
 **Nice to Have** 
* Exposure to data visualization tools or dashboard building
* Familiarity with data models or basic statistics
* Internship or academic projects related to data analysis
* Experience with Google Analytics, Power Query, or data cleansing tools
* Understanding of cloud platforms (AWS/GCP/Azure) at a basic level</t>
        </is>
      </c>
    </row>
    <row r="6">
      <c r="A6" t="inlineStr">
        <is>
          <t>li-4379918725</t>
        </is>
      </c>
      <c r="B6" t="inlineStr">
        <is>
          <t>REMOTE- Junior Data Engineer</t>
        </is>
      </c>
      <c r="C6" t="inlineStr">
        <is>
          <t>Lensa</t>
        </is>
      </c>
      <c r="D6" t="inlineStr">
        <is>
          <t>linkedin</t>
        </is>
      </c>
      <c r="E6" t="inlineStr"/>
      <c r="F6" t="inlineStr"/>
      <c r="G6" t="inlineStr">
        <is>
          <t>Fort Worth, TX</t>
        </is>
      </c>
      <c r="H6" t="inlineStr"/>
      <c r="I6" t="inlineStr">
        <is>
          <t>Lensa is a career site that helps job seekers find great jobs in the US. We are not a staffing firm or agency. Lensa does not hire directly for these jobs, but promotes jobs on LinkedIn on behalf of its direct clients, recruitment ad agencies, and marketing partners. Lensa partners with DirectEmployers to promote this job for Insight Global. Clicking "Apply Now" or "Read more" on Lensa redirects you to the job board/employer site. Any information collected there is subject to their terms and privacy notice.
**Job Description**
 One of the largest logistics and transportation employers in the US is seeking a Jr. Data Engineer to join their expanding team. The Jr. Data Engineer will play a crucial role in understanding business problems and assisting in designing solutions that transform complex ideas into sustainable processes. This individual will focus on supporting the onboarding of new lines of business into the data analytics team. Their responsibilities will include assisting in the full life cycle of data engineering, from gathering requirements from internal customers to building data pipelines, testing, reporting, and maintaining solutions. Additionally, the Jr. Data Engineer will support escalation tasks, contribute to system development, help automate processes, maintain internal systems, and assist in data modeling. They will use their growing expertise in data structures specific to the company's operating systems to help turn data into valuable business insights.
 We are a company committed to creating inclusive environments where people can bring their full, authentic selves to work every day. We are an equal opportunity employer that believes everyone matters. Qualified candidates will receive consideration for employment opportunities without regard to race, religion, sex, age, marital status, national origin, sexual orientation, citizenship status, disability, or any other status or characteristic protected by applicable laws, regulations, and ordinances. If you need assistance and/or a reasonable accommodation due to a disability during the application or recruiting process, please send a request to Human Resources Request Form (https://airtable.com/app21VjYyxLDIX0ez/shrOg4IQS1J6dRiMo) . The EEOC "Know Your Rights" Poster is available here (https://www.eeoc.gov/sites/default/files/2023\-06/22\-088\_EEOC\_KnowYourRights6\.12ScreenRdr.pdf) .
 To learn more about how we collect, keep, and process your private information, please review Insight Global's Workforce Privacy Policy: https://insightglobal.com/workforce\-privacy\-policy/ .
**Skills And Requirements**
 2\-5\+ years' experience of data engineer experience
 Strong ADF experience (creating pipelines from scratch/ knowledge of connectors and activities following architect plan)
 Strong knowledge of SQL (Mostly working with SQL scripting implementing into ADF)
 Understanding of full life cycle data engineering
 Extremely detail oriented and ability to provide effective updates
 Strong communication for working with internal/ external customers
 Strong critical thinking skills Python or Spark experience (Small environment is in Python\- basic level scripting and reviews)
 DevOps Experience
 Data Bricks Experience
 Background in Logistics
 Agile Methodologies
 Experience with cloud (Azure specifically)
 If you have questions about this posting, please contact support@lensa.com</t>
        </is>
      </c>
    </row>
    <row r="7">
      <c r="A7" t="inlineStr">
        <is>
          <t>li-4379930259</t>
        </is>
      </c>
      <c r="B7" t="inlineStr">
        <is>
          <t>Data Engineer</t>
        </is>
      </c>
      <c r="C7" t="inlineStr">
        <is>
          <t>Ragle Inc</t>
        </is>
      </c>
      <c r="D7" t="inlineStr">
        <is>
          <t>linkedin</t>
        </is>
      </c>
      <c r="E7" t="inlineStr"/>
      <c r="F7" t="inlineStr"/>
      <c r="G7" t="inlineStr">
        <is>
          <t>North Richland Hills, TX</t>
        </is>
      </c>
      <c r="H7" t="inlineStr"/>
      <c r="I7" t="inlineStr">
        <is>
          <t>**Data Engineer
 *(2\-3 Years Experience)***
**Location:** 
 North Richland Hills, TX
 *(On\-site)* 
**Salary Range:** 
 $90,000–$110,000
 *(based on experience)* 
**Company:** 
 Ragle Inc.
**Reports to:** 
 Data \&amp; Analytics Lead
**About the Role** 
 Ragle Inc. is expanding its Data \&amp; Analytics team and is seeking a hands\-on
 **Data Engineer** 
 with 2–3 years of industry experience to help centralize and modernize operational, accounting, and project data.
 In this role, you will design and operate
 **production\-grade data pipelines** 
 that connect our in\-house platform, accounting systems, telematics, scheduling, estimating tools, Smartsheet, and third\-party APIs. These pipelines will power analytics used daily by
 **Operations, Accounting, Estimating, and Executive Leadership** 
 .
**What You’ll Do** 
* Design, build, and maintain reliable data pipelines using
 **SQL and Python**
* Ingest data from
 **Azure SQL databases** 
 , third\-party APIs, and structured file sources (CSV/Excel)
* Help establish and maintain a centralized analytics data model (fact and dimension tables)
* Partner with analysts to support
 **Power BI semantic models** 
 and improve dataset performance
* Implement data quality checks, logging, monitoring, and alerting
* Collaborate with business stakeholders to translate workflows into robust data products
* Contribute to version control, deployment, and data engineering standards (Git, environments)
* Support migrations away from manual Excel workflows toward automated, governed datasets
**Key Responsibilities** 
* Build ETL/ELT processes integrating operational, accounting/payroll, and fleet telematics data
* Optimize SQL queries, views, and table structures for analytics performance and incremental loads
* Maintain documentation for pipelines, datasets, schemas, and data contracts
* Assist with access control, governance, and data security best practices
* Troubleshoot refresh failures and performance bottlenecks across the data stack
**Required Qualifications** 
* 2–3 years of professional experience as a
 **Data Engineer or Analytics Engineer**
* Strong SQL skills (complex joins, CTEs, window functions, performance tuning)
* Hands\-on Python experience for data processing (pandas, standard libraries)
* Experience with relational databases (SQL Server / Azure SQL, Postgres, or similar)
* Experience building and maintaining production data pipelines
* Understanding of data modeling concepts (star schema, keys, SCD basics)
* Familiarity with
 **Power BI** 
 or similar BI tools
* Comfortable working directly with business stakeholders
**Preferred Qualifications** 
* Azure experience (Azure SQL, Data Factory, or Fabric Data Pipelines)
* REST API ingestion experience
* ERP or operational systems integration exposure
* Git\-based workflows and basic CI/CD
* Construction or asset\-heavy industry experience
* Desire to grow into
 **Senior Data Engineer or Analytics Lead** 
 roles
**What Success Looks Like** 
* Stable, documented, and trusted data pipelines
* Reusable datasets replacing manual Excel workflows
* Analytics relied upon for daily decision\-making
* Smooth onboarding of new systems and data sources
* A scalable data platform supporting company growth
**Why Join Ragle Inc.** 
* Real operational data with direct business impact
* High ownership and production responsibility
* Small team with leadership visibility
* Professional development and certification support
**Compensation \&amp; Benefits** 
 Competitive salary (
 **$90,000–$110,000** 
 based on experience), plus
 **health, dental, and vision insurance** 
 ,
 **paid time off and holidays** 
 , and
 **professional development support** 
 .
**Additional Information** 
 Ragle Inc. conducts
 **professional reference checks** 
 as part of our standard hiring process.
 Ragle Inc. is an
 **Equal Opportunity Employer** 
 . We are committed to creating a diverse and inclusive workplace and make employment decisions without regard to race, color, religion, sex, sexual orientation, gender identity or expression, national origin, age, disability, veteran status, or any other protected status in accordance with applicable laws.</t>
        </is>
      </c>
    </row>
    <row r="8">
      <c r="A8" t="inlineStr">
        <is>
          <t>li-4378827562</t>
        </is>
      </c>
      <c r="B8" t="inlineStr">
        <is>
          <t>Data Engineer</t>
        </is>
      </c>
      <c r="C8" t="inlineStr">
        <is>
          <t>AARATECH</t>
        </is>
      </c>
      <c r="D8" t="inlineStr">
        <is>
          <t>linkedin</t>
        </is>
      </c>
      <c r="E8" t="inlineStr"/>
      <c r="F8" t="inlineStr"/>
      <c r="G8" t="inlineStr"/>
      <c r="H8" t="inlineStr"/>
      <c r="I8" t="inlineStr">
        <is>
          <t>Job Title: Data Engineer – Retail / E\-Commerce
 🏢 Company: Aaratech Inc
 🛑 Eligibility: Only U.S. Citizens and Green Card holders are eligible.
 Please note that we do not offer visa sponsorship.
 Job Summary:
 Aaratech Inc. is seeking a results\-driven
 **Data Engineer – Retail / E\-Commerce** 
 to support customer, sales, and product data platforms. The role focuses on building scalable pipelines that enable real\-time and batch analytics for business growth.
 Key Responsibilities:
 🔹 Data Pipeline Development
 Develop and maintain data pipelines for sales, customer, and product data.
 Integrate data from e\-commerce platforms and marketing systems.
 🔹 Data Modeling
 Design data models to support analytics and BI reporting.
 Optimize performance and scalability.
 🔹 Data Quality
 Ensure data accuracy, completeness, and consistency.
 Implement monitoring and error\-handling processes.
 🔹 Collaboration
 Work closely with data analysts, product, and marketing teams.
 🔹 Tools \&amp; Technologies
 Use SQL, Python, ETL tools, and cloud data platforms.
 Qualifications:
 ✅ Bachelor’s degree in Computer Science, Engineering, or related field
 ✅ Minimum 2 years of Data Engineering experience
 ✅ Strong SQL and Python skills
 ✅ Experience with data pipelines and analytics platforms
 ✅ Retail or e\-commerce data experience preferred
 ✅ Strong problem\-solving skills</t>
        </is>
      </c>
    </row>
    <row r="9">
      <c r="A9" t="inlineStr">
        <is>
          <t>li-4378844428</t>
        </is>
      </c>
      <c r="B9" t="inlineStr">
        <is>
          <t>Data Engineer</t>
        </is>
      </c>
      <c r="C9" t="inlineStr">
        <is>
          <t>AARATECH</t>
        </is>
      </c>
      <c r="D9" t="inlineStr">
        <is>
          <t>linkedin</t>
        </is>
      </c>
      <c r="E9" t="inlineStr"/>
      <c r="F9" t="inlineStr"/>
      <c r="G9" t="inlineStr"/>
      <c r="H9" t="inlineStr"/>
      <c r="I9" t="inlineStr">
        <is>
          <t>Job Title: Data Engineer – Retail / E\-Commerce
 🏢 Company: Aaratech Inc
 🛑 Eligibility: Only U.S. Citizens and Green Card holders are eligible.
 Please note that we do not offer visa sponsorship.
 Job Summary:
 Aaratech Inc. is seeking a results\-driven
 **Data Engineer – Retail / E\-Commerce** 
 to support customer, sales, and product data platforms. The role focuses on building scalable pipelines that enable real\-time and batch analytics for business growth.
 Key Responsibilities:
 🔹 Data Pipeline Development
 Develop and maintain data pipelines for sales, customer, and product data.
 Integrate data from e\-commerce platforms and marketing systems.
 🔹 Data Modeling
 Design data models to support analytics and BI reporting.
 Optimize performance and scalability.
 🔹 Data Quality
 Ensure data accuracy, completeness, and consistency.
 Implement monitoring and error\-handling processes.
 🔹 Collaboration
 Work closely with data analysts, product, and marketing teams.
 🔹 Tools \&amp; Technologies
 Use SQL, Python, ETL tools, and cloud data platforms.
 Qualifications:
 ✅ Bachelor’s degree in Computer Science, Engineering, or related field
 ✅ Minimum 2 years of Data Engineering experience
 ✅ Strong SQL and Python skills
 ✅ Experience with data pipelines and analytics platforms
 ✅ Retail or e\-commerce data experience preferred
 ✅ Strong problem\-solving skills</t>
        </is>
      </c>
    </row>
    <row r="10">
      <c r="A10" t="inlineStr">
        <is>
          <t>li-4279798284</t>
        </is>
      </c>
      <c r="B10" t="inlineStr">
        <is>
          <t>Data Engineer Graduate (Data Platfrom TikTok BP) - 2026 Start (BS/MS)</t>
        </is>
      </c>
      <c r="C10" t="inlineStr">
        <is>
          <t>TikTok</t>
        </is>
      </c>
      <c r="D10" t="inlineStr">
        <is>
          <t>linkedin</t>
        </is>
      </c>
      <c r="E10" t="inlineStr"/>
      <c r="F10" t="inlineStr"/>
      <c r="G10" t="inlineStr">
        <is>
          <t>San Jose, CA</t>
        </is>
      </c>
      <c r="H10" t="inlineStr"/>
      <c r="I10" t="inlineStr">
        <is>
          <t>**Responsibilities**
 We are looking for talented individuals to join our team in 2026\. As a graduate, you will get opportunities to pursue bold ideas, tackle complex challenges, and unlock limitless growth. Launch your career where inspiration is infinite at TikTok.
**Team Introduction:**
 As a data engineer in the data platform team, you will have the opportunity to build, optimize and grow one of the largest data platforms in the world. You'll have the opportunity to gain hands\-on experience on all kinds of systems in the data platform ecosystem. Your work will have a direct and huge impact on the company's core products as well as hundreds of millions of users.
 We are looking for talented individuals to join our team in 2026\. As a graduate, you will get opportunities to pursue bold ideas, tackle complex challenges, and unlock limitless growth. Launch your career where inspiration is infinite at TikTok.
 Successful candidates must be able to commit to an onboarding date by end of year 2026\. Please state your availability and graduation date clearly in your resume. Candidates can apply to a maximum of two positions and will be considered for jobs in the order you apply. The application limit is applicable to TikTok and its affiliates' jobs globally. Applications will be reviewed on a rolling basis \- we encourage you to apply early.
 Online Assessment
 Candidates who pass resume evaluation will be invited to participate in TikTok's technical online assessment in HackerRank.
**Responsibilities:**
* Design and build data transformations efficiently and reliably for different purposes (e.g. reporting, growth analysis, multi\-dimensional analysis);
* Design and implement reliable, scalable, robust and extensible big data systems that support core products and business;
* Establish solid design and best engineering practice for engineers as well as non\-technical people.
**Qualifications**
 Minimum Qualifications:
* BS or MS degree in Computer Science or related technical field or equivalent practical experience;
* Experience in the Big Data technologies(Hadoop, M/R, Hive, Spark, Metastore, Presto, Flume, Kafka, ClickHouse, Flink etc.);
* Experience with performing data analysis, data ingestion and data integration;
**Preferred Qualifications:**
* Experience with ETL(Extraction, Transformation \&amp; Loading) and architecting data systems;
* Experience with schema design, data modeling and SQL queries;
* Passionate and self\-motivated about technologies in the Big Data area.
 Job Information
**【For Pay Transparency】Compensation Description (Annually)**
 The base salary range for this position in the selected city is $122574 \- $259200 annually.
 Compensation may vary outside of this range depending on a number of factors, including a candidate’s qualifications, skills, competencies and experience, and location. Base pay is one part of the Total Package that is provided to compensate and recognize employees for their work, and this role may be eligible for additional discretionary bonuses/incentives, and restricted stock units.
 Benefits may vary depending on the nature of employment and the country work location. Employees have day one access to medical, dental, and vision insurance, a 401(k) savings plan with company match, paid parental leave, short\-term and long\-term disability coverage, life insurance, wellbeing benefits, among others. Employees also receive 10 paid holidays per year, 10 paid sick days per year and 17 days of Paid Personal Time (prorated upon hire with increasing accruals by tenure).
 The Company reserves the right to modify or change these benefits programs at any time, with or without notice.
**For Los Angeles County (unincorporated) Candidates:**
 Qualified applicants with arrest or conviction records will be considered for employment in accordance with all federal, state, and local laws including the Los Angeles County Fair Chance Ordinance for Employers and the California Fair Chance Act. Our company believes that criminal history may have a direct, adverse and negative relationship on the following job duties, potentially resulting in the withdrawal of the conditional offer of employment:
* Interacting and occasionally having unsupervised contact with internal/external clients and/or colleagues;
* Appropriately handling and managing confidential information including proprietary and trade secret information and access to information technology systems; and
* Exercising sound judgment.
**About TikTok**
 TikTok is the leading destination for short\-form mobile video. At TikTok, our mission is to inspire creativity and bring joy. TikTok's global headquarters are in Los Angeles and Singapore, and we also have offices in New York City, London, Dublin, Paris, Berlin, Dubai, Jakarta, Seoul, and Tokyo.
 Why Join Us
 Inspiring creativity is at the core of TikTok's mission. Our innovative product is built to help people authentically express themselves, discover and connect – and our global, diverse teams make that possible. Together, we create value for our communities, inspire creativity and bring joy \- a mission we work towards every day.
 We strive to do great things with great people. We lead with curiosity, humility, and a desire to make impact in a rapidly growing tech company. Every challenge is an opportunity to learn and innovate as one team. We're resilient and embrace challenges as they come. By constantly iterating and fostering an "Always Day 1" mindset, we achieve meaningful breakthroughs for ourselves, our company, and our users. When we create and grow together, the possibilities are limitless. Join us.
 Diversity \&amp; Inclusion
 TikTok is committed to creating an inclusive space where employees are valued for their skills, experiences, and unique perspectives. Our platform connects people from across the globe and so does our workplace. At TikTok, our mission is to inspire creativity and bring joy. To achieve that goal, we are committed to celebrating our diverse voices and to creating an environment that reflects the many communities we reach. We are passionate about this and hope you are too.
 TikTok Accommodation
 TikTok is committed to providing reasonable accommodations in our recruitment processes for candidates with disabilities, pregnancy, sincerely held religious beliefs or other reasons protected by applicable laws. If you need assistance or a reasonable accommodation, please reach out to us at https://tinyurl.com/RA\-request</t>
        </is>
      </c>
    </row>
    <row r="11">
      <c r="A11" t="inlineStr">
        <is>
          <t>li-4377771073</t>
        </is>
      </c>
      <c r="B11" t="inlineStr">
        <is>
          <t>Sr. Data Engineer I (6290)</t>
        </is>
      </c>
      <c r="C11" t="inlineStr">
        <is>
          <t>MetroStar</t>
        </is>
      </c>
      <c r="D11" t="inlineStr">
        <is>
          <t>linkedin</t>
        </is>
      </c>
      <c r="E11" t="inlineStr"/>
      <c r="F11" t="inlineStr"/>
      <c r="G11" t="inlineStr">
        <is>
          <t>Aurora, CO</t>
        </is>
      </c>
      <c r="H11" t="inlineStr"/>
      <c r="I11" t="inlineStr">
        <is>
          <t>As a
 **Sr. Data Engineer I** 
 , you’ll work with team members to build, deploy, and operate data pipelines and data engineering components to enable data brokering and exchange capabilities across a diverse range of producers and consumers. In this role, you will be responsible for building robust, scalable data pipelines while working collaboratively with cross\-functional teams to ensure seamless integration, optimized performance, and efficient delivery of solutions.
 We know that you can’t have great technology services without amazing people. At MetroStar, we are
 **obsessed** 
 with
 our people and have led a two\-decade legacy of building the best and brightest teams. Because we know our future relies on our deep understanding and relentless focus on our people, we live by our mission: A passion for our people. Value for our customers.
 If you think you can see yourself delivering our mission and pursuing our goals with us, then check out the job description below!
**What you’ll do:**
* Work with team members to operationalize data pipelines and supporting cloud infrastructure
* Collaborate with external data producers and consumers to obtain and provide data through interfaces such as REST APIs and S3
* Provide day\-to\-day support of deploying Python\-native data pipelines and performing data engineering tasks to enable data brokering and exchange capabilities
* Provide Tier 2/3 troubleshooting and incident resolution support for data pipelines in Production
**What you’ll need to succeed:**
* Active TS/SCI required with CI poly preferred
* 4\+ years of proven experience in data engineering, with expertise in designing, developing, and maintaining data ingestion, transformation, and loading pipelines and components
* Demonstrated experience in designing and deploying data pipelines leveraging AWS cloud infrastructure across multiple classification domains (e.g., IL5 to IL6\+)
* Experience with Infrastructure\-as\-Code (IaC) tools, including Terraform, CloudFormation, or Ansible, to automate deployment of data pipeline cloud infrastructure
* Understanding of RMF security principles and hands\-on experience implementing security controls for data pipelines in cloud environments
* Strong scripting and programming skills in languages such as Go, Python, and Bash
* Experience with data pipeline tools and technologies such as Nifi, Hadoop, HDFS, and Kafka. Experience implementing data pipelines in the Cloudera Data Platform environment is highly preferred.
* Strong communication skills, with the ability to clearly convey complex technical concepts
 SALARY RANGE: $125,000 \- $167,000
 The salary range for this position is determined based on qualifications, skills, and relevant experience. The final salary offered will be determined based on several factors including: 
* The candidate's professional background and relevant work experience
* The specific responsibilities of the role and organizational needs
* Internal equity and alignment with current team compensation
* This role is also eligible for additional compensation, subject to the terms and policies of MetroStar, which may include:
+ Performance\-based bonuses
+ Company\-paid training and/or certifications
+ Referral bonuses
*To apply for this position, please submit your resume via the form below or through our careers page: https://www.metrostar.com/jobs/* 
**Application Deadline:** 
 Applications will be accepted on a rolling basis until the position is filled; candidates are encouraged to apply as early as possible for full consideration.
**Additional Compensation** 
 : This role may also be eligible for bonuses and/or additional incentives based on individual and company performance.
**Benefits** 
 : All full\-time employees are eligible to participate in our benefits programs:
* Health, dental, and vision insurance
* 401(k) retirement plan with company match
* Paid time off (PTO) and holidays
* Parental Leave and dependent care
* Flexible work arrangements
* Professional development opportunities
* Employee assistance and wellness programs
 Like we said,
 **we are** 
 big fans of our people. That’s why
 **we offer** 
 a generous benefits package, professional growth, and valuable time to recharge. Learn more about our company culture code and benefits. Plus, check out our accolades.
**Commitment to Non\-Discrimination**
 All qualified applicants will receive consideration for employment based on merit and without regard to sex, race, ethnicity, age, national origin, citizenship, religion, physical or mental disability, medical condition, genetic information, pregnancy, family structure, marital status, ancestry, domestic partner status, sexual orientation, gender identity or expression, veteran or military status, status as a protected veteran, or any other status protected by applicable federal, state, local, or international law.
 **What we want you to know:** 
 In compliance with federal law, all persons hired will be required to verify identity and eligibility to work in the United States and to complete the required employment eligibility verification form upon hire.
 **Not ready to apply now?** 
 Sign up to join our newsletter here.</t>
        </is>
      </c>
    </row>
    <row r="12">
      <c r="A12" t="inlineStr">
        <is>
          <t>li-4378829564</t>
        </is>
      </c>
      <c r="B12" t="inlineStr">
        <is>
          <t>Data Engineer</t>
        </is>
      </c>
      <c r="C12" t="inlineStr">
        <is>
          <t>AARATECH</t>
        </is>
      </c>
      <c r="D12" t="inlineStr">
        <is>
          <t>linkedin</t>
        </is>
      </c>
      <c r="E12" t="inlineStr"/>
      <c r="F12" t="inlineStr"/>
      <c r="G12" t="inlineStr"/>
      <c r="H12" t="inlineStr"/>
      <c r="I12" t="inlineStr">
        <is>
          <t>Job Title: Data Engineer – Healthcare
 🏢 Company: Aaratech Inc
 🛑 Eligibility: Only U.S. Citizens and Green Card holders are eligible.
 Please note that we do not offer visa sponsorship.
 Job Summary:
 Aaratech Inc. is seeking a skilled and detail\-oriented
 **Data Engineer – Healthcare** 
 to design, build, and maintain data pipelines that support healthcare analytics and reporting. The ideal candidate will work with large healthcare datasets to ensure data reliability, scalability, and availability for analytics and decision\-making.
 Key Responsibilities:
 🔹 Data Pipeline Development
 Design, build, and maintain scalable ETL/ELT pipelines for healthcare data.
 Integrate data from multiple internal and external sources.
 🔹 Data Engineering \&amp; Storage
 Develop and manage data warehouses and data lakes.
 Optimize data models for performance and analytics use cases.
 🔹 Data Quality \&amp; Reliability
 Ensure data accuracy, consistency, and integrity across systems.
 Implement monitoring and validation checks.
 🔹 Collaboration
 Work with data analysts, business teams, and IT stakeholders.
 Support analytics and reporting requirements.
 🔹 Tools \&amp; Technologies
 Use SQL, Python, cloud platforms, and ETL tools.
 Qualifications:
 ✅ Bachelor’s degree in Computer Science, Engineering, or related field
 ✅ Minimum 2 years of Data Engineering experience
 ✅ Strong SQL and Python skills
 ✅ Experience with data pipelines and data warehouses
 ✅ Knowledge of healthcare data is a plus
 ✅ Strong problem\-solving and communication skills</t>
        </is>
      </c>
    </row>
    <row r="13">
      <c r="A13" t="inlineStr">
        <is>
          <t>li-4120828110</t>
        </is>
      </c>
      <c r="B13" t="inlineStr">
        <is>
          <t>Data Engineer, Product Analytics</t>
        </is>
      </c>
      <c r="C13" t="inlineStr">
        <is>
          <t>Meta</t>
        </is>
      </c>
      <c r="D13" t="inlineStr">
        <is>
          <t>linkedin</t>
        </is>
      </c>
      <c r="E13" t="inlineStr"/>
      <c r="F13" t="inlineStr"/>
      <c r="G13" t="inlineStr">
        <is>
          <t>Seattle, WA</t>
        </is>
      </c>
      <c r="H13" t="inlineStr"/>
      <c r="I13" t="inlineStr">
        <is>
          <t>As a Data Engineer at Meta, you will shape the future of people\-facing and business\-facing products we build across our entire family of applications (Facebook, Instagram, Messenger, WhatsApp, Reality Labs, Threads). Your technical skills and analytical mindset will be utilized designing and building some of the world's most extensive data sets, helping to craft experiences for billions of people and hundreds of millions of businesses worldwide.In this role, you will collaborate with software engineering, data science, and product management teams to design/build scalable data solutions across Meta to optimize growth, strategy, and user experience for our 3 billion plus users, as well as our internal employee community.You will be at the forefront of identifying and solving some of the most interesting data challenges at a scale few companies can match. By joining Meta, you will become part of a world\-class data engineering community dedicated to skill development and career growth in data engineering and beyond.Data Engineering: You will guide teams by building optimal data artifacts (including datasets and visualizations) to address key questions. You will refine our systems, design logging solutions, and create scalable data models. Ensuring data security and quality, and with a strong focus on efficiency, you will suggest architecture and development approaches and data management standards to address complex analytical problems.Product leadership: You will use data to shape product development, identify new opportunities, and tackle upcoming challenges. You'll ensure our products add value for users and businesses, by prioritizing projects, and driving innovative solutions to respond to challenges or opportunities.Communication and influence: You won't simply present data, but tell data\-driven stories. You will convince and influence your partners using clear insights and recommendations. You will build credibility through structure and clarity, and be a trusted strategic partner.
 Data Engineer, Product Analytics Responsibilities:
* Conceptualize and own the data architecture for multiple large\-scale projects, while evaluating design and operational cost\-benefit tradeoffs within systems
* Create and contribute to frameworks that improve the efficacy of logging data, while working with data infrastructure to triage issues and resolve
* Collaborate with engineers, product managers, and data scientists to understand data needs, representing key data insights in a meaningful way
* Define and manage Service Level Agreements for all data sets in allocated areas of ownership
* Determine and implement the security model based on privacy requirements, confirm safeguards are followed, address data quality issues, and evolve governance processes within allocated areas of ownership
* Design, build, and launch collections of sophisticated data models and visualizations that support multiple use cases across different products or domains
* Solve our most challenging data integration problems, utilizing optimal Extract, Transform, Load (ETL) patterns, frameworks, query techniques, sourcing from structured and unstructured data sources
* Assist in owning existing processes running in production, optimizing complex code through advanced algorithmic concepts
* Optimize pipelines, dashboards, frameworks, and systems to facilitate easier development of data artifacts
* Influence product and cross\-functional teams to identify data opportunities to drive impact
* Mentor team members by giving/receiving actionable feedback
 Minimum Qualifications:
* Bachelor's degree in Computer Science, Computer Engineering, relevant technical field, or equivalent practical experience
* 4\+ years of experience where the primary responsibility involves working with data. This could include roles such as data analyst, data scientist, data engineer, or similar positions
* 4\+ years of experience with SQL, ETL, data modeling, and at least one programming language (e.g., Python, C\+\+, C\#, Scala, etc.)
 Preferred Qualifications:
* Master's or Ph.D degree in a STEM field
 About Meta:
 Meta builds technologies that help people connect, find communities, and grow businesses. When Facebook launched in 2004, it changed the way people connect. Apps like Messenger, Instagram and WhatsApp further empowered billions around the world. Now, Meta is moving beyond 2D screens toward immersive experiences like augmented and virtual reality to help build the next evolution in social technology. People who choose to build their careers by building with us at Meta help shape a future that will take us beyond what digital connection makes possible today—beyond the constraints of screens, the limits of distance, and even the rules of physics.
 Meta is proud to be an Equal Employment Opportunity and Affirmative Action employer. We do not discriminate based upon race, religion, color, national origin, sex (including pregnancy, childbirth, or related medical conditions), sexual orientation, gender, gender identity, gender expression, transgender status, sexual stereotypes, age, status as a protected veteran, status as an individual with a disability, or other applicable legally protected characteristics. We also consider qualified applicants with criminal histories, consistent with applicable federal, state and local law. Meta participates in the E\-Verify program in certain locations, as required by law. Please note that Meta may leverage artificial intelligence and machine learning technologies in connection with applications for employment.
 Meta is committed to providing reasonable accommodations for candidates with disabilities in our recruiting process. If you need any assistance or accommodations due to a disability, please let us know at accommodations\-ext@meta.com.
 $147,000/year to $208,000/year \+ bonus \+ equity \+ benefits
 Individual compensation is determined by skills, qualifications, experience, and location. Compensation details listed in this posting reflect the base hourly rate, monthly rate, or annual salary only, and do not include bonus, equity or sales incentives, if applicable. In addition to base compensation, Meta offers benefits. Learn more about benefits at Meta.</t>
        </is>
      </c>
    </row>
    <row r="14">
      <c r="A14" t="inlineStr">
        <is>
          <t>li-4377768134</t>
        </is>
      </c>
      <c r="B14" t="inlineStr">
        <is>
          <t>Sr. Data Engineer I (6290)</t>
        </is>
      </c>
      <c r="C14" t="inlineStr">
        <is>
          <t>MetroStar</t>
        </is>
      </c>
      <c r="D14" t="inlineStr">
        <is>
          <t>linkedin</t>
        </is>
      </c>
      <c r="E14" t="inlineStr"/>
      <c r="F14" t="inlineStr"/>
      <c r="G14" t="inlineStr">
        <is>
          <t>Tysons Corner, VA</t>
        </is>
      </c>
      <c r="H14" t="inlineStr"/>
      <c r="I14" t="inlineStr">
        <is>
          <t>As a
 **Sr. Data Engineer I** 
 , you’ll work with team members to build, deploy, and operate data pipelines and data engineering components to enable data brokering and exchange capabilities across a diverse range of producers and consumers. In this role, you will be responsible for building robust, scalable data pipelines while working collaboratively with cross\-functional teams to ensure seamless integration, optimized performance, and efficient delivery of solutions.
 We know that you can’t have great technology services without amazing people. At MetroStar, we are
 **obsessed** 
 with
 our people and have led a two\-decade legacy of building the best and brightest teams. Because we know our future relies on our deep understanding and relentless focus on our people, we live by our mission: A passion for our people. Value for our customers.
 If you think you can see yourself delivering our mission and pursuing our goals with us, then check out the job description below!
**What you’ll do:**
* Work with team members to operationalize data pipelines and supporting cloud infrastructure
* Collaborate with external data producers and consumers to obtain and provide data through interfaces such as REST APIs and S3
* Provide day\-to\-day support of deploying Python\-native data pipelines and performing data engineering tasks to enable data brokering and exchange capabilities
* Provide Tier 2/3 troubleshooting and incident resolution support for data pipelines in Production
**What you’ll need to succeed:**
* Active TS/SCI required with CI poly preferred
* 4\+ years of proven experience in data engineering, with expertise in designing, developing, and maintaining data ingestion, transformation, and loading pipelines and components
* Demonstrated experience in designing and deploying data pipelines leveraging AWS cloud infrastructure across multiple classification domains (e.g., IL5 to IL6\+)
* Experience with Infrastructure\-as\-Code (IaC) tools, including Terraform, CloudFormation, or Ansible, to automate deployment of data pipeline cloud infrastructure
* Understanding of RMF security principles and hands\-on experience implementing security controls for data pipelines in cloud environments
* Strong scripting and programming skills in languages such as Go, Python, and Bash
* Experience with data pipeline tools and technologies such as Nifi, Hadoop, HDFS, and Kafka. Experience implementing data pipelines in the Cloudera Data Platform environment is highly preferred.
* Strong communication skills, with the ability to clearly convey complex technical concepts
 SALARY RANGE: $125,000 \- $167,000
 The salary range for this position is determined based on qualifications, skills, and relevant experience. The final salary offered will be determined based on several factors including: 
* The candidate's professional background and relevant work experience
* The specific responsibilities of the role and organizational needs
* Internal equity and alignment with current team compensation
* This role is also eligible for additional compensation, subject to the terms and policies of MetroStar, which may include:
+ Performance\-based bonuses
+ Company\-paid training and/or certifications
+ Referral bonuses
*To apply for this position, please submit your resume via the form below or through our careers page: https://www.metrostar.com/jobs/* 
**Application Deadline:** 
 Applications will be accepted on a rolling basis until the position is filled; candidates are encouraged to apply as early as possible for full consideration.
**Additional Compensation** 
 : This role may also be eligible for bonuses and/or additional incentives based on individual and company performance.
**Benefits** 
 : All full\-time employees are eligible to participate in our benefits programs:
* Health, dental, and vision insurance
* 401(k) retirement plan with company match
* Paid time off (PTO) and holidays
* Parental Leave and dependent care
* Flexible work arrangements
* Professional development opportunities
* Employee assistance and wellness programs
 Like we said,
 **we are** 
 big fans of our people. That’s why
 **we offer** 
 a generous benefits package, professional growth, and valuable time to recharge. Learn more about our company culture code and benefits. Plus, check out our accolades.
**Commitment to Non\-Discrimination**
 All qualified applicants will receive consideration for employment based on merit and without regard to sex, race, ethnicity, age, national origin, citizenship, religion, physical or mental disability, medical condition, genetic information, pregnancy, family structure, marital status, ancestry, domestic partner status, sexual orientation, gender identity or expression, veteran or military status, status as a protected veteran, or any other status protected by applicable federal, state, local, or international law.
 **What we want you to know:** 
 In compliance with federal law, all persons hired will be required to verify identity and eligibility to work in the United States and to complete the required employment eligibility verification form upon hire.
 **Not ready to apply now?** 
 Sign up to join our newsletter here.</t>
        </is>
      </c>
    </row>
    <row r="15">
      <c r="A15" t="inlineStr">
        <is>
          <t>li-4379926737</t>
        </is>
      </c>
      <c r="B15" t="inlineStr">
        <is>
          <t>Senior Data Engineer</t>
        </is>
      </c>
      <c r="C15" t="inlineStr">
        <is>
          <t>Unseeen</t>
        </is>
      </c>
      <c r="D15" t="inlineStr">
        <is>
          <t>linkedin</t>
        </is>
      </c>
      <c r="E15" t="inlineStr"/>
      <c r="F15" t="inlineStr"/>
      <c r="G15" t="inlineStr"/>
      <c r="H15" t="inlineStr"/>
      <c r="I15" t="inlineStr">
        <is>
          <t>**Overview** 
 Our client is seeking a
 **Senior Data Engineer** 
 to design, build, and maintain scalable data platforms and pipelines that power analytics, reporting, and data\-driven decision\-making across the organization. This role plays a critical part in transforming raw data into reliable, high\-quality datasets used by Product, Analytics, Data Science, and business teams.
 The ideal candidate is a hands\-on data expert with strong experience in modern data architectures, cloud platforms, and large\-scale data processing, who thrives in a collaborative, fast\-paced environment.
**Key Responsibilities** 
* Design, develop, and maintain scalable, reliable, and efficient data pipelines and ETL/ELT processes.
* Build and optimize data models, data warehouses, and data lakes to support analytics and business intelligence use cases.
* Collaborate closely with Analytics, Data Science, Product, and Engineering teams to understand data requirements and deliver trusted datasets.
* Ensure data quality, accuracy, availability, and consistency through validation, monitoring, and testing.
* Optimize data performance, cost, and scalability across storage and processing systems.
* Implement and enforce data engineering best practices, including documentation, version control, and code reviews.
* Support real\-time and batch data processing use cases.
* Identify and resolve data pipeline failures, performance bottlenecks, and reliability issues.
* Work with DevOps and Platform teams to improve CI/CD workflows, automation, and infrastructure\-as\-code for data systems.
* Contribute to the evolution of the organization’s data architecture and long\-term data strategy.
**Operating Context** 
* Operates within a modern, cloud\-based data ecosystem.
* Works closely with cross\-functional teams including Engineering, Analytics, Data Science, Product, and Business stakeholders.
* Balances hands\-on development with architectural planning and technical leadership.
* Typically works in a remote or hybrid environment using modern collaboration tools.
* Reports to Data Engineering leadership, Engineering Management, or Platform leadership.
**Required Skills** 
* Strong experience building and maintaining production\-grade data pipelines.
* Proficiency in SQL and at least one programming language such as Python, Java, or Scala.
* Experience with data warehousing and analytics platforms (e.g., Snowflake, BigQuery, Redshift).
* Solid understanding of data modeling, schema design, and performance optimization.
* Experience with batch and streaming data processing frameworks.
* Familiarity with REST APIs, data integrations, and third\-party data sources.
* Strong problem\-solving skills and attention to data quality and reliability.
* Excellent communication and collaboration skills.
**Preferred Qualifications** 
* 5–8\+ years of professional experience in data engineering or related roles.
* Experience in
 **SaaS, cloud\-native, or data\-driven product organizations** 
 .
* Hands\-on experience with cloud platforms such as
 **AWS, Azure, or GCP** 
 .
* Experience with tools such as Airflow, dbt, Spark, Kafka, or similar technologies.
* Exposure to DevOps practices, CI/CD pipelines, and infrastructure\-as\-code.
* Bachelor’s degree in Computer Science, Engineering, or a related field, or equivalent practical experience.
**Success Metrics** 
* Reliable, scalable, and well\-documented data pipelines running in production.
* High data quality and trust in analytics and reporting outputs.
* Improved performance, cost efficiency, and scalability of data systems.
* Strong collaboration with Analytics, Data Science, and Product teams.
* Measurable impact on business insights, reporting accuracy, and decision\-making.
**Job Function** 
 Data Engineering / Software Engineering / Analytics Engineering
**Industry** 
 Information Technology \&amp; Services, SaaS, Cloud Computing, Data \&amp; Analytics
 Please read before applying
 This posting is part of the Mobius Talent Network and is not a single, guaranteed position at one specific company.
 By applying, you:
* Join our candidate network for current and future opportunities with our hiring partners
* May receive feedback on your resume and job search approach
* Will be contacted directly when a live opportunity matches your background and preferences</t>
        </is>
      </c>
    </row>
    <row r="16">
      <c r="A16" t="inlineStr">
        <is>
          <t>li-4378841449</t>
        </is>
      </c>
      <c r="B16" t="inlineStr">
        <is>
          <t>Data Engineer</t>
        </is>
      </c>
      <c r="C16" t="inlineStr">
        <is>
          <t>AARATECH</t>
        </is>
      </c>
      <c r="D16" t="inlineStr">
        <is>
          <t>linkedin</t>
        </is>
      </c>
      <c r="E16" t="inlineStr"/>
      <c r="F16" t="inlineStr"/>
      <c r="G16" t="inlineStr">
        <is>
          <t>New York, NY</t>
        </is>
      </c>
      <c r="H16" t="inlineStr"/>
      <c r="I16" t="inlineStr">
        <is>
          <t>Job Title: Data Engineer – CRM / Salesforce
 🏢 Company: Aaratech Inc
 🛑 Eligibility: Only U.S. Citizens and Green Card holders are eligible.
 Please note that we do not offer visa sponsorship.
 Job Summary:
 Aaratech Inc. is seeking a skilled
 **Data Engineer – CRM / Salesforce** 
 to support customer and sales data integration initiatives. The ideal candidate will ensure reliable data pipelines and data models for CRM analytics and reporting.
 Key Responsibilities:
 🔹 Data Integration
 Build and maintain pipelines to extract and load CRM/Salesforce data.
 Integrate CRM data with enterprise data platforms.
 🔹 Data Engineering
 Design data models to support sales and marketing analytics.
 Optimize data pipelines for performance.
 🔹 Data Quality
 Ensure CRM data accuracy and consistency.
 Support data validation and governance processes.
 🔹 Collaboration
 Work with sales, marketing, and analytics teams.
 🔹 Tools \&amp; Technologies
 Use SQL, Python, ETL tools, Salesforce connectors, and cloud platforms.
 Qualifications:
 ✅ Bachelor’s degree in Computer Science, Engineering, or related field
 ✅ 2\+ years of Data Engineering experience
 ✅ Strong SQL and Python skills
 ✅ Experience with CRM or Salesforce data preferred
 ✅ Strong analytical and communication skills</t>
        </is>
      </c>
    </row>
    <row r="17">
      <c r="A17" t="inlineStr">
        <is>
          <t>li-4377765687</t>
        </is>
      </c>
      <c r="B17" t="inlineStr">
        <is>
          <t>Data Engineer</t>
        </is>
      </c>
      <c r="C17" t="inlineStr">
        <is>
          <t>Visa</t>
        </is>
      </c>
      <c r="D17" t="inlineStr">
        <is>
          <t>linkedin</t>
        </is>
      </c>
      <c r="E17" t="inlineStr"/>
      <c r="F17" t="inlineStr"/>
      <c r="G17" t="inlineStr">
        <is>
          <t>Foster City, CA</t>
        </is>
      </c>
      <c r="H17" t="inlineStr"/>
      <c r="I17" t="inlineStr">
        <is>
          <t>Visa is a world leader in payments technology, facilitating transactions between consumers, merchants, financial institutions and government entities across more than 200 countries and territories, dedicated to uplifting everyone, everywhere by being the best way to pay and be paid.
 At Visa, you'll have the opportunity to create impact at scale — tackling meaningful challenges, growing your skills and seeing your contributions impact lives around the world. Join Visa and do work that matters — to you, to your community, and to the world.
 Progress starts with you.
**Job Description**
 The Data and Artificial Intelligence Platform (DAP) group is a key component of Visa's Technology organization, providing the enabling technology and processes to handle Visa's data assets and deliver valuable information, products, and services to customers. Within DAP, the Data as a Service (DaaS) team consists of skilled data engineers focused on building data pipelines to meet Visa's data needs and delivers secure, high\-quality, and easy\-to\-use data assets.
 As a Data Engineer, you'll join our Data \&amp; AI Platform – Data as a Service organization in Foster City, California. You will help enhance and build our data infrastructure and pipelines within an agile development environment, using Gen AI regularly, and collaborating with colleagues who will support and challenge you daily.
**What We Offer:**
* Exciting Challenges: We work at a scale rarely seen in the industry, solving complex data and AI problems across the entire stack, offering limitless opportunities to leverage and lead in this ever\-growing field.
* Teamwork and Fun: Each of us brings diverse and rich experiences to the team, enabling us to deliver much more than the sum of our parts and have fun at the same time.
* Fantastic People: With strong leadership, you will have the opportunity to learn, collaborate, and deliver together with some of the best and most creative minds in the industry.
**Primary responsibilities:**
 As a Data Engineer, you will play a key role in the innovation, coding, and development of comprehensive data pipeline solutions. Essential functions includes:
* Coding, testing to develop, and maintain robust and scalable data pipelines and ETL processes on non\-production and production environment
* Ensure data services are highly available, secure, scalable, and resilient.
* Improve and support production systems, ensuring that production issues are promptly resolved
* Collaborate with the agile team, user community, architects, and support teams to understand requirements and implement effective solutions
* Drive innovation to differentiate our data products and accelerate time\-to\-market delivery
* Adhere to established software development guidelines, security standards and responsible use of Gen AI tools and frameworks
* Help maintain atmosphere of mutual accountability
**This is a hybrid position. Expectation of days in office will be confirmed by your hiring manager.**
**Qualifications**
**Basic Qualifications:**
* Bachelor's degree, OR 3\+ years of relevant work experience
**Preferred Qualifications:**
* 1 or more years of work experience with a Bachelor’s Degree in Computer Science or Computer Engineering.
* Strong programming skills in at least one of the following languages: Java, Python, or Scala
* Experience utilizing GenAI technologies in software development.
* Hands\-on experience developing data processing pipeline, feature extraction, production deployment and monitoring.
* Knowledge and working experience on Apache Spark, Kafka, Hadoop, Hive, Trino, Presto, Apache Airflow and NoSQL databases like Hbase working with PB level data volume.
* Experience with GenAI or Agentic AI technologies (e.g., LLMs, NLP) and RAG\-based architecture and Vector DBs.
* Knowledge and experience in J2EE technologies, Microservices and REST APIs.
* Experience in an Agile environment, with a strong emphasis on best software development practices such as CI/CD, code reviews, and test automation, using tools like Jira and Jira Align
**Additional Information**
**Work Hours:**
 Varies upon the needs of the department.
**Travel Requirements:**
 This position requires travel 5\-10% of the time.
**Mental/Physical Requirements:**
 This position will be performed in an office setting. The position will require the incumbent to sit and stand at a desk, communicate in person and by telephone, frequently operate standard office equipment, such as telephones and computers.
 Visa is an EEO Employer. Qualified applicants will receive consideration for employment without regard to race, color, religion, sex, national origin, sexual orientation, gender identity, disability or protected veteran status. Visa will also consider for employment qualified applicants with criminal histories in a manner consistent with EEOC guidelines and applicable local law.
 Visa will consider for employment qualified applicants with criminal histories in a manner consistent with applicable local law, including the requirements of Article 49 of the San Francisco Police Code.
**U.S. APPLICANTS ONLY: The estimated salary range for this position is $97,800\.00 to $152,100\.00 USD per year, which may include potential sales incentive payments (if applicable). Salary may vary depending on job\-related factors which may include knowledge, skills, experience, and location. In addition, this position may be eligible for bonus and equity. Visa has a comprehensive benefits package for which this position may be eligible that includes Medical, Dental, Vision, 401 (k), FSA/HSA, Life Insurance, Paid Time Off, and Wellness Program.**</t>
        </is>
      </c>
    </row>
    <row r="18">
      <c r="A18" t="inlineStr">
        <is>
          <t>li-4281119519</t>
        </is>
      </c>
      <c r="B18" t="inlineStr">
        <is>
          <t>Data Engineer Graduate (Data Platform - Global Live) - 2026 Start (MS)</t>
        </is>
      </c>
      <c r="C18" t="inlineStr">
        <is>
          <t>TikTok</t>
        </is>
      </c>
      <c r="D18" t="inlineStr">
        <is>
          <t>linkedin</t>
        </is>
      </c>
      <c r="E18" t="inlineStr"/>
      <c r="F18" t="inlineStr"/>
      <c r="G18" t="inlineStr">
        <is>
          <t>San Jose, CA</t>
        </is>
      </c>
      <c r="H18" t="inlineStr"/>
      <c r="I18" t="inlineStr">
        <is>
          <t>**Responsibilities**
 About the team:
 The Data Platform Global Live team is dedicated to empowering the growth of TikTok LIVE business through big data. We support our businesses in achieving their missions by building high quality real\-time and offline data warehouses, creating various forms of efficient and data\-friendly data assets, and exploring and implementing business oriented data solutions leveraging big data technology and LLM. We provide stable and reliable data capabilities for daily operations, analyses, decision\-making of TikTok LIVE features, in addition to robust data support to enhance live performance for streamers.
 As a data engineer in the Global Live team, you will have the opportunity to build, optimize and grow one of the largest data platforms in the world. You'll have the opportunity to gain hands\-on experience on all kinds of systems in the data platform ecosystem and explore applications of latest technologies including LLM for data. Your work will have a direct and huge impact on the company's core products as well as hundreds of millions of users.
**Responsibilities:**
* Understanding business problems, designing and implementing easy\-to\-use data solutions for businesses.
* Collaborating with data engineers to understand the data system and provide a smooth data usage experience for data users, including but not limited to data discovery, data usage guidance, and promotion of the data system.
* Collaborating with business teams from all over the world to drive user growth and revenue growth.
**Qualifications**
 Minimum Qualifications:
* Currently pursuing a Master's in Software Development, Computer Science, Computer Engineering, Mathematics, Statistics, Data science or a related technical discipline
* Good experience in data solutions, such as data consulting, product development, and data tools creation.
* Strong problem\-solving and analytical skills with the ability to translate business needs into technical solutions and data metrics.
* Have an understanding of data warehousing and the construction ideas of the data system.
* Experience with coding (SQL, Python, etc.)
* Passionate and self\-motivated about using data to drive business decisions.
 Job Information
**【For Pay Transparency】Compensation Description (Annually)**
 The base salary range for this position in the selected city is $122574 \- $259200 annually.
 Compensation may vary outside of this range depending on a number of factors, including a candidate’s qualifications, skills, competencies and experience, and location. Base pay is one part of the Total Package that is provided to compensate and recognize employees for their work, and this role may be eligible for additional discretionary bonuses/incentives, and restricted stock units.
 Benefits may vary depending on the nature of employment and the country work location. Employees have day one access to medical, dental, and vision insurance, a 401(k) savings plan with company match, paid parental leave, short\-term and long\-term disability coverage, life insurance, wellbeing benefits, among others. Employees also receive 10 paid holidays per year, 10 paid sick days per year and 17 days of Paid Personal Time (prorated upon hire with increasing accruals by tenure).
 The Company reserves the right to modify or change these benefits programs at any time, with or without notice.
**For Los Angeles County (unincorporated) Candidates:**
 Qualified applicants with arrest or conviction records will be considered for employment in accordance with all federal, state, and local laws including the Los Angeles County Fair Chance Ordinance for Employers and the California Fair Chance Act. Our company believes that criminal history may have a direct, adverse and negative relationship on the following job duties, potentially resulting in the withdrawal of the conditional offer of employment:
* Interacting and occasionally having unsupervised contact with internal/external clients and/or colleagues;
* Appropriately handling and managing confidential information including proprietary and trade secret information and access to information technology systems; and
* Exercising sound judgment.
**About TikTok**
 TikTok is the leading destination for short\-form mobile video. At TikTok, our mission is to inspire creativity and bring joy. TikTok's global headquarters are in Los Angeles and Singapore, and we also have offices in New York City, London, Dublin, Paris, Berlin, Dubai, Jakarta, Seoul, and Tokyo.
 Why Join Us
 Inspiring creativity is at the core of TikTok's mission. Our innovative product is built to help people authentically express themselves, discover and connect – and our global, diverse teams make that possible. Together, we create value for our communities, inspire creativity and bring joy \- a mission we work towards every day.
 We strive to do great things with great people. We lead with curiosity, humility, and a desire to make impact in a rapidly growing tech company. Every challenge is an opportunity to learn and innovate as one team. We're resilient and embrace challenges as they come. By constantly iterating and fostering an "Always Day 1" mindset, we achieve meaningful breakthroughs for ourselves, our company, and our users. When we create and grow together, the possibilities are limitless. Join us.
 Diversity \&amp; Inclusion
 TikTok is committed to creating an inclusive space where employees are valued for their skills, experiences, and unique perspectives. Our platform connects people from across the globe and so does our workplace. At TikTok, our mission is to inspire creativity and bring joy. To achieve that goal, we are committed to celebrating our diverse voices and to creating an environment that reflects the many communities we reach. We are passionate about this and hope you are too.
 TikTok Accommodation
 TikTok is committed to providing reasonable accommodations in our recruitment processes for candidates with disabilities, pregnancy, sincerely held religious beliefs or other reasons protected by applicable laws. If you need assistance or a reasonable accommodation, please reach out to us at https://tinyurl.com/RA\-request</t>
        </is>
      </c>
    </row>
    <row r="19">
      <c r="A19" t="inlineStr">
        <is>
          <t>li-4367632911</t>
        </is>
      </c>
      <c r="B19" t="inlineStr">
        <is>
          <t>Data Engineer</t>
        </is>
      </c>
      <c r="C19" t="inlineStr">
        <is>
          <t>TeamSnap</t>
        </is>
      </c>
      <c r="D19" t="inlineStr">
        <is>
          <t>linkedin</t>
        </is>
      </c>
      <c r="E19" t="inlineStr"/>
      <c r="F19" t="inlineStr"/>
      <c r="G19" t="inlineStr"/>
      <c r="H19" t="inlineStr"/>
      <c r="I19" t="inlineStr">
        <is>
          <t>🌎 About Us
 At TeamSnap, we believe when the world connects through sports; the world becomes better. TeamSnap is a sports and communication platform dedicated to taking the work out of play in youth sports. We also believe our jobs should excite us, our teammates should support us and our bosses should inspire us. We empower our people to bring big ideas and tiny egos, landing us on Outside Magazine’s list of “
 **Best Places to Work"** 
 and Built In’s “
 **100 Best Remote\-First Places to Work."**
 TeamSnap is looking for a Data Engineer to own our data extraction and orchestration infrastructure. You'll work alongside our Staff Data Engineer to build reliable, maintainable pipelines that power analytics and business operations across the company.
 This is a hands\-on implementation role. You’ll implement new data infrastructure to replace legacy systems, architect solutions with the team, and build the orchestration layer that keeps data flowing reliably. If you enjoy making messy data problems clean and building infrastructure that others can trust, this is the role.
**What You'll Do:**
* Build and maintain data extraction pipelines from various sources into BigQuery
* Refactor and modernize existing extraction systems
* Implement monitoring and alerting for pipeline health
* Help design and implement our orchestration platform (tooling TBD as a team)
* Build scheduling, dependency management, and failure recovery into our data workflows
* Create visibility into pipeline status for the broader team and business
* Maintain and optimize our BigQuery data warehouse
* Support DBT model development and deployment workflows
* Implement CI/CD for data infrastructure changes
* Support SOC 2 compliance requirements for data systems
* Implement security controls and access management in BigQuery
* Document data flows and maintain data catalogs
**What We're Looking For:**
* 3\+ years data engineering experience building extraction pipelines
* Strong SQL skills and experience with modern data warehouses (BigQuery, Snowflake, or Redshift)
* Experience with data orchestration tools (Airflow, Dagster, Prefect, or similar)
* Google Cloud experience (BigQuery, Cloud SQL, Pub/Sub, Cloud Storage) (AWS / Azure is ok too)
* CI/CD and containerization experience (Docker
* Ability to communicate clearly with technical and non\-technical stakeholders
* Experience with DBT
* Fivetran or similar managed ingestion tools
* Background in compliance/governance work (SOC 2, data privacy)
* Experience cleaning up legacy data systems
**Our Stack:**
* Warehouse: BigQuery
* Transformation: DBT, DBT Cloud
* Ingestion: Fivetran, Datastream
* Infrastructure: Google Cloud (Pub/Sub, Cloud Storage, CloudSQL), Databricks
* BI/Analytics: Omni, Amplitude
* Reverse ETL: Hightouch
* Monitoring: Datadog
**Bonus Points:**
* You're a parent, coach, or participant in recreational sports
* You've used TeamSnap (sign up for a free trial to see what we're about)
 Got cold feet? If you’re thinking you don’t meet 100% of the above qualifications, you should still seriously consider applying. We’re all humans with special talents that go beyond what’s listed here.
**Compensation**
 We’re committed to equitable compensation for all TeamSnappers. The minimum starting point for this role is $130,000 OTE, inclusive of base and bonus, with comp updated based on multiple factors. Our comp is highly competitive in our space and we adjust overall comp based on relevant experience, skills, certifications, and geographic location.
 🖥 Location
 TeamSnap is a fully remote company, so you need to be very comfortable working with people who aren’t in the same time zone as you. We are always expanding, but there is a small list of states we do not hire in, including Alabama, Alaska, Delaware, District of Columbia, Hawaii, Iowa, Louisiana, Mississippi, Nebraska, New Mexico, Rhode Island, South Dakota and West Virginia and while we love all parts of the world, we can only hire permanent US residents at this time.
 🚀 Opportunities to Grow
 At TeamSnap, we work hard to provide a culture of trust, accountability, inclusivity, and boundless opportunities to grow, along with the chance to make a lasting impact and have some fun while doing it.
 🎩 Total Rewards
* We're proud to be remote\-first. We've been remote since 2009, long before COVID made it cool
* Unlimited PTO and paid parental leave for ALL parents (not just primary or secondary)
* 100% premium coverage of medical/dental/vision for you and your family
* 401K to help you invest for the future
* $1,500 annual learning and development stipend
* Travel to fun locations for all\-company meetings and team events
* Generous home office allowance to set you up for success
* TeamSnap SWAG to our store upon starting and a $50 credit on every work anniversary thereafter
* A monthly stipend reimbursement for health \&amp; wellness and so much more!
* TeamSnap Total Rewards
 🏆 Working at TeamSnap
 At TeamSnap, you're not a culture fit, you're a culture add. Check out our Culture Playbook and learn how we succeed at being remote\-first, what makes our company so unique, and how we're inspired by our people, our customers, and our values.
 🧡 Inclusion and Diversity
 Creativity and innovation can't thrive when we're cookie\-cutter images of each other. We’re quickly growing more diverse, but there's always room for improvement. We are committed to inclusion and diversity at TeamSnap, and we hold ourselves accountable for building an environment where everyone feels valued. If you need any disability\-related adaptation during the recruitment process, just let us know! We are an Equal Employment Opportunity Employer.
 We may use artificial intelligence (AI) tools to support parts of the hiring process, such as reviewing applications, analyzing resumes, or assessing responses. These tools assist our recruitment team but do not replace human judgment. Final hiring decisions are ultimately made by humans. If you would like more information about how your data is processed, please contact us.</t>
        </is>
      </c>
    </row>
    <row r="20">
      <c r="A20" t="inlineStr">
        <is>
          <t>li-4379916709</t>
        </is>
      </c>
      <c r="B20" t="inlineStr">
        <is>
          <t>Data Engineer</t>
        </is>
      </c>
      <c r="C20" t="inlineStr">
        <is>
          <t>Hirenza</t>
        </is>
      </c>
      <c r="D20" t="inlineStr">
        <is>
          <t>linkedin</t>
        </is>
      </c>
      <c r="E20" t="inlineStr"/>
      <c r="F20" t="inlineStr"/>
      <c r="G20" t="inlineStr"/>
      <c r="H20" t="inlineStr"/>
      <c r="I20" t="inlineStr">
        <is>
          <t>**About The Company**
 CoxHealth is a leading healthcare provider committed to delivering exceptional patient care through innovative medical practices and advanced technological solutions. With a rich history of serving communities, CoxHealth continuously strives to improve health outcomes by integrating cutting\-edge data management strategies into its operations. The organization values collaboration, integrity, and excellence, fostering an environment that encourages continuous learning and professional growth. As a prominent player in the healthcare industry, CoxHealth is dedicated to leveraging data\-driven insights to enhance patient experiences, optimize operational efficiencies, and support clinical decision\-making.
**About The Role**
 The Senior Data Engineer at CoxHealth is a pivotal role responsible for leading the design, development, and implementation of comprehensive data solutions that support the organization’s strategic goals. This position requires a highly skilled individual capable of managing complex data architectures, ensuring data quality, and maintaining compliance with data governance standards. The incumbent will collaborate closely with cross\-functional teams, including clinical, financial, and administrative units, to understand their data needs and translate them into scalable, efficient data pipelines. This role emphasizes leadership in strategic planning and innovation, with a focus on building sustainable data infrastructures that facilitate insightful analytics and informed decision\-making. The Senior Data Engineer will also play a key role in mentoring junior team members and fostering a culture of continuous improvement within the data engineering team.
**Qualifications**
 The ideal candidate will possess a strong educational background, preferably with a Bachelor's degree in Management Information Systems, Computer Science, Data \&amp; Analytics, or a related quantitative discipline. Candidates with equivalent professional experience will also be considered. A minimum of 4 years of experience working with data in clinical, financial, or other enterprise domains is required. Alternatively, candidates with a Bachelor's degree in a relevant field and at least 2 years of specialized experience will be considered. Essential skills include expertise in relational and non\-relational databases, proficiency in data integration and orchestration tools, and advanced knowledge of big data technologies such as Hadoop and Spark. Strong leadership abilities, strategic planning capabilities, and excellent communication and project management skills are also essential for success in this role.
**Responsibilities**
* Design and develop scalable data architectures and pipelines that support clinical, financial, and operational analytics.
* Lead the implementation of data integration, transformation, and orchestration processes to ensure data consistency and quality across platforms.
* Manage and optimize data lakes and data warehouse environments to facilitate efficient data storage and retrieval.
* Collaborate with cross\-functional teams to understand data requirements and translate them into technical solutions.
* Ensure adherence to data governance, security policies, and compliance standards to protect sensitive information.
* Provide technical leadership and mentorship to junior data engineering staff, fostering skill development and best practices.
* Stay current with emerging data technologies and industry trends to recommend innovative solutions for continuous improvement.
* Participate in strategic planning initiatives related to data infrastructure and analytics capabilities.
* Monitor system performance, troubleshoot issues, and implement enhancements to ensure high availability and reliability of data systems.
**Benefits**
 CoxHealth offers a comprehensive benefits package designed to support the well\-being and professional development of its employees. This includes competitive health insurance plans, retirement savings options, paid time off, and wellness programs. The organization also provides opportunities for continuous learning through training sessions, workshops, and certifications. Employees benefit from a collaborative work environment that encourages innovation and recognizes individual contributions. Additionally, CoxHealth promotes work\-life balance through flexible scheduling and employee assistance programs, fostering a supportive atmosphere where employees can thrive both professionally and personally.
 Equal Opportunity
 CoxHealth is an equal opportunity employer committed to fostering a diverse and inclusive workplace. We do not discriminate based on race, religion, color, national origin, gender, age, disability, sexual orientation, gender identity, or any other protected characteristic. We believe that diversity enriches our organization and enhances our ability to serve our communities effectively. All qualified applicants will receive consideration for employment without regard to any protected status, and we are dedicated to providing a workplace that is respectful, equitable, and supportive for all employees.</t>
        </is>
      </c>
    </row>
    <row r="21">
      <c r="A21" t="inlineStr">
        <is>
          <t>li-4344186047</t>
        </is>
      </c>
      <c r="B21" t="inlineStr">
        <is>
          <t>Data Engineer</t>
        </is>
      </c>
      <c r="C21" t="inlineStr">
        <is>
          <t>Berkshire Hathaway GUARD Insurance Companies</t>
        </is>
      </c>
      <c r="D21" t="inlineStr">
        <is>
          <t>linkedin</t>
        </is>
      </c>
      <c r="E21" t="inlineStr"/>
      <c r="F21" t="inlineStr"/>
      <c r="G21" t="inlineStr"/>
      <c r="H21" t="inlineStr"/>
      <c r="I21" t="inlineStr">
        <is>
          <t>**Overview**
 Good things are happening at Berkshire Hathaway GUARD Insurance Companies. We provide Property \&amp; Casualty insurance products and services through a nationwide network of independent agents and brokers. Our companies are all rated A\+ “Superior” by AM Best (the leading independent insurance rating organization) and ultimately owned by Warren Buffett’s Berkshire Hathaway group – one of the financially strongest organizations in the world! Headquartered in Wilkes\-Barre, PA, we employ over 1,000 individuals (and growing) and have offices across the country. Our vision is to be a leading small business insurance provider nationwide.
 Founded upon an exceptional culture and led by a collaborative and inclusive management team, our company’s success is grounded in our core values: accountability, service, integrity, empowerment, and diversity. We are always in search of talented individuals to join our team and embark on an exciting career path!
**Benefits**
 We are an equal opportunity employer that strives to maintain a work environment that is welcoming and enriching for all. You’ll be surprised by all we have to offer!
* Competitive compensation
* Healthcare benefits package that begins on first day of employment
* 401K retirement plan with company match
* Enjoy generous paid time off to support your work\-life balance plus 9 ½ paid holidays
* Up to 6 weeks of parental and bonding leave
* Hybrid work schedule (3 days in the office, 2 days from home)
* Longevity awards (every 5 years of employment, receive a generous monetary award to be used toward a vacation)
* Tuition reimbursement after 6 months of employment
* Numerous opportunities for continued training and career advancement
* And much more!
**Responsibilities**
 We are hiring a hands\-on senior level
 **Data Engineer** 
 to build trustworthy, well governed data products and turn them into insights that drive underwriting, claims, product, distribution, and operations for the organization. You will collaborate directly with business leaders to translate questions into curated datasets, intuitive Power BI models, analytic insights and clear narratives that influence decisions. You’ll context switch comfortably between data \&amp; analytic engineering and meeting with business stakeholders to understand their processes and needs.
**Key Responsibilities**
* Collaborate closely with cross\-functional teams; including Underwriting, Product, Claims, Finance, and Distribution/Operations\- to transform business questions into clearly documented requirements and actionable data solutions.
* Model and publish curated, analysis ready datasets, semantic models in Power BI or analytics delivery that illuminate small commercial metrics.
* Continuously learn and expand business knowledge to proactively produce automated analytic solutions to business challenges.
* Design, develop, and maintain scalable ELT/ETL pipelines and lakehouse structures in Microsoft Fabric; Follow platform standards, optimize for performance, reliability, and cost.
* Follow and implement documentation standards, governance and data quality controls across datasets.
* Use Azure DevOps (ADO) for CI/CD and version control (branching, pull requests, release pipelines) to harden delivery and improve repeatability.
* Document technical architecture and workflows with clear diagrams and runbooks to accelerate onboarding and reduce operational risk.
**Qualifications**
**Qualifications:**
* Bachelor’s degree in computer science, information technology, or a related field.
* 5\-10 years of experience in data engineering or a related role within the P\&amp;C insurance space
* Proficiency in Microsoft Fabric a significant plus.
* Exposure to Azure DevOps (ADO) and CI/CD practices.
* Strong SQL, Python and data modeling skills.
* Experience with cloud platforms, preferably Azure.
* Excellent problem\-solving and analytical skills.
* Strong communication and collaboration abilities.
**Preferred Skills**
* Experience with big data technologies such as Hadoop, Spark, or Databricks.
* Knowledge of data warehousing concepts and tools.
* Familiarity with programming languages such as Python or Scala.
* Understanding of data security and compliance requirements.
* Applicants must be authorized to work in the U.S. without current or future sponsorship\*
**Salary Range**
 $100,000 – $160,000\. The annual base salary range posted represents a broad range of salaries around the U.S. and is subject to many factors including but not limited to credentials, education, experience, geographic location, job responsibilities, performance, skills and/or training.
 The successful candidate is expected to work in one of our offices 3 days per week and also be available for travel as required.</t>
        </is>
      </c>
    </row>
    <row r="22">
      <c r="A22" t="inlineStr">
        <is>
          <t>li-4379946051</t>
        </is>
      </c>
      <c r="B22" t="inlineStr">
        <is>
          <t>Clinical AI Data Engineer (remote)</t>
        </is>
      </c>
      <c r="C22" t="inlineStr">
        <is>
          <t>Causeway Bridge to Innovation LLC</t>
        </is>
      </c>
      <c r="D22" t="inlineStr">
        <is>
          <t>linkedin</t>
        </is>
      </c>
      <c r="E22" t="inlineStr"/>
      <c r="F22" t="inlineStr"/>
      <c r="G22" t="inlineStr"/>
      <c r="H22" t="inlineStr"/>
      <c r="I22" t="inlineStr">
        <is>
          <t>**Location:** 
  Remote – Tampa, FL preferred
**Type:** 
  Full\-time
**Salary Range:** 
  $130–$170K \+ bonus (depending on experience)
**About the Client** 
**U.S.\-based provider of managed IT and cloud services** 
 Our client delivers managed IT and cloud solutions with strong expertise in telecom and data infrastructure. They support organizations across the United States with tailored strategies for enterprise environments, focusing on cost efficiency, proactive monitoring, and optimal resource utilization.
 Their approach centers on delivering measurable results on time and within budget, supported by 24/7 technical support, network operations, and advanced data management. The company’s mission is to enable business growth through innovative technology while prioritizing security, reliability, and data accessibility. Core values include operational excellence, innovation, integrity, accountability, and strategic precision.
**About the Role** 
 We are seeking a 
 **Clinical AI Data Engineer** 
  to design and deploy production\-grade LLM systems that extract, structure, and validate oncology data from electronic health records.
 You will work at the intersection of oncology, applied AI, and clinical informatics — building intelligent systems that convert unstructured clinical documentation into research\-ready datasets. This role emphasizes deep expertise in oncology data and advanced LLM techniques rather than traditional data engineering alone.
**Key Responsibilities** 
**Build production LLM systems for oncology data extraction** 
 Design and deploy AI solutions that accurately extract oncology\-specific data from clinical notes and reports, including staging, biomarkers, treatment protocols, and patient outcomes.
**Develop robust AI agents for clinical reasoning** 
 Create intelligent agents capable of complex tasks such as multi\-document synthesis across patient records, precise entity and relationship extraction, and long\-context understanding of treatment histories.
**Ensure clinical accuracy and reliability** 
 Implement strategies to minimize hallucinations, improve factual consistency, and handle ambiguous or incomplete clinical documentation. Develop evaluation frameworks to measure precision, recall, and clinical validity.
**Work deeply with oncology EHR data structures** 
 Analyze pathology reports, radiology summaries, genomic testing results, and treatment documentation. Understand relationships among diagnosis codes, medications, lab values, and clinical narratives.
**Drive technical excellence through LLM experimentation** 
 Establish benchmarks and evaluation metrics. Experiment with advanced prompting, retrieval\-augmented generation, fine\-tuning, and multi\-agent architectures while identifying edge cases and model drift.
**Bridge clinical and technical domains** 
 Collaborate with oncologists, clinical data specialists, and product teams to translate clinical requirements into effective technical solutions.
**Required Qualifications** 
* 5\+ years developing production Python systems and delivering AI/ML solutions
* 3\+ years hands\-on experience with LLMs, including prompt engineering, agent frameworks, retrieval strategies, fine\-tuning, and reliability optimization
* Deep expertise in oncology EHR data structures and terminologies (ICD\-O, SNOMED, AJCC staging, RECIST)
* Advanced NLP and information extraction experience in clinical contexts
* Proven experience deploying AI agents in real\-world clinical environments
* Strong clinical reasoning ability and understanding of oncology workflows
* Scientific mindset with data\-driven experimentation
* Strong communication skills across technical and clinical audiences
* Ability to thrive in a fast\-paced, remote\-first, collaborative environment
**Preferred Qualifications** 
* Experience with Snowflake or similar data platforms
* Hands\-on experience with oncology EHR datasets
* Familiarity with genomic data interpretation and precision oncology
* Knowledge graph and medical relationship mapping experience
* Experience with HIPAA, SOC 2, or sensitive healthcare data compliance
* Master’s or PhD in bioinformatics, computational biology, or related field
* Knowledge of NCCN/ASCO guidelines and oncology workflows
**What We Value** 
**Quality\-focused** 
  — You build clean, maintainable solutions suitable for clinical environments.
**Fast and pragmatic** 
  — You iterate quickly and deliver value without over\-engineering.
**Value\-driven** 
  — You prioritize outcomes that impact users and clinical results.
**Self\-directed** 
  — You thrive in ambiguity and drive work independently.
**Collaborative** 
  — You value diverse perspectives and optimize for team success.
**Continuous learner** 
  — You stay current with advances in AI and clinical informatics.</t>
        </is>
      </c>
    </row>
    <row r="23">
      <c r="A23" t="inlineStr">
        <is>
          <t>li-4377769176</t>
        </is>
      </c>
      <c r="B23" t="inlineStr">
        <is>
          <t>Data Engineer</t>
        </is>
      </c>
      <c r="C23" t="inlineStr">
        <is>
          <t>The Phoenix Group</t>
        </is>
      </c>
      <c r="D23" t="inlineStr">
        <is>
          <t>linkedin</t>
        </is>
      </c>
      <c r="E23" t="inlineStr"/>
      <c r="F23" t="inlineStr"/>
      <c r="G23" t="inlineStr"/>
      <c r="H23" t="inlineStr"/>
      <c r="I23" t="inlineStr">
        <is>
          <t>**Data Engineer – AWS** 
**About the Role** 
 We're looking for a Data Engineer to help build and maintain our cloud data platform on AWS. You'll work on data pipelines, storage solutions, and analytics tools that help our teams make better decisions.
**What You'll Do** 
* Build and maintain data pipelines that move and transform data from various sources
* Work with AWS cloud services to store, organize, and make data accessible
* Help ensure data is accurate, reliable, and well\-documented
* Support analytics and reporting by preparing clean, usable datasets
* Collaborate with teammates across data, analytics, and business teams
* Contribute to improving how we manage and automate our data processes
**What We're Looking For** 
* Some hands\-on experience with AWS (familiarity with services like S3, Glue, or Redshift is a plus)
* Comfort writing SQL and basic Python
* An interest in data pipelines, cloud infrastructure, or data modeling
* Willingness to learn new tools and technologies
* Good communication skills and ability to work well with others
**Nice to Have (but not required)** 
* Exposure to ETL/ELT processes
* Familiarity with BI tools like Tableau or Power BI
* Any experience with CI/CD or Infrastructure\-as\-Code concepts
* Experience working in a remote or distributed team</t>
        </is>
      </c>
    </row>
    <row r="24">
      <c r="A24" t="inlineStr">
        <is>
          <t>li-4377769146</t>
        </is>
      </c>
      <c r="B24" t="inlineStr">
        <is>
          <t>Senior Data Engineer</t>
        </is>
      </c>
      <c r="C24" t="inlineStr">
        <is>
          <t>Ledgent Technology</t>
        </is>
      </c>
      <c r="D24" t="inlineStr">
        <is>
          <t>linkedin</t>
        </is>
      </c>
      <c r="E24" t="inlineStr"/>
      <c r="F24" t="inlineStr"/>
      <c r="G24" t="inlineStr">
        <is>
          <t>Woodbury, MN</t>
        </is>
      </c>
      <c r="H24" t="inlineStr"/>
      <c r="I24" t="inlineStr">
        <is>
          <t>**Senior Data Engineer** 
**Onsite (5 Days) \| Woodbury, MN** 
**Compensation: $120,000 \- $145,000** 
 We are seeking a hands\-on
 **Senior Data Engineer** 
 to modernize and scale our data platform. This role focuses on refactoring Postgres‑based business logic, building reliable data pipelines, and preparing data systems for advanced analytics and AI use cases. This is a senior individual contributor position with significant day\-to\-day coding and database ownership.
**Key Responsibilities** 
* Modernize and refactor complex business logic currently embedded in Postgres functions.
* Design scalable schemas, analytics‑ and AI‑ready data models, and performance‑optimized queries.
* Implement database partitioning, indexing, and tuning to support data growth and reliability.
* Design, build, and own production‑grade data pipelines from ingestion through consumption.
* Ensure data quality, testing, monitoring, and operational reliability across pipelines.
* Work directly in production systems to troubleshoot and resolve data and performance issues.
**Required Qualifications** 
* **PostgreSQL expertise is a must have** 
 , including advanced SQL and deep, production\-level experience.
* 5\+ years of hands\-on experience in data engineering, backend engineering, or a related role.
* Experience refactoring or modernizing legacy, database\-centric systems.
* Proficiency in Python or a comparable data engineering language.
* Strong understanding of ETL/ELT pipelines, data modeling, and performance optimization.
**Nice to Have** 
* Experience preparing data platforms for AI or machine learning workloads.
* Familiarity with orchestration tools (e.g., Airflow) or cloud data platforms.
* Experience implementing automated data quality checks or pipeline testing.
**Desired Skills and Experience**
 Postgres SQL, Data Engineer, Python, ETL, ELT
*All qualified applicants will receive consideration for employment without regard to race, color, national origin, age, ancestry, religion, sex, sexual orientation, gender identity, gender expression, marital status, disability, medical condition, genetic information, pregnancy, or military or veteran status. We consider all qualified applicants, including those with criminal histories, in a manner consistent with state and local laws, including the California Fair Chance Act, City of Los Angeles' Fair Chance Initiative for Hiring Ordinance, and Los Angeles County Fair Chance Ordinance.*</t>
        </is>
      </c>
    </row>
    <row r="25">
      <c r="A25" t="inlineStr">
        <is>
          <t>li-4378820655</t>
        </is>
      </c>
      <c r="B25" t="inlineStr">
        <is>
          <t>Data Engineer</t>
        </is>
      </c>
      <c r="C25" t="inlineStr">
        <is>
          <t>Wiraa</t>
        </is>
      </c>
      <c r="D25" t="inlineStr">
        <is>
          <t>linkedin</t>
        </is>
      </c>
      <c r="E25" t="inlineStr"/>
      <c r="F25" t="inlineStr"/>
      <c r="G25" t="inlineStr"/>
      <c r="H25" t="inlineStr"/>
      <c r="I25" t="inlineStr">
        <is>
          <t>About the Company
 Zelis is a forward\-thinking organization dedicated to transforming the healthcare financial experience for payers, providers, and healthcare consumers. With a diverse client base that includes over 750 payers such as the top five national health plans, regional health plans, third\-party administrators, and millions of healthcare providers and consumers, Zelis leverages innovative technology to address complex healthcare financial challenges. The company's holistic approach involves identifying, optimizing, and solving systemic issues through solutions built by healthcare experts, ensuring measurable and impactful results for clients. Zelis fosters a culture of innovation, collaboration, and excellence, committed to delivering high\-quality services that improve financial outcomes across the healthcare ecosystem.
 About the Role
 The Lead Data Engineer \- Finance \&amp; Accounting role at Zelis is a critical position responsible for designing, developing, and deploying scalable, cloud\-native data services tailored to support finance, treasury, and accounting functions. This includes financial reporting, reconciliation, billing, and operational accounting workflows. The role combines hands\-on technical expertise with leadership responsibilities, overseeing end\-to\-end project delivery from solution architecture to production deployment. The ideal candidate will possess strong domain knowledge in finance and accounting, extensive experience with AWS and Snowflake, and a proven track record of building data platforms that prioritize accuracy, traceability, and audit compliance. As a technical leader, you will mentor engineers, collaborate with cross\-functional teams, and ensure that data solutions meet the highest standards of quality and security.
 Qualifications
* 7\+ years of experience in data engineering, with at least 2\+ years in a technical lead or ownership role
* Demonstrated experience developing data solutions for finance and accounting domains such as general ledger, revenue, payments, claims, billing, or financial reporting
* Proven expertise in designing and implementing Snowflake cloud data warehouse solutions
* Strong cloud engineering background supporting financial data platforms, including data lakes, pipelines, and cloud\-native services
* Advanced proficiency in SQL, including complex joins, performance tuning, and reconciliation logic
* Hands\-on experience migrating financial data systems from on\-premises SQL platforms to cloud environments
* Deep understanding of financial data modeling, ETL/ELT patterns, and analytics architecture
* Leadership, mentorship, and cross\-functional collaboration skills
* Excellent communication abilities to liaise effectively with technical teams and finance stakeholders
* Experience working within Agile/Scrum methodologies and facilitating related ceremonies
 Responsibilities
* Own end\-to\-end delivery of finance and accounting data services, from requirements gathering and architecture design to implementation, testing, deployment, and ongoing support
* Design and develop Snowflake\-based financial data architectures, including accounting\-ready data models and DBT transformation pipelines
* Build and maintain reliable data pipelines supporting financial reporting, reconciliation, close processes, and downstream analytics
* Lead cloud data engineering initiatives supporting general ledger, revenue, payments, claims, billing, and operational finance workflows
* Serve as a technical lead on finance\-focused projects, establishing engineering standards, making architectural decisions, and ensuring timely delivery
* Collaborate closely with Finance, Accounting, FP\&amp;A, and Analytics teams to translate business needs into scalable data products
* Ensure data integrity, auditability, and traceability through controls, lineage, and reconciliation logic
* Mentor and review the work of data engineers, fostering a culture of quality and continuous improvement
* Implement and enforce data quality, observability, and governance practices aligned with financial and regulatory standards
* Support migration efforts of financial data platforms from on\-premises systems to cloud\-based solutions
* Participate actively in Agile delivery processes, including sprint planning, standups, retrospectives, and release management
* Maintain compliance with data privacy, security, and regulatory standards pertinent to financial and healthcare data
 Benefits
* Competitive salary range of $127,000 to $160,550, commensurate with experience and qualifications
* Comprehensive benefits package including health, dental, vision, and prescription coverage
* 401(k) plan with employer matching contributions
* Flexible paid time off and holiday policies
* Parental leave and family support programs
* Life and disability insurance coverage
* Opportunities for remote and hybrid work arrangements based on role and team needs
* Professional development and growth opportunities within a dynamic organization
 Equal Opportunity
 Zelis is an equal opportunity employer committed to fostering an inclusive environment. All qualified applicants will receive consideration regardless of race, color, religion, gender, gender identity or expression, sexual orientation, national origin, age, disability, veteran status, or any other protected characteristic under applicable law. We value diversity and are dedicated to building a workplace that reflects the communities we serve. We encourage candidates from all backgrounds to apply and join our mission to modernize healthcare financial experiences.</t>
        </is>
      </c>
    </row>
    <row r="26">
      <c r="A26" t="inlineStr">
        <is>
          <t>li-4336016815</t>
        </is>
      </c>
      <c r="B26" t="inlineStr">
        <is>
          <t>Senior Data Engineer, Vehicle Telematics</t>
        </is>
      </c>
      <c r="C26" t="inlineStr">
        <is>
          <t>General Motors</t>
        </is>
      </c>
      <c r="D26" t="inlineStr">
        <is>
          <t>linkedin</t>
        </is>
      </c>
      <c r="E26" t="inlineStr"/>
      <c r="F26" t="inlineStr"/>
      <c r="G26" t="inlineStr">
        <is>
          <t>Warren, MI</t>
        </is>
      </c>
      <c r="H26" t="inlineStr"/>
      <c r="I26" t="inlineStr">
        <is>
          <t>**Job Description**
 This role is categorized as hybrid. This means the successful candidate is expected to report to Austin, TX or Warren, MI three times per week, at minimum \[or other frequency dictated by the business if more than 3 days].
**The Role**
 General Motors uses telematics data as a cornerstone of its software\-defined vehicle strategy, enhancing safety, security, and product development to create an exceptional customer experience. Analytical insights from this data lead to improvements in operational efficiency, maintenance, and vehicle performance as well as address the need for intelligent (ADAS), sustainable transportation (EV). Our analytical datastore team owns the platform that streams and stores this data from millions of vehicles around the globe.
 We seek a polyglot engineer with a strong background in data and software, experienced in designing and maintaining large\-scale systems. This technical leadership role requires a passion for quality, efficiency, and reliability. As a senior data engineer, you'll be building the platform to enable thousands of use cases that require telematics data. You will play a key role in our team's success, supporting hundreds of internal analytics users and enhancing the experience for millions of retail and fleet customers. This is a high\-visibility role!
**What You’ll Do**
* Develop a scalable data platform to support continuing increases in data volume and complexity
* Develop and maintain data pipelines to ingest, process, and curate large volumes of data using Spark, Kafka, Event Hubs, Azure Data Lake Storage, or similar technologies
* Support the infrastructure required for optimal ingestion, transformation, and storing of data
* Collaborate with data scientists to support the needs of advanced ML development
* Design and implement rigorous data observability, validation, governance, and quality checks
* Mentor and support junior engineers by providing guidance, coaching and educational opportunities
* Simplify, simplify, simplify… and document your work!
**Your Skills \&amp; Abilities (Required Qualifications)**
* Bachelor's degree in Computer Science, Software Engineering, or a related field
* 5\+ years of experience in data engineering including Python or Scala, SQL, and relational/non\-relational data storage
* 3\+ years of experience in distributed, petabyte\-scale data processing using Spark as well as container orchestration technologies like Kubernetes
* Strong with performance tuning strategies such as partitioning, clustering, caching, and various other serialization techniques
* Strong with infrastructure as code (IaC) and CI/CD best practices
* Proven cloud experience and familiarity with at least one cloud platform (Azure preferred)
* Strong background in any of the following: data architecture, data governance, metadata management, data quality, observability, or MLOps
* Knowledge in schema design and data contracts
* Excellent teamwork and leadership skills to collaborate and influence across product, program, and engineering
**What Can Give You a Competitive Advantage (Preferred Qualifications)**
* Master's degree in Computer Science, Software Engineering, or a related field
* Experience in processing and storing various file formats, including video, audio and image
* Experience with tools such as Databricks or Snowflake – this is where the vast majority of our downstream consumers live.
 This job may be eligible for relocation benefits.
**Compensation:**
* The expected base compensation for this role is: $134,000 \- $219,000\. Actual base compensation within the identified range will vary based on factors relevant to the position.
* Bonus Potential: An incentive pay program offers payouts based on company performance, job level, and individual performance.
* Benefits: GM offers a variety of health and wellbeing benefit programs. Benefit options include medical, dental, vision, Health Savings Account, Flexible Spending Accounts, retirement savings plan, sickness and accident benefits, life insurance, paid vacation \&amp; holidays, tuition assistance programs, employee assistance program, GM vehicle discounts and more.
 GM DOES NOT PROVIDE IMMIGRATION\-RELATED SPONSORSHIP FOR THIS ROLE. DO NOT APPLY FOR THIS ROLE IF YOU WILL NEED GM IMMIGRATION SPONSORSHIP NOW OR IN THE FUTURE. THIS INCLUDES DIRECT COMPANY SPONSORSHIP, ENTRY OF GM AS THE IMMIGRATION EMPLOYER OF RECORD ON A GOVERNMENT FORM, AND ANY WORK AUTHORIZATION REQUIRING A WRITTEN SUBMISSION OR OTHER IMMIGRATION SUPPORT FROM THE COMPANY (e.g., H\-1B, OPT, STEM OPT, CPT, TN, J\-1, etc.)
**About GM**
 Our vision is a world with Zero Crashes, Zero Emissions and Zero Congestion and we embrace the responsibility to lead the change that will make our world better, safer and more equitable for all.
**Why Join Us**
 We believe we all must make a choice every day – individually and collectively – to drive meaningful change through our words, our deeds and our culture. Every day, we want every employee to feel they belong to one General Motors team.
**Benefits Overview**
 From day one, we're looking out for your well\-being–at work and at home–so you can focus on realizing your ambitions. Learn how GM supports a rewarding career that rewards you personally by visiting
 **Total Rewards resources** 
 .
**Non\-Discrimination and Equal Employment Opportunities (U.S.)**
 General Motors is committed to being a workplace that is not only free of unlawful discrimination, but one that genuinely fosters inclusion and belonging. We strongly believe that providing an inclusive workplace creates an environment in which our employees can thrive and develop better products for our customers.
 All employment decisions are made on a non\-discriminatory basis without regard to sex, race, color, national origin, citizenship status, religion, age, disability, pregnancy or maternity status, sexual orientation, gender identity, status as a veteran or protected veteran, or any other similarly protected status in accordance with federal, state and local laws.
 We encourage interested candidates to review the key responsibilities and qualifications for each role and apply for any positions that match their skills and capabilities. Applicants in the recruitment process may be required, where applicable, to successfully complete a role\-related assessment(s) and/or a pre\-employment screening prior to beginning employment. To learn more, visit
 **How we Hire** 
 .
**Accommodations**
 General Motors offers opportunities to all job seekers including individuals with disabilities. If you need a reasonable accommodation to assist with your job search or application for employment,
 **email** 
 us or call us at 1\-800\-865\-7580\. In your email, please include a description of the specific accommodation you are requesting as well as the job title and requisition number of the position for which you are applying.</t>
        </is>
      </c>
    </row>
    <row r="27">
      <c r="A27" t="inlineStr">
        <is>
          <t>li-4378852006</t>
        </is>
      </c>
      <c r="B27" t="inlineStr">
        <is>
          <t>Lead Data Engineer</t>
        </is>
      </c>
      <c r="C27" t="inlineStr">
        <is>
          <t>LyraConnect Inc</t>
        </is>
      </c>
      <c r="D27" t="inlineStr">
        <is>
          <t>linkedin</t>
        </is>
      </c>
      <c r="E27" t="inlineStr"/>
      <c r="F27" t="inlineStr"/>
      <c r="G27" t="inlineStr">
        <is>
          <t>Bentonville, AR</t>
        </is>
      </c>
      <c r="H27" t="inlineStr"/>
      <c r="I27" t="inlineStr">
        <is>
          <t>**The role** 
 You'll architect ETL systems that process AI chat platform responses and marketing analytics data at scale, working with tools like dbt, Databricks, Duckdb, and Postgres. You'll also build and maintain the APIs and backend services that expose this data to our products \- designing endpoints, handling authentication, optimizing query performance, and ensuring our platform can scale as we grow.
 You'll translate messy business requirements into clean data models and reliable services. You'll make architectural decisions about how data flows through the system, how we structure our APIs, and what our technical standards should be. You'll also mentor engineers and review code.
 This isn't purely pipeline work \- you'll spend time building backend services, debugging production issues, and working closely with the product team to understand what customers actually need from our APIs.
**What you bring** 
* Strong experience with modern data stacks and dimensional modeling
* Solid backend engineering skills \- you've built APIs and services that handle real traffic
* Comfort working across the stack from raw data ingestion to API endpoints
* Track record making technical decisions and explaining them clearly
* Care about both data quality and shipping working software</t>
        </is>
      </c>
    </row>
    <row r="28">
      <c r="A28" t="inlineStr">
        <is>
          <t>li-4378837316</t>
        </is>
      </c>
      <c r="B28" t="inlineStr">
        <is>
          <t>Data Engineer</t>
        </is>
      </c>
      <c r="C28" t="inlineStr">
        <is>
          <t>Haystack</t>
        </is>
      </c>
      <c r="D28" t="inlineStr">
        <is>
          <t>linkedin</t>
        </is>
      </c>
      <c r="E28" t="inlineStr"/>
      <c r="F28" t="inlineStr"/>
      <c r="G28" t="inlineStr"/>
      <c r="H28" t="inlineStr"/>
      <c r="I28" t="inlineStr">
        <is>
          <t>**Data Engineer \| United States \| Remote \| $87,100 \- $157,450** 
 We're working with a premier global leader in national security and digital transformation on this exciting opportunity. We are looking for a powerhouse Data Engineer to architect the backbone of DHS decision\-support tools, utilizing Python and SQL to transform complex datasets into mission\-critical insights.
 This isn't a role for those looking to maintain the status quo; you will be building scalable data pipelines and predictive algorithms that directly impact national security operations. If you thrive in fast\-paced, collaborative environments and love solving "impossible" data puzzles, this is your next career move.
**The Role** 
 • Design and build robust data management systems and automated pipelines to process both structured and unstructured data at scale.
 • Develop and deploy predictive algorithms, image classifiers, and object detectors to enhance operational decision\-making.
 • Collaborate directly with Computer Scientists and Stakeholders to architect backend database technologies and optimize data ingestion workflows.
 • Transform massive datasets into compelling narrative products and visualizations using PowerBI to inform high\-level government briefings.
 • Optimize ETL processes and data architectures within Azure cloud environments to ensure maximum efficiency and scalability.
**What You'll Need** 
 • 6\-8 years of heavy\-hitting experience in Data Engineering, Analytics, or Statistics with a Bachelor’s degree in a technical field.
 • Mastery of Python and R for data manipulation, alongside expert\-level SQL for querying relational databases and APIs.
 • Proven track record in data modeling, data warehousing, and building automated data research scripts.
 • US Citizenship and the ability to obtain/maintain a Public Trust clearance are essential for this mission.
 • Technical familiarity with version control tools like GIT, SVN, or Jira, and experience with Azure cloud data analytics suites.
**What's On Offer** 
 • Highly competitive salary range of $87,100 \- $157,450 with transparency in compensation.
 • Fully remote work flexibility for a true work\-life balance while supporting a critical national mission.
 • Comprehensive benefits package including Health \&amp; Wellness programs, retirement plans, and paid leave.
 • Opportunity to work within a culture that outpacing the industry standard and invests heavily in professional growth.
**Apply via Haystack today!**</t>
        </is>
      </c>
    </row>
    <row r="29">
      <c r="A29" t="inlineStr">
        <is>
          <t>li-4378818704</t>
        </is>
      </c>
      <c r="B29" t="inlineStr">
        <is>
          <t>Analytics Engineer</t>
        </is>
      </c>
      <c r="C29" t="inlineStr">
        <is>
          <t>RemoteHunter</t>
        </is>
      </c>
      <c r="D29" t="inlineStr">
        <is>
          <t>linkedin</t>
        </is>
      </c>
      <c r="E29" t="inlineStr"/>
      <c r="F29" t="inlineStr"/>
      <c r="G29" t="inlineStr"/>
      <c r="H29" t="inlineStr"/>
      <c r="I29" t="inlineStr">
        <is>
          <t>About the Opportunity:
 A United States based Analytics Engineer is needed to support reporting, ad\-hoc analysis, and analytics development across the organization while helping evolve the data platform over time. This role bridges data engineering and business functions, managing day\-to\-day analytics needs such as Power BI dashboards, ad\-hoc reporting, and SQL development, with growth into data modeling and advanced analytics including machine learning. The role collaborates closely with a Senior Solutions Engineer focused on data ingestion and integrations.
 Responsibilities:
 • Own ad\-hoc reporting and analysis for operations, finance, and leadership
 • Build and maintain Power BI dashboards and reports
 • Translate ambiguous business questions into clear analytical outputs
 • Partner with stakeholders to define and refine KPIs and metrics
 • Ensure reporting is accurate, performant, and trusted
 • Write high\-quality SQL to support reporting and analytics
 • Build and improve analytics\-ready (gold\-layer) datasets
 • Contribute to dimensional and fact\-based data models
 • Improve consistency, usability, and documentation of core datasets
 • Gradually take on more responsibility in data modeling and analytics engineering
 • Collaborate on improving analytics architecture and best practices
 • Explore advanced analytics or machine learning use cases over time
 Requirements:
 • Strong expertise in SQL development with modular design skills
 • Proven ability working with large and complex datasets
 • Hands\-on experience building reports or dashboards (Power BI preferred)
 • Experience handling ad\-hoc analysis and evolving business questions
 • Understanding of dimensional modeling
 • Ability to communicate clearly with non\-technical stakeholders
 • Curiosity and motivation to grow technically
 • Nice to have: 2\+ years of SQL development experience
 • Experience with Databricks, Snowflake, or other cloud data platforms
 • Familiarity with analytics engineering concepts
 • Familiarity with version control and CI/CD tools (GitHub, Gitlab, etc.)
 • Exposure to healthcare, EMR, or regulated data environments
 • Interest in machine learning or advanced analytics (not required)
 Benefits \&amp; Perks:
 • Bonus eligible
 • Health care plan including medical, dental, and vision
 • Retirement plan (401k)
 • Life insurance
 • Paid time off
 • Short term and long term disability
 • Training and development
 Note:
 “RemoteHunter is not the Employer of Record (EOR) for this role. Our purpose in this opportunity is to connect exceptional candidates with leading employers. We help job seekers worldwide discover roles that match their goals and guide them to complete their full application directly through the hiring company’s career page or ATS.”</t>
        </is>
      </c>
    </row>
    <row r="30">
      <c r="A30" t="inlineStr">
        <is>
          <t>li-4379911133</t>
        </is>
      </c>
      <c r="B30" t="inlineStr">
        <is>
          <t>Data Engineer</t>
        </is>
      </c>
      <c r="C30" t="inlineStr">
        <is>
          <t>Haystack</t>
        </is>
      </c>
      <c r="D30" t="inlineStr">
        <is>
          <t>linkedin</t>
        </is>
      </c>
      <c r="E30" t="inlineStr"/>
      <c r="F30" t="inlineStr"/>
      <c r="G30" t="inlineStr">
        <is>
          <t>San Diego, CA</t>
        </is>
      </c>
      <c r="H30" t="inlineStr"/>
      <c r="I30" t="inlineStr">
        <is>
          <t>**Data Engineer/Analyst (Navy/DoD) \| San Diego, CA \| $85,000 \- $95,000**
 We're working with a premier mission\-critical defense contractor and Service\-Disabled Veteran\-Owned Small Business on this exciting opportunity to support U.S. Naval readiness.
 Step into a high\-impact role supporting the U.S. Navy’s REM program, where you will leverage Python and SQL to drive lethal effectiveness for the Surface and Mine Warfighting Development Center (SMWDC). You will play a pivotal role in reconstructing naval exercises and managing the NSTRAT system to ensure our fleet maintains its tactical edge.
**The Role**
* Lead the reconstruction and analysis of complex naval events and exercises by maintaining high\-performance databases.
* Extract and manipulate mission\-critical data using SQL to provide meaningful insights for Navy technical subject matter experts.
* Take full ownership of the Navy Ship Tracking Reporting and Analysis Tool (NSTRAT) system, including administration and troubleshooting.
* Conduct software engineering and testing functions to develop custom data analysis tools for maritime event reconstruction.
* Collaborate directly with waterfront teams to improve data collection methods for Anti\-Submarine Warfare (ASW) and Mine Warfare (MIREM) programs.
**What You'll Need**
* Active or Interim DoD SECRET Security Clearance (Mandatory).
* 5\+ years of professional experience in data analytics, scripting, or operational analysis within a DoD or Navy environment.
* Mastery of Python and Microsoft SQL for data processing, query analysis, and database management.
* Experience with Navy Flankspeed, Microsoft Azure Cloud Services, or IL6 Azure Privileged Access is highly preferred.
* Relevant certifications such as Security\+, Azure Administrator Associate (AZ\-104\), or GSEC (IAT Level II compliance) are a major plus.
**What's On Offer**
* Comprehensive health package including Medical, Dental, Vision, and TRICARE Supplemental Coverage.
* Strong retirement security with a 401(k) employer match and traditional/Roth options.
* Continuous professional growth through a Tuition Reimbursement Program and internal training initiatives.
* A robust benefits suite including Pet Insurance, Commuter Benefits, and an Employee Referral Program.
**Apply via Haystack today!**</t>
        </is>
      </c>
    </row>
    <row r="31">
      <c r="A31" t="inlineStr">
        <is>
          <t>li-4378329141</t>
        </is>
      </c>
      <c r="B31" t="inlineStr">
        <is>
          <t>Senior Analytics Engineer</t>
        </is>
      </c>
      <c r="C31" t="inlineStr">
        <is>
          <t>Ramsey Solutions</t>
        </is>
      </c>
      <c r="D31" t="inlineStr">
        <is>
          <t>linkedin</t>
        </is>
      </c>
      <c r="E31" t="inlineStr"/>
      <c r="F31" t="inlineStr"/>
      <c r="G31" t="inlineStr">
        <is>
          <t>Nashville, TN</t>
        </is>
      </c>
      <c r="H31" t="inlineStr"/>
      <c r="I31" t="inlineStr">
        <is>
          <t>**Description**
**Location:** 
 Franklin, TN—on\-site, relocation assistance available, flexible schedules available
**A Little Bit About Us:** 
 You might know us from our founder and CEO, Dave Ramsey, who’s given no\-nonsense money advice on the radio since 1992\. Three decades later, Ramsey Solutions is a household name in personal finance, with a mission to change the toxic money culture for good.
***Our Mission: Ramsey Solutions provides biblically based, commonsense education and empowerment that give HOPE to everyone in every walk of life.***
**Here’s a Taste Of Our Benefits**
* Health insurance (includes plans eligible for an HSA—with a company match up to $500!)
* 401(k) retirement plan with 4% match/company contribution
* Annual wellness, counseling and grocery membership reimbursement
* On\-campus cafe with subsidized pricing for breakfast, lunch and coffee bar
* Dependent care FSA
* Tons of cultural activities, like weekly devotional, leadership development courses, Battle of the Bands, and one epic Christmas party!
**Where And How You’d Work**
 Ramsey Solutions Headquarters is located just outside of Nashville in Franklin, Tennessee. We value our strong, unified company culture because we believe the best work is done together. That’s why all of our team members work on\-site under the same roof. But work\-life balance is also important to us, so we offer flexible work schedules to take the stress out of appointments, family obligations and other needs that may pop up.
 While every team member has a designated workspace (with an electronic sit\-stand desk), our campus was designed to house a variety of unique work and play zones (e.g., quiet library space, coffee bar/lounge areas, recreational game zone, and outside/patio work and break areas).
**What You’d Do In This Role**
 The Sr Analytics Engineer will play a critical role in building and maintaining the datasets and reporting that powers our business decisions. This role will focus on designing, developing, and implementing data pipelines and processes to transform raw data into high\-quality data products leveraged by key decision\-makers at Ramsey Solutions. The ideal candidate is a highly analytical and results\-oriented individual with a passion for data and a strong understanding of data warehousing principles.
 If you are looking to join a data team that is driven by vision, purpose, and real partnership with the business, this is your role.
 Our vision is simple but powerful. Ramsey Solutions is confidently using data to accelerate its mission of bringing hope and transforming lives. Data is not an afterthought here. It is a strategic tool used to move the business forward and help people make better decisions.
 We exist to help people make the best possible decisions, and our primary customers are key decision makers across the organization. These are leaders rely on trusted data to shape strategy, solve problems, and drive impact. The work you do will not sit in dashboards unused. It will directly influence outcomes across the business.
 As a team, we build data products, not just reports. We proactively partner with our stakeholders to discover problems worth solving, then iteratively design and test solutions until those problems are truly solved. This role is for someone who wants to be close to the business, take ownership, and see their work actively used to guide decisions that matter.
**You’re Probably a Match If**
* You have 4–6 years of experience in analytics engineering or data development, owning the full data lifecycle—from building pipelines and designing data models to delivering dashboards that drive decision\-making.
* You are Proficient in SQL and scripting languages (for example: Python and R)
* You have experience with data modeling and dimensional modeling
* You have experience with data visualization tools (e.g., Shiny, Plotly, Streamlit) and with cloud\-based data platforms (e.g., AWS, Azure, GCP) is a plus.
* You have experience with data warehousing and ETL/ELT processes
* You have the ability to clearly communicate with both technical and non\-technical stakeholders
**What Winning Looks Like**
* Building and maintaining data warehouses and data marts, ensuring data quality, accuracy, and consistency.
* Developing and implementing data quality checks and monitoring systems to identify and resolve data issues proactively.
* Collaborating with customers and stakeholders to understand their problems and translate them into data products for the team to deliver.
* Developing a deep understanding of key datasets and data models within the data platform.
* Becoming a trusted advisor to analytics customers and stakeholders on data\-related matters.
* Developing and maintaining source of truth reports and dashboards for key business metrics.
* Ensuring data accuracy and consistency across all reporting channels.
* Designing, developing, and maintaining data pipelines and ETL processes using modern data engineering tools and technologies (e.g., SQL, Python, Apache Airflow, dbt, Snowflake, AWS Redshift).
**Other Stuff To Know**
 We’re looking for people who are passionate about our mission. This isn’t just a J\-O\-B. We experience resistance every day because what we believe is absolutely countercultural. We actually hate debt. We actually cut up our credit cards . . . like, for real. Some of us are still fighting our way out of debt, but we aren’t going back. If you don’t know much about Ramsey Solutions and our founder, Dave Ramsey, we encourage you to download the Ramsey Network mobile app and consume our content.
**If Ramsey Solutions sounds like a workplace where you can get excited about Mondays, apply today. We can’t wait to hear from you!**
**EOE, including disability/vets**</t>
        </is>
      </c>
    </row>
    <row r="32">
      <c r="A32" t="inlineStr">
        <is>
          <t>li-4378844544</t>
        </is>
      </c>
      <c r="B32" t="inlineStr">
        <is>
          <t>GCP Data Engineer- Healthcare</t>
        </is>
      </c>
      <c r="C32" t="inlineStr">
        <is>
          <t>Tech Mahindra</t>
        </is>
      </c>
      <c r="D32" t="inlineStr">
        <is>
          <t>linkedin</t>
        </is>
      </c>
      <c r="E32" t="inlineStr"/>
      <c r="F32" t="inlineStr"/>
      <c r="G32" t="inlineStr"/>
      <c r="H32" t="inlineStr"/>
      <c r="I32" t="inlineStr">
        <is>
          <t>*At Tech Mahindra* 
***(***
*Tech Mahindra \| Connected World, Connected Experiences), we live the philosophy of connected world and connected experiences. We thrive on change that is powered by the intelligent symphony of technology and humans designing meaningful and sustainable experiences. Consumer ‘experiences’ are driving and disrupting industries like never before. Businesses must build seamless yet simple enterprises that collaborate, synergize, and drive the change. Change that connects us all and empowers us to deliver experiences that span across the digital, the physical, the convergent, and everything in between. That’s when truly connected experiences manifest.* 
*Extraordinary is when experiences come together – a continuous convergence of digital technologies, touchpoints, and most importantly people. It’s time to reimagine, reinvent, and revolutionize business models \&amp; operations as well as to transform enterprises into living, breathing, and connected businesses. We are the Digital Change makers who strive to change the way the world, communities, businesses, and humans interact digitally. We are harnessing the power of change, brought in by technologies, that makes it the most exciting time to be alive in the human history. Our universe, as we build it, disrupt it, and redesign it, is powering the digital change.* 
*Tech Mahindra represents the connected world, offering innovative and customer\-centric information technology experiences, enabling Enterprises, Associates, and the Society to Rise. It has 150,000\+ professionals working for 1000\+ Global Customers (including Fortune 500 companies) in 90 Countries. We’re part of the esteemed Mahindra group, headquartered in India. Under a new CEO, Tech Mahindra is committed to a transformative journey with 'Scale @ Speed' as our guiding principle.* 
**Position :\- GCP Data Engineer (Health Care Background Must)** 
**Location: Across USA any Location** 
**Summary:** 
 Strong experience architecting enterprise data platforms on Google Cloud (GCP). The architect will work as a strategic technical partner to design and build a GCP BigQuery\-based Data Lake \&amp; Data Warehouse ecosystem.
 The role requires deep hands\-on expertise in data ingestion, transformation, modeling, enrichment, and governance, combined with a strong understanding of clinical healthcare data standards, interoperability, and cloud architecture best practices.
**Key Responsibilities:** 
 1\. Data Lake \&amp; Data Platform Architecture (GCP)
 • Architect and design an enterprise\-grade GCP\-based data lakehouse leveraging BigQuery, GCS, Dataproc, Dataflow, Pub/Sub, Cloud Composer, and BigQuery Omni.
 • Define data ingestion, hydration, curation, processing and enrichment strategies for large\-scale structured, semi\-structured, and unstructured datasets.
 • Create data domain models, canonical models, and consumption\-ready datasets for analytics, AI/ML, and operational data products.
 • Design federated data layers and self\-service data products for downstream consumers.
 2\. Data Ingestion \&amp; Pipelines
 • Architect batch, near\-real\-time, and streaming ingestion pipelines using GCP Cloud Dataflow, Pub/Sub, and Dataproc.
 • Set up data ingestion for clinical (EHR/EMR, LIS, RIS/PACS) datasets including HL7, FHIR, CCD, DICOM formats.
 • Build ingestion pipelines for non\-clinical systems (ERP, HR, payroll, supply chain, finance).
 • Architect ingestion from medical devices, IoT, remote patient monitoring, and wearables leveraging IoMT patterns.
 • Manage on\-prem → cloud migration pipelines, hybrid cloud data movement, VPN/Interconnect connectivity, and data transfer strategies.
 3\. Data Transformation, Hydration \&amp; Enrichment
 • Build transformation frameworks using BigQuery SQL, Dataflow, Dataproc, or dbt.
 • Define curation patterns including bronze/silver/gold layers, canonical healthcare entities, and data marts.
 • Implement data enrichment using external social determinants, device signals, clinical event logs, or operational datasets.
 • Enable metadata\-driven pipelines for scalable transformations.
 4\. Data Governance \&amp; Quality
 • Establish and operationalize a data governance framework encompassing data stewardship, ownership, classification, and lifecycle policies.
 • Implement data lineage, data cataloging, and metadata management using tools such as Dataplex, Data Catalog, Collibra, or Informatica.
 • Set up data quality frameworks for validation, profiling, anomaly detection, and SLA monitoring.
 • Ensure HIPAA compliance, PHI protection, IAM/RBAC, VPC SC, DLP, encryption, retention, and auditing.
 5\. Cloud Infrastructure \&amp; Networking
 • Work with cloud infrastructure teams to architect VPC networks, subnetting, ingress/egress, firewall policies, VPN/IPSec, Interconnect, and hybrid connectivity.
 • Define storage layers, partitioning/clustering design, cost optimization, performance tuning, and capacity planning for BigQuery.
 • Understand containerized processing (Cloud Run, GKE) for data services.
 6\. Stakeholder Collaboration
 • Work closely with clinical, operational, research, and IT stakeholders to define data use cases, schema, and consumption models.
 • Partner with enterprise architects, security teams, and platform engineering teams on cross\-functional initiatives.
 • Guide data engineers and provide architectural oversight on pipeline implementation.
 7\. Hands\-on Leadership
 • Be actively hands\-on in building pipelines, writing transformations, building POCs, and validating architectural patterns.
 • Mentor data engineers on best practices, coding standards, and cloud\-native development.
**Required Skills \&amp; Qualifications** 
 Technical Skills (Must\-Have)
 • 10\+ years in data architecture, engineering, or data platform roles.
 • Strong expertise in GCP data stack (BigQuery, Dataflow, Composer, GCS, Pub/Sub, Dataproc, Dataplex).
 • Hands\-on experience with data ingestion, pipeline orchestration, and transformations.
 • Deep understanding of clinical data standards:
 • HL7 v2\.x, FHIR, CCD/C\-CDA
 • DICOM (for scans and imaging)
 • LIS/RIS/PACS data structures
 • Experience with device and IoT data ingestion (wearables, remote patient monitoring, clinical devices).
 • Experience with ERP datasets (Workday, Oracle, Lawson, PeopleSoft).
 • Strong SQL and data modeling skills (3NF, star/snowflake, canonical and logical models).
 • Experience with metadata management, lineage, and governance frameworks.
 • Solid understanding of HIPAA, PHI/PII handling, DLP, IAM, VPC security.
**Cloud \&amp; Infrastructure**
 • Solid understanding of cloud networking, hybrid connectivity, VPC design, firewalling, DNS, service accounts, IAM, and security models.
 • Cloud Native Data movement services
 • Experience with on\-prem to cloud migrations.
 The pay range for this role is
 **$120k \- $130k per annum including any bonuses or variable pay** 
 . Tech Mahindra also offers benefits like medical, vision, dental, life, disability insurance and paid time off (including holidays, parental leave, and sick leave, as required by law). Ask our recruiters for more details on our Benefits package. The exact offer terms will depend on the skill level, educational qualifications, experience, and location of the candidate.
 Tech Mahindra is an Equal Employment Opportunity employer. We promote and support a diverse workforce at all levels of the company. All qualified applicants will receive consideration for employment without regard to race, religion, color, sex, age, national origin or disability. All applicants will be evaluated solely on the basis of their ability, competence, and performance of the essential functions of their positions with or without reasonable accommodations. Reasonable accommodations also are available in the hiring process for applicants with disabilities. Candidates can request a reasonable accommodation by contacting the company ADA Coordinator at ADA\_Accomodations@TechMahindra.com.”</t>
        </is>
      </c>
    </row>
    <row r="33">
      <c r="A33" t="inlineStr">
        <is>
          <t>li-4378846474</t>
        </is>
      </c>
      <c r="B33" t="inlineStr">
        <is>
          <t>Entry Level Data Engineer</t>
        </is>
      </c>
      <c r="C33" t="inlineStr">
        <is>
          <t>Emonics LLC</t>
        </is>
      </c>
      <c r="D33" t="inlineStr">
        <is>
          <t>linkedin</t>
        </is>
      </c>
      <c r="E33" t="inlineStr"/>
      <c r="F33" t="inlineStr"/>
      <c r="G33" t="inlineStr">
        <is>
          <t>Minneapolis, MN</t>
        </is>
      </c>
      <c r="H33" t="inlineStr"/>
      <c r="I33" t="inlineStr">
        <is>
          <t>Job Overview:
 We are seeking a Data Engineer to support data pipeline development and ETL processes.
 Responsibilities:
 Build and maintain ETL pipelines
 Optimize database performance
 Work with structured and unstructured data
 Ensure data integrity
 Requirements:
 Degree in Data Engineering or related field
 Knowledge of SQL, Python
 Familiarity with data warehousing concepts</t>
        </is>
      </c>
    </row>
    <row r="34">
      <c r="A34" t="inlineStr">
        <is>
          <t>li-4378823677</t>
        </is>
      </c>
      <c r="B34" t="inlineStr">
        <is>
          <t>Senior Data Engineer</t>
        </is>
      </c>
      <c r="C34" t="inlineStr">
        <is>
          <t>RemoteHunter</t>
        </is>
      </c>
      <c r="D34" t="inlineStr">
        <is>
          <t>linkedin</t>
        </is>
      </c>
      <c r="E34" t="inlineStr"/>
      <c r="F34" t="inlineStr"/>
      <c r="G34" t="inlineStr"/>
      <c r="H34" t="inlineStr"/>
      <c r="I34" t="inlineStr">
        <is>
          <t>About the Opportunity:
 This organization provides a platform that helps people manage and improve their homes by connecting them with local service businesses. The Senior Data Engineer role is part of a centralized Data Engineering team that collaborates with engineers, analysts, data scientists, and machine learning engineers to design and maintain data sets from internal and third\-party sources. The team focuses on building a cohesive data warehouse and integrating data best practices into the software development lifecycle.
 Responsibilities:
 • Refine and promote a framework for integrating data\-thinking into the software development lifecycle for product teams
 • Design, architect, and maintain core marketplace datasets, data marts, and feature stores supporting mature and evolving products
 • Collaborate with product engineers, analysts, data scientists, and machine learning engineers to understand data needs and design engineering\-rigorous datasets
 • Drive data quality and best practices across business areas
 • Develop next\-generation real\-time data products based on Apache Kafka
 Requirements:
 • 4 or more years of experience designing and building data sets and warehouses
 • Ability to understand and collaborate with stakeholders, especially Analytics, to identify process improvement opportunities
 • Expertise in SQL for analytics, reporting, and building SQL\- and Python\-based transforms in ETL pipelines or similar
 • Experience designing, architecting, and maintaining data warehouses and data marts integrating production databases, clickstream data, and external APIs
 • Proficiency with modern data stacks based on cloud\-native data warehouses (e.g., BigQuery, dbt, Apache Airflow, or similar)
 • Experience or strong interest in applying AI\-enabled workflows to accelerate development and improve data engineering practices
 • Strong ownership from ideation through project completion and maintenance
 Compensation:
 • Candidates in San Francisco, Bay Area, San Jose, New York City, or Seattle metros: $210,800 to $272,800
 • Candidates in Austin, TX, Washington DC metros, California, Massachusetts, New Jersey, or Washington states: $189,600 to $245,300
 • Candidates in other US locations: $179,400 to $232,100
 • Actual salaries vary based on job level, qualifications, skills, and proficiency
 Note:
 RemoteHunter is not the Employer of Record (EOR) for this role. Our purpose in this opportunity is to connect exceptional candidates with leading employers. We help job seekers worldwide discover roles that match their goals and guide them to complete their full application directly through the hiring company’s career page or ATS.</t>
        </is>
      </c>
    </row>
    <row r="35">
      <c r="A35" t="inlineStr">
        <is>
          <t>li-4379920956</t>
        </is>
      </c>
      <c r="B35" t="inlineStr">
        <is>
          <t>Senior Data Engineer</t>
        </is>
      </c>
      <c r="C35" t="inlineStr">
        <is>
          <t>Harnham</t>
        </is>
      </c>
      <c r="D35" t="inlineStr">
        <is>
          <t>linkedin</t>
        </is>
      </c>
      <c r="E35" t="inlineStr"/>
      <c r="F35" t="inlineStr"/>
      <c r="G35" t="inlineStr">
        <is>
          <t>Orange County, CA</t>
        </is>
      </c>
      <c r="H35" t="inlineStr"/>
      <c r="I35" t="inlineStr">
        <is>
          <t>**SENIOR DATA PLATFORM ENGINEER – REAL\-TIME SYSTEMS FOCUS** 
**ORANGE COUNTY, CALIFORNIA** 
**$160,000 – $180,000 BASE \+ EQUITY \+ FULL BENEFITS** 
**The Opportunity** 
 We’re partnering with a rapidly scaling, mission\-driven technology organization to hire a Senior Data Platform Engineer to architect and scale the real\-time data backbone powering advanced hardware and manufacturing systems. This is a systems\-level role focused on building and modernizing a large\-scale platform that supports real\-time telemetry, factory operations, and mission\-critical infrastructure. You’ll play a key role in improving reliability, scalability, and architectural direction during a major manufacturing expansion. This is a high\-impact, high\-ownership IC position with meaningful influence over technical decisions.
**The Engineering Environment** 
 The team operates in a deeply technical, product\-driven engineering culture focused on:
* Real\-time streaming data systems (Kafka / Flink)
* Large\-scale data lake architecture and modernization
* Backend services built on top of distributed data platforms
* Highly reliable, fault\-tolerant infrastructure
* Secure deployments across constrained environments
* Modern software engineering and distributed systems best practices
 Approximately:
* 70% new platform build\-out
* 30% scaling, hardening, and reliability improvements
**What You’ll Be Working On** 
* Design and implement real\-time streaming pipelines delivering sub\-minute latency telemetry
* Modernize and evolve large\-scale data lake architecture
* Build backend data services that power hardware and manufacturing systems
* Architect scalable, distributed systems with strong reliability and observability
* Reduce architectural bottlenecks and drive platform\-level technical decisions
* Collaborate closely with analytics, hardware, and cross\-functional engineering teams
* Improve SLAs, monitoring, fault tolerance, and long\-term scalability
**What We’re Looking For** 
* 6–8\+ years of software engineering experience
* Strong background in distributed systems and backend architecture
* Experience building and evolving data platforms or data lakes
* Python
* SQL
* Java or Scala
* Spark
* Kafka or Flink
* Proven experience designing streaming or batch data systems
* Demonstrated ownership of architectural decisions and platform reliability
**Why This Role** 
* Opportunity to architect and scale real\-time systems powering physical operations
* High ownership and influence over platform direction
* Mission\-driven, real\-world impact work
* Full benefits (medical, dental, vision, 401k, PTO, holidays)</t>
        </is>
      </c>
    </row>
    <row r="36">
      <c r="A36" t="inlineStr">
        <is>
          <t>li-4377915043</t>
        </is>
      </c>
      <c r="B36" t="inlineStr">
        <is>
          <t>Senior Data Engineer</t>
        </is>
      </c>
      <c r="C36" t="inlineStr">
        <is>
          <t>Soni</t>
        </is>
      </c>
      <c r="D36" t="inlineStr">
        <is>
          <t>linkedin</t>
        </is>
      </c>
      <c r="E36" t="inlineStr"/>
      <c r="F36" t="inlineStr"/>
      <c r="G36" t="inlineStr">
        <is>
          <t>Cherry Hill, NJ</t>
        </is>
      </c>
      <c r="H36" t="inlineStr"/>
      <c r="I36" t="inlineStr">
        <is>
          <t>We’re seeking a Sr. Software Engineer – Data \&amp; BI to design, develop, and optimize scalable cloud\-based data pipelines and analytics solutions using Azure Data Factory, Databricks, and Lakehouse architecture. This role partners closely with business teams to translate data needs into high\-quality, secure, and scalable solutions while supporting Power BI reporting initiatives.
**Key Responsibilities:** 
* Design, build, and maintain ETL/ELT pipelines with ADF and Databricks, including complex transformations using PySpark.
* Integrate data from cloud and on\-prem systems, APIs, CRM, and telematics sources.
* Develop robust data models, schemas, and curated datasets optimized for analytics and BI.
* Maintain data governance, security, and lineage using Unity Catalog.
* Collaborate with business partners to gather requirements and translate into scalable solutions.
* Build and maintain Power BI dashboards; optimize datasets for reporting and KPI tracking.
* Contribute to version control, CI/CD, and deployment best practices.
* Mentor junior engineers and troubleshoot pipeline or infrastructure issues.
**Required Skills:** 
* Expertise in Azure Data Factory, Databricks, PySpark, Azure Data Lake, and Lakehouse architecture.
* Strong Python and SQL skills; experience with diverse data source integration.
* Understanding of BI concepts and Power BI fundamentals.
* Excellent collaboration, communication, and problem\-solving skills.
**Preferred Skills:** 
* Power BI dashboard creation and DAX/Power Query experience.
* Familiarity with Azure Synapse, Microsoft Fabric, and IaC tools (ARM, Terraform).
**Qualifications:** 
* Bachelor’s in Computer Science, Information Systems, Engineering, or related field.
* 6–8 years of experience in data engineering, analytics engineering, or cloud data roles.
**Compensation:** 
 $110,000 to $125,000 annually
*Compensation is based on a range of factors that include relevant experience, knowledge, skills, other job\-related qualifications* 
 .</t>
        </is>
      </c>
    </row>
    <row r="37">
      <c r="A37" t="inlineStr">
        <is>
          <t>li-4379917248</t>
        </is>
      </c>
      <c r="B37" t="inlineStr">
        <is>
          <t>Data Engineer II, UTR PLanning Tech</t>
        </is>
      </c>
      <c r="C37" t="inlineStr">
        <is>
          <t>Amazon</t>
        </is>
      </c>
      <c r="D37" t="inlineStr">
        <is>
          <t>linkedin</t>
        </is>
      </c>
      <c r="E37" t="inlineStr"/>
      <c r="F37" t="inlineStr"/>
      <c r="G37" t="inlineStr">
        <is>
          <t>Austin, TX</t>
        </is>
      </c>
      <c r="H37" t="inlineStr"/>
      <c r="I37" t="inlineStr">
        <is>
          <t>**Description**
 UTR Planning Tech builds the data infrastructure that powers labor planning across 12 Amazon last\-mile and sort\-center business lines. Our pipelines feed the planning systems that determine how Amazon staffs its delivery network, serving hundreds of sites and processing millions of data points daily.
 Our team is shifting from hand\-coded, custom pipelines to an AI\-native approach. We are building reusable frameworks where engineers and business users define what they need through configurations and natural language instead of writing custom code for every use case. AI agents handle orchestration, validation, and deployment. We are early in this transformation, which means you will not inherit a finished system. You will help define how we build, what patterns we standardize, and how AI fits into data engineering workflows. If you want to learn fast and have a hand in shaping the way a team works, this is that opportunity.
 We are hiring an L5 Data Engineer to own significant portions of our data architecture, drive the design of AI\-powered frameworks, and deliver data solutions that directly impact planning accuracy across Amazon's delivery network.
 Key job responsibilities
* Design and own logical and physical data models for major datasets in the team's architecture. Create coherent models that drive physical design and serve multiple downstream consumers.
* Build and optimize ETL pipelines for complex datasets using AWS services (Redshift, S3, EMR, Glue, Lambda, Athena) and Python\-based orchestration (Airflow/MWAA). Your solutions will be testable, maintainable, and efficient.
* Design and build configuration\-driven data frameworks that replace repetitive custom code with reusable, declarative patterns for ingestion, transformation, and metric curation. Own the design of these frameworks, not just the implementation.
* Build AI agent tooling and MCP\-based interfaces that allow conversational agents to generate SQL, validate configurations, manage data quality rules, and execute pipeline operations through natural language.
* Own ongoing data quality for datasets you build. Implement standardized data contracts, define SLAs, establish data certification processes, and automate manual quality processes.
* Work with planning scientists, software engineers, BI engineers, and product managers to balance customer requirements with technical requirements. Help shape what we build, not just how.
* Improve self\-service access to data. Build analytical data models and tooling that reduce dependency on the DE team for common data access patterns.
* Improve engineering processes: automate manual operations, establish monitoring and alerting standards, and drive code quality and dependency management practices.
* Mentor engineers and interns. Train new team members on how team data solutions are constructed, how they operate, and how they fit into the broader architecture.
* Participate in the interview process and help recruit for the team.
**Basic Qualifications**
* 3\+ years of data engineering experience
* 1\+ years of developing and operating large\-scale data structures for business intelligence analytics using ETL/ELT processes experience
* 1\+ years of developing and operating large\-scale data structures for business intelligence analytics using OLAP technologies experience
* 1\+ years of developing and operating large\-scale data structures for business intelligence analytics using data modeling experience
* 1\+ years of developing and operating large\-scale data structures for business intelligence analytics using SQL experience
* 1\+ years of developing and operating large\-scale data structures for business intelligence analytics using Oracle experience
* Experience with data modeling, warehousing and building ETL pipelines
**Preferred Qualifications**
* Experience with AWS technologies like Redshift, S3, AWS Glue, EMR, Kinesis, FireHose, Lambda, and IAM roles and permissions
* Experience with non\-relational databases / data stores (object storage, document or key\-value stores, graph databases, column\-family databases)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TN, Nashville \- 125,500\.00 \- 169,800\.00 USD annually
 USA, TX, Austin \- 132,100\.00 \- 178,800\.00 USD annually
 USA, WA, Bellevue \- 132,100\.00 \- 178,800\.00 USD annually
**Company** 
 \- Amazon.com Services LLC
 Job ID: A3190311</t>
        </is>
      </c>
    </row>
    <row r="38">
      <c r="A38" t="inlineStr">
        <is>
          <t>li-4378472671</t>
        </is>
      </c>
      <c r="B38" t="inlineStr">
        <is>
          <t>Data Scientist (Big Data Engineer) 2 (C0022)</t>
        </is>
      </c>
      <c r="C38" t="inlineStr">
        <is>
          <t>Jobs via Dice</t>
        </is>
      </c>
      <c r="D38" t="inlineStr">
        <is>
          <t>linkedin</t>
        </is>
      </c>
      <c r="E38" t="inlineStr"/>
      <c r="F38" t="inlineStr"/>
      <c r="G38" t="inlineStr"/>
      <c r="H38" t="inlineStr"/>
      <c r="I38" t="inlineStr">
        <is>
          <t>Dice is the leading career destination for tech experts at every stage of their careers. Our client, Connect Tech\+Talent, is seeking the following. Apply via Dice today!
 Data Scientist (Big Data Engineer) 2 (C0022\)
 Telework
 5 Months Contract
**Required**
 4 Years \- Implement ETL/ELT workflows for both structured and unstructured data
 4 Years \- Automate deployments using CI/CD tools
 4 Years \- Collaborate with cross\-functional teams including data scientists, analysts, and stakeholders
 4 Years \- Design and maintain data models, schemas, and database structures to support analytical and operational use cases
 4 Years \- Evaluate and implement appropriate data storage solutions, including data lakes (Azure Data Lake Storage) and data warehouses
 4 Years \- Implement data validation and quality checks to ensure accuracy and consistency
 4 Years \- Contribute to data governance initiatives, including metadata management, data lineage, and data cataloging
 4 Years \- Implement data security measures, including encryption, access controls, and auditing; ensure compliance with regulations and best practices
 4 Years \- Proficiency in Python and R programming languages
 4 Years \- Strong SQL querying and data manipulation skills
 4 Years \- Experience with Azure cloud platform
 4 Years \- Experience with DevOps, CI/CD pipelines, and version control systems
 4 Years \- Working in agile, multicultural environments
 4 Years \- Strong troubleshooting and debugging capabilities
 3 Years \- Design and develop scalable data pipelines using Apache Spark on Databricks
 3 Years \- Optimize Spark jobs for performance and cost\-efficiency
 3 Years \- Integrate Databricks solutions with cloud services (Azure Data Factory)
 3 Years \- Ensure data quality, governance, and security using Unity Catalog or Delta Lake
 3 Years \- Deep understanding of Apache Spark architecture, RDDs, DataFrames, and Spark SQL
 3 Years \- Hands\-on experience with Databricks notebooks, clusters, jobs, and Delta Lake
**Preferred**
 1 Year \- Knowledge of ML libraries (MLflow, Scikit\-learn, TensorFlow)
 1 Year \- Databricks Certified Associate Developer for Apache Spark
 1 Year \- Azure Data Engineer Associate</t>
        </is>
      </c>
    </row>
    <row r="39">
      <c r="A39" t="inlineStr">
        <is>
          <t>li-4363231418</t>
        </is>
      </c>
      <c r="B39" t="inlineStr">
        <is>
          <t>Sr. Data Engineer - MFS Investment Management</t>
        </is>
      </c>
      <c r="C39" t="inlineStr">
        <is>
          <t>Jobs via eFinancialCareers</t>
        </is>
      </c>
      <c r="D39" t="inlineStr">
        <is>
          <t>linkedin</t>
        </is>
      </c>
      <c r="E39" t="inlineStr"/>
      <c r="F39" t="inlineStr"/>
      <c r="G39" t="inlineStr">
        <is>
          <t>Boston, MA</t>
        </is>
      </c>
      <c r="H39" t="inlineStr"/>
      <c r="I39" t="inlineStr">
        <is>
          <t>At MFS, you will find a culture that supports you in doing what you do best. Our employees work together to reach better outcomes, favoring the strongest idea over the strongest individual. We put people first and demonstrate care and compassion for our community and each other. Because what we do matters \- to us as valued professionals and to the millions of people and institutions who rely on us to help them build more secure and prosperous futures.
**THE ROLE**
 The Sr. Data Engineer will play a critical role in enhancing and maintaining a data platform for execution and operations research within the trading department. The candidate will be working as a part of a team of Quantitative Trading Strategists to store new data sets, ensure reliability of data pipelines, build out additional capabilities across multiple asset classes. The Sr. Data Engineer will work across vendors and internal teams to ensure seamless, scalable data flows are built in an accessible way throughout the trading ecosystem.
**What You Will Do**
* Design, build, and maintain scalable data pipelines to ingest data from numerous sources.
* Proactively and independently work to enhance reliability of data capture.
* Collaborate with team to develop processes to transform raw data into more usable data sets.
* Find and action opportunities for automation in analytics production.
* Implement robust data quality checks and enhance monitoring for data pipelines.
* Partner with Quantitative Trading Strategists to improve current platform capabilities and performance.
**WHAT WE ARE LOOKING FOR**
* Bachelor's degree in Computer Science or Engineering, with a focus on software engineering. Knowledge of data science or statistics is beneficial.
* Minimum of three to five years of experience in a data intensive field.
* Experience with Python, KDB/Q or other programming languages with a focus on interfacing with high volume data.
* Experience working with large data sets, structured and unstructured
* Experience with data visualization and concepts around display of data
* Equity and fixed income quantitative background, market structure knowledge, plus experience with trading processes and/or transaction cost analysis (TCA).
* Ability to work independently and proactively generate project ideas.
* Strong interpersonal and communication skills.
* Some international travel.
 Base Salary Range: $ 95,500 \- $ 137,500
 This position is eligible for competitive incentive bonus.
 At MFS, we believe in fair and transparent compensation. For that reason, we're including the salary range for this position. This range reflects our good\-faith expectation for what we'll pay depending on the candidate's experience, training and education. In addition to the salary, we also offer significant and competitive incentive compensation based on both individual and company performance. Other components of our Total Rewards Package include:
* MFS contributes an amount equal to 15% of your base salary to your retirement account that is separate from the company \-sponsored 401(k)
* Education Assistance: MFS contributes $100 monthly up to $10,000 lifetime maximum directly to loan provider
* Education Assistance: Tuition reimbursement up to $8,000 annually
* Education Assistance: Access to discounted tutors and college coaches
* Generous time off and fully paid leaves including 20\-weeks for maternity, 12\-weeks for parental and caregiver leaves
* Choice of medical and dental plans and an and an employer contribution into the Health Savings Account
* Tax deferred commuter benefits \&amp; flexible spending accounts (medical \&amp; dependent care)
* Wellness Programs: Robust wellness webinars, employee assistance program with a focus on mental health, subsidized fitness benefit via Wellhub (formerly Gympass), where you can workout at gyms, studios and boutique fitness locations near you, join virtual personal training sessions and access a wide variety of well\-being apps
 Our compensation philosophy is to pay competitively for talent while ensuring equity across employees performing comparable work. We are committed to transparency \- if you have questions about how we arrived at this range or what additional benefits and bonus opportunities come with the role, we'll be happy to discuss them
 At MFS, we are dedicated to building a diverse, inclusive and authentic workplace. If you are excited about this role but your past experience doesn't align perfectly, we encourage you to apply \- you might be just the right candidate for this role or others.
 MFS is a
 **hybrid work environment** 
 (remote/onsite) unless otherwise stated in the job posting.
 If any applicant is unable to complete an application or respond to a job opening because of a disability, please contact MFS at 617\-954\-5000 or email talent\_acquisition@mfs.com for assistance.
 MFS is an Equal Opportunity Employer and it is our policy to not discriminate against any employee or applicant for employment because of race, color, religion, sex, national origin, age, marital status, sexual orientation, gender identity, genetic information, disability, veteran status, or any other status protected by federal, state or local laws. Employees and applicants of MFS will not be subject to harassment on the basis of their status. Additionally, retaliation, including intimidation, threats, or coercion, because an employee or applicant has objected to discrimination, engaged or may engage in filing a complaint, assisted in a review, investigation, or hearing or have otherwise sought to obtain their legal rights under any Federal, State, or local EEO law is prohibited. Please see the Know Your Rights: Workplace Discrimination is Illegal document, linked for your reference.</t>
        </is>
      </c>
    </row>
    <row r="40">
      <c r="A40" t="inlineStr">
        <is>
          <t>li-4377722703</t>
        </is>
      </c>
      <c r="B40" t="inlineStr">
        <is>
          <t>Lead Data Engineer with Palantir !!! Jersey City, NJ</t>
        </is>
      </c>
      <c r="C40" t="inlineStr">
        <is>
          <t>Jobs via Dice</t>
        </is>
      </c>
      <c r="D40" t="inlineStr">
        <is>
          <t>linkedin</t>
        </is>
      </c>
      <c r="E40" t="inlineStr"/>
      <c r="F40" t="inlineStr"/>
      <c r="G40" t="inlineStr">
        <is>
          <t>Jersey City, NJ</t>
        </is>
      </c>
      <c r="H40" t="inlineStr"/>
      <c r="I40" t="inlineStr">
        <is>
          <t>Dice is the leading career destination for tech experts at every stage of their careers. Our client, Marici Solutions, is seeking the following. Apply via Dice today!
**Job Title:**
**Data Engineer Palantir \&amp; PySpark**
**Experience: 6 10 Years**
**Location : Jersey City, MJ**
**Client Industry: Reinsurance**
**Duration: 6 Months C2H**
 experience in
 **Reinsurance domain**
**Job Summary:**
 We are seeking a highly skilled Data Engineer with hands\-on experience in Palantir (Foundry preferred), PySpark, and exposure to reinsurance or insurance data environments. The ideal candidate will play a key role in building scalable data pipelines, optimizing ETL workflows, and enabling advanced analytics and reporting capabilities. This role requires a strong technical foundation in data engineering combined with an understanding of the reinsurance business domain.
**Key Responsibilities:**
* Design, develop, and maintain data pipelines and ETL workflows using PySpark, SQL, and Palantir Foundry.
* Collaborate with data architects, business analysts, and actuarial teams to understand reinsurance data models and transform complex datasets into usable formats.
* Build and optimize data ingestion, transformation, and validation processes to support analytical and reporting use cases.
* Work within the Palantir Foundry platform to design robust workflows, manage datasets, and ensure efficient data lineage and governance.
* Ensure data security, compliance, and governance in line with industry and client standards.
* Identify opportunities for automation and process improvement across data systems and integrations.
**Required Skills \&amp; Qualifications:**
* 6 10 years of overall experience in data engineering roles.
* Strong hands\-on expertise in PySpark (dataframes, RDDs, performance optimization).
* Proven experience working with Palantir Foundry or similar data integration platforms.
* Good understanding of reinsurance including exposure, claims, and policy data structures.
* Proficiency in SQL, Python, and working with large datasets in distributed environments.
* Experience with cloud platforms (AWS, Azure, or Google Cloud Platform) and related data services (e.g., S3, Snowflake, Databricks).
* Knowledge of data modeling, metadata management, and data governance frameworks.
* Familiarity with CI/CD pipelines, version control (Git), and Agile delivery methodologies.
**Preferred Skills:**
* Experience with data warehousing and reporting modernization projects in the reinsurance domain.
* Exposure to Palantir ontology design and data operationalization.
* Working knowledge of APIs, REST services, and event\-driven architecture.
* Understanding of actuarial data flows, submission processes, and underwriting analytics is a plus.
**Best Regards,**
 Rakesh Sharma
 E\-mail:
 Hangout:
 Web:</t>
        </is>
      </c>
    </row>
    <row r="41">
      <c r="A41" t="inlineStr">
        <is>
          <t>li-4309180616</t>
        </is>
      </c>
      <c r="B41" t="inlineStr">
        <is>
          <t>Associate Director, Data Engineering</t>
        </is>
      </c>
      <c r="C41" t="inlineStr">
        <is>
          <t>S&amp;P Global</t>
        </is>
      </c>
      <c r="D41" t="inlineStr">
        <is>
          <t>linkedin</t>
        </is>
      </c>
      <c r="E41" t="inlineStr"/>
      <c r="F41" t="inlineStr"/>
      <c r="G41" t="inlineStr">
        <is>
          <t>New York, NY</t>
        </is>
      </c>
      <c r="H41" t="inlineStr"/>
      <c r="I41" t="inlineStr">
        <is>
          <t>**About The Role**
**Grade Level (for internal use):**
 12
**Job Description**
 S\&amp;P Dow Jones Indices is seeking a Sr. Lead Data Engineer with expertise in Databricks/AWS EMR and distributed big data processing technologies to be a key player in the implementation and support of data platforms for S\&amp;P Dow Jones Indices. This role requires a seasoned technologist who contributes to application development and maintenance. The candidate should actively evaluate new products and technologies to build solutions that streamline business operations. The candidate must be delivery\-focused with solid financial applications experience. The candidate will assist in day\-to\-day support and operations functions, design, development, and unit testing.
**Responsibilities And Impact**
* Lead the design and implementation of distributed data processing workloads using Python, including data access from relational databases and cloud storage technologies.
* Ensure performance, security, and reliability; coordinate with application teams to define database design.
* Collaborate with cross\-functional teams to support data\-driven initiatives.
* Mentor junior team members and promote best practices.
* Oversee maintenance and troubleshooting of distributed data processing systems.
* Drive innovation by evaluating and integrating new technologies.
* Produce system design documents and participate in technical walkthroughs.
* Perform application and system performance tuning and troubleshoot performance issues.
* Effectively interact with global customers, business users, and IT staff.
**Compensation/Benefits Information (US Applicants Only)**
 S\&amp;P Global states that the anticipated base salary range for this position is $127,000 \- $185,000\. The final base salary for this role will be based on the individual’s geographic location, experience level, skill set, training, licenses, and certifications.
 In addition to base compensation, this role is eligible for an annual incentive plan. This role is eligible to receive additional S\&amp;P Global benefits. For more information on the benefits that we provide to our employees, please click here.
**What We’re Looking For**
**Basic Required Qualifications:**
* Bachelor’s degree in Computer Science, Information Systems, Engineering, or equivalent work experience.
* 10\+ years of IT experience in application support or development.
* Design \&amp; build ingestion pipelines using ETL/ELT and schema\-on\-read in data lake technologies.
* Experience in designing transactional systems, data warehouses, data lakes, and data integrations within a big data ecosystem, particularly leveraging cloud technologies.
* Provide technical expertise in the design and implementation of data ingestion pipelines with modern AWS cloud and other technologies such as S3, Hive, Databricks, Scala, Python, and large\-scale data analytics tools.
* Strong experience in managing distributed data processing workloads, including configurations.
* Experience in working with multi\-threaded, high\-performance, low\-latency messaging systems.
* Experience in AWS cloud\-based technologies.
* Experience using system tools, source control systems, utilities, and third\-party products.
* Excellent communication skills, with strong verbal and writing proficiencies.
**Additional Preferred Qualifications**
* Proficiency in building data analytics solutions on AWS Cloud.
* Thorough understanding of replication strategies and implementation of high\-availability protocols for 99\.99% uptime.
* Experience with implementation of data governance and data lineage.
* Proficiency in implementing data models in SQL and NoSQL databases.
* Experience with financial applications such as Index/Benchmarks, Asset Management, Portfolio Investment modeling, or trading systems.
* Experience with microservice and serverless architecture implementation.
**About S\&amp;P Global Dow Jones Indices**
 At S\&amp;P Dow Jones Indices, we provide iconic and innovative index solutions backed by unparalleled expertise across the asset\-class spectrum. By bringing transparency to the global capital markets, we empower investors everywhere to make decisions with conviction. We’re the largest global resource for index\-based concepts, data and research, and home to iconic financial market indicators, such as the S\&amp;P 500® and the Dow Jones Industrial Average®. More assets are invested in products based upon our indices than any other index provider in the world. With over USD 7\.4 trillion in passively managed assets linked to our indices and over USD 11\.3 trillion benchmarked to our indices, our solutions are widely considered indispensable in tracking market performance, evaluating portfolios and developing investment strategies.
 S\&amp;P Dow Jones Indices is a division of S\&amp;P Global (NYSE: SPGI). S\&amp;P Global is the world’s foremost provider of credit ratings, benchmarks, analytics and workflow solutions in the global capital, commodity and automotive markets. With every one of our offerings, we help many of the world’s leading organizations navigate the economic landscape so they can plan for tomorrow, today. For more information, visit www.spglobal.com/spdji.
**What’s In It For** 
**You?**
**Our Mission**
 Advancing Essential Intelligence.
**Our People**
 We're more than 35,000 strong worldwide—so we're able to understand nuances while having a broad perspective. Our team is driven by curiosity and a shared belief that Essential Intelligence can help build a more prosperous future for us all.From finding new ways to measure sustainability to analyzing energy transition across the supply chain to building workflow solutions that make it easy to tap into insight and apply it. We are changing the way people see things and empowering them to make an impact on the world we live in. We’re committed to a more equitable future and to helping our customers find new, sustainable ways of doing business. Join us and help create the critical insights that truly make a difference.
**Our Values**
**Integrity, Discovery, Partnership**
 Throughout our history, the world's leading organizations have relied on us for the Essential Intelligence they need to make confident decisions about the road ahead. We start with a foundation of integrity in all we do, bring a spirit of discovery to our work, and collaborate in close partnership with each other and our customers to achieve shared goals.
**Benefits**
 We take care of you, so you can take care of business. We care about our people. That’s why we provide everything you—and your career—need to thrive at S\&amp;P Global.
**Our Benefits Include**
* Health \&amp; Wellness: Health care coverage designed for the mind and body.
* Flexible Downtime: Generous time off helps keep you energized for your time on.
* Continuous Learning: Access a wealth of resources to grow your career and learn valuable new skills.
* Invest in Your Future: Secure your financial future through competitive pay, retirement planning, a continuing education program with a company\-matched student loan contribution, and financial wellness programs.
* Family Friendly Perks: It’s not just about you. S\&amp;P Global has perks for your partners and little ones, too, with some best\-in class benefits for families.
* Beyond the Basics: From retail discounts to referral incentive awards—small perks can make a big difference.
 For more information on benefits by country visit: https://spgbenefits.com/benefit\-summaries
**Global Hiring And Opportunity At S\&amp;P Global**
 At S\&amp;P Global, we are committed to fostering a connected and engaged workplace where all individuals have access to opportunities based on their skills, experience, and contributions. Our hiring practices emphasize fairness, transparency, and merit, ensuring that we attract and retain top talent. By valuing different perspectives and promoting a culture of respect and collaboration, we drive innovation and power global markets.
**Recruitment Fraud Alert**
 If you receive an email from a spglobalind.com domain or any other regionally based domains, it is a scam and should be reported to reportfraud@spglobal.com. S\&amp;P Global never requires any candidate to pay money for job applications, interviews, offer letters, “pre\-employment training” or for equipment/delivery of equipment. Stay informed and protect yourself from recruitment fraud by reviewing our guidelines, fraudulent domains, and how to report suspicious activity here.
**Equal Opportunity Employer**
 S\&amp;P Global is an equal opportunity employer and all qualified candidates will receive consideration for employment without regard to race/ethnicity, color, religion, sex, sexual orientation, gender identity, national origin, age, disability, marital status, military veteran status, unemployment status, or any other status protected by law. Only electronic job submissions will be considered for employment.
 If you need an accommodation during the application process due to a disability, please send an email to: EEO.Compliance@spglobal.com and your request will be forwarded to the appropriate person.
**US Candidates Only:** 
 The EEO is the Law Poster http://www.dol.gov/ofccp/regs/compliance/posters/pdf/eeopost.pdf describes discrimination protections under federal law. Pay Transparency Nondiscrimination Provision \- https://www.dol.gov/sites/dolgov/files/ofccp/pdf/pay\-transp\_%20English\_formattedESQA508c.pdf
 20 \- Professional (EEO\-2 Job Categories\-United States of America), IFTECH202\.2 \- Middle Professional Tier II (EEO Job Group), SWP Priority – Ratings \- (Strategic Workforce Planning)
**Job ID:** 
 319885
**Posted On:** 
 2026\-01\-15
**Location:** 
 New York, New York, United States</t>
        </is>
      </c>
    </row>
    <row r="42">
      <c r="A42" t="inlineStr">
        <is>
          <t>li-4363727212</t>
        </is>
      </c>
      <c r="B42" t="inlineStr">
        <is>
          <t>Lead Data Engineer</t>
        </is>
      </c>
      <c r="C42" t="inlineStr">
        <is>
          <t>Capital One</t>
        </is>
      </c>
      <c r="D42" t="inlineStr">
        <is>
          <t>linkedin</t>
        </is>
      </c>
      <c r="E42" t="inlineStr"/>
      <c r="F42" t="inlineStr"/>
      <c r="G42" t="inlineStr">
        <is>
          <t>Richmond, VA</t>
        </is>
      </c>
      <c r="H42" t="inlineStr"/>
      <c r="I42" t="inlineStr">
        <is>
          <t>Do you love building and pioneering in the technology space? Do you enjoy solving complex business problems in a fast\-paced, collaborative, inclusive, and iterative delivery environment? At Capital One, you'll be part of a big group of makers, breakers, doers and disruptors, who solve real problems and meet real customer needs. We are seeking Data Engineers who are passionate about marrying data with emerging technologies. As a Capital One Lead Data Engineer, you’ll have the opportunity to be on the forefront of driving a major transformation within Capital One.
**What You’ll Do:**
* Collaborate with and across Agile teams to design, develop, test, implement, and support technical solutions in full\-stack development tools and technologies
* Work with a team of developers with deep experience in machine learning, distributed microservices, and full stack systems
* Utilize programming languages like Java, Scala, Python and Open Source RDBMS and NoSQL databases and Cloud based data warehousing services such as Redshift and Snowflake
* Share your passion for staying on top of tech trends, experimenting with and learning new technologies, participating in internal \&amp; external technology communities, and mentoring other members of the engineering community
* Collaborate with digital product managers, and deliver robust cloud\-based solutions that drive powerful experiences to help millions of Americans achieve financial empowerment
* Perform unit tests and conduct reviews with other team members to make sure your code is rigorously designed, elegantly coded, and effectively tuned for performance
**Basic Qualifications:**
* Bachelor’s Degree
* At least 4 years of experience in application development (Internship experience does not apply)
* At least 2 years of experience in big data technologies
* At least 1 year experience with cloud computing (AWS, Microsoft Azure, Google Cloud)
**Preferred Qualifications:**
* 7\+ years of experience in application development including Python, SQL, Scala, or Java
* 4\+ years of experience with a public cloud (AWS, Microsoft Azure, Google Cloud)
* 4\+ years experience with Distributed data/computing tools (MapReduce, Hadoop, Hive, EMR, Kafka, Spark, Gurobi, or MySQL)
* 4\+ year experience working on real\-time data and streaming applications
* 4\+ years of experience with NoSQL implementation (Mongo, Cassandra)
* 4\+ years of data warehousing experience (Redshift or Snowflake)
* 4\+ years of experience with UNIX/Linux including basic commands and shell scripting
* 2\+ years of experience with Agile engineering practices
***At this time, Capital One will not sponsor a new applicant for employment authorization, or offer any immigration related support for this position (i.e. H1B, F\-1 OPT, F\-1 STEM OPT, F\-1 CPT, J\-1, TN, E\-2, E\-3, L\-1 and O\-1, or any EADs or other forms of work authorization that require immigration support from an employer).***
 The minimum and maximum full\-time annual salaries for this role are listed below, by location. Please note that this salary information is solely for candidates hired to perform work within one of these locations, and refers to the amount Capital One is willing to pay at the time of this posting. Salaries for part\-time roles will be prorated based upon the agreed upon number of hours to be regularly worked.
 Chicago, IL: $179,400 \- $204,700 for Lead Data Engineer
 McLean, VA: $197,300 \- $225,100 for Lead Data Engineer
 Richmond, VA: $179,400 \- $204,700 for Lead Data Engineer
 Riverwoods, IL: $179,400 \- $204,700 for Lead Data Engineer
 Candidates hired to work in other locations will be subject to the pay range associated with that location, and the actual annualized salary amount offered to any candidate at the time of hire will be reflected solely in the candidate’s offer letter.
 This role is also eligible to earn performance based incentive compensation, which may include cash bonus(es) and/or long term incentives (LTI). Incentives could be discretionary or non discretionary depending on the plan.
 Capital One offers a comprehensive, competitive, and inclusive set of health, financial and other benefits that support your total well\-being. Learn more at the Capital One Careers website. Eligibility varies based on full or part\-time status, exempt or non\-exempt status, and management level.
 This role is expected to accept applications for a minimum of 5 business days.
 No agencies please. Capital One is an equal opportunity employer (EOE, including disability/vet) committed to non\-discrimination in compliance with applicable federal, state, and local laws. Capital One promotes a drug\-free workplace. Capital One will consider for employment qualified applicants with a criminal history in a manner consistent with the requirements of applicable laws regarding criminal background inquiries, including, to the extent applicable, Article 23\-A of the New York Correction Law; San Francisco, California Police Code Article 49, Sections 4901\-4920; New York City’s Fair Chance Act; Philadelphia’s Fair Criminal Records Screening Act; and other applicable federal, state, and local laws and regulations regarding criminal background inquiries.
 If you have visited our website in search of information on employment opportunities or to apply for a position, and you require an accommodation, please contact Capital One Recruiting at 1\-800\-304\-9102 or via email at RecruitingAccommodation@capitalone.com. All information you provide will be kept confidential and will be used only to the extent required to provide needed reasonable accommodations.
 For technical support or questions about Capital One's recruiting process, please send an email to Careers@capitalone.com
 Capital One does not provide, endorse nor guarantee and is not liable for third\-party products, services, educational tools or other information available through this site.
 Capital One Financial is made up of several different entities. Please note that any position posted in Canada is for Capital One Canada, any position posted in the United Kingdom is for Capital One Europe and any position posted in the Philippines is for Capital One Philippines Service Corp. (COPSSC).</t>
        </is>
      </c>
    </row>
    <row r="43">
      <c r="A43" t="inlineStr">
        <is>
          <t>li-4378834918</t>
        </is>
      </c>
      <c r="B43" t="inlineStr">
        <is>
          <t>Senior Analytics Engineer</t>
        </is>
      </c>
      <c r="C43" t="inlineStr">
        <is>
          <t>Monzo Bank</t>
        </is>
      </c>
      <c r="D43" t="inlineStr">
        <is>
          <t>linkedin</t>
        </is>
      </c>
      <c r="E43" t="inlineStr"/>
      <c r="F43" t="inlineStr"/>
      <c r="G43" t="inlineStr">
        <is>
          <t>New York, NY</t>
        </is>
      </c>
      <c r="H43" t="inlineStr"/>
      <c r="I43" t="inlineStr">
        <is>
          <t>***🚀 We're on a mission to make money work for everyone.***
 We're waving goodbye to the complicated and confusing ways of traditional banking.
 After starting as a prepaid card, our product offering has grown a lot in the last 10 years in the UK. As well as personal and business bank accounts, we offer joint accounts, accounts for 16\-17 year olds, a free kids account and credit cards in the UK, with more exciting things to come beyond. Our UK customers can also save, invest and combine their pensions with us.
 With our hot coral cards and get\-paid\-early feature, combined with financial education on social media and our award winning customer service, we have a long history of creating magical moments for our customers!
 We're not about selling products \- we want to solve problems and change lives through Monzo ❤️
**🏦 About Monzo**
 Monzo's mission is to make money work for everyone. We're building a new kind of bank—one that lives on your smartphone and helps you take control of your finances. Our passion for transparency has helped us build a loyal following in the UK of over 13 million customers, and we're looking to bring Monzo magic to the US. This is your chance to be part of a new team, building a Neobank from the ground up.
**🚀 The Role**
 We're looking for the
 **first Analytics Engineer** 
 to join Monzo's US expansion team. This is a critical strategic and technical role where you'll shape the data foundation for our entire US business.
 We need someone who can effectively build on top of Monzo's global data infrastructure, and who has the expert judgment to determine when we can leverage existing data models vs. when we truly need bespoke modeling for the US.
 Your work will directly multiply the productivity of our US data team by empowering Data Analysts and Data Scientists, and it could pave the way for any future worldwide expansion.
**💻 What you'll be doing**
* **Architect the US Data Foundation:** 
 You will own the US data model from end\-to\-end, identifying gaps and building the roadmap to fill them in collaboration with our SF\-based Lead Data Scientist.
* **Make the Critical Calls:** 
 You will be the expert voice, deciding when to leverage Monzo's global models and when to build new, US\-specific solutions.
* **Bridge the Atlantic:** 
 Work closely with our brilliant global AE team (UK) to ship data modeling improvements that benefit the US market and the entire company.
* **Build the US\-Specific Stack:** 
 Design, build, and maintain the robust, scalable, and high\-quality data models that will power our US\-specific products and analytics.
* **Be the US Stack Expert:** 
 Act as the go\-to technical owner for dbt, data modeling, and our data stack for the entire US team.
**✅ You should apply if**
* **You are a true builder who thrives on autonomy.** 
 This is a "first" role. You'll be the only AE in the US, acting as a self\-starting architect, problem\-solver, and technical leader.
* **You are a dbt and SQL expert, period.** 
 You have deep, significant experience in data modeling, ELT/ETL, and building "data as a product." Advanced SQL is second nature.
* **You're a Git pro.** 
 You know how to use Git/Github to develop, review, and collaborate in a large, shared codebase.
* **You are a world\-class communicator.** 
 You can work effectively across timezones (US/UK) and translate complex technical concepts to any audience.
* **You have an unyielding bar for quality.** 
 You have a keen eye for detail and a deep\-seated commitment to data accuracy and reliability.
* **You're all\-in on the mission.** 
 You're genuinely excited to tackle the messy, high\-impact challenges of a new market and build a bank from the ground up.
**💡 Nice to haves**
* Experience with LookML (if you don't have this, a strong willingness to learn it is a must).
* Experience with Python for data manipulation or scripting.
* Experience working with orchestration frameworks such as Airflow.
**📍 Logistics**
* **Salary:** 
 $113\.5\-190\.8k \+ stock options.
* **Location:** 
 This role can be based in our New York or San Francisco offices, or fully remote anywhere in the United States.
* **Reporting:** 
 You will report to our Senior Manager of Data Science for Expansion, Dillon Kelly, who is based in London.
* **Visas:** 
 We are unable to offer visa sponsorship for this role at this time.
**Equal opportunities for everyone**
 Diversity and inclusion are a priority for us and we're making sure we have lots of support for all of our people to grow at Monzo. At Monzo, we're embracing diversity by fostering an inclusive environment for all people to do the best work of their lives with us. This is integral to our mission of making money work for everyone. You can read more in our blog, 2024 Diversity and Inclusion Report and 2024 Gender Pay Gap Report.
 We're an equal opportunity employer. All applicants will be considered for employment without attention to age, ethnicity, religion, sex, sexual orientation, gender identity, family or parental status, national origin, or veteran, neurodiversity or disability status.
 If you have a preferred name, please use it to apply. We don't need full or birth names at application stage 😊</t>
        </is>
      </c>
    </row>
    <row r="44">
      <c r="A44" t="inlineStr">
        <is>
          <t>li-4120830018</t>
        </is>
      </c>
      <c r="B44" t="inlineStr">
        <is>
          <t>Data Engineer, Product Analytics</t>
        </is>
      </c>
      <c r="C44" t="inlineStr">
        <is>
          <t>Meta</t>
        </is>
      </c>
      <c r="D44" t="inlineStr">
        <is>
          <t>linkedin</t>
        </is>
      </c>
      <c r="E44">
        <f>HYPERLINK("https://www.linkedin.com/jobs/view/4120830018", "https://www.linkedin.com/jobs/view/4120830018")</f>
        <v/>
      </c>
      <c r="F44" t="inlineStr"/>
      <c r="G44" t="inlineStr">
        <is>
          <t>Menlo Park, CA</t>
        </is>
      </c>
      <c r="H44" t="inlineStr"/>
      <c r="I44" t="inlineStr">
        <is>
          <t>As a Data Engineer at Meta, you will shape the future of people\-facing and business\-facing products we build across our entire family of applications (Facebook, Instagram, Messenger, WhatsApp, Reality Labs, Threads). Your technical skills and analytical mindset will be utilized designing and building some of the world's most extensive data sets, helping to craft experiences for billions of people and hundreds of millions of businesses worldwide.In this role, you will collaborate with software engineering, data science, and product management teams to design/build scalable data solutions across Meta to optimize growth, strategy, and user experience for our 3 billion plus users, as well as our internal employee community.You will be at the forefront of identifying and solving some of the most interesting data challenges at a scale few companies can match. By joining Meta, you will become part of a world\-class data engineering community dedicated to skill development and career growth in data engineering and beyond.Data Engineering: You will guide teams by building optimal data artifacts (including datasets and visualizations) to address key questions. You will refine our systems, design logging solutions, and create scalable data models. Ensuring data security and quality, and with a strong focus on efficiency, you will suggest architecture and development approaches and data management standards to address complex analytical problems.Product leadership: You will use data to shape product development, identify new opportunities, and tackle upcoming challenges. You'll ensure our products add value for users and businesses, by prioritizing projects, and driving innovative solutions to respond to challenges or opportunities.Communication and influence: You won't simply present data, but tell data\-driven stories. You will convince and influence your partners using clear insights and recommendations. You will build credibility through structure and clarity, and be a trusted strategic partner.
 Data Engineer, Product Analytics Responsibilities:
* Conceptualize and own the data architecture for multiple large\-scale projects, while evaluating design and operational cost\-benefit tradeoffs within systems
* Create and contribute to frameworks that improve the efficacy of logging data, while working with data infrastructure to triage issues and resolve
* Collaborate with engineers, product managers, and data scientists to understand data needs, representing key data insights in a meaningful way
* Define and manage Service Level Agreements for all data sets in allocated areas of ownership
* Determine and implement the security model based on privacy requirements, confirm safeguards are followed, address data quality issues, and evolve governance processes within allocated areas of ownership
* Design, build, and launch collections of sophisticated data models and visualizations that support multiple use cases across different products or domains
* Solve our most challenging data integration problems, utilizing optimal Extract, Transform, Load (ETL) patterns, frameworks, query techniques, sourcing from structured and unstructured data sources
* Assist in owning existing processes running in production, optimizing complex code through advanced algorithmic concepts
* Optimize pipelines, dashboards, frameworks, and systems to facilitate easier development of data artifacts
* Influence product and cross\-functional teams to identify data opportunities to drive impact
* Mentor team members by giving/receiving actionable feedback
 Minimum Qualifications:
* Bachelor's degree in Computer Science, Computer Engineering, relevant technical field, or equivalent practical experience
* 4\+ years of experience where the primary responsibility involves working with data. This could include roles such as data analyst, data scientist, data engineer, or similar positions
* 4\+ years of experience with SQL, ETL, data modeling, and at least one programming language (e.g., Python, C\+\+, C\#, Scala, etc.)
 Preferred Qualifications:
* Master's or Ph.D degree in a STEM field
 About Meta:
 Meta builds technologies that help people connect, find communities, and grow businesses. When Facebook launched in 2004, it changed the way people connect. Apps like Messenger, Instagram and WhatsApp further empowered billions around the world. Now, Meta is moving beyond 2D screens toward immersive experiences like augmented and virtual reality to help build the next evolution in social technology. People who choose to build their careers by building with us at Meta help shape a future that will take us beyond what digital connection makes possible today—beyond the constraints of screens, the limits of distance, and even the rules of physics.
 Meta is proud to be an Equal Employment Opportunity and Affirmative Action employer. We do not discriminate based upon race, religion, color, national origin, sex (including pregnancy, childbirth, or related medical conditions), sexual orientation, gender, gender identity, gender expression, transgender status, sexual stereotypes, age, status as a protected veteran, status as an individual with a disability, or other applicable legally protected characteristics. We also consider qualified applicants with criminal histories, consistent with applicable federal, state and local law. Meta participates in the E\-Verify program in certain locations, as required by law. Please note that Meta may leverage artificial intelligence and machine learning technologies in connection with applications for employment.
 Meta is committed to providing reasonable accommodations for candidates with disabilities in our recruiting process. If you need any assistance or accommodations due to a disability, please let us know at accommodations\-ext@meta.com.
 $147,000/year to $208,000/year \+ bonus \+ equity \+ benefits
 Individual compensation is determined by skills, qualifications, experience, and location. Compensation details listed in this posting reflect the base hourly rate, monthly rate, or annual salary only, and do not include bonus, equity or sales incentives, if applicable. In addition to base compensation, Meta offers benefits. Learn more about benefits at Meta.</t>
        </is>
      </c>
    </row>
    <row r="45">
      <c r="A45" t="inlineStr">
        <is>
          <t>li-4378837887</t>
        </is>
      </c>
      <c r="B45" t="inlineStr">
        <is>
          <t>Data Engineer II</t>
        </is>
      </c>
      <c r="C45" t="inlineStr">
        <is>
          <t>GoGuardian</t>
        </is>
      </c>
      <c r="D45" t="inlineStr">
        <is>
          <t>linkedin</t>
        </is>
      </c>
      <c r="E45">
        <f>HYPERLINK("https://www.linkedin.com/jobs/view/4378837887", "https://www.linkedin.com/jobs/view/4378837887")</f>
        <v/>
      </c>
      <c r="F45" t="inlineStr"/>
      <c r="G45" t="inlineStr">
        <is>
          <t>El Segundo, CA</t>
        </is>
      </c>
      <c r="H45" t="inlineStr"/>
      <c r="I45" t="inlineStr">
        <is>
          <t>**What We Do**
 At GoGuardian, we're helping build a future where all learners are ready and inspired to solve the world's greatest challenges. Our award\-winning system of learning solutions is purpose\-built for K\-12 and trusted by school leaders to promote effective teaching and equitable engagement while helping empower educators to keep students safe.
**What It's Like to Work at GoGuardian**
 We are an outcomes\-focused learning company with a steadfast focus on improving learning environments, one classroom at a time. Working with us means joining a remote team of diverse, committed, mission\-driven employees who are inspired by our vision, dedicated to our customers, and ready to roll up their sleeves. Guardians put their heads together to solve problems, learn together from experiments that fail, and stand together by their work with full accountability. We balance our diligence with an inclusive culture that invites everyone to bring their whole self to work. Join us and learn why "I love the people here" is one of the most frequent comments we hear from Guardians.
**The Role**
 We're looking for a
 **Data Engineer II** 
 to help design, build, and continuously improve the GoGuardian Analytics and AI/ML ecosystem. This position sits on the
 **Data Engineering team** 
 , a group responsible for building and maintaining the core data platform that powers analytics, product insights, and machine learning across the company. You'll collaborate closely with Data Science, Business Intelligence, and other teams to enable the next generation of data\-driven products and AI capabilities.
 The ideal candidate combines strong software engineering and data architecture skills with curiosity about machine learning systems and a drive to automate, optimize, and scale data workflows.
**What You'll Do**
* Design, build, and optimize ETL pipelines that power analytics, data science, and ML workflows using tools such as Databricks, PySpark, and Airflow.
* Develop and maintain labeling and retraining pipelines for machine learning models, ensuring quality, reproducibility, and observability.
* Implement and support MLOps practices, including model versioning, CI/CD for ML, and model monitoring in production environments.
* Collaborate with data scientists to productionize and scale model training, inference, and evaluation pipelines.
* Contribute to the design and evolution of the data lakehouse, including schema design, partitioning strategies, and performance optimization.
* Document and communicate data architecture, lineage, and dependencies to ensure transparency and maintainability across teams.
* Champion data quality and governance, ensuring that datasets are accurate, well\-structured, and compliant with organizational standards.
* Leverage infrastructure\-as\-code and containerization to build reproducible, maintainable environments.
* Participate in code reviews and continuous improvement of engineering best practices within the team.
**Who You Are**
* Bachelor's degree in Computer Science, Engineering, or related field.
* 2–4 years of experience building and operating large\-scale data systems, ideally supporting analytics and ML workloads.
* Proficiency in Python and SQL, with experience in PySpark, pandas, or similar data processing frameworks.
* Experience with DBT
* Experience with modern data warehousing and lakehouse platforms, preferably Databricks.
* Hands\-on experience with workflow orchestration tools such as Airflow, Dagster, or Prefect.
* Strong understanding of data modeling, ETL design, and distributed data systems.
* Experience with AWS data and compute services (S3, Lambda, ECS, CloudWatch, etc.) or equivalent cloud platforms.
* Familiarity with MLOps concepts (e.g., feature stores, model registries, CI/CD for ML).
* Experience using Infrastructure as Code, preferably Terraform.
* Excellent problem\-solving, collaboration, and communication skills; comfortable working in a dynamic, fast\-paced environment.
**What We Offer**
* Competitive pay, complete health insurance, 401(k) matching, and an employee equity plan.
* Flexible time off, paid holidays, paid parental leave, and a paid year\-end holiday break.
* A robust catalog of benefits that support your professional growth and personal wellbeing, including work from home funds, fertility \&amp; adoption reimbursement, and more…
*Plus the intangible:*
* A varied and challenging role in an innovative, global company.
* Supportive, driven colleagues who have your back and share your passion.
 The typical base salary range for this position is $130,000 \- $140,000 per year. The range displayed on this job posting reflects the minimum and maximum target for new hire base pay for this position and your pay will be determined by a variety of factors, including your primary work location, skills, qualifications and experience. Additional benefits information is listed on our careers page.
 Please share this with your friends or co\-workers who may be interested in working at GoGuardian! We have multiple openings and are always looking for talented people.
 GoGuardian is an equal opportunity employer and makes employment decisions on the basis of merit and business needs. GoGuardian does not discriminate against employees, applicants, interns or volunteers on the basis of race, religion, color, national origin, ancestry, physical disability, mental disability, medical condition, pregnancy, marital status, sex, age, sexual orientation, military and veteran status, registered domestic partner status, genetic information, gender, gender identity, gender expression, or any other characteristic protected by applicable law.
 GoGuardian's Job Applicant Privacy Policy is located
 **here** 
 .
 \#BI\-Remote</t>
        </is>
      </c>
    </row>
    <row r="46">
      <c r="A46" t="inlineStr">
        <is>
          <t>li-4307288159</t>
        </is>
      </c>
      <c r="B46" t="inlineStr">
        <is>
          <t>Senior Data Platform Engineer</t>
        </is>
      </c>
      <c r="C46" t="inlineStr">
        <is>
          <t>Sony Interactive Entertainment</t>
        </is>
      </c>
      <c r="D46" t="inlineStr">
        <is>
          <t>linkedin</t>
        </is>
      </c>
      <c r="E46">
        <f>HYPERLINK("https://www.linkedin.com/jobs/view/4307288159", "https://www.linkedin.com/jobs/view/4307288159")</f>
        <v/>
      </c>
      <c r="F46">
        <f>HYPERLINK("https://job-boards.greenhouse.io/sonyinteractiveentertainmentglobal/jobs/5665195004?gh_src=sgp49gfz4us&amp;urlHash=yWep", "https://job-boards.greenhouse.io/sonyinteractiveentertainmentglobal/jobs/5665195004?gh_src=sgp49gfz4us&amp;urlHash=yWep")</f>
        <v/>
      </c>
      <c r="G46" t="inlineStr"/>
      <c r="H46" t="inlineStr"/>
      <c r="I46" t="inlineStr">
        <is>
          <t>**Why PlayStation?**
 PlayStation isn’t just the Best Place to Play — it’s also the Best Place to Work. Today, we’re recognized as a global leader in entertainment producing The PlayStation family of products and services including PlayStation®5, PlayStation®4, PlayStation®VR, PlayStation®Plus, acclaimed PlayStation software titles from PlayStation Studios, and more.
 PlayStation also strives to create an inclusive environment that empowers employees and embraces diversity. We welcome and encourage everyone who has a passion and curiosity for innovation, technology, and play to explore our open positions and join our growing global team.
 The PlayStation brand falls under Sony Interactive Entertainment, a wholly\-owned subsidiary of Sony Group Corporation.
**Senior Data Platform Engineer**
**Sony Interactive Entertainment America, LLC**
**Location: San Diego Studio/Remote**
 Are you an expert in all things data? Are you a fan of baseball and MLB The Show? Would you enjoy supporting the development efforts of games used by passionate loyalists around the world? Does a career opportunity influencing the most successful gaming platform of all time interest you?
 The San Diego Studio analytics team is looking for a highly motivated, hands\-on Senior Data Platform Engineer to own and evolve our data infrastructure on AWS and Databricks. You’ll lead cloud\-driven Databricks configurations, reliability and cost optimization (FinOps), and jump in on ETL development. This role is ideal for an engineer who enjoys wearing multiple hats across DevOps, platform engineering, and data engineering. If this is you, you need to come and play with us here at Sony PlayStation!
**Responsibilities:** 
* AWS and Databricks administration
* 
+ Configure and manage core AWS services
+ Work with Data Scientists to manage Databricks environment in conjunction with Data Engineering AWS environment
+ Implement security best practices, network segmentation, and secrets management
+ Own relationships with external vendors
* ETL/Data Engineering
* 
+ Support development and maintenance of data pipelines (Python/Spark/SQL/API Gateway/EC2/DynamoDB/Glue), data quality checks, and documentation.
+ Contribute to code reviews and standards.
* Own Infrastructure as Code
* 
+ Design, build, and maintain IaC with Terraform for AWS and Databricks (modules, workspaces, remote state, CI/CD).
+ Standardize and templatize environment provisioning across dev/prod
* FinOps and cost governance
* 
+ Establish tagging, budgets, and chargeback/showback; rightsized compute, storage, and job configurations
+ Manage Savings Plans/Reserved Instances, Spot strategies, storage lifecycle policies.
* Studio Collaboration
* 
+ Work closely with data engineers, data scientists, and stakeholders to unblock deliverables
+ Work with internal teams to help them realize optimizations and cost savings
+ Document designs, standards, and operational practices to enable a small team to move quickly and safely
**Qualifications:**
* 3\+ years in data/platform/DevOps engineering with significant AWS experience
* Proficient in Python and SQL
* Proficient in AWS Budget and Cost Management, AWS Trusted Advisor, CloudWatch \&amp; CloudTrail
* CI/CD for infra and data (GitHub Actions/Jenkins), code reviews, testing, and change management
* Security\-first mindset: IAM/RBAC, least privilege, network controls, encryption, secrets
* FinOps knowledge: RI/Savings Plans, rightsizing, storage lifecycle, cost allocation/tagging, monitoring/alerts
* Excellent communication and ability to operate in a small, high\-impact team
**Pluses:**
* Experience with AWS ETL products: Glue, Kinesis, Lambda, etc.
* Terraform experience
* Understand the rules of the sport of baseball
* Passion for video games
 This role can be fully remote, hybrid or fully in\-person in San Diego, CA.
 Please note, Sony Interactive Entertainment conducts background checks at the offer stage for all new employees (which may include criminal background checks for some roles) and will need to process personal information to support these checks.
 Please refer to our Candidate Privacy Notice for more information about what personal information we collect, how we use it, who we share it with, and your data protection rights.
**Equal Opportunity Statement:**
*Sony is an Equal Opportunity Employer. All persons will receive consideration for employment without regard to gender (including gender identity, gender expression and gender reassignment), race (including colour, nationality, ethnic or national origin), religion or belief, marital or civil partnership status, disability, age, sexual orientation, pregnancy, maternity or parental status, trade union membership or membership in any other legally protected category.*
*We strive to create an inclusive environment, empower employees and embrace diversity. We encourage everyone to respond.*
*PlayStation is a Fair Chance employer and qualified applicants with arrest and conviction records will be considered for employment.*</t>
        </is>
      </c>
    </row>
    <row r="47">
      <c r="A47" t="inlineStr">
        <is>
          <t>li-4378835474</t>
        </is>
      </c>
      <c r="B47" t="inlineStr">
        <is>
          <t>Data Engineer</t>
        </is>
      </c>
      <c r="C47" t="inlineStr">
        <is>
          <t>AARATECH</t>
        </is>
      </c>
      <c r="D47" t="inlineStr">
        <is>
          <t>linkedin</t>
        </is>
      </c>
      <c r="E47">
        <f>HYPERLINK("https://www.linkedin.com/jobs/view/4378835474", "https://www.linkedin.com/jobs/view/4378835474")</f>
        <v/>
      </c>
      <c r="F47" t="inlineStr"/>
      <c r="G47" t="inlineStr"/>
      <c r="H47" t="inlineStr"/>
      <c r="I47" t="inlineStr">
        <is>
          <t>**Location:** 
 United States (Remote / On\-site – based on client needs)
**Employment Type:** 
 Full\-time (Contract or Contract\-to\-Hire)
**Experience Level:** 
 Entry\-level (0–2 years)
**Company:** 
 Aaratech Inc
 🛑
 **Eligibility:** 
 Open to U.S. Citizens and Green Card holders only. We do not offer visa sponsorship.
 🔍
 **About Aaratech Inc** 
 Aaratech Inc is a specialized IT consulting and staffing company focused on placing talented individuals across data, cloud, and software disciplines. We work with top U.S. enterprises to deliver long\-term roles, competitive compensation, and opportunities to grow in modern data environments.
 🎯
 **Position Overview** 
 We are seeking a
 **Junior Data Analyst** 
 with 0–2 years of experience to support data analysis, reporting, and dashboard development for enterprise clients. This role is ideal for early\-career candidates who want to gain hands\-on experience working with real\-world datasets, analytical tools, and business teams. You will collaborate with senior analysts and data engineers to deliver clean, reliable insights that support business decisions.
 🛠️
 **Key Responsibilities** 
* Assist in analyzing datasets to identify trends and insights
* Support the creation of dashboards and reports using Power BI, Tableau, or Excel
* Write basic SQL queries for data extraction and validation
* Clean, organize, and prepare datasets for analysis
* Document findings and prepare simple data summaries for business teams
* Collaborate with senior analysts on KPIs, metrics, and data requirements
* Help with data quality checks and troubleshoot data discrepancies
* Maintain documentation for reports, dashboards, and data processes
 ✅
 **Required Skills \&amp; Experience** 
* 0–2 years of experience in Data Analysis or a related field
* Basic proficiency in SQL
* Hands\-on experience with Excel (pivot tables, formulas, charts)
* Familiarity with any BI tool (Power BI, Tableau, or Looker)
* Understanding of data cleaning, validation, and analytical concepts
* Knowledge of Python (optional but preferred) for basic data manipulation
* Strong attention to detail and analytical thinking
* Good communication skills and willingness to learn
 ⭐
 **Nice to Have** 
* Exposure to data visualization tools or dashboard building
* Familiarity with data models or basic statistics
* Internship or academic projects related to data analysis
* Experience with Google Analytics, Power Query, or data cleansing tools
* Understanding of cloud platforms (AWS/GCP/Azure) at a basic level</t>
        </is>
      </c>
    </row>
    <row r="48">
      <c r="A48" t="inlineStr">
        <is>
          <t>li-4379918725</t>
        </is>
      </c>
      <c r="B48" t="inlineStr">
        <is>
          <t>REMOTE- Junior Data Engineer</t>
        </is>
      </c>
      <c r="C48" t="inlineStr">
        <is>
          <t>Lensa</t>
        </is>
      </c>
      <c r="D48" t="inlineStr">
        <is>
          <t>linkedin</t>
        </is>
      </c>
      <c r="E48">
        <f>HYPERLINK("https://www.linkedin.com/jobs/view/4379918725", "https://www.linkedin.com/jobs/view/4379918725")</f>
        <v/>
      </c>
      <c r="F48" t="inlineStr"/>
      <c r="G48" t="inlineStr">
        <is>
          <t>Fort Worth, TX</t>
        </is>
      </c>
      <c r="H48" t="inlineStr"/>
      <c r="I48" t="inlineStr">
        <is>
          <t>Lensa is a career site that helps job seekers find great jobs in the US. We are not a staffing firm or agency. Lensa does not hire directly for these jobs, but promotes jobs on LinkedIn on behalf of its direct clients, recruitment ad agencies, and marketing partners. Lensa partners with DirectEmployers to promote this job for Insight Global. Clicking "Apply Now" or "Read more" on Lensa redirects you to the job board/employer site. Any information collected there is subject to their terms and privacy notice.
**Job Description**
 One of the largest logistics and transportation employers in the US is seeking a Jr. Data Engineer to join their expanding team. The Jr. Data Engineer will play a crucial role in understanding business problems and assisting in designing solutions that transform complex ideas into sustainable processes. This individual will focus on supporting the onboarding of new lines of business into the data analytics team. Their responsibilities will include assisting in the full life cycle of data engineering, from gathering requirements from internal customers to building data pipelines, testing, reporting, and maintaining solutions. Additionally, the Jr. Data Engineer will support escalation tasks, contribute to system development, help automate processes, maintain internal systems, and assist in data modeling. They will use their growing expertise in data structures specific to the company's operating systems to help turn data into valuable business insights.
 We are a company committed to creating inclusive environments where people can bring their full, authentic selves to work every day. We are an equal opportunity employer that believes everyone matters. Qualified candidates will receive consideration for employment opportunities without regard to race, religion, sex, age, marital status, national origin, sexual orientation, citizenship status, disability, or any other status or characteristic protected by applicable laws, regulations, and ordinances. If you need assistance and/or a reasonable accommodation due to a disability during the application or recruiting process, please send a request to Human Resources Request Form (https://airtable.com/app21VjYyxLDIX0ez/shrOg4IQS1J6dRiMo) . The EEOC "Know Your Rights" Poster is available here (https://www.eeoc.gov/sites/default/files/2023\-06/22\-088\_EEOC\_KnowYourRights6\.12ScreenRdr.pdf) .
 To learn more about how we collect, keep, and process your private information, please review Insight Global's Workforce Privacy Policy: https://insightglobal.com/workforce\-privacy\-policy/ .
**Skills And Requirements**
 2\-5\+ years' experience of data engineer experience
 Strong ADF experience (creating pipelines from scratch/ knowledge of connectors and activities following architect plan)
 Strong knowledge of SQL (Mostly working with SQL scripting implementing into ADF)
 Understanding of full life cycle data engineering
 Extremely detail oriented and ability to provide effective updates
 Strong communication for working with internal/ external customers
 Strong critical thinking skills Python or Spark experience (Small environment is in Python\- basic level scripting and reviews)
 DevOps Experience
 Data Bricks Experience
 Background in Logistics
 Agile Methodologies
 Experience with cloud (Azure specifically)
 If you have questions about this posting, please contact support@lensa.com</t>
        </is>
      </c>
    </row>
    <row r="49">
      <c r="A49" t="inlineStr">
        <is>
          <t>li-4379930259</t>
        </is>
      </c>
      <c r="B49" t="inlineStr">
        <is>
          <t>Data Engineer</t>
        </is>
      </c>
      <c r="C49" t="inlineStr">
        <is>
          <t>Ragle Inc</t>
        </is>
      </c>
      <c r="D49" t="inlineStr">
        <is>
          <t>linkedin</t>
        </is>
      </c>
      <c r="E49">
        <f>HYPERLINK("https://www.linkedin.com/jobs/view/4379930259", "https://www.linkedin.com/jobs/view/4379930259")</f>
        <v/>
      </c>
      <c r="F49" t="inlineStr"/>
      <c r="G49" t="inlineStr">
        <is>
          <t>North Richland Hills, TX</t>
        </is>
      </c>
      <c r="H49" t="inlineStr"/>
      <c r="I49" t="inlineStr">
        <is>
          <t>**Data Engineer
 *(2\-3 Years Experience)***
**Location:** 
 North Richland Hills, TX
 *(On\-site)* 
**Salary Range:** 
 $90,000–$110,000
 *(based on experience)* 
**Company:** 
 Ragle Inc.
**Reports to:** 
 Data \&amp; Analytics Lead
**About the Role** 
 Ragle Inc. is expanding its Data \&amp; Analytics team and is seeking a hands\-on
 **Data Engineer** 
 with 2–3 years of industry experience to help centralize and modernize operational, accounting, and project data.
 In this role, you will design and operate
 **production\-grade data pipelines** 
 that connect our in\-house platform, accounting systems, telematics, scheduling, estimating tools, Smartsheet, and third\-party APIs. These pipelines will power analytics used daily by
 **Operations, Accounting, Estimating, and Executive Leadership** 
 .
**What You’ll Do** 
* Design, build, and maintain reliable data pipelines using
 **SQL and Python**
* Ingest data from
 **Azure SQL databases** 
 , third\-party APIs, and structured file sources (CSV/Excel)
* Help establish and maintain a centralized analytics data model (fact and dimension tables)
* Partner with analysts to support
 **Power BI semantic models** 
 and improve dataset performance
* Implement data quality checks, logging, monitoring, and alerting
* Collaborate with business stakeholders to translate workflows into robust data products
* Contribute to version control, deployment, and data engineering standards (Git, environments)
* Support migrations away from manual Excel workflows toward automated, governed datasets
**Key Responsibilities** 
* Build ETL/ELT processes integrating operational, accounting/payroll, and fleet telematics data
* Optimize SQL queries, views, and table structures for analytics performance and incremental loads
* Maintain documentation for pipelines, datasets, schemas, and data contracts
* Assist with access control, governance, and data security best practices
* Troubleshoot refresh failures and performance bottlenecks across the data stack
**Required Qualifications** 
* 2–3 years of professional experience as a
 **Data Engineer or Analytics Engineer**
* Strong SQL skills (complex joins, CTEs, window functions, performance tuning)
* Hands\-on Python experience for data processing (pandas, standard libraries)
* Experience with relational databases (SQL Server / Azure SQL, Postgres, or similar)
* Experience building and maintaining production data pipelines
* Understanding of data modeling concepts (star schema, keys, SCD basics)
* Familiarity with
 **Power BI** 
 or similar BI tools
* Comfortable working directly with business stakeholders
**Preferred Qualifications** 
* Azure experience (Azure SQL, Data Factory, or Fabric Data Pipelines)
* REST API ingestion experience
* ERP or operational systems integration exposure
* Git\-based workflows and basic CI/CD
* Construction or asset\-heavy industry experience
* Desire to grow into
 **Senior Data Engineer or Analytics Lead** 
 roles
**What Success Looks Like** 
* Stable, documented, and trusted data pipelines
* Reusable datasets replacing manual Excel workflows
* Analytics relied upon for daily decision\-making
* Smooth onboarding of new systems and data sources
* A scalable data platform supporting company growth
**Why Join Ragle Inc.** 
* Real operational data with direct business impact
* High ownership and production responsibility
* Small team with leadership visibility
* Professional development and certification support
**Compensation \&amp; Benefits** 
 Competitive salary (
 **$90,000–$110,000** 
 based on experience), plus
 **health, dental, and vision insurance** 
 ,
 **paid time off and holidays** 
 , and
 **professional development support** 
 .
**Additional Information** 
 Ragle Inc. conducts
 **professional reference checks** 
 as part of our standard hiring process.
 Ragle Inc. is an
 **Equal Opportunity Employer** 
 . We are committed to creating a diverse and inclusive workplace and make employment decisions without regard to race, color, religion, sex, sexual orientation, gender identity or expression, national origin, age, disability, veteran status, or any other protected status in accordance with applicable laws.</t>
        </is>
      </c>
    </row>
    <row r="50">
      <c r="A50" t="inlineStr">
        <is>
          <t>li-4378827562</t>
        </is>
      </c>
      <c r="B50" t="inlineStr">
        <is>
          <t>Data Engineer</t>
        </is>
      </c>
      <c r="C50" t="inlineStr">
        <is>
          <t>AARATECH</t>
        </is>
      </c>
      <c r="D50" t="inlineStr">
        <is>
          <t>linkedin</t>
        </is>
      </c>
      <c r="E50">
        <f>HYPERLINK("https://www.linkedin.com/jobs/view/4378827562", "https://www.linkedin.com/jobs/view/4378827562")</f>
        <v/>
      </c>
      <c r="F50" t="inlineStr"/>
      <c r="G50" t="inlineStr"/>
      <c r="H50" t="inlineStr"/>
      <c r="I50" t="inlineStr">
        <is>
          <t>Job Title: Data Engineer – Retail / E\-Commerce
 🏢 Company: Aaratech Inc
 🛑 Eligibility: Only U.S. Citizens and Green Card holders are eligible.
 Please note that we do not offer visa sponsorship.
 Job Summary:
 Aaratech Inc. is seeking a results\-driven
 **Data Engineer – Retail / E\-Commerce** 
 to support customer, sales, and product data platforms. The role focuses on building scalable pipelines that enable real\-time and batch analytics for business growth.
 Key Responsibilities:
 🔹 Data Pipeline Development
 Develop and maintain data pipelines for sales, customer, and product data.
 Integrate data from e\-commerce platforms and marketing systems.
 🔹 Data Modeling
 Design data models to support analytics and BI reporting.
 Optimize performance and scalability.
 🔹 Data Quality
 Ensure data accuracy, completeness, and consistency.
 Implement monitoring and error\-handling processes.
 🔹 Collaboration
 Work closely with data analysts, product, and marketing teams.
 🔹 Tools \&amp; Technologies
 Use SQL, Python, ETL tools, and cloud data platforms.
 Qualifications:
 ✅ Bachelor’s degree in Computer Science, Engineering, or related field
 ✅ Minimum 2 years of Data Engineering experience
 ✅ Strong SQL and Python skills
 ✅ Experience with data pipelines and analytics platforms
 ✅ Retail or e\-commerce data experience preferred
 ✅ Strong problem\-solving skills</t>
        </is>
      </c>
    </row>
    <row r="51">
      <c r="A51" t="inlineStr">
        <is>
          <t>li-4378844428</t>
        </is>
      </c>
      <c r="B51" t="inlineStr">
        <is>
          <t>Data Engineer</t>
        </is>
      </c>
      <c r="C51" t="inlineStr">
        <is>
          <t>AARATECH</t>
        </is>
      </c>
      <c r="D51" t="inlineStr">
        <is>
          <t>linkedin</t>
        </is>
      </c>
      <c r="E51">
        <f>HYPERLINK("https://www.linkedin.com/jobs/view/4378844428", "https://www.linkedin.com/jobs/view/4378844428")</f>
        <v/>
      </c>
      <c r="F51" t="inlineStr"/>
      <c r="G51" t="inlineStr"/>
      <c r="H51" t="inlineStr"/>
      <c r="I51" t="inlineStr">
        <is>
          <t>Job Title: Data Engineer – Retail / E\-Commerce
 🏢 Company: Aaratech Inc
 🛑 Eligibility: Only U.S. Citizens and Green Card holders are eligible.
 Please note that we do not offer visa sponsorship.
 Job Summary:
 Aaratech Inc. is seeking a results\-driven
 **Data Engineer – Retail / E\-Commerce** 
 to support customer, sales, and product data platforms. The role focuses on building scalable pipelines that enable real\-time and batch analytics for business growth.
 Key Responsibilities:
 🔹 Data Pipeline Development
 Develop and maintain data pipelines for sales, customer, and product data.
 Integrate data from e\-commerce platforms and marketing systems.
 🔹 Data Modeling
 Design data models to support analytics and BI reporting.
 Optimize performance and scalability.
 🔹 Data Quality
 Ensure data accuracy, completeness, and consistency.
 Implement monitoring and error\-handling processes.
 🔹 Collaboration
 Work closely with data analysts, product, and marketing teams.
 🔹 Tools \&amp; Technologies
 Use SQL, Python, ETL tools, and cloud data platforms.
 Qualifications:
 ✅ Bachelor’s degree in Computer Science, Engineering, or related field
 ✅ Minimum 2 years of Data Engineering experience
 ✅ Strong SQL and Python skills
 ✅ Experience with data pipelines and analytics platforms
 ✅ Retail or e\-commerce data experience preferred
 ✅ Strong problem\-solving skills</t>
        </is>
      </c>
    </row>
    <row r="52">
      <c r="A52" t="inlineStr">
        <is>
          <t>li-4279798284</t>
        </is>
      </c>
      <c r="B52" t="inlineStr">
        <is>
          <t>Data Engineer Graduate (Data Platfrom TikTok BP) - 2026 Start (BS/MS)</t>
        </is>
      </c>
      <c r="C52" t="inlineStr">
        <is>
          <t>TikTok</t>
        </is>
      </c>
      <c r="D52" t="inlineStr">
        <is>
          <t>linkedin</t>
        </is>
      </c>
      <c r="E52">
        <f>HYPERLINK("https://www.linkedin.com/jobs/view/4279798284", "https://www.linkedin.com/jobs/view/4279798284")</f>
        <v/>
      </c>
      <c r="F52" t="inlineStr"/>
      <c r="G52" t="inlineStr">
        <is>
          <t>San Jose, CA</t>
        </is>
      </c>
      <c r="H52" t="inlineStr"/>
      <c r="I52" t="inlineStr">
        <is>
          <t>**Responsibilities**
 We are looking for talented individuals to join our team in 2026\. As a graduate, you will get opportunities to pursue bold ideas, tackle complex challenges, and unlock limitless growth. Launch your career where inspiration is infinite at TikTok.
**Team Introduction:**
 As a data engineer in the data platform team, you will have the opportunity to build, optimize and grow one of the largest data platforms in the world. You'll have the opportunity to gain hands\-on experience on all kinds of systems in the data platform ecosystem. Your work will have a direct and huge impact on the company's core products as well as hundreds of millions of users.
 We are looking for talented individuals to join our team in 2026\. As a graduate, you will get opportunities to pursue bold ideas, tackle complex challenges, and unlock limitless growth. Launch your career where inspiration is infinite at TikTok.
 Successful candidates must be able to commit to an onboarding date by end of year 2026\. Please state your availability and graduation date clearly in your resume. Candidates can apply to a maximum of two positions and will be considered for jobs in the order you apply. The application limit is applicable to TikTok and its affiliates' jobs globally. Applications will be reviewed on a rolling basis \- we encourage you to apply early.
 Online Assessment
 Candidates who pass resume evaluation will be invited to participate in TikTok's technical online assessment in HackerRank.
**Responsibilities:**
* Design and build data transformations efficiently and reliably for different purposes (e.g. reporting, growth analysis, multi\-dimensional analysis);
* Design and implement reliable, scalable, robust and extensible big data systems that support core products and business;
* Establish solid design and best engineering practice for engineers as well as non\-technical people.
**Qualifications**
 Minimum Qualifications:
* BS or MS degree in Computer Science or related technical field or equivalent practical experience;
* Experience in the Big Data technologies(Hadoop, M/R, Hive, Spark, Metastore, Presto, Flume, Kafka, ClickHouse, Flink etc.);
* Experience with performing data analysis, data ingestion and data integration;
**Preferred Qualifications:**
* Experience with ETL(Extraction, Transformation \&amp; Loading) and architecting data systems;
* Experience with schema design, data modeling and SQL queries;
* Passionate and self\-motivated about technologies in the Big Data area.
 Job Information
**【For Pay Transparency】Compensation Description (Annually)**
 The base salary range for this position in the selected city is $122574 \- $259200 annually.
 Compensation may vary outside of this range depending on a number of factors, including a candidate’s qualifications, skills, competencies and experience, and location. Base pay is one part of the Total Package that is provided to compensate and recognize employees for their work, and this role may be eligible for additional discretionary bonuses/incentives, and restricted stock units.
 Benefits may vary depending on the nature of employment and the country work location. Employees have day one access to medical, dental, and vision insurance, a 401(k) savings plan with company match, paid parental leave, short\-term and long\-term disability coverage, life insurance, wellbeing benefits, among others. Employees also receive 10 paid holidays per year, 10 paid sick days per year and 17 days of Paid Personal Time (prorated upon hire with increasing accruals by tenure).
 The Company reserves the right to modify or change these benefits programs at any time, with or without notice.
**For Los Angeles County (unincorporated) Candidates:**
 Qualified applicants with arrest or conviction records will be considered for employment in accordance with all federal, state, and local laws including the Los Angeles County Fair Chance Ordinance for Employers and the California Fair Chance Act. Our company believes that criminal history may have a direct, adverse and negative relationship on the following job duties, potentially resulting in the withdrawal of the conditional offer of employment:
* Interacting and occasionally having unsupervised contact with internal/external clients and/or colleagues;
* Appropriately handling and managing confidential information including proprietary and trade secret information and access to information technology systems; and
* Exercising sound judgment.
**About TikTok**
 TikTok is the leading destination for short\-form mobile video. At TikTok, our mission is to inspire creativity and bring joy. TikTok's global headquarters are in Los Angeles and Singapore, and we also have offices in New York City, London, Dublin, Paris, Berlin, Dubai, Jakarta, Seoul, and Tokyo.
 Why Join Us
 Inspiring creativity is at the core of TikTok's mission. Our innovative product is built to help people authentically express themselves, discover and connect – and our global, diverse teams make that possible. Together, we create value for our communities, inspire creativity and bring joy \- a mission we work towards every day.
 We strive to do great things with great people. We lead with curiosity, humility, and a desire to make impact in a rapidly growing tech company. Every challenge is an opportunity to learn and innovate as one team. We're resilient and embrace challenges as they come. By constantly iterating and fostering an "Always Day 1" mindset, we achieve meaningful breakthroughs for ourselves, our company, and our users. When we create and grow together, the possibilities are limitless. Join us.
 Diversity \&amp; Inclusion
 TikTok is committed to creating an inclusive space where employees are valued for their skills, experiences, and unique perspectives. Our platform connects people from across the globe and so does our workplace. At TikTok, our mission is to inspire creativity and bring joy. To achieve that goal, we are committed to celebrating our diverse voices and to creating an environment that reflects the many communities we reach. We are passionate about this and hope you are too.
 TikTok Accommodation
 TikTok is committed to providing reasonable accommodations in our recruitment processes for candidates with disabilities, pregnancy, sincerely held religious beliefs or other reasons protected by applicable laws. If you need assistance or a reasonable accommodation, please reach out to us at https://tinyurl.com/RA\-request</t>
        </is>
      </c>
    </row>
    <row r="53">
      <c r="A53" t="inlineStr">
        <is>
          <t>li-4377771073</t>
        </is>
      </c>
      <c r="B53" t="inlineStr">
        <is>
          <t>Sr. Data Engineer I (6290)</t>
        </is>
      </c>
      <c r="C53" t="inlineStr">
        <is>
          <t>MetroStar</t>
        </is>
      </c>
      <c r="D53" t="inlineStr">
        <is>
          <t>linkedin</t>
        </is>
      </c>
      <c r="E53">
        <f>HYPERLINK("https://www.linkedin.com/jobs/view/4377771073", "https://www.linkedin.com/jobs/view/4377771073")</f>
        <v/>
      </c>
      <c r="F53" t="inlineStr"/>
      <c r="G53" t="inlineStr">
        <is>
          <t>Aurora, CO</t>
        </is>
      </c>
      <c r="H53" t="inlineStr"/>
      <c r="I53" t="inlineStr">
        <is>
          <t>As a
 **Sr. Data Engineer I** 
 , you’ll work with team members to build, deploy, and operate data pipelines and data engineering components to enable data brokering and exchange capabilities across a diverse range of producers and consumers. In this role, you will be responsible for building robust, scalable data pipelines while working collaboratively with cross\-functional teams to ensure seamless integration, optimized performance, and efficient delivery of solutions.
 We know that you can’t have great technology services without amazing people. At MetroStar, we are
 **obsessed** 
 with
 our people and have led a two\-decade legacy of building the best and brightest teams. Because we know our future relies on our deep understanding and relentless focus on our people, we live by our mission: A passion for our people. Value for our customers.
 If you think you can see yourself delivering our mission and pursuing our goals with us, then check out the job description below!
**What you’ll do:**
* Work with team members to operationalize data pipelines and supporting cloud infrastructure
* Collaborate with external data producers and consumers to obtain and provide data through interfaces such as REST APIs and S3
* Provide day\-to\-day support of deploying Python\-native data pipelines and performing data engineering tasks to enable data brokering and exchange capabilities
* Provide Tier 2/3 troubleshooting and incident resolution support for data pipelines in Production
**What you’ll need to succeed:**
* Active TS/SCI required with CI poly preferred
* 4\+ years of proven experience in data engineering, with expertise in designing, developing, and maintaining data ingestion, transformation, and loading pipelines and components
* Demonstrated experience in designing and deploying data pipelines leveraging AWS cloud infrastructure across multiple classification domains (e.g., IL5 to IL6\+)
* Experience with Infrastructure\-as\-Code (IaC) tools, including Terraform, CloudFormation, or Ansible, to automate deployment of data pipeline cloud infrastructure
* Understanding of RMF security principles and hands\-on experience implementing security controls for data pipelines in cloud environments
* Strong scripting and programming skills in languages such as Go, Python, and Bash
* Experience with data pipeline tools and technologies such as Nifi, Hadoop, HDFS, and Kafka. Experience implementing data pipelines in the Cloudera Data Platform environment is highly preferred.
* Strong communication skills, with the ability to clearly convey complex technical concepts
 SALARY RANGE: $125,000 \- $167,000
 The salary range for this position is determined based on qualifications, skills, and relevant experience. The final salary offered will be determined based on several factors including: 
* The candidate's professional background and relevant work experience
* The specific responsibilities of the role and organizational needs
* Internal equity and alignment with current team compensation
* This role is also eligible for additional compensation, subject to the terms and policies of MetroStar, which may include:
+ Performance\-based bonuses
+ Company\-paid training and/or certifications
+ Referral bonuses
*To apply for this position, please submit your resume via the form below or through our careers page: https://www.metrostar.com/jobs/* 
**Application Deadline:** 
 Applications will be accepted on a rolling basis until the position is filled; candidates are encouraged to apply as early as possible for full consideration.
**Additional Compensation** 
 : This role may also be eligible for bonuses and/or additional incentives based on individual and company performance.
**Benefits** 
 : All full\-time employees are eligible to participate in our benefits programs:
* Health, dental, and vision insurance
* 401(k) retirement plan with company match
* Paid time off (PTO) and holidays
* Parental Leave and dependent care
* Flexible work arrangements
* Professional development opportunities
* Employee assistance and wellness programs
 Like we said,
 **we are** 
 big fans of our people. That’s why
 **we offer** 
 a generous benefits package, professional growth, and valuable time to recharge. Learn more about our company culture code and benefits. Plus, check out our accolades.
**Commitment to Non\-Discrimination**
 All qualified applicants will receive consideration for employment based on merit and without regard to sex, race, ethnicity, age, national origin, citizenship, religion, physical or mental disability, medical condition, genetic information, pregnancy, family structure, marital status, ancestry, domestic partner status, sexual orientation, gender identity or expression, veteran or military status, status as a protected veteran, or any other status protected by applicable federal, state, local, or international law.
 **What we want you to know:** 
 In compliance with federal law, all persons hired will be required to verify identity and eligibility to work in the United States and to complete the required employment eligibility verification form upon hire.
 **Not ready to apply now?** 
 Sign up to join our newsletter here.</t>
        </is>
      </c>
    </row>
    <row r="54">
      <c r="A54" t="inlineStr">
        <is>
          <t>li-4378829564</t>
        </is>
      </c>
      <c r="B54" t="inlineStr">
        <is>
          <t>Data Engineer</t>
        </is>
      </c>
      <c r="C54" t="inlineStr">
        <is>
          <t>AARATECH</t>
        </is>
      </c>
      <c r="D54" t="inlineStr">
        <is>
          <t>linkedin</t>
        </is>
      </c>
      <c r="E54">
        <f>HYPERLINK("https://www.linkedin.com/jobs/view/4378829564", "https://www.linkedin.com/jobs/view/4378829564")</f>
        <v/>
      </c>
      <c r="F54" t="inlineStr"/>
      <c r="G54" t="inlineStr"/>
      <c r="H54" t="inlineStr"/>
      <c r="I54" t="inlineStr">
        <is>
          <t>Job Title: Data Engineer – Healthcare
 🏢 Company: Aaratech Inc
 🛑 Eligibility: Only U.S. Citizens and Green Card holders are eligible.
 Please note that we do not offer visa sponsorship.
 Job Summary:
 Aaratech Inc. is seeking a skilled and detail\-oriented
 **Data Engineer – Healthcare** 
 to design, build, and maintain data pipelines that support healthcare analytics and reporting. The ideal candidate will work with large healthcare datasets to ensure data reliability, scalability, and availability for analytics and decision\-making.
 Key Responsibilities:
 🔹 Data Pipeline Development
 Design, build, and maintain scalable ETL/ELT pipelines for healthcare data.
 Integrate data from multiple internal and external sources.
 🔹 Data Engineering \&amp; Storage
 Develop and manage data warehouses and data lakes.
 Optimize data models for performance and analytics use cases.
 🔹 Data Quality \&amp; Reliability
 Ensure data accuracy, consistency, and integrity across systems.
 Implement monitoring and validation checks.
 🔹 Collaboration
 Work with data analysts, business teams, and IT stakeholders.
 Support analytics and reporting requirements.
 🔹 Tools \&amp; Technologies
 Use SQL, Python, cloud platforms, and ETL tools.
 Qualifications:
 ✅ Bachelor’s degree in Computer Science, Engineering, or related field
 ✅ Minimum 2 years of Data Engineering experience
 ✅ Strong SQL and Python skills
 ✅ Experience with data pipelines and data warehouses
 ✅ Knowledge of healthcare data is a plus
 ✅ Strong problem\-solving and communication skills</t>
        </is>
      </c>
    </row>
    <row r="55">
      <c r="A55" t="inlineStr">
        <is>
          <t>li-4120828110</t>
        </is>
      </c>
      <c r="B55" t="inlineStr">
        <is>
          <t>Data Engineer, Product Analytics</t>
        </is>
      </c>
      <c r="C55" t="inlineStr">
        <is>
          <t>Meta</t>
        </is>
      </c>
      <c r="D55" t="inlineStr">
        <is>
          <t>linkedin</t>
        </is>
      </c>
      <c r="E55">
        <f>HYPERLINK("https://www.linkedin.com/jobs/view/4120828110", "https://www.linkedin.com/jobs/view/4120828110")</f>
        <v/>
      </c>
      <c r="F55">
        <f>HYPERLINK("https://jsv3.recruitics.com/redirect?rx_cid=3239&amp;rx_jobId=a1KDp00000E2JuZMAV_1003&amp;rx_url=https%3A%2F%2Fwww.metacareers.com%2Fjobs%2F1283364266159062%2F%3Frx_campaign%3DLinkedin1%26rx_ch%3Dconnector%26rx_group%3D126320%26rx_id%3D9cc69ea3-08f8-11f1-b3b1-874d53204393%26rx_job%3Da1KDp00000E2JuZMAV_1003%26rx_medium%3Dpost%26rx_r%3Dnone%26rx_source%3DLinkedin%26rx_ts%3D20260302T121210Z%26rx_vp%3Dslots%26utm_campaign%3DJob%252Bboard%26utm_medium%3Djobs%26utm_source%3DLIpaid&amp;urlHash=n0yu", "https://jsv3.recruitics.com/redirect?rx_cid=3239&amp;rx_jobId=a1KDp00000E2JuZMAV_1003&amp;rx_url=https%3A%2F%2Fwww.metacareers.com%2Fjobs%2F1283364266159062%2F%3Frx_campaign%3DLinkedin1%26rx_ch%3Dconnector%26rx_group%3D126320%26rx_id%3D9cc69ea3-08f8-11f1-b3b1-874d53204393%26rx_job%3Da1KDp00000E2JuZMAV_1003%26rx_medium%3Dpost%26rx_r%3Dnone%26rx_source%3DLinkedin%26rx_ts%3D20260302T121210Z%26rx_vp%3Dslots%26utm_campaign%3DJob%252Bboard%26utm_medium%3Djobs%26utm_source%3DLIpaid&amp;urlHash=n0yu")</f>
        <v/>
      </c>
      <c r="G55" t="inlineStr">
        <is>
          <t>Seattle, WA</t>
        </is>
      </c>
      <c r="H55" t="inlineStr"/>
      <c r="I55" t="inlineStr">
        <is>
          <t>As a Data Engineer at Meta, you will shape the future of people\-facing and business\-facing products we build across our entire family of applications (Facebook, Instagram, Messenger, WhatsApp, Reality Labs, Threads). Your technical skills and analytical mindset will be utilized designing and building some of the world's most extensive data sets, helping to craft experiences for billions of people and hundreds of millions of businesses worldwide.In this role, you will collaborate with software engineering, data science, and product management teams to design/build scalable data solutions across Meta to optimize growth, strategy, and user experience for our 3 billion plus users, as well as our internal employee community.You will be at the forefront of identifying and solving some of the most interesting data challenges at a scale few companies can match. By joining Meta, you will become part of a world\-class data engineering community dedicated to skill development and career growth in data engineering and beyond.Data Engineering: You will guide teams by building optimal data artifacts (including datasets and visualizations) to address key questions. You will refine our systems, design logging solutions, and create scalable data models. Ensuring data security and quality, and with a strong focus on efficiency, you will suggest architecture and development approaches and data management standards to address complex analytical problems.Product leadership: You will use data to shape product development, identify new opportunities, and tackle upcoming challenges. You'll ensure our products add value for users and businesses, by prioritizing projects, and driving innovative solutions to respond to challenges or opportunities.Communication and influence: You won't simply present data, but tell data\-driven stories. You will convince and influence your partners using clear insights and recommendations. You will build credibility through structure and clarity, and be a trusted strategic partner.
 Data Engineer, Product Analytics Responsibilities:
* Conceptualize and own the data architecture for multiple large\-scale projects, while evaluating design and operational cost\-benefit tradeoffs within systems
* Create and contribute to frameworks that improve the efficacy of logging data, while working with data infrastructure to triage issues and resolve
* Collaborate with engineers, product managers, and data scientists to understand data needs, representing key data insights in a meaningful way
* Define and manage Service Level Agreements for all data sets in allocated areas of ownership
* Determine and implement the security model based on privacy requirements, confirm safeguards are followed, address data quality issues, and evolve governance processes within allocated areas of ownership
* Design, build, and launch collections of sophisticated data models and visualizations that support multiple use cases across different products or domains
* Solve our most challenging data integration problems, utilizing optimal Extract, Transform, Load (ETL) patterns, frameworks, query techniques, sourcing from structured and unstructured data sources
* Assist in owning existing processes running in production, optimizing complex code through advanced algorithmic concepts
* Optimize pipelines, dashboards, frameworks, and systems to facilitate easier development of data artifacts
* Influence product and cross\-functional teams to identify data opportunities to drive impact
* Mentor team members by giving/receiving actionable feedback
 Minimum Qualifications:
* Bachelor's degree in Computer Science, Computer Engineering, relevant technical field, or equivalent practical experience
* 4\+ years of experience where the primary responsibility involves working with data. This could include roles such as data analyst, data scientist, data engineer, or similar positions
* 4\+ years of experience with SQL, ETL, data modeling, and at least one programming language (e.g., Python, C\+\+, C\#, Scala, etc.)
 Preferred Qualifications:
* Master's or Ph.D degree in a STEM field
 About Meta:
 Meta builds technologies that help people connect, find communities, and grow businesses. When Facebook launched in 2004, it changed the way people connect. Apps like Messenger, Instagram and WhatsApp further empowered billions around the world. Now, Meta is moving beyond 2D screens toward immersive experiences like augmented and virtual reality to help build the next evolution in social technology. People who choose to build their careers by building with us at Meta help shape a future that will take us beyond what digital connection makes possible today—beyond the constraints of screens, the limits of distance, and even the rules of physics.
 Meta is proud to be an Equal Employment Opportunity and Affirmative Action employer. We do not discriminate based upon race, religion, color, national origin, sex (including pregnancy, childbirth, or related medical conditions), sexual orientation, gender, gender identity, gender expression, transgender status, sexual stereotypes, age, status as a protected veteran, status as an individual with a disability, or other applicable legally protected characteristics. We also consider qualified applicants with criminal histories, consistent with applicable federal, state and local law. Meta participates in the E\-Verify program in certain locations, as required by law. Please note that Meta may leverage artificial intelligence and machine learning technologies in connection with applications for employment.
 Meta is committed to providing reasonable accommodations for candidates with disabilities in our recruiting process. If you need any assistance or accommodations due to a disability, please let us know at accommodations\-ext@meta.com.
 $147,000/year to $208,000/year \+ bonus \+ equity \+ benefits
 Individual compensation is determined by skills, qualifications, experience, and location. Compensation details listed in this posting reflect the base hourly rate, monthly rate, or annual salary only, and do not include bonus, equity or sales incentives, if applicable. In addition to base compensation, Meta offers benefits. Learn more about benefits at Meta.</t>
        </is>
      </c>
    </row>
    <row r="56">
      <c r="A56" t="inlineStr">
        <is>
          <t>li-4377768134</t>
        </is>
      </c>
      <c r="B56" t="inlineStr">
        <is>
          <t>Sr. Data Engineer I (6290)</t>
        </is>
      </c>
      <c r="C56" t="inlineStr">
        <is>
          <t>MetroStar</t>
        </is>
      </c>
      <c r="D56" t="inlineStr">
        <is>
          <t>linkedin</t>
        </is>
      </c>
      <c r="E56">
        <f>HYPERLINK("https://www.linkedin.com/jobs/view/4377768134", "https://www.linkedin.com/jobs/view/4377768134")</f>
        <v/>
      </c>
      <c r="F56" t="inlineStr"/>
      <c r="G56" t="inlineStr">
        <is>
          <t>Tysons Corner, VA</t>
        </is>
      </c>
      <c r="H56" t="inlineStr"/>
      <c r="I56" t="inlineStr">
        <is>
          <t>As a
 **Sr. Data Engineer I** 
 , you’ll work with team members to build, deploy, and operate data pipelines and data engineering components to enable data brokering and exchange capabilities across a diverse range of producers and consumers. In this role, you will be responsible for building robust, scalable data pipelines while working collaboratively with cross\-functional teams to ensure seamless integration, optimized performance, and efficient delivery of solutions.
 We know that you can’t have great technology services without amazing people. At MetroStar, we are
 **obsessed** 
 with
 our people and have led a two\-decade legacy of building the best and brightest teams. Because we know our future relies on our deep understanding and relentless focus on our people, we live by our mission: A passion for our people. Value for our customers.
 If you think you can see yourself delivering our mission and pursuing our goals with us, then check out the job description below!
**What you’ll do:**
* Work with team members to operationalize data pipelines and supporting cloud infrastructure
* Collaborate with external data producers and consumers to obtain and provide data through interfaces such as REST APIs and S3
* Provide day\-to\-day support of deploying Python\-native data pipelines and performing data engineering tasks to enable data brokering and exchange capabilities
* Provide Tier 2/3 troubleshooting and incident resolution support for data pipelines in Production
**What you’ll need to succeed:**
* Active TS/SCI required with CI poly preferred
* 4\+ years of proven experience in data engineering, with expertise in designing, developing, and maintaining data ingestion, transformation, and loading pipelines and components
* Demonstrated experience in designing and deploying data pipelines leveraging AWS cloud infrastructure across multiple classification domains (e.g., IL5 to IL6\+)
* Experience with Infrastructure\-as\-Code (IaC) tools, including Terraform, CloudFormation, or Ansible, to automate deployment of data pipeline cloud infrastructure
* Understanding of RMF security principles and hands\-on experience implementing security controls for data pipelines in cloud environments
* Strong scripting and programming skills in languages such as Go, Python, and Bash
* Experience with data pipeline tools and technologies such as Nifi, Hadoop, HDFS, and Kafka. Experience implementing data pipelines in the Cloudera Data Platform environment is highly preferred.
* Strong communication skills, with the ability to clearly convey complex technical concepts
 SALARY RANGE: $125,000 \- $167,000
 The salary range for this position is determined based on qualifications, skills, and relevant experience. The final salary offered will be determined based on several factors including: 
* The candidate's professional background and relevant work experience
* The specific responsibilities of the role and organizational needs
* Internal equity and alignment with current team compensation
* This role is also eligible for additional compensation, subject to the terms and policies of MetroStar, which may include:
+ Performance\-based bonuses
+ Company\-paid training and/or certifications
+ Referral bonuses
*To apply for this position, please submit your resume via the form below or through our careers page: https://www.metrostar.com/jobs/* 
**Application Deadline:** 
 Applications will be accepted on a rolling basis until the position is filled; candidates are encouraged to apply as early as possible for full consideration.
**Additional Compensation** 
 : This role may also be eligible for bonuses and/or additional incentives based on individual and company performance.
**Benefits** 
 : All full\-time employees are eligible to participate in our benefits programs:
* Health, dental, and vision insurance
* 401(k) retirement plan with company match
* Paid time off (PTO) and holidays
* Parental Leave and dependent care
* Flexible work arrangements
* Professional development opportunities
* Employee assistance and wellness programs
 Like we said,
 **we are** 
 big fans of our people. That’s why
 **we offer** 
 a generous benefits package, professional growth, and valuable time to recharge. Learn more about our company culture code and benefits. Plus, check out our accolades.
**Commitment to Non\-Discrimination**
 All qualified applicants will receive consideration for employment based on merit and without regard to sex, race, ethnicity, age, national origin, citizenship, religion, physical or mental disability, medical condition, genetic information, pregnancy, family structure, marital status, ancestry, domestic partner status, sexual orientation, gender identity or expression, veteran or military status, status as a protected veteran, or any other status protected by applicable federal, state, local, or international law.
 **What we want you to know:** 
 In compliance with federal law, all persons hired will be required to verify identity and eligibility to work in the United States and to complete the required employment eligibility verification form upon hire.
 **Not ready to apply now?** 
 Sign up to join our newsletter here.</t>
        </is>
      </c>
    </row>
    <row r="57">
      <c r="A57" t="inlineStr">
        <is>
          <t>li-4379926737</t>
        </is>
      </c>
      <c r="B57" t="inlineStr">
        <is>
          <t>Senior Data Engineer</t>
        </is>
      </c>
      <c r="C57" t="inlineStr">
        <is>
          <t>Unseeen</t>
        </is>
      </c>
      <c r="D57" t="inlineStr">
        <is>
          <t>linkedin</t>
        </is>
      </c>
      <c r="E57">
        <f>HYPERLINK("https://www.linkedin.com/jobs/view/4379926737", "https://www.linkedin.com/jobs/view/4379926737")</f>
        <v/>
      </c>
      <c r="F57" t="inlineStr"/>
      <c r="G57" t="inlineStr"/>
      <c r="H57" t="inlineStr"/>
      <c r="I57" t="inlineStr">
        <is>
          <t>**Overview** 
 Our client is seeking a
 **Senior Data Engineer** 
 to design, build, and maintain scalable data platforms and pipelines that power analytics, reporting, and data\-driven decision\-making across the organization. This role plays a critical part in transforming raw data into reliable, high\-quality datasets used by Product, Analytics, Data Science, and business teams.
 The ideal candidate is a hands\-on data expert with strong experience in modern data architectures, cloud platforms, and large\-scale data processing, who thrives in a collaborative, fast\-paced environment.
**Key Responsibilities** 
* Design, develop, and maintain scalable, reliable, and efficient data pipelines and ETL/ELT processes.
* Build and optimize data models, data warehouses, and data lakes to support analytics and business intelligence use cases.
* Collaborate closely with Analytics, Data Science, Product, and Engineering teams to understand data requirements and deliver trusted datasets.
* Ensure data quality, accuracy, availability, and consistency through validation, monitoring, and testing.
* Optimize data performance, cost, and scalability across storage and processing systems.
* Implement and enforce data engineering best practices, including documentation, version control, and code reviews.
* Support real\-time and batch data processing use cases.
* Identify and resolve data pipeline failures, performance bottlenecks, and reliability issues.
* Work with DevOps and Platform teams to improve CI/CD workflows, automation, and infrastructure\-as\-code for data systems.
* Contribute to the evolution of the organization’s data architecture and long\-term data strategy.
**Operating Context** 
* Operates within a modern, cloud\-based data ecosystem.
* Works closely with cross\-functional teams including Engineering, Analytics, Data Science, Product, and Business stakeholders.
* Balances hands\-on development with architectural planning and technical leadership.
* Typically works in a remote or hybrid environment using modern collaboration tools.
* Reports to Data Engineering leadership, Engineering Management, or Platform leadership.
**Required Skills** 
* Strong experience building and maintaining production\-grade data pipelines.
* Proficiency in SQL and at least one programming language such as Python, Java, or Scala.
* Experience with data warehousing and analytics platforms (e.g., Snowflake, BigQuery, Redshift).
* Solid understanding of data modeling, schema design, and performance optimization.
* Experience with batch and streaming data processing frameworks.
* Familiarity with REST APIs, data integrations, and third\-party data sources.
* Strong problem\-solving skills and attention to data quality and reliability.
* Excellent communication and collaboration skills.
**Preferred Qualifications** 
* 5–8\+ years of professional experience in data engineering or related roles.
* Experience in
 **SaaS, cloud\-native, or data\-driven product organizations** 
 .
* Hands\-on experience with cloud platforms such as
 **AWS, Azure, or GCP** 
 .
* Experience with tools such as Airflow, dbt, Spark, Kafka, or similar technologies.
* Exposure to DevOps practices, CI/CD pipelines, and infrastructure\-as\-code.
* Bachelor’s degree in Computer Science, Engineering, or a related field, or equivalent practical experience.
**Success Metrics** 
* Reliable, scalable, and well\-documented data pipelines running in production.
* High data quality and trust in analytics and reporting outputs.
* Improved performance, cost efficiency, and scalability of data systems.
* Strong collaboration with Analytics, Data Science, and Product teams.
* Measurable impact on business insights, reporting accuracy, and decision\-making.
**Job Function** 
 Data Engineering / Software Engineering / Analytics Engineering
**Industry** 
 Information Technology \&amp; Services, SaaS, Cloud Computing, Data \&amp; Analytics
 Please read before applying
 This posting is part of the Mobius Talent Network and is not a single, guaranteed position at one specific company.
 By applying, you:
* Join our candidate network for current and future opportunities with our hiring partners
* May receive feedback on your resume and job search approach
* Will be contacted directly when a live opportunity matches your background and preferences</t>
        </is>
      </c>
    </row>
    <row r="58">
      <c r="A58" t="inlineStr">
        <is>
          <t>li-4378841449</t>
        </is>
      </c>
      <c r="B58" t="inlineStr">
        <is>
          <t>Data Engineer</t>
        </is>
      </c>
      <c r="C58" t="inlineStr">
        <is>
          <t>AARATECH</t>
        </is>
      </c>
      <c r="D58" t="inlineStr">
        <is>
          <t>linkedin</t>
        </is>
      </c>
      <c r="E58">
        <f>HYPERLINK("https://www.linkedin.com/jobs/view/4378841449", "https://www.linkedin.com/jobs/view/4378841449")</f>
        <v/>
      </c>
      <c r="F58" t="inlineStr"/>
      <c r="G58" t="inlineStr">
        <is>
          <t>New York, NY</t>
        </is>
      </c>
      <c r="H58" t="inlineStr"/>
      <c r="I58" t="inlineStr">
        <is>
          <t>Job Title: Data Engineer – CRM / Salesforce
 🏢 Company: Aaratech Inc
 🛑 Eligibility: Only U.S. Citizens and Green Card holders are eligible.
 Please note that we do not offer visa sponsorship.
 Job Summary:
 Aaratech Inc. is seeking a skilled
 **Data Engineer – CRM / Salesforce** 
 to support customer and sales data integration initiatives. The ideal candidate will ensure reliable data pipelines and data models for CRM analytics and reporting.
 Key Responsibilities:
 🔹 Data Integration
 Build and maintain pipelines to extract and load CRM/Salesforce data.
 Integrate CRM data with enterprise data platforms.
 🔹 Data Engineering
 Design data models to support sales and marketing analytics.
 Optimize data pipelines for performance.
 🔹 Data Quality
 Ensure CRM data accuracy and consistency.
 Support data validation and governance processes.
 🔹 Collaboration
 Work with sales, marketing, and analytics teams.
 🔹 Tools \&amp; Technologies
 Use SQL, Python, ETL tools, Salesforce connectors, and cloud platforms.
 Qualifications:
 ✅ Bachelor’s degree in Computer Science, Engineering, or related field
 ✅ 2\+ years of Data Engineering experience
 ✅ Strong SQL and Python skills
 ✅ Experience with CRM or Salesforce data preferred
 ✅ Strong analytical and communication skills</t>
        </is>
      </c>
    </row>
    <row r="59">
      <c r="A59" t="inlineStr">
        <is>
          <t>li-4377765687</t>
        </is>
      </c>
      <c r="B59" t="inlineStr">
        <is>
          <t>Data Engineer</t>
        </is>
      </c>
      <c r="C59" t="inlineStr">
        <is>
          <t>Visa</t>
        </is>
      </c>
      <c r="D59" t="inlineStr">
        <is>
          <t>linkedin</t>
        </is>
      </c>
      <c r="E59">
        <f>HYPERLINK("https://www.linkedin.com/jobs/view/4377765687", "https://www.linkedin.com/jobs/view/4377765687")</f>
        <v/>
      </c>
      <c r="F59" t="inlineStr"/>
      <c r="G59" t="inlineStr">
        <is>
          <t>Foster City, CA</t>
        </is>
      </c>
      <c r="H59" t="inlineStr"/>
      <c r="I59" t="inlineStr">
        <is>
          <t>Visa is a world leader in payments technology, facilitating transactions between consumers, merchants, financial institutions and government entities across more than 200 countries and territories, dedicated to uplifting everyone, everywhere by being the best way to pay and be paid.
 At Visa, you'll have the opportunity to create impact at scale — tackling meaningful challenges, growing your skills and seeing your contributions impact lives around the world. Join Visa and do work that matters — to you, to your community, and to the world.
 Progress starts with you.
**Job Description**
 The Data and Artificial Intelligence Platform (DAP) group is a key component of Visa's Technology organization, providing the enabling technology and processes to handle Visa's data assets and deliver valuable information, products, and services to customers. Within DAP, the Data as a Service (DaaS) team consists of skilled data engineers focused on building data pipelines to meet Visa's data needs and delivers secure, high\-quality, and easy\-to\-use data assets.
 As a Data Engineer, you'll join our Data \&amp; AI Platform – Data as a Service organization in Foster City, California. You will help enhance and build our data infrastructure and pipelines within an agile development environment, using Gen AI regularly, and collaborating with colleagues who will support and challenge you daily.
**What We Offer:**
* Exciting Challenges: We work at a scale rarely seen in the industry, solving complex data and AI problems across the entire stack, offering limitless opportunities to leverage and lead in this ever\-growing field.
* Teamwork and Fun: Each of us brings diverse and rich experiences to the team, enabling us to deliver much more than the sum of our parts and have fun at the same time.
* Fantastic People: With strong leadership, you will have the opportunity to learn, collaborate, and deliver together with some of the best and most creative minds in the industry.
**Primary responsibilities:**
 As a Data Engineer, you will play a key role in the innovation, coding, and development of comprehensive data pipeline solutions. Essential functions includes:
* Coding, testing to develop, and maintain robust and scalable data pipelines and ETL processes on non\-production and production environment
* Ensure data services are highly available, secure, scalable, and resilient.
* Improve and support production systems, ensuring that production issues are promptly resolved
* Collaborate with the agile team, user community, architects, and support teams to understand requirements and implement effective solutions
* Drive innovation to differentiate our data products and accelerate time\-to\-market delivery
* Adhere to established software development guidelines, security standards and responsible use of Gen AI tools and frameworks
* Help maintain atmosphere of mutual accountability
**This is a hybrid position. Expectation of days in office will be confirmed by your hiring manager.**
**Qualifications**
**Basic Qualifications:**
* Bachelor's degree, OR 3\+ years of relevant work experience
**Preferred Qualifications:**
* 1 or more years of work experience with a Bachelor’s Degree in Computer Science or Computer Engineering.
* Strong programming skills in at least one of the following languages: Java, Python, or Scala
* Experience utilizing GenAI technologies in software development.
* Hands\-on experience developing data processing pipeline, feature extraction, production deployment and monitoring.
* Knowledge and working experience on Apache Spark, Kafka, Hadoop, Hive, Trino, Presto, Apache Airflow and NoSQL databases like Hbase working with PB level data volume.
* Experience with GenAI or Agentic AI technologies (e.g., LLMs, NLP) and RAG\-based architecture and Vector DBs.
* Knowledge and experience in J2EE technologies, Microservices and REST APIs.
* Experience in an Agile environment, with a strong emphasis on best software development practices such as CI/CD, code reviews, and test automation, using tools like Jira and Jira Align
**Additional Information**
**Work Hours:**
 Varies upon the needs of the department.
**Travel Requirements:**
 This position requires travel 5\-10% of the time.
**Mental/Physical Requirements:**
 This position will be performed in an office setting. The position will require the incumbent to sit and stand at a desk, communicate in person and by telephone, frequently operate standard office equipment, such as telephones and computers.
 Visa is an EEO Employer. Qualified applicants will receive consideration for employment without regard to race, color, religion, sex, national origin, sexual orientation, gender identity, disability or protected veteran status. Visa will also consider for employment qualified applicants with criminal histories in a manner consistent with EEOC guidelines and applicable local law.
 Visa will consider for employment qualified applicants with criminal histories in a manner consistent with applicable local law, including the requirements of Article 49 of the San Francisco Police Code.
**U.S. APPLICANTS ONLY: The estimated salary range for this position is $97,800\.00 to $152,100\.00 USD per year, which may include potential sales incentive payments (if applicable). Salary may vary depending on job\-related factors which may include knowledge, skills, experience, and location. In addition, this position may be eligible for bonus and equity. Visa has a comprehensive benefits package for which this position may be eligible that includes Medical, Dental, Vision, 401 (k), FSA/HSA, Life Insurance, Paid Time Off, and Wellness Program.**</t>
        </is>
      </c>
    </row>
    <row r="60">
      <c r="A60" t="inlineStr">
        <is>
          <t>li-4281119519</t>
        </is>
      </c>
      <c r="B60" t="inlineStr">
        <is>
          <t>Data Engineer Graduate (Data Platform - Global Live) - 2026 Start (MS)</t>
        </is>
      </c>
      <c r="C60" t="inlineStr">
        <is>
          <t>TikTok</t>
        </is>
      </c>
      <c r="D60" t="inlineStr">
        <is>
          <t>linkedin</t>
        </is>
      </c>
      <c r="E60">
        <f>HYPERLINK("https://www.linkedin.com/jobs/view/4281119519", "https://www.linkedin.com/jobs/view/4281119519")</f>
        <v/>
      </c>
      <c r="F60" t="inlineStr"/>
      <c r="G60" t="inlineStr">
        <is>
          <t>San Jose, CA</t>
        </is>
      </c>
      <c r="H60" t="inlineStr"/>
      <c r="I60" t="inlineStr">
        <is>
          <t>**Responsibilities**
 About the team:
 The Data Platform Global Live team is dedicated to empowering the growth of TikTok LIVE business through big data. We support our businesses in achieving their missions by building high quality real\-time and offline data warehouses, creating various forms of efficient and data\-friendly data assets, and exploring and implementing business oriented data solutions leveraging big data technology and LLM. We provide stable and reliable data capabilities for daily operations, analyses, decision\-making of TikTok LIVE features, in addition to robust data support to enhance live performance for streamers.
 As a data engineer in the Global Live team, you will have the opportunity to build, optimize and grow one of the largest data platforms in the world. You'll have the opportunity to gain hands\-on experience on all kinds of systems in the data platform ecosystem and explore applications of latest technologies including LLM for data. Your work will have a direct and huge impact on the company's core products as well as hundreds of millions of users.
**Responsibilities:**
* Understanding business problems, designing and implementing easy\-to\-use data solutions for businesses.
* Collaborating with data engineers to understand the data system and provide a smooth data usage experience for data users, including but not limited to data discovery, data usage guidance, and promotion of the data system.
* Collaborating with business teams from all over the world to drive user growth and revenue growth.
**Qualifications**
 Minimum Qualifications:
* Currently pursuing a Master's in Software Development, Computer Science, Computer Engineering, Mathematics, Statistics, Data science or a related technical discipline
* Good experience in data solutions, such as data consulting, product development, and data tools creation.
* Strong problem\-solving and analytical skills with the ability to translate business needs into technical solutions and data metrics.
* Have an understanding of data warehousing and the construction ideas of the data system.
* Experience with coding (SQL, Python, etc.)
* Passionate and self\-motivated about using data to drive business decisions.
 Job Information
**【For Pay Transparency】Compensation Description (Annually)**
 The base salary range for this position in the selected city is $122574 \- $259200 annually.
 Compensation may vary outside of this range depending on a number of factors, including a candidate’s qualifications, skills, competencies and experience, and location. Base pay is one part of the Total Package that is provided to compensate and recognize employees for their work, and this role may be eligible for additional discretionary bonuses/incentives, and restricted stock units.
 Benefits may vary depending on the nature of employment and the country work location. Employees have day one access to medical, dental, and vision insurance, a 401(k) savings plan with company match, paid parental leave, short\-term and long\-term disability coverage, life insurance, wellbeing benefits, among others. Employees also receive 10 paid holidays per year, 10 paid sick days per year and 17 days of Paid Personal Time (prorated upon hire with increasing accruals by tenure).
 The Company reserves the right to modify or change these benefits programs at any time, with or without notice.
**For Los Angeles County (unincorporated) Candidates:**
 Qualified applicants with arrest or conviction records will be considered for employment in accordance with all federal, state, and local laws including the Los Angeles County Fair Chance Ordinance for Employers and the California Fair Chance Act. Our company believes that criminal history may have a direct, adverse and negative relationship on the following job duties, potentially resulting in the withdrawal of the conditional offer of employment:
* Interacting and occasionally having unsupervised contact with internal/external clients and/or colleagues;
* Appropriately handling and managing confidential information including proprietary and trade secret information and access to information technology systems; and
* Exercising sound judgment.
**About TikTok**
 TikTok is the leading destination for short\-form mobile video. At TikTok, our mission is to inspire creativity and bring joy. TikTok's global headquarters are in Los Angeles and Singapore, and we also have offices in New York City, London, Dublin, Paris, Berlin, Dubai, Jakarta, Seoul, and Tokyo.
 Why Join Us
 Inspiring creativity is at the core of TikTok's mission. Our innovative product is built to help people authentically express themselves, discover and connect – and our global, diverse teams make that possible. Together, we create value for our communities, inspire creativity and bring joy \- a mission we work towards every day.
 We strive to do great things with great people. We lead with curiosity, humility, and a desire to make impact in a rapidly growing tech company. Every challenge is an opportunity to learn and innovate as one team. We're resilient and embrace challenges as they come. By constantly iterating and fostering an "Always Day 1" mindset, we achieve meaningful breakthroughs for ourselves, our company, and our users. When we create and grow together, the possibilities are limitless. Join us.
 Diversity \&amp; Inclusion
 TikTok is committed to creating an inclusive space where employees are valued for their skills, experiences, and unique perspectives. Our platform connects people from across the globe and so does our workplace. At TikTok, our mission is to inspire creativity and bring joy. To achieve that goal, we are committed to celebrating our diverse voices and to creating an environment that reflects the many communities we reach. We are passionate about this and hope you are too.
 TikTok Accommodation
 TikTok is committed to providing reasonable accommodations in our recruitment processes for candidates with disabilities, pregnancy, sincerely held religious beliefs or other reasons protected by applicable laws. If you need assistance or a reasonable accommodation, please reach out to us at https://tinyurl.com/RA\-request</t>
        </is>
      </c>
    </row>
    <row r="61">
      <c r="A61" t="inlineStr">
        <is>
          <t>li-4367632911</t>
        </is>
      </c>
      <c r="B61" t="inlineStr">
        <is>
          <t>Data Engineer</t>
        </is>
      </c>
      <c r="C61" t="inlineStr">
        <is>
          <t>TeamSnap</t>
        </is>
      </c>
      <c r="D61" t="inlineStr">
        <is>
          <t>linkedin</t>
        </is>
      </c>
      <c r="E61">
        <f>HYPERLINK("https://www.linkedin.com/jobs/view/4367632911", "https://www.linkedin.com/jobs/view/4367632911")</f>
        <v/>
      </c>
      <c r="F61" t="inlineStr"/>
      <c r="G61" t="inlineStr"/>
      <c r="H61" t="inlineStr"/>
      <c r="I61" t="inlineStr">
        <is>
          <t>🌎 About Us
 At TeamSnap, we believe when the world connects through sports; the world becomes better. TeamSnap is a sports and communication platform dedicated to taking the work out of play in youth sports. We also believe our jobs should excite us, our teammates should support us and our bosses should inspire us. We empower our people to bring big ideas and tiny egos, landing us on Outside Magazine’s list of “
 **Best Places to Work"** 
 and Built In’s “
 **100 Best Remote\-First Places to Work."**
 TeamSnap is looking for a Data Engineer to own our data extraction and orchestration infrastructure. You'll work alongside our Staff Data Engineer to build reliable, maintainable pipelines that power analytics and business operations across the company.
 This is a hands\-on implementation role. You’ll implement new data infrastructure to replace legacy systems, architect solutions with the team, and build the orchestration layer that keeps data flowing reliably. If you enjoy making messy data problems clean and building infrastructure that others can trust, this is the role.
**What You'll Do:**
* Build and maintain data extraction pipelines from various sources into BigQuery
* Refactor and modernize existing extraction systems
* Implement monitoring and alerting for pipeline health
* Help design and implement our orchestration platform (tooling TBD as a team)
* Build scheduling, dependency management, and failure recovery into our data workflows
* Create visibility into pipeline status for the broader team and business
* Maintain and optimize our BigQuery data warehouse
* Support DBT model development and deployment workflows
* Implement CI/CD for data infrastructure changes
* Support SOC 2 compliance requirements for data systems
* Implement security controls and access management in BigQuery
* Document data flows and maintain data catalogs
**What We're Looking For:**
* 3\+ years data engineering experience building extraction pipelines
* Strong SQL skills and experience with modern data warehouses (BigQuery, Snowflake, or Redshift)
* Experience with data orchestration tools (Airflow, Dagster, Prefect, or similar)
* Google Cloud experience (BigQuery, Cloud SQL, Pub/Sub, Cloud Storage) (AWS / Azure is ok too)
* CI/CD and containerization experience (Docker
* Ability to communicate clearly with technical and non\-technical stakeholders
* Experience with DBT
* Fivetran or similar managed ingestion tools
* Background in compliance/governance work (SOC 2, data privacy)
* Experience cleaning up legacy data systems
**Our Stack:**
* Warehouse: BigQuery
* Transformation: DBT, DBT Cloud
* Ingestion: Fivetran, Datastream
* Infrastructure: Google Cloud (Pub/Sub, Cloud Storage, CloudSQL), Databricks
* BI/Analytics: Omni, Amplitude
* Reverse ETL: Hightouch
* Monitoring: Datadog
**Bonus Points:**
* You're a parent, coach, or participant in recreational sports
* You've used TeamSnap (sign up for a free trial to see what we're about)
 Got cold feet? If you’re thinking you don’t meet 100% of the above qualifications, you should still seriously consider applying. We’re all humans with special talents that go beyond what’s listed here.
**Compensation**
 We’re committed to equitable compensation for all TeamSnappers. The minimum starting point for this role is $130,000 OTE, inclusive of base and bonus, with comp updated based on multiple factors. Our comp is highly competitive in our space and we adjust overall comp based on relevant experience, skills, certifications, and geographic location.
 🖥 Location
 TeamSnap is a fully remote company, so you need to be very comfortable working with people who aren’t in the same time zone as you. We are always expanding, but there is a small list of states we do not hire in, including Alabama, Alaska, Delaware, District of Columbia, Hawaii, Iowa, Louisiana, Mississippi, Nebraska, New Mexico, Rhode Island, South Dakota and West Virginia and while we love all parts of the world, we can only hire permanent US residents at this time.
 🚀 Opportunities to Grow
 At TeamSnap, we work hard to provide a culture of trust, accountability, inclusivity, and boundless opportunities to grow, along with the chance to make a lasting impact and have some fun while doing it.
 🎩 Total Rewards
* We're proud to be remote\-first. We've been remote since 2009, long before COVID made it cool
* Unlimited PTO and paid parental leave for ALL parents (not just primary or secondary)
* 100% premium coverage of medical/dental/vision for you and your family
* 401K to help you invest for the future
* $1,500 annual learning and development stipend
* Travel to fun locations for all\-company meetings and team events
* Generous home office allowance to set you up for success
* TeamSnap SWAG to our store upon starting and a $50 credit on every work anniversary thereafter
* A monthly stipend reimbursement for health \&amp; wellness and so much more!
* TeamSnap Total Rewards
 🏆 Working at TeamSnap
 At TeamSnap, you're not a culture fit, you're a culture add. Check out our Culture Playbook and learn how we succeed at being remote\-first, what makes our company so unique, and how we're inspired by our people, our customers, and our values.
 🧡 Inclusion and Diversity
 Creativity and innovation can't thrive when we're cookie\-cutter images of each other. We’re quickly growing more diverse, but there's always room for improvement. We are committed to inclusion and diversity at TeamSnap, and we hold ourselves accountable for building an environment where everyone feels valued. If you need any disability\-related adaptation during the recruitment process, just let us know! We are an Equal Employment Opportunity Employer.
 We may use artificial intelligence (AI) tools to support parts of the hiring process, such as reviewing applications, analyzing resumes, or assessing responses. These tools assist our recruitment team but do not replace human judgment. Final hiring decisions are ultimately made by humans. If you would like more information about how your data is processed, please contact us.</t>
        </is>
      </c>
    </row>
    <row r="62">
      <c r="A62" t="inlineStr">
        <is>
          <t>li-4379916709</t>
        </is>
      </c>
      <c r="B62" t="inlineStr">
        <is>
          <t>Data Engineer</t>
        </is>
      </c>
      <c r="C62" t="inlineStr">
        <is>
          <t>Hirenza</t>
        </is>
      </c>
      <c r="D62" t="inlineStr">
        <is>
          <t>linkedin</t>
        </is>
      </c>
      <c r="E62">
        <f>HYPERLINK("https://www.linkedin.com/jobs/view/4379916709", "https://www.linkedin.com/jobs/view/4379916709")</f>
        <v/>
      </c>
      <c r="F62">
        <f>HYPERLINK("https://www.bestjobtool.com/job-description/3077513739?source=LinkedIn&amp;urlHash=2LDC", "https://www.bestjobtool.com/job-description/3077513739?source=LinkedIn&amp;urlHash=2LDC")</f>
        <v/>
      </c>
      <c r="G62" t="inlineStr"/>
      <c r="H62" t="inlineStr"/>
      <c r="I62" t="inlineStr">
        <is>
          <t>**About The Company**
 CoxHealth is a leading healthcare provider committed to delivering exceptional patient care through innovative medical practices and advanced technological solutions. With a rich history of serving communities, CoxHealth continuously strives to improve health outcomes by integrating cutting\-edge data management strategies into its operations. The organization values collaboration, integrity, and excellence, fostering an environment that encourages continuous learning and professional growth. As a prominent player in the healthcare industry, CoxHealth is dedicated to leveraging data\-driven insights to enhance patient experiences, optimize operational efficiencies, and support clinical decision\-making.
**About The Role**
 The Senior Data Engineer at CoxHealth is a pivotal role responsible for leading the design, development, and implementation of comprehensive data solutions that support the organization’s strategic goals. This position requires a highly skilled individual capable of managing complex data architectures, ensuring data quality, and maintaining compliance with data governance standards. The incumbent will collaborate closely with cross\-functional teams, including clinical, financial, and administrative units, to understand their data needs and translate them into scalable, efficient data pipelines. This role emphasizes leadership in strategic planning and innovation, with a focus on building sustainable data infrastructures that facilitate insightful analytics and informed decision\-making. The Senior Data Engineer will also play a key role in mentoring junior team members and fostering a culture of continuous improvement within the data engineering team.
**Qualifications**
 The ideal candidate will possess a strong educational background, preferably with a Bachelor's degree in Management Information Systems, Computer Science, Data \&amp; Analytics, or a related quantitative discipline. Candidates with equivalent professional experience will also be considered. A minimum of 4 years of experience working with data in clinical, financial, or other enterprise domains is required. Alternatively, candidates with a Bachelor's degree in a relevant field and at least 2 years of specialized experience will be considered. Essential skills include expertise in relational and non\-relational databases, proficiency in data integration and orchestration tools, and advanced knowledge of big data technologies such as Hadoop and Spark. Strong leadership abilities, strategic planning capabilities, and excellent communication and project management skills are also essential for success in this role.
**Responsibilities**
* Design and develop scalable data architectures and pipelines that support clinical, financial, and operational analytics.
* Lead the implementation of data integration, transformation, and orchestration processes to ensure data consistency and quality across platforms.
* Manage and optimize data lakes and data warehouse environments to facilitate efficient data storage and retrieval.
* Collaborate with cross\-functional teams to understand data requirements and translate them into technical solutions.
* Ensure adherence to data governance, security policies, and compliance standards to protect sensitive information.
* Provide technical leadership and mentorship to junior data engineering staff, fostering skill development and best practices.
* Stay current with emerging data technologies and industry trends to recommend innovative solutions for continuous improvement.
* Participate in strategic planning initiatives related to data infrastructure and analytics capabilities.
* Monitor system performance, troubleshoot issues, and implement enhancements to ensure high availability and reliability of data systems.
**Benefits**
 CoxHealth offers a comprehensive benefits package designed to support the well\-being and professional development of its employees. This includes competitive health insurance plans, retirement savings options, paid time off, and wellness programs. The organization also provides opportunities for continuous learning through training sessions, workshops, and certifications. Employees benefit from a collaborative work environment that encourages innovation and recognizes individual contributions. Additionally, CoxHealth promotes work\-life balance through flexible scheduling and employee assistance programs, fostering a supportive atmosphere where employees can thrive both professionally and personally.
 Equal Opportunity
 CoxHealth is an equal opportunity employer committed to fostering a diverse and inclusive workplace. We do not discriminate based on race, religion, color, national origin, gender, age, disability, sexual orientation, gender identity, or any other protected characteristic. We believe that diversity enriches our organization and enhances our ability to serve our communities effectively. All qualified applicants will receive consideration for employment without regard to any protected status, and we are dedicated to providing a workplace that is respectful, equitable, and supportive for all employees.</t>
        </is>
      </c>
    </row>
    <row r="63">
      <c r="A63" t="inlineStr">
        <is>
          <t>li-4344186047</t>
        </is>
      </c>
      <c r="B63" t="inlineStr">
        <is>
          <t>Data Engineer</t>
        </is>
      </c>
      <c r="C63" t="inlineStr">
        <is>
          <t>Berkshire Hathaway GUARD Insurance Companies</t>
        </is>
      </c>
      <c r="D63" t="inlineStr">
        <is>
          <t>linkedin</t>
        </is>
      </c>
      <c r="E63">
        <f>HYPERLINK("https://www.linkedin.com/jobs/view/4344186047", "https://www.linkedin.com/jobs/view/4344186047")</f>
        <v/>
      </c>
      <c r="F63">
        <f>HYPERLINK("https://careers-guard.icims.com/jobs/5761/data-engineer/job?mode=apply&amp;iis=LinkedIn&amp;iisn=LinkedIn&amp;urlHash=2LBK", "https://careers-guard.icims.com/jobs/5761/data-engineer/job?mode=apply&amp;iis=LinkedIn&amp;iisn=LinkedIn&amp;urlHash=2LBK")</f>
        <v/>
      </c>
      <c r="G63" t="inlineStr"/>
      <c r="H63" t="inlineStr"/>
      <c r="I63" t="inlineStr">
        <is>
          <t>**Overview**
 Good things are happening at Berkshire Hathaway GUARD Insurance Companies. We provide Property \&amp; Casualty insurance products and services through a nationwide network of independent agents and brokers. Our companies are all rated A\+ “Superior” by AM Best (the leading independent insurance rating organization) and ultimately owned by Warren Buffett’s Berkshire Hathaway group – one of the financially strongest organizations in the world! Headquartered in Wilkes\-Barre, PA, we employ over 1,000 individuals (and growing) and have offices across the country. Our vision is to be a leading small business insurance provider nationwide.
 Founded upon an exceptional culture and led by a collaborative and inclusive management team, our company’s success is grounded in our core values: accountability, service, integrity, empowerment, and diversity. We are always in search of talented individuals to join our team and embark on an exciting career path!
**Benefits**
 We are an equal opportunity employer that strives to maintain a work environment that is welcoming and enriching for all. You’ll be surprised by all we have to offer!
* Competitive compensation
* Healthcare benefits package that begins on first day of employment
* 401K retirement plan with company match
* Enjoy generous paid time off to support your work\-life balance plus 9 ½ paid holidays
* Up to 6 weeks of parental and bonding leave
* Hybrid work schedule (3 days in the office, 2 days from home)
* Longevity awards (every 5 years of employment, receive a generous monetary award to be used toward a vacation)
* Tuition reimbursement after 6 months of employment
* Numerous opportunities for continued training and career advancement
* And much more!
**Responsibilities**
 We are hiring a hands\-on senior level
 **Data Engineer** 
 to build trustworthy, well governed data products and turn them into insights that drive underwriting, claims, product, distribution, and operations for the organization. You will collaborate directly with business leaders to translate questions into curated datasets, intuitive Power BI models, analytic insights and clear narratives that influence decisions. You’ll context switch comfortably between data \&amp; analytic engineering and meeting with business stakeholders to understand their processes and needs.
**Key Responsibilities**
* Collaborate closely with cross\-functional teams; including Underwriting, Product, Claims, Finance, and Distribution/Operations\- to transform business questions into clearly documented requirements and actionable data solutions.
* Model and publish curated, analysis ready datasets, semantic models in Power BI or analytics delivery that illuminate small commercial metrics.
* Continuously learn and expand business knowledge to proactively produce automated analytic solutions to business challenges.
* Design, develop, and maintain scalable ELT/ETL pipelines and lakehouse structures in Microsoft Fabric; Follow platform standards, optimize for performance, reliability, and cost.
* Follow and implement documentation standards, governance and data quality controls across datasets.
* Use Azure DevOps (ADO) for CI/CD and version control (branching, pull requests, release pipelines) to harden delivery and improve repeatability.
* Document technical architecture and workflows with clear diagrams and runbooks to accelerate onboarding and reduce operational risk.
**Qualifications**
**Qualifications:**
* Bachelor’s degree in computer science, information technology, or a related field.
* 5\-10 years of experience in data engineering or a related role within the P\&amp;C insurance space
* Proficiency in Microsoft Fabric a significant plus.
* Exposure to Azure DevOps (ADO) and CI/CD practices.
* Strong SQL, Python and data modeling skills.
* Experience with cloud platforms, preferably Azure.
* Excellent problem\-solving and analytical skills.
* Strong communication and collaboration abilities.
**Preferred Skills**
* Experience with big data technologies such as Hadoop, Spark, or Databricks.
* Knowledge of data warehousing concepts and tools.
* Familiarity with programming languages such as Python or Scala.
* Understanding of data security and compliance requirements.
* Applicants must be authorized to work in the U.S. without current or future sponsorship\*
**Salary Range**
 $100,000 – $160,000\. The annual base salary range posted represents a broad range of salaries around the U.S. and is subject to many factors including but not limited to credentials, education, experience, geographic location, job responsibilities, performance, skills and/or training.
 The successful candidate is expected to work in one of our offices 3 days per week and also be available for travel as required.</t>
        </is>
      </c>
    </row>
    <row r="64">
      <c r="A64" t="inlineStr">
        <is>
          <t>li-4379946051</t>
        </is>
      </c>
      <c r="B64" t="inlineStr">
        <is>
          <t>Clinical AI Data Engineer (remote)</t>
        </is>
      </c>
      <c r="C64" t="inlineStr">
        <is>
          <t>Causeway Bridge to Innovation LLC</t>
        </is>
      </c>
      <c r="D64" t="inlineStr">
        <is>
          <t>linkedin</t>
        </is>
      </c>
      <c r="E64">
        <f>HYPERLINK("https://www.linkedin.com/jobs/view/4379946051", "https://www.linkedin.com/jobs/view/4379946051")</f>
        <v/>
      </c>
      <c r="F64" t="inlineStr"/>
      <c r="G64" t="inlineStr"/>
      <c r="H64" t="inlineStr"/>
      <c r="I64" t="inlineStr">
        <is>
          <t>**Location:** 
  Remote – Tampa, FL preferred
**Type:** 
  Full\-time
**Salary Range:** 
  $130–$170K \+ bonus (depending on experience)
**About the Client** 
**U.S.\-based provider of managed IT and cloud services** 
 Our client delivers managed IT and cloud solutions with strong expertise in telecom and data infrastructure. They support organizations across the United States with tailored strategies for enterprise environments, focusing on cost efficiency, proactive monitoring, and optimal resource utilization.
 Their approach centers on delivering measurable results on time and within budget, supported by 24/7 technical support, network operations, and advanced data management. The company’s mission is to enable business growth through innovative technology while prioritizing security, reliability, and data accessibility. Core values include operational excellence, innovation, integrity, accountability, and strategic precision.
**About the Role** 
 We are seeking a 
 **Clinical AI Data Engineer** 
  to design and deploy production\-grade LLM systems that extract, structure, and validate oncology data from electronic health records.
 You will work at the intersection of oncology, applied AI, and clinical informatics — building intelligent systems that convert unstructured clinical documentation into research\-ready datasets. This role emphasizes deep expertise in oncology data and advanced LLM techniques rather than traditional data engineering alone.
**Key Responsibilities** 
**Build production LLM systems for oncology data extraction** 
 Design and deploy AI solutions that accurately extract oncology\-specific data from clinical notes and reports, including staging, biomarkers, treatment protocols, and patient outcomes.
**Develop robust AI agents for clinical reasoning** 
 Create intelligent agents capable of complex tasks such as multi\-document synthesis across patient records, precise entity and relationship extraction, and long\-context understanding of treatment histories.
**Ensure clinical accuracy and reliability** 
 Implement strategies to minimize hallucinations, improve factual consistency, and handle ambiguous or incomplete clinical documentation. Develop evaluation frameworks to measure precision, recall, and clinical validity.
**Work deeply with oncology EHR data structures** 
 Analyze pathology reports, radiology summaries, genomic testing results, and treatment documentation. Understand relationships among diagnosis codes, medications, lab values, and clinical narratives.
**Drive technical excellence through LLM experimentation** 
 Establish benchmarks and evaluation metrics. Experiment with advanced prompting, retrieval\-augmented generation, fine\-tuning, and multi\-agent architectures while identifying edge cases and model drift.
**Bridge clinical and technical domains** 
 Collaborate with oncologists, clinical data specialists, and product teams to translate clinical requirements into effective technical solutions.
**Required Qualifications** 
* 5\+ years developing production Python systems and delivering AI/ML solutions
* 3\+ years hands\-on experience with LLMs, including prompt engineering, agent frameworks, retrieval strategies, fine\-tuning, and reliability optimization
* Deep expertise in oncology EHR data structures and terminologies (ICD\-O, SNOMED, AJCC staging, RECIST)
* Advanced NLP and information extraction experience in clinical contexts
* Proven experience deploying AI agents in real\-world clinical environments
* Strong clinical reasoning ability and understanding of oncology workflows
* Scientific mindset with data\-driven experimentation
* Strong communication skills across technical and clinical audiences
* Ability to thrive in a fast\-paced, remote\-first, collaborative environment
**Preferred Qualifications** 
* Experience with Snowflake or similar data platforms
* Hands\-on experience with oncology EHR datasets
* Familiarity with genomic data interpretation and precision oncology
* Knowledge graph and medical relationship mapping experience
* Experience with HIPAA, SOC 2, or sensitive healthcare data compliance
* Master’s or PhD in bioinformatics, computational biology, or related field
* Knowledge of NCCN/ASCO guidelines and oncology workflows
**What We Value** 
**Quality\-focused** 
  — You build clean, maintainable solutions suitable for clinical environments.
**Fast and pragmatic** 
  — You iterate quickly and deliver value without over\-engineering.
**Value\-driven** 
  — You prioritize outcomes that impact users and clinical results.
**Self\-directed** 
  — You thrive in ambiguity and drive work independently.
**Collaborative** 
  — You value diverse perspectives and optimize for team success.
**Continuous learner** 
  — You stay current with advances in AI and clinical informatics.</t>
        </is>
      </c>
    </row>
    <row r="65">
      <c r="A65" t="inlineStr">
        <is>
          <t>li-4377769176</t>
        </is>
      </c>
      <c r="B65" t="inlineStr">
        <is>
          <t>Data Engineer</t>
        </is>
      </c>
      <c r="C65" t="inlineStr">
        <is>
          <t>The Phoenix Group</t>
        </is>
      </c>
      <c r="D65" t="inlineStr">
        <is>
          <t>linkedin</t>
        </is>
      </c>
      <c r="E65">
        <f>HYPERLINK("https://www.linkedin.com/jobs/view/4377769176", "https://www.linkedin.com/jobs/view/4377769176")</f>
        <v/>
      </c>
      <c r="F65" t="inlineStr"/>
      <c r="G65" t="inlineStr"/>
      <c r="H65" t="inlineStr"/>
      <c r="I65" t="inlineStr">
        <is>
          <t>**Data Engineer – AWS** 
**About the Role** 
 We're looking for a Data Engineer to help build and maintain our cloud data platform on AWS. You'll work on data pipelines, storage solutions, and analytics tools that help our teams make better decisions.
**What You'll Do** 
* Build and maintain data pipelines that move and transform data from various sources
* Work with AWS cloud services to store, organize, and make data accessible
* Help ensure data is accurate, reliable, and well\-documented
* Support analytics and reporting by preparing clean, usable datasets
* Collaborate with teammates across data, analytics, and business teams
* Contribute to improving how we manage and automate our data processes
**What We're Looking For** 
* Some hands\-on experience with AWS (familiarity with services like S3, Glue, or Redshift is a plus)
* Comfort writing SQL and basic Python
* An interest in data pipelines, cloud infrastructure, or data modeling
* Willingness to learn new tools and technologies
* Good communication skills and ability to work well with others
**Nice to Have (but not required)** 
* Exposure to ETL/ELT processes
* Familiarity with BI tools like Tableau or Power BI
* Any experience with CI/CD or Infrastructure\-as\-Code concepts
* Experience working in a remote or distributed team</t>
        </is>
      </c>
    </row>
    <row r="66">
      <c r="A66" t="inlineStr">
        <is>
          <t>li-4377769146</t>
        </is>
      </c>
      <c r="B66" t="inlineStr">
        <is>
          <t>Senior Data Engineer</t>
        </is>
      </c>
      <c r="C66" t="inlineStr">
        <is>
          <t>Ledgent Technology</t>
        </is>
      </c>
      <c r="D66" t="inlineStr">
        <is>
          <t>linkedin</t>
        </is>
      </c>
      <c r="E66">
        <f>HYPERLINK("https://www.linkedin.com/jobs/view/4377769146", "https://www.linkedin.com/jobs/view/4377769146")</f>
        <v/>
      </c>
      <c r="F66" t="inlineStr"/>
      <c r="G66" t="inlineStr">
        <is>
          <t>Woodbury, MN</t>
        </is>
      </c>
      <c r="H66" t="inlineStr"/>
      <c r="I66" t="inlineStr">
        <is>
          <t>**Senior Data Engineer** 
**Onsite (5 Days) \| Woodbury, MN** 
**Compensation: $120,000 \- $145,000** 
 We are seeking a hands\-on
 **Senior Data Engineer** 
 to modernize and scale our data platform. This role focuses on refactoring Postgres‑based business logic, building reliable data pipelines, and preparing data systems for advanced analytics and AI use cases. This is a senior individual contributor position with significant day\-to\-day coding and database ownership.
**Key Responsibilities** 
* Modernize and refactor complex business logic currently embedded in Postgres functions.
* Design scalable schemas, analytics‑ and AI‑ready data models, and performance‑optimized queries.
* Implement database partitioning, indexing, and tuning to support data growth and reliability.
* Design, build, and own production‑grade data pipelines from ingestion through consumption.
* Ensure data quality, testing, monitoring, and operational reliability across pipelines.
* Work directly in production systems to troubleshoot and resolve data and performance issues.
**Required Qualifications** 
* **PostgreSQL expertise is a must have** 
 , including advanced SQL and deep, production\-level experience.
* 5\+ years of hands\-on experience in data engineering, backend engineering, or a related role.
* Experience refactoring or modernizing legacy, database\-centric systems.
* Proficiency in Python or a comparable data engineering language.
* Strong understanding of ETL/ELT pipelines, data modeling, and performance optimization.
**Nice to Have** 
* Experience preparing data platforms for AI or machine learning workloads.
* Familiarity with orchestration tools (e.g., Airflow) or cloud data platforms.
* Experience implementing automated data quality checks or pipeline testing.
**Desired Skills and Experience**
 Postgres SQL, Data Engineer, Python, ETL, ELT
*All qualified applicants will receive consideration for employment without regard to race, color, national origin, age, ancestry, religion, sex, sexual orientation, gender identity, gender expression, marital status, disability, medical condition, genetic information, pregnancy, or military or veteran status. We consider all qualified applicants, including those with criminal histories, in a manner consistent with state and local laws, including the California Fair Chance Act, City of Los Angeles' Fair Chance Initiative for Hiring Ordinance, and Los Angeles County Fair Chance Ordinance.*</t>
        </is>
      </c>
    </row>
    <row r="67">
      <c r="A67" t="inlineStr">
        <is>
          <t>li-4378820655</t>
        </is>
      </c>
      <c r="B67" t="inlineStr">
        <is>
          <t>Data Engineer</t>
        </is>
      </c>
      <c r="C67" t="inlineStr">
        <is>
          <t>Wiraa</t>
        </is>
      </c>
      <c r="D67" t="inlineStr">
        <is>
          <t>linkedin</t>
        </is>
      </c>
      <c r="E67">
        <f>HYPERLINK("https://www.linkedin.com/jobs/view/4378820655", "https://www.linkedin.com/jobs/view/4378820655")</f>
        <v/>
      </c>
      <c r="F67">
        <f>HYPERLINK("https://www.wiraa.com/job-description/usD80C61A21F3024ED8B104CD7F3BDCB7A&amp;urlHash=eS7P", "https://www.wiraa.com/job-description/usD80C61A21F3024ED8B104CD7F3BDCB7A&amp;urlHash=eS7P")</f>
        <v/>
      </c>
      <c r="G67" t="inlineStr"/>
      <c r="H67" t="inlineStr"/>
      <c r="I67" t="inlineStr">
        <is>
          <t>About the Company
 Zelis is a forward\-thinking organization dedicated to transforming the healthcare financial experience for payers, providers, and healthcare consumers. With a diverse client base that includes over 750 payers such as the top five national health plans, regional health plans, third\-party administrators, and millions of healthcare providers and consumers, Zelis leverages innovative technology to address complex healthcare financial challenges. The company's holistic approach involves identifying, optimizing, and solving systemic issues through solutions built by healthcare experts, ensuring measurable and impactful results for clients. Zelis fosters a culture of innovation, collaboration, and excellence, committed to delivering high\-quality services that improve financial outcomes across the healthcare ecosystem.
 About the Role
 The Lead Data Engineer \- Finance \&amp; Accounting role at Zelis is a critical position responsible for designing, developing, and deploying scalable, cloud\-native data services tailored to support finance, treasury, and accounting functions. This includes financial reporting, reconciliation, billing, and operational accounting workflows. The role combines hands\-on technical expertise with leadership responsibilities, overseeing end\-to\-end project delivery from solution architecture to production deployment. The ideal candidate will possess strong domain knowledge in finance and accounting, extensive experience with AWS and Snowflake, and a proven track record of building data platforms that prioritize accuracy, traceability, and audit compliance. As a technical leader, you will mentor engineers, collaborate with cross\-functional teams, and ensure that data solutions meet the highest standards of quality and security.
 Qualifications
* 7\+ years of experience in data engineering, with at least 2\+ years in a technical lead or ownership role
* Demonstrated experience developing data solutions for finance and accounting domains such as general ledger, revenue, payments, claims, billing, or financial reporting
* Proven expertise in designing and implementing Snowflake cloud data warehouse solutions
* Strong cloud engineering background supporting financial data platforms, including data lakes, pipelines, and cloud\-native services
* Advanced proficiency in SQL, including complex joins, performance tuning, and reconciliation logic
* Hands\-on experience migrating financial data systems from on\-premises SQL platforms to cloud environments
* Deep understanding of financial data modeling, ETL/ELT patterns, and analytics architecture
* Leadership, mentorship, and cross\-functional collaboration skills
* Excellent communication abilities to liaise effectively with technical teams and finance stakeholders
* Experience working within Agile/Scrum methodologies and facilitating related ceremonies
 Responsibilities
* Own end\-to\-end delivery of finance and accounting data services, from requirements gathering and architecture design to implementation, testing, deployment, and ongoing support
* Design and develop Snowflake\-based financial data architectures, including accounting\-ready data models and DBT transformation pipelines
* Build and maintain reliable data pipelines supporting financial reporting, reconciliation, close processes, and downstream analytics
* Lead cloud data engineering initiatives supporting general ledger, revenue, payments, claims, billing, and operational finance workflows
* Serve as a technical lead on finance\-focused projects, establishing engineering standards, making architectural decisions, and ensuring timely delivery
* Collaborate closely with Finance, Accounting, FP\&amp;A, and Analytics teams to translate business needs into scalable data products
* Ensure data integrity, auditability, and traceability through controls, lineage, and reconciliation logic
* Mentor and review the work of data engineers, fostering a culture of quality and continuous improvement
* Implement and enforce data quality, observability, and governance practices aligned with financial and regulatory standards
* Support migration efforts of financial data platforms from on\-premises systems to cloud\-based solutions
* Participate actively in Agile delivery processes, including sprint planning, standups, retrospectives, and release management
* Maintain compliance with data privacy, security, and regulatory standards pertinent to financial and healthcare data
 Benefits
* Competitive salary range of $127,000 to $160,550, commensurate with experience and qualifications
* Comprehensive benefits package including health, dental, vision, and prescription coverage
* 401(k) plan with employer matching contributions
* Flexible paid time off and holiday policies
* Parental leave and family support programs
* Life and disability insurance coverage
* Opportunities for remote and hybrid work arrangements based on role and team needs
* Professional development and growth opportunities within a dynamic organization
 Equal Opportunity
 Zelis is an equal opportunity employer committed to fostering an inclusive environment. All qualified applicants will receive consideration regardless of race, color, religion, gender, gender identity or expression, sexual orientation, national origin, age, disability, veteran status, or any other protected characteristic under applicable law. We value diversity and are dedicated to building a workplace that reflects the communities we serve. We encourage candidates from all backgrounds to apply and join our mission to modernize healthcare financial experiences.</t>
        </is>
      </c>
    </row>
    <row r="68">
      <c r="A68" t="inlineStr">
        <is>
          <t>li-4336016815</t>
        </is>
      </c>
      <c r="B68" t="inlineStr">
        <is>
          <t>Senior Data Engineer, Vehicle Telematics</t>
        </is>
      </c>
      <c r="C68" t="inlineStr">
        <is>
          <t>General Motors</t>
        </is>
      </c>
      <c r="D68" t="inlineStr">
        <is>
          <t>linkedin</t>
        </is>
      </c>
      <c r="E68">
        <f>HYPERLINK("https://www.linkedin.com/jobs/view/4336016815", "https://www.linkedin.com/jobs/view/4336016815")</f>
        <v/>
      </c>
      <c r="F68" t="inlineStr"/>
      <c r="G68" t="inlineStr">
        <is>
          <t>Warren, MI</t>
        </is>
      </c>
      <c r="H68" t="inlineStr"/>
      <c r="I68" t="inlineStr">
        <is>
          <t>**Job Description**
 This role is categorized as hybrid. This means the successful candidate is expected to report to Austin, TX or Warren, MI three times per week, at minimum \[or other frequency dictated by the business if more than 3 days].
**The Role**
 General Motors uses telematics data as a cornerstone of its software\-defined vehicle strategy, enhancing safety, security, and product development to create an exceptional customer experience. Analytical insights from this data lead to improvements in operational efficiency, maintenance, and vehicle performance as well as address the need for intelligent (ADAS), sustainable transportation (EV). Our analytical datastore team owns the platform that streams and stores this data from millions of vehicles around the globe.
 We seek a polyglot engineer with a strong background in data and software, experienced in designing and maintaining large\-scale systems. This technical leadership role requires a passion for quality, efficiency, and reliability. As a senior data engineer, you'll be building the platform to enable thousands of use cases that require telematics data. You will play a key role in our team's success, supporting hundreds of internal analytics users and enhancing the experience for millions of retail and fleet customers. This is a high\-visibility role!
**What You’ll Do**
* Develop a scalable data platform to support continuing increases in data volume and complexity
* Develop and maintain data pipelines to ingest, process, and curate large volumes of data using Spark, Kafka, Event Hubs, Azure Data Lake Storage, or similar technologies
* Support the infrastructure required for optimal ingestion, transformation, and storing of data
* Collaborate with data scientists to support the needs of advanced ML development
* Design and implement rigorous data observability, validation, governance, and quality checks
* Mentor and support junior engineers by providing guidance, coaching and educational opportunities
* Simplify, simplify, simplify… and document your work!
**Your Skills \&amp; Abilities (Required Qualifications)**
* Bachelor's degree in Computer Science, Software Engineering, or a related field
* 5\+ years of experience in data engineering including Python or Scala, SQL, and relational/non\-relational data storage
* 3\+ years of experience in distributed, petabyte\-scale data processing using Spark as well as container orchestration technologies like Kubernetes
* Strong with performance tuning strategies such as partitioning, clustering, caching, and various other serialization techniques
* Strong with infrastructure as code (IaC) and CI/CD best practices
* Proven cloud experience and familiarity with at least one cloud platform (Azure preferred)
* Strong background in any of the following: data architecture, data governance, metadata management, data quality, observability, or MLOps
* Knowledge in schema design and data contracts
* Excellent teamwork and leadership skills to collaborate and influence across product, program, and engineering
**What Can Give You a Competitive Advantage (Preferred Qualifications)**
* Master's degree in Computer Science, Software Engineering, or a related field
* Experience in processing and storing various file formats, including video, audio and image
* Experience with tools such as Databricks or Snowflake – this is where the vast majority of our downstream consumers live.
 This job may be eligible for relocation benefits.
**Compensation:**
* The expected base compensation for this role is: $134,000 \- $219,000\. Actual base compensation within the identified range will vary based on factors relevant to the position.
* Bonus Potential: An incentive pay program offers payouts based on company performance, job level, and individual performance.
* Benefits: GM offers a variety of health and wellbeing benefit programs. Benefit options include medical, dental, vision, Health Savings Account, Flexible Spending Accounts, retirement savings plan, sickness and accident benefits, life insurance, paid vacation \&amp; holidays, tuition assistance programs, employee assistance program, GM vehicle discounts and more.
 GM DOES NOT PROVIDE IMMIGRATION\-RELATED SPONSORSHIP FOR THIS ROLE. DO NOT APPLY FOR THIS ROLE IF YOU WILL NEED GM IMMIGRATION SPONSORSHIP NOW OR IN THE FUTURE. THIS INCLUDES DIRECT COMPANY SPONSORSHIP, ENTRY OF GM AS THE IMMIGRATION EMPLOYER OF RECORD ON A GOVERNMENT FORM, AND ANY WORK AUTHORIZATION REQUIRING A WRITTEN SUBMISSION OR OTHER IMMIGRATION SUPPORT FROM THE COMPANY (e.g., H\-1B, OPT, STEM OPT, CPT, TN, J\-1, etc.)
**About GM**
 Our vision is a world with Zero Crashes, Zero Emissions and Zero Congestion and we embrace the responsibility to lead the change that will make our world better, safer and more equitable for all.
**Why Join Us**
 We believe we all must make a choice every day – individually and collectively – to drive meaningful change through our words, our deeds and our culture. Every day, we want every employee to feel they belong to one General Motors team.
**Benefits Overview**
 From day one, we're looking out for your well\-being–at work and at home–so you can focus on realizing your ambitions. Learn how GM supports a rewarding career that rewards you personally by visiting
 **Total Rewards resources** 
 .
**Non\-Discrimination and Equal Employment Opportunities (U.S.)**
 General Motors is committed to being a workplace that is not only free of unlawful discrimination, but one that genuinely fosters inclusion and belonging. We strongly believe that providing an inclusive workplace creates an environment in which our employees can thrive and develop better products for our customers.
 All employment decisions are made on a non\-discriminatory basis without regard to sex, race, color, national origin, citizenship status, religion, age, disability, pregnancy or maternity status, sexual orientation, gender identity, status as a veteran or protected veteran, or any other similarly protected status in accordance with federal, state and local laws.
 We encourage interested candidates to review the key responsibilities and qualifications for each role and apply for any positions that match their skills and capabilities. Applicants in the recruitment process may be required, where applicable, to successfully complete a role\-related assessment(s) and/or a pre\-employment screening prior to beginning employment. To learn more, visit
 **How we Hire** 
 .
**Accommodations**
 General Motors offers opportunities to all job seekers including individuals with disabilities. If you need a reasonable accommodation to assist with your job search or application for employment,
 **email** 
 us or call us at 1\-800\-865\-7580\. In your email, please include a description of the specific accommodation you are requesting as well as the job title and requisition number of the position for which you are applying.</t>
        </is>
      </c>
    </row>
    <row r="69">
      <c r="A69" t="inlineStr">
        <is>
          <t>li-4378837316</t>
        </is>
      </c>
      <c r="B69" t="inlineStr">
        <is>
          <t>Data Engineer</t>
        </is>
      </c>
      <c r="C69" t="inlineStr">
        <is>
          <t>Haystack</t>
        </is>
      </c>
      <c r="D69" t="inlineStr">
        <is>
          <t>linkedin</t>
        </is>
      </c>
      <c r="E69">
        <f>HYPERLINK("https://www.linkedin.com/jobs/view/4378837316", "https://www.linkedin.com/jobs/view/4378837316")</f>
        <v/>
      </c>
      <c r="F69" t="inlineStr"/>
      <c r="G69" t="inlineStr"/>
      <c r="H69" t="inlineStr"/>
      <c r="I69" t="inlineStr">
        <is>
          <t>**Data Engineer \| United States \| Remote \| $87,100 \- $157,450** 
 We're working with a premier global leader in national security and digital transformation on this exciting opportunity. We are looking for a powerhouse Data Engineer to architect the backbone of DHS decision\-support tools, utilizing Python and SQL to transform complex datasets into mission\-critical insights.
 This isn't a role for those looking to maintain the status quo; you will be building scalable data pipelines and predictive algorithms that directly impact national security operations. If you thrive in fast\-paced, collaborative environments and love solving "impossible" data puzzles, this is your next career move.
**The Role** 
 • Design and build robust data management systems and automated pipelines to process both structured and unstructured data at scale.
 • Develop and deploy predictive algorithms, image classifiers, and object detectors to enhance operational decision\-making.
 • Collaborate directly with Computer Scientists and Stakeholders to architect backend database technologies and optimize data ingestion workflows.
 • Transform massive datasets into compelling narrative products and visualizations using PowerBI to inform high\-level government briefings.
 • Optimize ETL processes and data architectures within Azure cloud environments to ensure maximum efficiency and scalability.
**What You'll Need** 
 • 6\-8 years of heavy\-hitting experience in Data Engineering, Analytics, or Statistics with a Bachelor’s degree in a technical field.
 • Mastery of Python and R for data manipulation, alongside expert\-level SQL for querying relational databases and APIs.
 • Proven track record in data modeling, data warehousing, and building automated data research scripts.
 • US Citizenship and the ability to obtain/maintain a Public Trust clearance are essential for this mission.
 • Technical familiarity with version control tools like GIT, SVN, or Jira, and experience with Azure cloud data analytics suites.
**What's On Offer** 
 • Highly competitive salary range of $87,100 \- $157,450 with transparency in compensation.
 • Fully remote work flexibility for a true work\-life balance while supporting a critical national mission.
 • Comprehensive benefits package including Health \&amp; Wellness programs, retirement plans, and paid leave.
 • Opportunity to work within a culture that outpacing the industry standard and invests heavily in professional growth.
**Apply via Haystack today!**</t>
        </is>
      </c>
    </row>
    <row r="70">
      <c r="A70" t="inlineStr">
        <is>
          <t>li-4378852006</t>
        </is>
      </c>
      <c r="B70" t="inlineStr">
        <is>
          <t>Lead Data Engineer</t>
        </is>
      </c>
      <c r="C70" t="inlineStr">
        <is>
          <t>LyraConnect Inc</t>
        </is>
      </c>
      <c r="D70" t="inlineStr">
        <is>
          <t>linkedin</t>
        </is>
      </c>
      <c r="E70">
        <f>HYPERLINK("https://www.linkedin.com/jobs/view/4378852006", "https://www.linkedin.com/jobs/view/4378852006")</f>
        <v/>
      </c>
      <c r="F70" t="inlineStr"/>
      <c r="G70" t="inlineStr">
        <is>
          <t>Bentonville, AR</t>
        </is>
      </c>
      <c r="H70" t="inlineStr"/>
      <c r="I70" t="inlineStr">
        <is>
          <t>**The role** 
 You'll architect ETL systems that process AI chat platform responses and marketing analytics data at scale, working with tools like dbt, Databricks, Duckdb, and Postgres. You'll also build and maintain the APIs and backend services that expose this data to our products \- designing endpoints, handling authentication, optimizing query performance, and ensuring our platform can scale as we grow.
 You'll translate messy business requirements into clean data models and reliable services. You'll make architectural decisions about how data flows through the system, how we structure our APIs, and what our technical standards should be. You'll also mentor engineers and review code.
 This isn't purely pipeline work \- you'll spend time building backend services, debugging production issues, and working closely with the product team to understand what customers actually need from our APIs.
**What you bring** 
* Strong experience with modern data stacks and dimensional modeling
* Solid backend engineering skills \- you've built APIs and services that handle real traffic
* Comfort working across the stack from raw data ingestion to API endpoints
* Track record making technical decisions and explaining them clearly
* Care about both data quality and shipping working software</t>
        </is>
      </c>
    </row>
    <row r="71">
      <c r="A71" t="inlineStr">
        <is>
          <t>li-4378818704</t>
        </is>
      </c>
      <c r="B71" t="inlineStr">
        <is>
          <t>Analytics Engineer</t>
        </is>
      </c>
      <c r="C71" t="inlineStr">
        <is>
          <t>RemoteHunter</t>
        </is>
      </c>
      <c r="D71" t="inlineStr">
        <is>
          <t>linkedin</t>
        </is>
      </c>
      <c r="E71">
        <f>HYPERLINK("https://www.linkedin.com/jobs/view/4378818704", "https://www.linkedin.com/jobs/view/4378818704")</f>
        <v/>
      </c>
      <c r="F71" t="inlineStr"/>
      <c r="G71" t="inlineStr"/>
      <c r="H71" t="inlineStr"/>
      <c r="I71" t="inlineStr">
        <is>
          <t>About the Opportunity:
 A United States based Analytics Engineer is needed to support reporting, ad\-hoc analysis, and analytics development across the organization while helping evolve the data platform over time. This role bridges data engineering and business functions, managing day\-to\-day analytics needs such as Power BI dashboards, ad\-hoc reporting, and SQL development, with growth into data modeling and advanced analytics including machine learning. The role collaborates closely with a Senior Solutions Engineer focused on data ingestion and integrations.
 Responsibilities:
 • Own ad\-hoc reporting and analysis for operations, finance, and leadership
 • Build and maintain Power BI dashboards and reports
 • Translate ambiguous business questions into clear analytical outputs
 • Partner with stakeholders to define and refine KPIs and metrics
 • Ensure reporting is accurate, performant, and trusted
 • Write high\-quality SQL to support reporting and analytics
 • Build and improve analytics\-ready (gold\-layer) datasets
 • Contribute to dimensional and fact\-based data models
 • Improve consistency, usability, and documentation of core datasets
 • Gradually take on more responsibility in data modeling and analytics engineering
 • Collaborate on improving analytics architecture and best practices
 • Explore advanced analytics or machine learning use cases over time
 Requirements:
 • Strong expertise in SQL development with modular design skills
 • Proven ability working with large and complex datasets
 • Hands\-on experience building reports or dashboards (Power BI preferred)
 • Experience handling ad\-hoc analysis and evolving business questions
 • Understanding of dimensional modeling
 • Ability to communicate clearly with non\-technical stakeholders
 • Curiosity and motivation to grow technically
 • Nice to have: 2\+ years of SQL development experience
 • Experience with Databricks, Snowflake, or other cloud data platforms
 • Familiarity with analytics engineering concepts
 • Familiarity with version control and CI/CD tools (GitHub, Gitlab, etc.)
 • Exposure to healthcare, EMR, or regulated data environments
 • Interest in machine learning or advanced analytics (not required)
 Benefits \&amp; Perks:
 • Bonus eligible
 • Health care plan including medical, dental, and vision
 • Retirement plan (401k)
 • Life insurance
 • Paid time off
 • Short term and long term disability
 • Training and development
 Note:
 “RemoteHunter is not the Employer of Record (EOR) for this role. Our purpose in this opportunity is to connect exceptional candidates with leading employers. We help job seekers worldwide discover roles that match their goals and guide them to complete their full application directly through the hiring company’s career page or ATS.”</t>
        </is>
      </c>
    </row>
    <row r="72">
      <c r="A72" t="inlineStr">
        <is>
          <t>li-4379911133</t>
        </is>
      </c>
      <c r="B72" t="inlineStr">
        <is>
          <t>Data Engineer</t>
        </is>
      </c>
      <c r="C72" t="inlineStr">
        <is>
          <t>Haystack</t>
        </is>
      </c>
      <c r="D72" t="inlineStr">
        <is>
          <t>linkedin</t>
        </is>
      </c>
      <c r="E72">
        <f>HYPERLINK("https://www.linkedin.com/jobs/view/4379911133", "https://www.linkedin.com/jobs/view/4379911133")</f>
        <v/>
      </c>
      <c r="F72">
        <f>HYPERLINK("https://us.haystackapp.io/roles/69a48236908df05de9f7091e?src=linkedin&amp;urlHash=YMUu", "https://us.haystackapp.io/roles/69a48236908df05de9f7091e?src=linkedin&amp;urlHash=YMUu")</f>
        <v/>
      </c>
      <c r="G72" t="inlineStr">
        <is>
          <t>San Diego, CA</t>
        </is>
      </c>
      <c r="H72" t="inlineStr"/>
      <c r="I72" t="inlineStr">
        <is>
          <t>**Data Engineer/Analyst (Navy/DoD) \| San Diego, CA \| $85,000 \- $95,000**
 We're working with a premier mission\-critical defense contractor and Service\-Disabled Veteran\-Owned Small Business on this exciting opportunity to support U.S. Naval readiness.
 Step into a high\-impact role supporting the U.S. Navy’s REM program, where you will leverage Python and SQL to drive lethal effectiveness for the Surface and Mine Warfighting Development Center (SMWDC). You will play a pivotal role in reconstructing naval exercises and managing the NSTRAT system to ensure our fleet maintains its tactical edge.
**The Role**
* Lead the reconstruction and analysis of complex naval events and exercises by maintaining high\-performance databases.
* Extract and manipulate mission\-critical data using SQL to provide meaningful insights for Navy technical subject matter experts.
* Take full ownership of the Navy Ship Tracking Reporting and Analysis Tool (NSTRAT) system, including administration and troubleshooting.
* Conduct software engineering and testing functions to develop custom data analysis tools for maritime event reconstruction.
* Collaborate directly with waterfront teams to improve data collection methods for Anti\-Submarine Warfare (ASW) and Mine Warfare (MIREM) programs.
**What You'll Need**
* Active or Interim DoD SECRET Security Clearance (Mandatory).
* 5\+ years of professional experience in data analytics, scripting, or operational analysis within a DoD or Navy environment.
* Mastery of Python and Microsoft SQL for data processing, query analysis, and database management.
* Experience with Navy Flankspeed, Microsoft Azure Cloud Services, or IL6 Azure Privileged Access is highly preferred.
* Relevant certifications such as Security\+, Azure Administrator Associate (AZ\-104\), or GSEC (IAT Level II compliance) are a major plus.
**What's On Offer**
* Comprehensive health package including Medical, Dental, Vision, and TRICARE Supplemental Coverage.
* Strong retirement security with a 401(k) employer match and traditional/Roth options.
* Continuous professional growth through a Tuition Reimbursement Program and internal training initiatives.
* A robust benefits suite including Pet Insurance, Commuter Benefits, and an Employee Referral Program.
**Apply via Haystack today!**</t>
        </is>
      </c>
    </row>
    <row r="73">
      <c r="A73" t="inlineStr">
        <is>
          <t>li-4378329141</t>
        </is>
      </c>
      <c r="B73" t="inlineStr">
        <is>
          <t>Senior Analytics Engineer</t>
        </is>
      </c>
      <c r="C73" t="inlineStr">
        <is>
          <t>Ramsey Solutions</t>
        </is>
      </c>
      <c r="D73" t="inlineStr">
        <is>
          <t>linkedin</t>
        </is>
      </c>
      <c r="E73">
        <f>HYPERLINK("https://www.linkedin.com/jobs/view/4378329141", "https://www.linkedin.com/jobs/view/4378329141")</f>
        <v/>
      </c>
      <c r="F73">
        <f>HYPERLINK("https://careers.ramseysolutions.com/jobs/16970137-senior-analytics-engineer?tm_job=17354&amp;tm_event=view&amp;tm_company=13331&amp;bid=56&amp;urlHash=f1dA", "https://careers.ramseysolutions.com/jobs/16970137-senior-analytics-engineer?tm_job=17354&amp;tm_event=view&amp;tm_company=13331&amp;bid=56&amp;urlHash=f1dA")</f>
        <v/>
      </c>
      <c r="G73" t="inlineStr">
        <is>
          <t>Nashville, TN</t>
        </is>
      </c>
      <c r="H73" t="inlineStr"/>
      <c r="I73" t="inlineStr">
        <is>
          <t>**Description**
**Location:** 
 Franklin, TN—on\-site, relocation assistance available, flexible schedules available
**A Little Bit About Us:** 
 You might know us from our founder and CEO, Dave Ramsey, who’s given no\-nonsense money advice on the radio since 1992\. Three decades later, Ramsey Solutions is a household name in personal finance, with a mission to change the toxic money culture for good.
***Our Mission: Ramsey Solutions provides biblically based, commonsense education and empowerment that give HOPE to everyone in every walk of life.***
**Here’s a Taste Of Our Benefits**
* Health insurance (includes plans eligible for an HSA—with a company match up to $500!)
* 401(k) retirement plan with 4% match/company contribution
* Annual wellness, counseling and grocery membership reimbursement
* On\-campus cafe with subsidized pricing for breakfast, lunch and coffee bar
* Dependent care FSA
* Tons of cultural activities, like weekly devotional, leadership development courses, Battle of the Bands, and one epic Christmas party!
**Where And How You’d Work**
 Ramsey Solutions Headquarters is located just outside of Nashville in Franklin, Tennessee. We value our strong, unified company culture because we believe the best work is done together. That’s why all of our team members work on\-site under the same roof. But work\-life balance is also important to us, so we offer flexible work schedules to take the stress out of appointments, family obligations and other needs that may pop up.
 While every team member has a designated workspace (with an electronic sit\-stand desk), our campus was designed to house a variety of unique work and play zones (e.g., quiet library space, coffee bar/lounge areas, recreational game zone, and outside/patio work and break areas).
**What You’d Do In This Role**
 The Sr Analytics Engineer will play a critical role in building and maintaining the datasets and reporting that powers our business decisions. This role will focus on designing, developing, and implementing data pipelines and processes to transform raw data into high\-quality data products leveraged by key decision\-makers at Ramsey Solutions. The ideal candidate is a highly analytical and results\-oriented individual with a passion for data and a strong understanding of data warehousing principles.
 If you are looking to join a data team that is driven by vision, purpose, and real partnership with the business, this is your role.
 Our vision is simple but powerful. Ramsey Solutions is confidently using data to accelerate its mission of bringing hope and transforming lives. Data is not an afterthought here. It is a strategic tool used to move the business forward and help people make better decisions.
 We exist to help people make the best possible decisions, and our primary customers are key decision makers across the organization. These are leaders rely on trusted data to shape strategy, solve problems, and drive impact. The work you do will not sit in dashboards unused. It will directly influence outcomes across the business.
 As a team, we build data products, not just reports. We proactively partner with our stakeholders to discover problems worth solving, then iteratively design and test solutions until those problems are truly solved. This role is for someone who wants to be close to the business, take ownership, and see their work actively used to guide decisions that matter.
**You’re Probably a Match If**
* You have 4–6 years of experience in analytics engineering or data development, owning the full data lifecycle—from building pipelines and designing data models to delivering dashboards that drive decision\-making.
* You are Proficient in SQL and scripting languages (for example: Python and R)
* You have experience with data modeling and dimensional modeling
* You have experience with data visualization tools (e.g., Shiny, Plotly, Streamlit) and with cloud\-based data platforms (e.g., AWS, Azure, GCP) is a plus.
* You have experience with data warehousing and ETL/ELT processes
* You have the ability to clearly communicate with both technical and non\-technical stakeholders
**What Winning Looks Like**
* Building and maintaining data warehouses and data marts, ensuring data quality, accuracy, and consistency.
* Developing and implementing data quality checks and monitoring systems to identify and resolve data issues proactively.
* Collaborating with customers and stakeholders to understand their problems and translate them into data products for the team to deliver.
* Developing a deep understanding of key datasets and data models within the data platform.
* Becoming a trusted advisor to analytics customers and stakeholders on data\-related matters.
* Developing and maintaining source of truth reports and dashboards for key business metrics.
* Ensuring data accuracy and consistency across all reporting channels.
* Designing, developing, and maintaining data pipelines and ETL processes using modern data engineering tools and technologies (e.g., SQL, Python, Apache Airflow, dbt, Snowflake, AWS Redshift).
**Other Stuff To Know**
 We’re looking for people who are passionate about our mission. This isn’t just a J\-O\-B. We experience resistance every day because what we believe is absolutely countercultural. We actually hate debt. We actually cut up our credit cards . . . like, for real. Some of us are still fighting our way out of debt, but we aren’t going back. If you don’t know much about Ramsey Solutions and our founder, Dave Ramsey, we encourage you to download the Ramsey Network mobile app and consume our content.
**If Ramsey Solutions sounds like a workplace where you can get excited about Mondays, apply today. We can’t wait to hear from you!**
**EOE, including disability/vets**</t>
        </is>
      </c>
    </row>
    <row r="74">
      <c r="A74" t="inlineStr">
        <is>
          <t>li-4378844544</t>
        </is>
      </c>
      <c r="B74" t="inlineStr">
        <is>
          <t>GCP Data Engineer- Healthcare</t>
        </is>
      </c>
      <c r="C74" t="inlineStr">
        <is>
          <t>Tech Mahindra</t>
        </is>
      </c>
      <c r="D74" t="inlineStr">
        <is>
          <t>linkedin</t>
        </is>
      </c>
      <c r="E74">
        <f>HYPERLINK("https://www.linkedin.com/jobs/view/4378844544", "https://www.linkedin.com/jobs/view/4378844544")</f>
        <v/>
      </c>
      <c r="F74" t="inlineStr"/>
      <c r="G74" t="inlineStr"/>
      <c r="H74" t="inlineStr"/>
      <c r="I74" t="inlineStr">
        <is>
          <t>*At Tech Mahindra* 
***(***
*Tech Mahindra \| Connected World, Connected Experiences), we live the philosophy of connected world and connected experiences. We thrive on change that is powered by the intelligent symphony of technology and humans designing meaningful and sustainable experiences. Consumer ‘experiences’ are driving and disrupting industries like never before. Businesses must build seamless yet simple enterprises that collaborate, synergize, and drive the change. Change that connects us all and empowers us to deliver experiences that span across the digital, the physical, the convergent, and everything in between. That’s when truly connected experiences manifest.* 
*Extraordinary is when experiences come together – a continuous convergence of digital technologies, touchpoints, and most importantly people. It’s time to reimagine, reinvent, and revolutionize business models \&amp; operations as well as to transform enterprises into living, breathing, and connected businesses. We are the Digital Change makers who strive to change the way the world, communities, businesses, and humans interact digitally. We are harnessing the power of change, brought in by technologies, that makes it the most exciting time to be alive in the human history. Our universe, as we build it, disrupt it, and redesign it, is powering the digital change.* 
*Tech Mahindra represents the connected world, offering innovative and customer\-centric information technology experiences, enabling Enterprises, Associates, and the Society to Rise. It has 150,000\+ professionals working for 1000\+ Global Customers (including Fortune 500 companies) in 90 Countries. We’re part of the esteemed Mahindra group, headquartered in India. Under a new CEO, Tech Mahindra is committed to a transformative journey with 'Scale @ Speed' as our guiding principle.* 
**Position :\- GCP Data Engineer (Health Care Background Must)** 
**Location: Across USA any Location** 
**Summary:** 
 Strong experience architecting enterprise data platforms on Google Cloud (GCP). The architect will work as a strategic technical partner to design and build a GCP BigQuery\-based Data Lake \&amp; Data Warehouse ecosystem.
 The role requires deep hands\-on expertise in data ingestion, transformation, modeling, enrichment, and governance, combined with a strong understanding of clinical healthcare data standards, interoperability, and cloud architecture best practices.
**Key Responsibilities:** 
 1\. Data Lake \&amp; Data Platform Architecture (GCP)
 • Architect and design an enterprise\-grade GCP\-based data lakehouse leveraging BigQuery, GCS, Dataproc, Dataflow, Pub/Sub, Cloud Composer, and BigQuery Omni.
 • Define data ingestion, hydration, curation, processing and enrichment strategies for large\-scale structured, semi\-structured, and unstructured datasets.
 • Create data domain models, canonical models, and consumption\-ready datasets for analytics, AI/ML, and operational data products.
 • Design federated data layers and self\-service data products for downstream consumers.
 2\. Data Ingestion \&amp; Pipelines
 • Architect batch, near\-real\-time, and streaming ingestion pipelines using GCP Cloud Dataflow, Pub/Sub, and Dataproc.
 • Set up data ingestion for clinical (EHR/EMR, LIS, RIS/PACS) datasets including HL7, FHIR, CCD, DICOM formats.
 • Build ingestion pipelines for non\-clinical systems (ERP, HR, payroll, supply chain, finance).
 • Architect ingestion from medical devices, IoT, remote patient monitoring, and wearables leveraging IoMT patterns.
 • Manage on\-prem → cloud migration pipelines, hybrid cloud data movement, VPN/Interconnect connectivity, and data transfer strategies.
 3\. Data Transformation, Hydration \&amp; Enrichment
 • Build transformation frameworks using BigQuery SQL, Dataflow, Dataproc, or dbt.
 • Define curation patterns including bronze/silver/gold layers, canonical healthcare entities, and data marts.
 • Implement data enrichment using external social determinants, device signals, clinical event logs, or operational datasets.
 • Enable metadata\-driven pipelines for scalable transformations.
 4\. Data Governance \&amp; Quality
 • Establish and operationalize a data governance framework encompassing data stewardship, ownership, classification, and lifecycle policies.
 • Implement data lineage, data cataloging, and metadata management using tools such as Dataplex, Data Catalog, Collibra, or Informatica.
 • Set up data quality frameworks for validation, profiling, anomaly detection, and SLA monitoring.
 • Ensure HIPAA compliance, PHI protection, IAM/RBAC, VPC SC, DLP, encryption, retention, and auditing.
 5\. Cloud Infrastructure \&amp; Networking
 • Work with cloud infrastructure teams to architect VPC networks, subnetting, ingress/egress, firewall policies, VPN/IPSec, Interconnect, and hybrid connectivity.
 • Define storage layers, partitioning/clustering design, cost optimization, performance tuning, and capacity planning for BigQuery.
 • Understand containerized processing (Cloud Run, GKE) for data services.
 6\. Stakeholder Collaboration
 • Work closely with clinical, operational, research, and IT stakeholders to define data use cases, schema, and consumption models.
 • Partner with enterprise architects, security teams, and platform engineering teams on cross\-functional initiatives.
 • Guide data engineers and provide architectural oversight on pipeline implementation.
 7\. Hands\-on Leadership
 • Be actively hands\-on in building pipelines, writing transformations, building POCs, and validating architectural patterns.
 • Mentor data engineers on best practices, coding standards, and cloud\-native development.
**Required Skills \&amp; Qualifications** 
 Technical Skills (Must\-Have)
 • 10\+ years in data architecture, engineering, or data platform roles.
 • Strong expertise in GCP data stack (BigQuery, Dataflow, Composer, GCS, Pub/Sub, Dataproc, Dataplex).
 • Hands\-on experience with data ingestion, pipeline orchestration, and transformations.
 • Deep understanding of clinical data standards:
 • HL7 v2\.x, FHIR, CCD/C\-CDA
 • DICOM (for scans and imaging)
 • LIS/RIS/PACS data structures
 • Experience with device and IoT data ingestion (wearables, remote patient monitoring, clinical devices).
 • Experience with ERP datasets (Workday, Oracle, Lawson, PeopleSoft).
 • Strong SQL and data modeling skills (3NF, star/snowflake, canonical and logical models).
 • Experience with metadata management, lineage, and governance frameworks.
 • Solid understanding of HIPAA, PHI/PII handling, DLP, IAM, VPC security.
**Cloud \&amp; Infrastructure**
 • Solid understanding of cloud networking, hybrid connectivity, VPC design, firewalling, DNS, service accounts, IAM, and security models.
 • Cloud Native Data movement services
 • Experience with on\-prem to cloud migrations.
 The pay range for this role is
 **$120k \- $130k per annum including any bonuses or variable pay** 
 . Tech Mahindra also offers benefits like medical, vision, dental, life, disability insurance and paid time off (including holidays, parental leave, and sick leave, as required by law). Ask our recruiters for more details on our Benefits package. The exact offer terms will depend on the skill level, educational qualifications, experience, and location of the candidate.
 Tech Mahindra is an Equal Employment Opportunity employer. We promote and support a diverse workforce at all levels of the company. All qualified applicants will receive consideration for employment without regard to race, religion, color, sex, age, national origin or disability. All applicants will be evaluated solely on the basis of their ability, competence, and performance of the essential functions of their positions with or without reasonable accommodations. Reasonable accommodations also are available in the hiring process for applicants with disabilities. Candidates can request a reasonable accommodation by contacting the company ADA Coordinator at ADA\_Accomodations@TechMahindra.com.”</t>
        </is>
      </c>
    </row>
    <row r="75">
      <c r="A75" t="inlineStr">
        <is>
          <t>li-4378846474</t>
        </is>
      </c>
      <c r="B75" t="inlineStr">
        <is>
          <t>Entry Level Data Engineer</t>
        </is>
      </c>
      <c r="C75" t="inlineStr">
        <is>
          <t>Emonics LLC</t>
        </is>
      </c>
      <c r="D75" t="inlineStr">
        <is>
          <t>linkedin</t>
        </is>
      </c>
      <c r="E75">
        <f>HYPERLINK("https://www.linkedin.com/jobs/view/4378846474", "https://www.linkedin.com/jobs/view/4378846474")</f>
        <v/>
      </c>
      <c r="F75" t="inlineStr"/>
      <c r="G75" t="inlineStr">
        <is>
          <t>Minneapolis, MN</t>
        </is>
      </c>
      <c r="H75" t="inlineStr"/>
      <c r="I75" t="inlineStr">
        <is>
          <t>Job Overview:
 We are seeking a Data Engineer to support data pipeline development and ETL processes.
 Responsibilities:
 Build and maintain ETL pipelines
 Optimize database performance
 Work with structured and unstructured data
 Ensure data integrity
 Requirements:
 Degree in Data Engineering or related field
 Knowledge of SQL, Python
 Familiarity with data warehousing concepts</t>
        </is>
      </c>
    </row>
    <row r="76">
      <c r="A76" t="inlineStr">
        <is>
          <t>li-4379920956</t>
        </is>
      </c>
      <c r="B76" t="inlineStr">
        <is>
          <t>Senior Data Engineer</t>
        </is>
      </c>
      <c r="C76" t="inlineStr">
        <is>
          <t>Harnham</t>
        </is>
      </c>
      <c r="D76" t="inlineStr">
        <is>
          <t>linkedin</t>
        </is>
      </c>
      <c r="E76">
        <f>HYPERLINK("https://www.linkedin.com/jobs/view/4379920956", "https://www.linkedin.com/jobs/view/4379920956")</f>
        <v/>
      </c>
      <c r="F76" t="inlineStr"/>
      <c r="G76" t="inlineStr">
        <is>
          <t>Orange County, CA</t>
        </is>
      </c>
      <c r="H76" t="inlineStr"/>
      <c r="I76" t="inlineStr">
        <is>
          <t>**SENIOR DATA PLATFORM ENGINEER – REAL\-TIME SYSTEMS FOCUS** 
**ORANGE COUNTY, CALIFORNIA** 
**$160,000 – $180,000 BASE \+ EQUITY \+ FULL BENEFITS** 
**The Opportunity** 
 We’re partnering with a rapidly scaling, mission\-driven technology organization to hire a Senior Data Platform Engineer to architect and scale the real\-time data backbone powering advanced hardware and manufacturing systems. This is a systems\-level role focused on building and modernizing a large\-scale platform that supports real\-time telemetry, factory operations, and mission\-critical infrastructure. You’ll play a key role in improving reliability, scalability, and architectural direction during a major manufacturing expansion. This is a high\-impact, high\-ownership IC position with meaningful influence over technical decisions.
**The Engineering Environment** 
 The team operates in a deeply technical, product\-driven engineering culture focused on:
* Real\-time streaming data systems (Kafka / Flink)
* Large\-scale data lake architecture and modernization
* Backend services built on top of distributed data platforms
* Highly reliable, fault\-tolerant infrastructure
* Secure deployments across constrained environments
* Modern software engineering and distributed systems best practices
 Approximately:
* 70% new platform build\-out
* 30% scaling, hardening, and reliability improvements
**What You’ll Be Working On** 
* Design and implement real\-time streaming pipelines delivering sub\-minute latency telemetry
* Modernize and evolve large\-scale data lake architecture
* Build backend data services that power hardware and manufacturing systems
* Architect scalable, distributed systems with strong reliability and observability
* Reduce architectural bottlenecks and drive platform\-level technical decisions
* Collaborate closely with analytics, hardware, and cross\-functional engineering teams
* Improve SLAs, monitoring, fault tolerance, and long\-term scalability
**What We’re Looking For** 
* 6–8\+ years of software engineering experience
* Strong background in distributed systems and backend architecture
* Experience building and evolving data platforms or data lakes
* Python
* SQL
* Java or Scala
* Spark
* Kafka or Flink
* Proven experience designing streaming or batch data systems
* Demonstrated ownership of architectural decisions and platform reliability
**Why This Role** 
* Opportunity to architect and scale real\-time systems powering physical operations
* High ownership and influence over platform direction
* Mission\-driven, real\-world impact work
* Full benefits (medical, dental, vision, 401k, PTO, holidays)</t>
        </is>
      </c>
    </row>
    <row r="77">
      <c r="A77" t="inlineStr">
        <is>
          <t>li-4377915043</t>
        </is>
      </c>
      <c r="B77" t="inlineStr">
        <is>
          <t>Senior Data Engineer</t>
        </is>
      </c>
      <c r="C77" t="inlineStr">
        <is>
          <t>Soni</t>
        </is>
      </c>
      <c r="D77" t="inlineStr">
        <is>
          <t>linkedin</t>
        </is>
      </c>
      <c r="E77">
        <f>HYPERLINK("https://www.linkedin.com/jobs/view/4377915043", "https://www.linkedin.com/jobs/view/4377915043")</f>
        <v/>
      </c>
      <c r="F77">
        <f>HYPERLINK("https://soniresources.com/careers/#/jobs/14120&amp;urlHash=wom_", "https://soniresources.com/careers/#/jobs/14120&amp;urlHash=wom_")</f>
        <v/>
      </c>
      <c r="G77" t="inlineStr">
        <is>
          <t>Cherry Hill, NJ</t>
        </is>
      </c>
      <c r="H77" t="inlineStr"/>
      <c r="I77" t="inlineStr">
        <is>
          <t>We’re seeking a Sr. Software Engineer – Data \&amp; BI to design, develop, and optimize scalable cloud\-based data pipelines and analytics solutions using Azure Data Factory, Databricks, and Lakehouse architecture. This role partners closely with business teams to translate data needs into high\-quality, secure, and scalable solutions while supporting Power BI reporting initiatives.
**Key Responsibilities:** 
* Design, build, and maintain ETL/ELT pipelines with ADF and Databricks, including complex transformations using PySpark.
* Integrate data from cloud and on\-prem systems, APIs, CRM, and telematics sources.
* Develop robust data models, schemas, and curated datasets optimized for analytics and BI.
* Maintain data governance, security, and lineage using Unity Catalog.
* Collaborate with business partners to gather requirements and translate into scalable solutions.
* Build and maintain Power BI dashboards; optimize datasets for reporting and KPI tracking.
* Contribute to version control, CI/CD, and deployment best practices.
* Mentor junior engineers and troubleshoot pipeline or infrastructure issues.
**Required Skills:** 
* Expertise in Azure Data Factory, Databricks, PySpark, Azure Data Lake, and Lakehouse architecture.
* Strong Python and SQL skills; experience with diverse data source integration.
* Understanding of BI concepts and Power BI fundamentals.
* Excellent collaboration, communication, and problem\-solving skills.
**Preferred Skills:** 
* Power BI dashboard creation and DAX/Power Query experience.
* Familiarity with Azure Synapse, Microsoft Fabric, and IaC tools (ARM, Terraform).
**Qualifications:** 
* Bachelor’s in Computer Science, Information Systems, Engineering, or related field.
* 6–8 years of experience in data engineering, analytics engineering, or cloud data roles.
**Compensation:** 
 $110,000 to $125,000 annually
*Compensation is based on a range of factors that include relevant experience, knowledge, skills, other job\-related qualifications* 
 .</t>
        </is>
      </c>
    </row>
    <row r="78">
      <c r="A78" t="inlineStr">
        <is>
          <t>li-4378823677</t>
        </is>
      </c>
      <c r="B78" t="inlineStr">
        <is>
          <t>Senior Data Engineer</t>
        </is>
      </c>
      <c r="C78" t="inlineStr">
        <is>
          <t>RemoteHunter</t>
        </is>
      </c>
      <c r="D78" t="inlineStr">
        <is>
          <t>linkedin</t>
        </is>
      </c>
      <c r="E78">
        <f>HYPERLINK("https://www.linkedin.com/jobs/view/4378823677", "https://www.linkedin.com/jobs/view/4378823677")</f>
        <v/>
      </c>
      <c r="F78">
        <f>HYPERLINK("https://www.remotehunter.com/apply-with-ai/96d318b3-24da-43ab-ad56-c6175a8af151?utm_medium=job_posting&amp;utm_source=linkedin&amp;utm_campaign=data_engineer_remote&amp;utm_category=data_engineer&amp;utm_term=senior_data_engineer&amp;urlHash=dLZk", "https://www.remotehunter.com/apply-with-ai/96d318b3-24da-43ab-ad56-c6175a8af151?utm_medium=job_posting&amp;utm_source=linkedin&amp;utm_campaign=data_engineer_remote&amp;utm_category=data_engineer&amp;utm_term=senior_data_engineer&amp;urlHash=dLZk")</f>
        <v/>
      </c>
      <c r="G78" t="inlineStr"/>
      <c r="H78" t="inlineStr"/>
      <c r="I78" t="inlineStr">
        <is>
          <t>About the Opportunity:
 This organization provides a platform that helps people manage and improve their homes by connecting them with local service businesses. The Senior Data Engineer role is part of a centralized Data Engineering team that collaborates with engineers, analysts, data scientists, and machine learning engineers to design and maintain data sets from internal and third\-party sources. The team focuses on building a cohesive data warehouse and integrating data best practices into the software development lifecycle.
 Responsibilities:
 • Refine and promote a framework for integrating data\-thinking into the software development lifecycle for product teams
 • Design, architect, and maintain core marketplace datasets, data marts, and feature stores supporting mature and evolving products
 • Collaborate with product engineers, analysts, data scientists, and machine learning engineers to understand data needs and design engineering\-rigorous datasets
 • Drive data quality and best practices across business areas
 • Develop next\-generation real\-time data products based on Apache Kafka
 Requirements:
 • 4 or more years of experience designing and building data sets and warehouses
 • Ability to understand and collaborate with stakeholders, especially Analytics, to identify process improvement opportunities
 • Expertise in SQL for analytics, reporting, and building SQL\- and Python\-based transforms in ETL pipelines or similar
 • Experience designing, architecting, and maintaining data warehouses and data marts integrating production databases, clickstream data, and external APIs
 • Proficiency with modern data stacks based on cloud\-native data warehouses (e.g., BigQuery, dbt, Apache Airflow, or similar)
 • Experience or strong interest in applying AI\-enabled workflows to accelerate development and improve data engineering practices
 • Strong ownership from ideation through project completion and maintenance
 Compensation:
 • Candidates in San Francisco, Bay Area, San Jose, New York City, or Seattle metros: $210,800 to $272,800
 • Candidates in Austin, TX, Washington DC metros, California, Massachusetts, New Jersey, or Washington states: $189,600 to $245,300
 • Candidates in other US locations: $179,400 to $232,100
 • Actual salaries vary based on job level, qualifications, skills, and proficiency
 Note:
 RemoteHunter is not the Employer of Record (EOR) for this role. Our purpose in this opportunity is to connect exceptional candidates with leading employers. We help job seekers worldwide discover roles that match their goals and guide them to complete their full application directly through the hiring company’s career page or ATS.</t>
        </is>
      </c>
    </row>
    <row r="79">
      <c r="A79" t="inlineStr">
        <is>
          <t>li-4379917248</t>
        </is>
      </c>
      <c r="B79" t="inlineStr">
        <is>
          <t>Data Engineer II, UTR PLanning Tech</t>
        </is>
      </c>
      <c r="C79" t="inlineStr">
        <is>
          <t>Amazon</t>
        </is>
      </c>
      <c r="D79" t="inlineStr">
        <is>
          <t>linkedin</t>
        </is>
      </c>
      <c r="E79">
        <f>HYPERLINK("https://www.linkedin.com/jobs/view/4379917248", "https://www.linkedin.com/jobs/view/4379917248")</f>
        <v/>
      </c>
      <c r="F79" t="inlineStr"/>
      <c r="G79" t="inlineStr">
        <is>
          <t>Austin, TX</t>
        </is>
      </c>
      <c r="H79" t="inlineStr"/>
      <c r="I79" t="inlineStr">
        <is>
          <t>**Description**
 UTR Planning Tech builds the data infrastructure that powers labor planning across 12 Amazon last\-mile and sort\-center business lines. Our pipelines feed the planning systems that determine how Amazon staffs its delivery network, serving hundreds of sites and processing millions of data points daily.
 Our team is shifting from hand\-coded, custom pipelines to an AI\-native approach. We are building reusable frameworks where engineers and business users define what they need through configurations and natural language instead of writing custom code for every use case. AI agents handle orchestration, validation, and deployment. We are early in this transformation, which means you will not inherit a finished system. You will help define how we build, what patterns we standardize, and how AI fits into data engineering workflows. If you want to learn fast and have a hand in shaping the way a team works, this is that opportunity.
 We are hiring an L5 Data Engineer to own significant portions of our data architecture, drive the design of AI\-powered frameworks, and deliver data solutions that directly impact planning accuracy across Amazon's delivery network.
 Key job responsibilities
* Design and own logical and physical data models for major datasets in the team's architecture. Create coherent models that drive physical design and serve multiple downstream consumers.
* Build and optimize ETL pipelines for complex datasets using AWS services (Redshift, S3, EMR, Glue, Lambda, Athena) and Python\-based orchestration (Airflow/MWAA). Your solutions will be testable, maintainable, and efficient.
* Design and build configuration\-driven data frameworks that replace repetitive custom code with reusable, declarative patterns for ingestion, transformation, and metric curation. Own the design of these frameworks, not just the implementation.
* Build AI agent tooling and MCP\-based interfaces that allow conversational agents to generate SQL, validate configurations, manage data quality rules, and execute pipeline operations through natural language.
* Own ongoing data quality for datasets you build. Implement standardized data contracts, define SLAs, establish data certification processes, and automate manual quality processes.
* Work with planning scientists, software engineers, BI engineers, and product managers to balance customer requirements with technical requirements. Help shape what we build, not just how.
* Improve self\-service access to data. Build analytical data models and tooling that reduce dependency on the DE team for common data access patterns.
* Improve engineering processes: automate manual operations, establish monitoring and alerting standards, and drive code quality and dependency management practices.
* Mentor engineers and interns. Train new team members on how team data solutions are constructed, how they operate, and how they fit into the broader architecture.
* Participate in the interview process and help recruit for the team.
**Basic Qualifications**
* 3\+ years of data engineering experience
* 1\+ years of developing and operating large\-scale data structures for business intelligence analytics using ETL/ELT processes experience
* 1\+ years of developing and operating large\-scale data structures for business intelligence analytics using OLAP technologies experience
* 1\+ years of developing and operating large\-scale data structures for business intelligence analytics using data modeling experience
* 1\+ years of developing and operating large\-scale data structures for business intelligence analytics using SQL experience
* 1\+ years of developing and operating large\-scale data structures for business intelligence analytics using Oracle experience
* Experience with data modeling, warehousing and building ETL pipelines
**Preferred Qualifications**
* Experience with AWS technologies like Redshift, S3, AWS Glue, EMR, Kinesis, FireHose, Lambda, and IAM roles and permissions
* Experience with non\-relational databases / data stores (object storage, document or key\-value stores, graph databases, column\-family databases)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TN, Nashville \- 125,500\.00 \- 169,800\.00 USD annually
 USA, TX, Austin \- 132,100\.00 \- 178,800\.00 USD annually
 USA, WA, Bellevue \- 132,100\.00 \- 178,800\.00 USD annually
**Company** 
 \- Amazon.com Services LLC
 Job ID: A3190311</t>
        </is>
      </c>
    </row>
    <row r="80">
      <c r="A80" t="inlineStr">
        <is>
          <t>li-4378472671</t>
        </is>
      </c>
      <c r="B80" t="inlineStr">
        <is>
          <t>Data Scientist (Big Data Engineer) 2 (C0022)</t>
        </is>
      </c>
      <c r="C80" t="inlineStr">
        <is>
          <t>Jobs via Dice</t>
        </is>
      </c>
      <c r="D80" t="inlineStr">
        <is>
          <t>linkedin</t>
        </is>
      </c>
      <c r="E80">
        <f>HYPERLINK("https://www.linkedin.com/jobs/view/4378472671", "https://www.linkedin.com/jobs/view/4378472671")</f>
        <v/>
      </c>
      <c r="F80">
        <f>HYPERLINK("https://click.appcast.io/t/mE1elFqaNkpOe-5NeJVmX7QLDOvPYjiqOJv35Jx_SF8=&amp;urlHash=C1J1", "https://click.appcast.io/t/mE1elFqaNkpOe-5NeJVmX7QLDOvPYjiqOJv35Jx_SF8=&amp;urlHash=C1J1")</f>
        <v/>
      </c>
      <c r="G80" t="inlineStr"/>
      <c r="H80" t="inlineStr"/>
      <c r="I80" t="inlineStr">
        <is>
          <t>Dice is the leading career destination for tech experts at every stage of their careers. Our client, Connect Tech\+Talent, is seeking the following. Apply via Dice today!
 Data Scientist (Big Data Engineer) 2 (C0022\)
 Telework
 5 Months Contract
**Required**
 4 Years \- Implement ETL/ELT workflows for both structured and unstructured data
 4 Years \- Automate deployments using CI/CD tools
 4 Years \- Collaborate with cross\-functional teams including data scientists, analysts, and stakeholders
 4 Years \- Design and maintain data models, schemas, and database structures to support analytical and operational use cases
 4 Years \- Evaluate and implement appropriate data storage solutions, including data lakes (Azure Data Lake Storage) and data warehouses
 4 Years \- Implement data validation and quality checks to ensure accuracy and consistency
 4 Years \- Contribute to data governance initiatives, including metadata management, data lineage, and data cataloging
 4 Years \- Implement data security measures, including encryption, access controls, and auditing; ensure compliance with regulations and best practices
 4 Years \- Proficiency in Python and R programming languages
 4 Years \- Strong SQL querying and data manipulation skills
 4 Years \- Experience with Azure cloud platform
 4 Years \- Experience with DevOps, CI/CD pipelines, and version control systems
 4 Years \- Working in agile, multicultural environments
 4 Years \- Strong troubleshooting and debugging capabilities
 3 Years \- Design and develop scalable data pipelines using Apache Spark on Databricks
 3 Years \- Optimize Spark jobs for performance and cost\-efficiency
 3 Years \- Integrate Databricks solutions with cloud services (Azure Data Factory)
 3 Years \- Ensure data quality, governance, and security using Unity Catalog or Delta Lake
 3 Years \- Deep understanding of Apache Spark architecture, RDDs, DataFrames, and Spark SQL
 3 Years \- Hands\-on experience with Databricks notebooks, clusters, jobs, and Delta Lake
**Preferred**
 1 Year \- Knowledge of ML libraries (MLflow, Scikit\-learn, TensorFlow)
 1 Year \- Databricks Certified Associate Developer for Apache Spark
 1 Year \- Azure Data Engineer Associate</t>
        </is>
      </c>
    </row>
    <row r="81">
      <c r="A81" t="inlineStr">
        <is>
          <t>li-4363231418</t>
        </is>
      </c>
      <c r="B81" t="inlineStr">
        <is>
          <t>Sr. Data Engineer - MFS Investment Management</t>
        </is>
      </c>
      <c r="C81" t="inlineStr">
        <is>
          <t>Jobs via eFinancialCareers</t>
        </is>
      </c>
      <c r="D81" t="inlineStr">
        <is>
          <t>linkedin</t>
        </is>
      </c>
      <c r="E81">
        <f>HYPERLINK("https://www.linkedin.com/jobs/view/4363231418", "https://www.linkedin.com/jobs/view/4363231418")</f>
        <v/>
      </c>
      <c r="F81">
        <f>HYPERLINK("https://click.appcast.io/t/d4TkHJK6KQ7EbG5wjAtnWCVrfIAe-IRGHvxo3FFXbP4=&amp;urlHash=Uwcb", "https://click.appcast.io/t/d4TkHJK6KQ7EbG5wjAtnWCVrfIAe-IRGHvxo3FFXbP4=&amp;urlHash=Uwcb")</f>
        <v/>
      </c>
      <c r="G81" t="inlineStr">
        <is>
          <t>Boston, MA</t>
        </is>
      </c>
      <c r="H81" t="inlineStr"/>
      <c r="I81" t="inlineStr">
        <is>
          <t>At MFS, you will find a culture that supports you in doing what you do best. Our employees work together to reach better outcomes, favoring the strongest idea over the strongest individual. We put people first and demonstrate care and compassion for our community and each other. Because what we do matters \- to us as valued professionals and to the millions of people and institutions who rely on us to help them build more secure and prosperous futures.
**THE ROLE**
 The Sr. Data Engineer will play a critical role in enhancing and maintaining a data platform for execution and operations research within the trading department. The candidate will be working as a part of a team of Quantitative Trading Strategists to store new data sets, ensure reliability of data pipelines, build out additional capabilities across multiple asset classes. The Sr. Data Engineer will work across vendors and internal teams to ensure seamless, scalable data flows are built in an accessible way throughout the trading ecosystem.
**What You Will Do**
* Design, build, and maintain scalable data pipelines to ingest data from numerous sources.
* Proactively and independently work to enhance reliability of data capture.
* Collaborate with team to develop processes to transform raw data into more usable data sets.
* Find and action opportunities for automation in analytics production.
* Implement robust data quality checks and enhance monitoring for data pipelines.
* Partner with Quantitative Trading Strategists to improve current platform capabilities and performance.
**WHAT WE ARE LOOKING FOR**
* Bachelor's degree in Computer Science or Engineering, with a focus on software engineering. Knowledge of data science or statistics is beneficial.
* Minimum of three to five years of experience in a data intensive field.
* Experience with Python, KDB/Q or other programming languages with a focus on interfacing with high volume data.
* Experience working with large data sets, structured and unstructured
* Experience with data visualization and concepts around display of data
* Equity and fixed income quantitative background, market structure knowledge, plus experience with trading processes and/or transaction cost analysis (TCA).
* Ability to work independently and proactively generate project ideas.
* Strong interpersonal and communication skills.
* Some international travel.
 Base Salary Range: $ 95,500 \- $ 137,500
 This position is eligible for competitive incentive bonus.
 At MFS, we believe in fair and transparent compensation. For that reason, we're including the salary range for this position. This range reflects our good\-faith expectation for what we'll pay depending on the candidate's experience, training and education. In addition to the salary, we also offer significant and competitive incentive compensation based on both individual and company performance. Other components of our Total Rewards Package include:
* MFS contributes an amount equal to 15% of your base salary to your retirement account that is separate from the company \-sponsored 401(k)
* Education Assistance: MFS contributes $100 monthly up to $10,000 lifetime maximum directly to loan provider
* Education Assistance: Tuition reimbursement up to $8,000 annually
* Education Assistance: Access to discounted tutors and college coaches
* Generous time off and fully paid leaves including 20\-weeks for maternity, 12\-weeks for parental and caregiver leaves
* Choice of medical and dental plans and an and an employer contribution into the Health Savings Account
* Tax deferred commuter benefits \&amp; flexible spending accounts (medical \&amp; dependent care)
* Wellness Programs: Robust wellness webinars, employee assistance program with a focus on mental health, subsidized fitness benefit via Wellhub (formerly Gympass), where you can workout at gyms, studios and boutique fitness locations near you, join virtual personal training sessions and access a wide variety of well\-being apps
 Our compensation philosophy is to pay competitively for talent while ensuring equity across employees performing comparable work. We are committed to transparency \- if you have questions about how we arrived at this range or what additional benefits and bonus opportunities come with the role, we'll be happy to discuss them
 At MFS, we are dedicated to building a diverse, inclusive and authentic workplace. If you are excited about this role but your past experience doesn't align perfectly, we encourage you to apply \- you might be just the right candidate for this role or others.
 MFS is a
 **hybrid work environment** 
 (remote/onsite) unless otherwise stated in the job posting.
 If any applicant is unable to complete an application or respond to a job opening because of a disability, please contact MFS at 617\-954\-5000 or email talent\_acquisition@mfs.com for assistance.
 MFS is an Equal Opportunity Employer and it is our policy to not discriminate against any employee or applicant for employment because of race, color, religion, sex, national origin, age, marital status, sexual orientation, gender identity, genetic information, disability, veteran status, or any other status protected by federal, state or local laws. Employees and applicants of MFS will not be subject to harassment on the basis of their status. Additionally, retaliation, including intimidation, threats, or coercion, because an employee or applicant has objected to discrimination, engaged or may engage in filing a complaint, assisted in a review, investigation, or hearing or have otherwise sought to obtain their legal rights under any Federal, State, or local EEO law is prohibited. Please see the Know Your Rights: Workplace Discrimination is Illegal document, linked for your reference.</t>
        </is>
      </c>
    </row>
    <row r="82">
      <c r="A82" t="inlineStr">
        <is>
          <t>li-4377722703</t>
        </is>
      </c>
      <c r="B82" t="inlineStr">
        <is>
          <t>Lead Data Engineer with Palantir !!! Jersey City, NJ</t>
        </is>
      </c>
      <c r="C82" t="inlineStr">
        <is>
          <t>Jobs via Dice</t>
        </is>
      </c>
      <c r="D82" t="inlineStr">
        <is>
          <t>linkedin</t>
        </is>
      </c>
      <c r="E82">
        <f>HYPERLINK("https://www.linkedin.com/jobs/view/4377722703", "https://www.linkedin.com/jobs/view/4377722703")</f>
        <v/>
      </c>
      <c r="F82" t="inlineStr"/>
      <c r="G82" t="inlineStr">
        <is>
          <t>Jersey City, NJ</t>
        </is>
      </c>
      <c r="H82" t="inlineStr"/>
      <c r="I82" t="inlineStr">
        <is>
          <t>Dice is the leading career destination for tech experts at every stage of their careers. Our client, Marici Solutions, is seeking the following. Apply via Dice today!
**Job Title:**
**Data Engineer Palantir \&amp; PySpark**
**Experience: 6 10 Years**
**Location : Jersey City, MJ**
**Client Industry: Reinsurance**
**Duration: 6 Months C2H**
 experience in
 **Reinsurance domain**
**Job Summary:**
 We are seeking a highly skilled Data Engineer with hands\-on experience in Palantir (Foundry preferred), PySpark, and exposure to reinsurance or insurance data environments. The ideal candidate will play a key role in building scalable data pipelines, optimizing ETL workflows, and enabling advanced analytics and reporting capabilities. This role requires a strong technical foundation in data engineering combined with an understanding of the reinsurance business domain.
**Key Responsibilities:**
* Design, develop, and maintain data pipelines and ETL workflows using PySpark, SQL, and Palantir Foundry.
* Collaborate with data architects, business analysts, and actuarial teams to understand reinsurance data models and transform complex datasets into usable formats.
* Build and optimize data ingestion, transformation, and validation processes to support analytical and reporting use cases.
* Work within the Palantir Foundry platform to design robust workflows, manage datasets, and ensure efficient data lineage and governance.
* Ensure data security, compliance, and governance in line with industry and client standards.
* Identify opportunities for automation and process improvement across data systems and integrations.
**Required Skills \&amp; Qualifications:**
* 6 10 years of overall experience in data engineering roles.
* Strong hands\-on expertise in PySpark (dataframes, RDDs, performance optimization).
* Proven experience working with Palantir Foundry or similar data integration platforms.
* Good understanding of reinsurance including exposure, claims, and policy data structures.
* Proficiency in SQL, Python, and working with large datasets in distributed environments.
* Experience with cloud platforms (AWS, Azure, or Google Cloud Platform) and related data services (e.g., S3, Snowflake, Databricks).
* Knowledge of data modeling, metadata management, and data governance frameworks.
* Familiarity with CI/CD pipelines, version control (Git), and Agile delivery methodologies.
**Preferred Skills:**
* Experience with data warehousing and reporting modernization projects in the reinsurance domain.
* Exposure to Palantir ontology design and data operationalization.
* Working knowledge of APIs, REST services, and event\-driven architecture.
* Understanding of actuarial data flows, submission processes, and underwriting analytics is a plus.
**Best Regards,**
 Rakesh Sharma
 E\-mail:
 Hangout:
 Web:</t>
        </is>
      </c>
    </row>
    <row r="83">
      <c r="A83" t="inlineStr">
        <is>
          <t>li-4309180616</t>
        </is>
      </c>
      <c r="B83" t="inlineStr">
        <is>
          <t>Associate Director, Data Engineering</t>
        </is>
      </c>
      <c r="C83" t="inlineStr">
        <is>
          <t>S&amp;P Global</t>
        </is>
      </c>
      <c r="D83" t="inlineStr">
        <is>
          <t>linkedin</t>
        </is>
      </c>
      <c r="E83">
        <f>HYPERLINK("https://www.linkedin.com/jobs/view/4309180616", "https://www.linkedin.com/jobs/view/4309180616")</f>
        <v/>
      </c>
      <c r="F83" t="inlineStr"/>
      <c r="G83" t="inlineStr">
        <is>
          <t>New York, NY</t>
        </is>
      </c>
      <c r="H83" t="inlineStr"/>
      <c r="I83" t="inlineStr">
        <is>
          <t>**About The Role**
**Grade Level (for internal use):**
 12
**Job Description**
 S\&amp;P Dow Jones Indices is seeking a Sr. Lead Data Engineer with expertise in Databricks/AWS EMR and distributed big data processing technologies to be a key player in the implementation and support of data platforms for S\&amp;P Dow Jones Indices. This role requires a seasoned technologist who contributes to application development and maintenance. The candidate should actively evaluate new products and technologies to build solutions that streamline business operations. The candidate must be delivery\-focused with solid financial applications experience. The candidate will assist in day\-to\-day support and operations functions, design, development, and unit testing.
**Responsibilities And Impact**
* Lead the design and implementation of distributed data processing workloads using Python, including data access from relational databases and cloud storage technologies.
* Ensure performance, security, and reliability; coordinate with application teams to define database design.
* Collaborate with cross\-functional teams to support data\-driven initiatives.
* Mentor junior team members and promote best practices.
* Oversee maintenance and troubleshooting of distributed data processing systems.
* Drive innovation by evaluating and integrating new technologies.
* Produce system design documents and participate in technical walkthroughs.
* Perform application and system performance tuning and troubleshoot performance issues.
* Effectively interact with global customers, business users, and IT staff.
**Compensation/Benefits Information (US Applicants Only)**
 S\&amp;P Global states that the anticipated base salary range for this position is $127,000 \- $185,000\. The final base salary for this role will be based on the individual’s geographic location, experience level, skill set, training, licenses, and certifications.
 In addition to base compensation, this role is eligible for an annual incentive plan. This role is eligible to receive additional S\&amp;P Global benefits. For more information on the benefits that we provide to our employees, please click here.
**What We’re Looking For**
**Basic Required Qualifications:**
* Bachelor’s degree in Computer Science, Information Systems, Engineering, or equivalent work experience.
* 10\+ years of IT experience in application support or development.
* Design \&amp; build ingestion pipelines using ETL/ELT and schema\-on\-read in data lake technologies.
* Experience in designing transactional systems, data warehouses, data lakes, and data integrations within a big data ecosystem, particularly leveraging cloud technologies.
* Provide technical expertise in the design and implementation of data ingestion pipelines with modern AWS cloud and other technologies such as S3, Hive, Databricks, Scala, Python, and large\-scale data analytics tools.
* Strong experience in managing distributed data processing workloads, including configurations.
* Experience in working with multi\-threaded, high\-performance, low\-latency messaging systems.
* Experience in AWS cloud\-based technologies.
* Experience using system tools, source control systems, utilities, and third\-party products.
* Excellent communication skills, with strong verbal and writing proficiencies.
**Additional Preferred Qualifications**
* Proficiency in building data analytics solutions on AWS Cloud.
* Thorough understanding of replication strategies and implementation of high\-availability protocols for 99\.99% uptime.
* Experience with implementation of data governance and data lineage.
* Proficiency in implementing data models in SQL and NoSQL databases.
* Experience with financial applications such as Index/Benchmarks, Asset Management, Portfolio Investment modeling, or trading systems.
* Experience with microservice and serverless architecture implementation.
**About S\&amp;P Global Dow Jones Indices**
 At S\&amp;P Dow Jones Indices, we provide iconic and innovative index solutions backed by unparalleled expertise across the asset\-class spectrum. By bringing transparency to the global capital markets, we empower investors everywhere to make decisions with conviction. We’re the largest global resource for index\-based concepts, data and research, and home to iconic financial market indicators, such as the S\&amp;P 500® and the Dow Jones Industrial Average®. More assets are invested in products based upon our indices than any other index provider in the world. With over USD 7\.4 trillion in passively managed assets linked to our indices and over USD 11\.3 trillion benchmarked to our indices, our solutions are widely considered indispensable in tracking market performance, evaluating portfolios and developing investment strategies.
 S\&amp;P Dow Jones Indices is a division of S\&amp;P Global (NYSE: SPGI). S\&amp;P Global is the world’s foremost provider of credit ratings, benchmarks, analytics and workflow solutions in the global capital, commodity and automotive markets. With every one of our offerings, we help many of the world’s leading organizations navigate the economic landscape so they can plan for tomorrow, today. For more information, visit www.spglobal.com/spdji.
**What’s In It For** 
**You?**
**Our Mission**
 Advancing Essential Intelligence.
**Our People**
 We're more than 35,000 strong worldwide—so we're able to understand nuances while having a broad perspective. Our team is driven by curiosity and a shared belief that Essential Intelligence can help build a more prosperous future for us all.From finding new ways to measure sustainability to analyzing energy transition across the supply chain to building workflow solutions that make it easy to tap into insight and apply it. We are changing the way people see things and empowering them to make an impact on the world we live in. We’re committed to a more equitable future and to helping our customers find new, sustainable ways of doing business. Join us and help create the critical insights that truly make a difference.
**Our Values**
**Integrity, Discovery, Partnership**
 Throughout our history, the world's leading organizations have relied on us for the Essential Intelligence they need to make confident decisions about the road ahead. We start with a foundation of integrity in all we do, bring a spirit of discovery to our work, and collaborate in close partnership with each other and our customers to achieve shared goals.
**Benefits**
 We take care of you, so you can take care of business. We care about our people. That’s why we provide everything you—and your career—need to thrive at S\&amp;P Global.
**Our Benefits Include**
* Health \&amp; Wellness: Health care coverage designed for the mind and body.
* Flexible Downtime: Generous time off helps keep you energized for your time on.
* Continuous Learning: Access a wealth of resources to grow your career and learn valuable new skills.
* Invest in Your Future: Secure your financial future through competitive pay, retirement planning, a continuing education program with a company\-matched student loan contribution, and financial wellness programs.
* Family Friendly Perks: It’s not just about you. S\&amp;P Global has perks for your partners and little ones, too, with some best\-in class benefits for families.
* Beyond the Basics: From retail discounts to referral incentive awards—small perks can make a big difference.
 For more information on benefits by country visit: https://spgbenefits.com/benefit\-summaries
**Global Hiring And Opportunity At S\&amp;P Global**
 At S\&amp;P Global, we are committed to fostering a connected and engaged workplace where all individuals have access to opportunities based on their skills, experience, and contributions. Our hiring practices emphasize fairness, transparency, and merit, ensuring that we attract and retain top talent. By valuing different perspectives and promoting a culture of respect and collaboration, we drive innovation and power global markets.
**Recruitment Fraud Alert**
 If you receive an email from a spglobalind.com domain or any other regionally based domains, it is a scam and should be reported to reportfraud@spglobal.com. S\&amp;P Global never requires any candidate to pay money for job applications, interviews, offer letters, “pre\-employment training” or for equipment/delivery of equipment. Stay informed and protect yourself from recruitment fraud by reviewing our guidelines, fraudulent domains, and how to report suspicious activity here.
**Equal Opportunity Employer**
 S\&amp;P Global is an equal opportunity employer and all qualified candidates will receive consideration for employment without regard to race/ethnicity, color, religion, sex, sexual orientation, gender identity, national origin, age, disability, marital status, military veteran status, unemployment status, or any other status protected by law. Only electronic job submissions will be considered for employment.
 If you need an accommodation during the application process due to a disability, please send an email to: EEO.Compliance@spglobal.com and your request will be forwarded to the appropriate person.
**US Candidates Only:** 
 The EEO is the Law Poster http://www.dol.gov/ofccp/regs/compliance/posters/pdf/eeopost.pdf describes discrimination protections under federal law. Pay Transparency Nondiscrimination Provision \- https://www.dol.gov/sites/dolgov/files/ofccp/pdf/pay\-transp\_%20English\_formattedESQA508c.pdf
 20 \- Professional (EEO\-2 Job Categories\-United States of America), IFTECH202\.2 \- Middle Professional Tier II (EEO Job Group), SWP Priority – Ratings \- (Strategic Workforce Planning)
**Job ID:** 
 319885
**Posted On:** 
 2026\-01\-15
**Location:** 
 New York, New York, United States</t>
        </is>
      </c>
    </row>
    <row r="84">
      <c r="A84" t="inlineStr">
        <is>
          <t>li-4363727212</t>
        </is>
      </c>
      <c r="B84" t="inlineStr">
        <is>
          <t>Lead Data Engineer</t>
        </is>
      </c>
      <c r="C84" t="inlineStr">
        <is>
          <t>Capital One</t>
        </is>
      </c>
      <c r="D84" t="inlineStr">
        <is>
          <t>linkedin</t>
        </is>
      </c>
      <c r="E84">
        <f>HYPERLINK("https://www.linkedin.com/jobs/view/4363727212", "https://www.linkedin.com/jobs/view/4363727212")</f>
        <v/>
      </c>
      <c r="F84">
        <f>HYPERLINK("https://dsp.prng.co/B1uXu9b&amp;urlHash=wJvD", "https://dsp.prng.co/B1uXu9b&amp;urlHash=wJvD")</f>
        <v/>
      </c>
      <c r="G84" t="inlineStr">
        <is>
          <t>Richmond, VA</t>
        </is>
      </c>
      <c r="H84" t="inlineStr"/>
      <c r="I84" t="inlineStr">
        <is>
          <t>Do you love building and pioneering in the technology space? Do you enjoy solving complex business problems in a fast\-paced, collaborative, inclusive, and iterative delivery environment? At Capital One, you'll be part of a big group of makers, breakers, doers and disruptors, who solve real problems and meet real customer needs. We are seeking Data Engineers who are passionate about marrying data with emerging technologies. As a Capital One Lead Data Engineer, you’ll have the opportunity to be on the forefront of driving a major transformation within Capital One.
**What You’ll Do:**
* Collaborate with and across Agile teams to design, develop, test, implement, and support technical solutions in full\-stack development tools and technologies
* Work with a team of developers with deep experience in machine learning, distributed microservices, and full stack systems
* Utilize programming languages like Java, Scala, Python and Open Source RDBMS and NoSQL databases and Cloud based data warehousing services such as Redshift and Snowflake
* Share your passion for staying on top of tech trends, experimenting with and learning new technologies, participating in internal \&amp; external technology communities, and mentoring other members of the engineering community
* Collaborate with digital product managers, and deliver robust cloud\-based solutions that drive powerful experiences to help millions of Americans achieve financial empowerment
* Perform unit tests and conduct reviews with other team members to make sure your code is rigorously designed, elegantly coded, and effectively tuned for performance
**Basic Qualifications:**
* Bachelor’s Degree
* At least 4 years of experience in application development (Internship experience does not apply)
* At least 2 years of experience in big data technologies
* At least 1 year experience with cloud computing (AWS, Microsoft Azure, Google Cloud)
**Preferred Qualifications:**
* 7\+ years of experience in application development including Python, SQL, Scala, or Java
* 4\+ years of experience with a public cloud (AWS, Microsoft Azure, Google Cloud)
* 4\+ years experience with Distributed data/computing tools (MapReduce, Hadoop, Hive, EMR, Kafka, Spark, Gurobi, or MySQL)
* 4\+ year experience working on real\-time data and streaming applications
* 4\+ years of experience with NoSQL implementation (Mongo, Cassandra)
* 4\+ years of data warehousing experience (Redshift or Snowflake)
* 4\+ years of experience with UNIX/Linux including basic commands and shell scripting
* 2\+ years of experience with Agile engineering practices
***At this time, Capital One will not sponsor a new applicant for employment authorization, or offer any immigration related support for this position (i.e. H1B, F\-1 OPT, F\-1 STEM OPT, F\-1 CPT, J\-1, TN, E\-2, E\-3, L\-1 and O\-1, or any EADs or other forms of work authorization that require immigration support from an employer).***
 The minimum and maximum full\-time annual salaries for this role are listed below, by location. Please note that this salary information is solely for candidates hired to perform work within one of these locations, and refers to the amount Capital One is willing to pay at the time of this posting. Salaries for part\-time roles will be prorated based upon the agreed upon number of hours to be regularly worked.
 Chicago, IL: $179,400 \- $204,700 for Lead Data Engineer
 McLean, VA: $197,300 \- $225,100 for Lead Data Engineer
 Richmond, VA: $179,400 \- $204,700 for Lead Data Engineer
 Riverwoods, IL: $179,400 \- $204,700 for Lead Data Engineer
 Candidates hired to work in other locations will be subject to the pay range associated with that location, and the actual annualized salary amount offered to any candidate at the time of hire will be reflected solely in the candidate’s offer letter.
 This role is also eligible to earn performance based incentive compensation, which may include cash bonus(es) and/or long term incentives (LTI). Incentives could be discretionary or non discretionary depending on the plan.
 Capital One offers a comprehensive, competitive, and inclusive set of health, financial and other benefits that support your total well\-being. Learn more at the Capital One Careers website. Eligibility varies based on full or part\-time status, exempt or non\-exempt status, and management level.
 This role is expected to accept applications for a minimum of 5 business days.
 No agencies please. Capital One is an equal opportunity employer (EOE, including disability/vet) committed to non\-discrimination in compliance with applicable federal, state, and local laws. Capital One promotes a drug\-free workplace. Capital One will consider for employment qualified applicants with a criminal history in a manner consistent with the requirements of applicable laws regarding criminal background inquiries, including, to the extent applicable, Article 23\-A of the New York Correction Law; San Francisco, California Police Code Article 49, Sections 4901\-4920; New York City’s Fair Chance Act; Philadelphia’s Fair Criminal Records Screening Act; and other applicable federal, state, and local laws and regulations regarding criminal background inquiries.
 If you have visited our website in search of information on employment opportunities or to apply for a position, and you require an accommodation, please contact Capital One Recruiting at 1\-800\-304\-9102 or via email at RecruitingAccommodation@capitalone.com. All information you provide will be kept confidential and will be used only to the extent required to provide needed reasonable accommodations.
 For technical support or questions about Capital One's recruiting process, please send an email to Careers@capitalone.com
 Capital One does not provide, endorse nor guarantee and is not liable for third\-party products, services, educational tools or other information available through this site.
 Capital One Financial is made up of several different entities. Please note that any position posted in Canada is for Capital One Canada, any position posted in the United Kingdom is for Capital One Europe and any position posted in the Philippines is for Capital One Philippines Service Corp. (COPSSC).</t>
        </is>
      </c>
    </row>
    <row r="85">
      <c r="A85" t="inlineStr">
        <is>
          <t>li-4378834918</t>
        </is>
      </c>
      <c r="B85" t="inlineStr">
        <is>
          <t>Senior Analytics Engineer</t>
        </is>
      </c>
      <c r="C85" t="inlineStr">
        <is>
          <t>Monzo Bank</t>
        </is>
      </c>
      <c r="D85" t="inlineStr">
        <is>
          <t>linkedin</t>
        </is>
      </c>
      <c r="E85">
        <f>HYPERLINK("https://www.linkedin.com/jobs/view/4378834918", "https://www.linkedin.com/jobs/view/4378834918")</f>
        <v/>
      </c>
      <c r="F85" t="inlineStr"/>
      <c r="G85" t="inlineStr">
        <is>
          <t>New York, NY</t>
        </is>
      </c>
      <c r="H85" t="inlineStr"/>
      <c r="I85" t="inlineStr">
        <is>
          <t>***🚀 We're on a mission to make money work for everyone.***
 We're waving goodbye to the complicated and confusing ways of traditional banking.
 After starting as a prepaid card, our product offering has grown a lot in the last 10 years in the UK. As well as personal and business bank accounts, we offer joint accounts, accounts for 16\-17 year olds, a free kids account and credit cards in the UK, with more exciting things to come beyond. Our UK customers can also save, invest and combine their pensions with us.
 With our hot coral cards and get\-paid\-early feature, combined with financial education on social media and our award winning customer service, we have a long history of creating magical moments for our customers!
 We're not about selling products \- we want to solve problems and change lives through Monzo ❤️
**🏦 About Monzo**
 Monzo's mission is to make money work for everyone. We're building a new kind of bank—one that lives on your smartphone and helps you take control of your finances. Our passion for transparency has helped us build a loyal following in the UK of over 13 million customers, and we're looking to bring Monzo magic to the US. This is your chance to be part of a new team, building a Neobank from the ground up.
**🚀 The Role**
 We're looking for the
 **first Analytics Engineer** 
 to join Monzo's US expansion team. This is a critical strategic and technical role where you'll shape the data foundation for our entire US business.
 We need someone who can effectively build on top of Monzo's global data infrastructure, and who has the expert judgment to determine when we can leverage existing data models vs. when we truly need bespoke modeling for the US.
 Your work will directly multiply the productivity of our US data team by empowering Data Analysts and Data Scientists, and it could pave the way for any future worldwide expansion.
**💻 What you'll be doing**
* **Architect the US Data Foundation:** 
 You will own the US data model from end\-to\-end, identifying gaps and building the roadmap to fill them in collaboration with our SF\-based Lead Data Scientist.
* **Make the Critical Calls:** 
 You will be the expert voice, deciding when to leverage Monzo's global models and when to build new, US\-specific solutions.
* **Bridge the Atlantic:** 
 Work closely with our brilliant global AE team (UK) to ship data modeling improvements that benefit the US market and the entire company.
* **Build the US\-Specific Stack:** 
 Design, build, and maintain the robust, scalable, and high\-quality data models that will power our US\-specific products and analytics.
* **Be the US Stack Expert:** 
 Act as the go\-to technical owner for dbt, data modeling, and our data stack for the entire US team.
**✅ You should apply if**
* **You are a true builder who thrives on autonomy.** 
 This is a "first" role. You'll be the only AE in the US, acting as a self\-starting architect, problem\-solver, and technical leader.
* **You are a dbt and SQL expert, period.** 
 You have deep, significant experience in data modeling, ELT/ETL, and building "data as a product." Advanced SQL is second nature.
* **You're a Git pro.** 
 You know how to use Git/Github to develop, review, and collaborate in a large, shared codebase.
* **You are a world\-class communicator.** 
 You can work effectively across timezones (US/UK) and translate complex technical concepts to any audience.
* **You have an unyielding bar for quality.** 
 You have a keen eye for detail and a deep\-seated commitment to data accuracy and reliability.
* **You're all\-in on the mission.** 
 You're genuinely excited to tackle the messy, high\-impact challenges of a new market and build a bank from the ground up.
**💡 Nice to haves**
* Experience with LookML (if you don't have this, a strong willingness to learn it is a must).
* Experience with Python for data manipulation or scripting.
* Experience working with orchestration frameworks such as Airflow.
**📍 Logistics**
* **Salary:** 
 $113\.5\-190\.8k \+ stock options.
* **Location:** 
 This role can be based in our New York or San Francisco offices, or fully remote anywhere in the United States.
* **Reporting:** 
 You will report to our Senior Manager of Data Science for Expansion, Dillon Kelly, who is based in London.
* **Visas:** 
 We are unable to offer visa sponsorship for this role at this time.
**Equal opportunities for everyone**
 Diversity and inclusion are a priority for us and we're making sure we have lots of support for all of our people to grow at Monzo. At Monzo, we're embracing diversity by fostering an inclusive environment for all people to do the best work of their lives with us. This is integral to our mission of making money work for everyone. You can read more in our blog, 2024 Diversity and Inclusion Report and 2024 Gender Pay Gap Report.
 We're an equal opportunity employer. All applicants will be considered for employment without attention to age, ethnicity, religion, sex, sexual orientation, gender identity, family or parental status, national origin, or veteran, neurodiversity or disability status.
 If you have a preferred name, please use it to apply. We don't need full or birth names at application stage 😊</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2026-03-02T16:57:10Z</dcterms:created>
  <dcterms:modified xsi:type="dcterms:W3CDTF">2026-03-02T16:57:10Z</dcterms:modified>
</cp:coreProperties>
</file>