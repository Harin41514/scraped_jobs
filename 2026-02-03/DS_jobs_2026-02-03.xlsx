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in-be7ebbb03bb6f036</t>
        </is>
      </c>
      <c r="B2" t="inlineStr">
        <is>
          <t>Applied Scientist II, Prime Video - Personalization and Discovery Science, Personalization and Discovery Science</t>
        </is>
      </c>
      <c r="C2" t="inlineStr">
        <is>
          <t>Amazon.com</t>
        </is>
      </c>
      <c r="D2" t="inlineStr">
        <is>
          <t>indeed</t>
        </is>
      </c>
      <c r="E2" t="inlineStr"/>
      <c r="F2" t="inlineStr"/>
      <c r="G2" t="inlineStr">
        <is>
          <t>Sunnyvale, CA, US</t>
        </is>
      </c>
      <c r="H2" s="2"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in-9c3460baa5624492</t>
        </is>
      </c>
      <c r="B3" t="inlineStr">
        <is>
          <t>Applied Scientist II, Prime Video - Personalization and Discovery Science, Personalization and Discovery Science</t>
        </is>
      </c>
      <c r="C3" t="inlineStr">
        <is>
          <t>Amazon.com</t>
        </is>
      </c>
      <c r="D3" t="inlineStr">
        <is>
          <t>indeed</t>
        </is>
      </c>
      <c r="E3" t="inlineStr"/>
      <c r="F3" t="inlineStr"/>
      <c r="G3" t="inlineStr">
        <is>
          <t>New York, NY,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in-30e385688149a2bd</t>
        </is>
      </c>
      <c r="B4" t="inlineStr">
        <is>
          <t>Applied Scientist II, Prime Video - Personalization and Discovery Science, Personalization and Discovery Science</t>
        </is>
      </c>
      <c r="C4" t="inlineStr">
        <is>
          <t>Amazon.com</t>
        </is>
      </c>
      <c r="D4" t="inlineStr">
        <is>
          <t>indeed</t>
        </is>
      </c>
      <c r="E4" t="inlineStr"/>
      <c r="F4" t="inlineStr"/>
      <c r="G4" t="inlineStr">
        <is>
          <t>Seattle, WA,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in-1170786bde7061ac</t>
        </is>
      </c>
      <c r="B5" t="inlineStr">
        <is>
          <t>Sr. Applied Scientist, Prime Video - Personalization and Discovery Science</t>
        </is>
      </c>
      <c r="C5" t="inlineStr">
        <is>
          <t>Amazon.com</t>
        </is>
      </c>
      <c r="D5" t="inlineStr">
        <is>
          <t>indeed</t>
        </is>
      </c>
      <c r="E5" t="inlineStr"/>
      <c r="F5" t="inlineStr"/>
      <c r="G5" t="inlineStr">
        <is>
          <t>Seattle, WA, US</t>
        </is>
      </c>
      <c r="H5" s="2" t="n">
        <v>45881</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in-8ed7076a855da468</t>
        </is>
      </c>
      <c r="B6" t="inlineStr">
        <is>
          <t>Applied Scientist II, Prime Video - Personalization and Discovery Science</t>
        </is>
      </c>
      <c r="C6" t="inlineStr">
        <is>
          <t>Amazon.com</t>
        </is>
      </c>
      <c r="D6" t="inlineStr">
        <is>
          <t>indeed</t>
        </is>
      </c>
      <c r="E6" t="inlineStr"/>
      <c r="F6" t="inlineStr"/>
      <c r="G6" t="inlineStr">
        <is>
          <t>Seattle, WA, US</t>
        </is>
      </c>
      <c r="H6" s="2"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in-0184780a801375ae</t>
        </is>
      </c>
      <c r="B7" t="inlineStr">
        <is>
          <t>Sr. Applied Scientist, Prime Video - Personalization and Discovery Science</t>
        </is>
      </c>
      <c r="C7" t="inlineStr">
        <is>
          <t>Amazon.com</t>
        </is>
      </c>
      <c r="D7" t="inlineStr">
        <is>
          <t>indeed</t>
        </is>
      </c>
      <c r="E7" t="inlineStr"/>
      <c r="F7" t="inlineStr"/>
      <c r="G7" t="inlineStr">
        <is>
          <t>Sunnyvale, CA,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in-ff90d9756e4a7610</t>
        </is>
      </c>
      <c r="B8" t="inlineStr">
        <is>
          <t>Sr. Applied Scientist, Prime Video - Personalization and Discovery Science</t>
        </is>
      </c>
      <c r="C8" t="inlineStr">
        <is>
          <t>Amazon.com</t>
        </is>
      </c>
      <c r="D8" t="inlineStr">
        <is>
          <t>indeed</t>
        </is>
      </c>
      <c r="E8" t="inlineStr"/>
      <c r="F8" t="inlineStr"/>
      <c r="G8" t="inlineStr">
        <is>
          <t>New York, NY,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in-ebc5167d3eb23242</t>
        </is>
      </c>
      <c r="B9" t="inlineStr">
        <is>
          <t>Applied Scientist II, Prime Video - Personalization and Discovery Science</t>
        </is>
      </c>
      <c r="C9" t="inlineStr">
        <is>
          <t>Amazon.com</t>
        </is>
      </c>
      <c r="D9" t="inlineStr">
        <is>
          <t>indeed</t>
        </is>
      </c>
      <c r="E9" t="inlineStr"/>
      <c r="F9" t="inlineStr"/>
      <c r="G9" t="inlineStr">
        <is>
          <t>Sunnyvale, CA,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in-e63ecd956b30b3fe</t>
        </is>
      </c>
      <c r="B10" t="inlineStr">
        <is>
          <t>Applied Scientist II, Prime Video - Personalization and Discovery Science</t>
        </is>
      </c>
      <c r="C10" t="inlineStr">
        <is>
          <t>Amazon.com</t>
        </is>
      </c>
      <c r="D10" t="inlineStr">
        <is>
          <t>indeed</t>
        </is>
      </c>
      <c r="E10" t="inlineStr"/>
      <c r="F10" t="inlineStr"/>
      <c r="G10" t="inlineStr">
        <is>
          <t>New York, NY, US</t>
        </is>
      </c>
      <c r="H10" s="2"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in-3906324f778c2870</t>
        </is>
      </c>
      <c r="B11" t="inlineStr">
        <is>
          <t>Staff Data Scientist, Expert Network</t>
        </is>
      </c>
      <c r="C11" t="inlineStr">
        <is>
          <t>Intuit</t>
        </is>
      </c>
      <c r="D11" t="inlineStr">
        <is>
          <t>indeed</t>
        </is>
      </c>
      <c r="E11" t="inlineStr"/>
      <c r="F11" t="inlineStr"/>
      <c r="G11" t="inlineStr">
        <is>
          <t>Mountain View, CA, US</t>
        </is>
      </c>
      <c r="H11" s="2" t="n">
        <v>46055</v>
      </c>
      <c r="I11" t="inlineStr">
        <is>
          <t>**Overview**
------------
Join the Intuit Customer Success team as a Staff Data Scientist focused on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Perform hands\-on data analysis and modeling to enable insight and scale the application of AI on large datasets.
Lead experimental designs and measurement plans.
Apply data mining, NLP, and machine learning (both supervised and unsupervised) to improve relevance and personalization algorithms.
Build optimization models and simulation tools to support strategic decisions across customer success operations, including workforce planning, customer escalations, root cause analysis, scheduling, and routing.
Develop and operationalize decision science frameworks to optimize support costs and maximize customer outcomes.
Partner with stakeholders across Customer Success, Operations, and Strategy teams to embed AI/ML solutions in real\-time decision engines and operational workflows.
Work side\-by\-side with product managers, software engineers, and designers in designing models, experiments, and minimum viable products.
Develop generative AI capabilities to power our Expert Network and streamline processes, uncover insights, and reduce the manual burden on the team.
 **Qualifications**
BS or MS degree in Statistics, Mathematics, Operations Research, Computer Science, Econometrics, or a related field.
Advanced proficiency in SQL and a statistical programming language such as Python and/or R.
7\+ years of experience in data mining algorithms and statistical modeling techniques such as clustering, classification, regression, decision trees, neural nets, support vector machines, anomaly detection, recommender systems, sequential pattern discovery, and text mining.
Deep understanding of Generative AI and other evolving technologies to accelerate insights from multi\-modal data.
Expertise in experimental design and Multivariate/A\-B testing.
Strong background in optimization techniques, such as linear programming, integer programming, constraint optimization, and simulation modeling.
Experience building and deploying operational models for staffing, queue management, or dynamic resource allocation.
Familiarity with customer success metrics and operational KPIs such as Net Promoter Score (NPS), Average Handle Time (AHT), First Contact Resolution (FCR), and agent utilization.
Ability to formulate data\-backed strategies that will drive step\-function growth for the business as well as increase customer benefit.
Solid communication skills: Demonstrated ability to explain complex technical issues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
      <c r="A12" t="inlineStr">
        <is>
          <t>in-b7b1bec144e8f64f</t>
        </is>
      </c>
      <c r="B12" t="inlineStr">
        <is>
          <t>Staff Data Scientist, Expert Network</t>
        </is>
      </c>
      <c r="C12" t="inlineStr">
        <is>
          <t>Intuit</t>
        </is>
      </c>
      <c r="D12" t="inlineStr">
        <is>
          <t>indeed</t>
        </is>
      </c>
      <c r="E12" t="inlineStr"/>
      <c r="F12" t="inlineStr"/>
      <c r="G12" t="inlineStr">
        <is>
          <t>San Diego, CA, US</t>
        </is>
      </c>
      <c r="H12" s="2" t="n">
        <v>46055</v>
      </c>
      <c r="I12" t="inlineStr">
        <is>
          <t>**Overview**
------------
Join the Intuit Customer Success team as a Staff Data Scientist focused on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Perform hands\-on data analysis and modeling to enable insight and scale the application of AI on large datasets.
Lead experimental designs and measurement plans.
Apply data mining, NLP, and machine learning (both supervised and unsupervised) to improve relevance and personalization algorithms.
Build optimization models and simulation tools to support strategic decisions across customer success operations, including workforce planning, customer escalations, root cause analysis, scheduling, and routing.
Develop and operationalize decision science frameworks to optimize support costs and maximize customer outcomes.
Partner with stakeholders across Customer Success, Operations, and Strategy teams to embed AI/ML solutions in real\-time decision engines and operational workflows.
Work side\-by\-side with product managers, software engineers, and designers in designing models, experiments, and minimum viable products.
Develop generative AI capabilities to power our Expert Network and streamline processes, uncover insights, and reduce the manual burden on the team.
 **Qualifications**
BS or MS degree in Statistics, Mathematics, Operations Research, Computer Science, Econometrics, or a related field.
Advanced proficiency in SQL and a statistical programming language such as Python and/or R.
7\+ years of experience in data mining algorithms and statistical modeling techniques such as clustering, classification, regression, decision trees, neural nets, support vector machines, anomaly detection, recommender systems, sequential pattern discovery, and text mining.
Deep understanding of Generative AI and other evolving technologies to accelerate insights from multi\-modal data.
Expertise in experimental design and Multivariate/A\-B testing.
Strong background in optimization techniques, such as linear programming, integer programming, constraint optimization, and simulation modeling.
Experience building and deploying operational models for staffing, queue management, or dynamic resource allocation.
Familiarity with customer success metrics and operational KPIs such as Net Promoter Score (NPS), Average Handle Time (AHT), First Contact Resolution (FCR), and agent utilization.
Ability to formulate data\-backed strategies that will drive step\-function growth for the business as well as increase customer benefit.
Solid communication skills: Demonstrated ability to explain complex technical issues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
      <c r="A13" t="inlineStr">
        <is>
          <t>in-5ff0fbd3af806a37</t>
        </is>
      </c>
      <c r="B13" t="inlineStr">
        <is>
          <t>Data Scientist Level 4</t>
        </is>
      </c>
      <c r="C13" t="inlineStr">
        <is>
          <t>Weeghman &amp; Briggs</t>
        </is>
      </c>
      <c r="D13" t="inlineStr">
        <is>
          <t>indeed</t>
        </is>
      </c>
      <c r="E13" t="inlineStr"/>
      <c r="F13" t="inlineStr"/>
      <c r="G13" t="inlineStr">
        <is>
          <t>Fort Meade, MD, US</t>
        </is>
      </c>
      <c r="H13" s="2" t="n">
        <v>46056</v>
      </c>
      <c r="I13" t="inlineStr">
        <is>
          <t>WeeghmanBriggs is seeking Data Scientists to join our growing team.
**Location:** Annapolis Junction
**Clearance Required:** TS/SCI w/ Polygraph
Your effort and expertise are crucial to the success and execution of this impactful mission. This opportunity supports a team of Data Scientists, Cryptologic Computer Scientists, Cryptanalytic Computer Scientists, Cryptologic Cyber Planners, Intrusion Analysts, Protocol Analysts, Signals Analysts and Reverse Engineers, responsible for improving, protecting, and defending our Nation's Security.
**Job Description:**
* We are seeking a Data Scientist who is an established AI expert with demonstrable experience in designing and implementing sophisticated AI/ML and data science solutions across various domains within the customer environment. You will help to establish an authoritative role in a customer\-prioritized and highly visible AI system that will be of critical use. You will need to to have experience designing and building customized capabilities to enable Retrieval Augmented Generation (RAG) for multiple enterprise data sets, agentic AI systems to automate and orchestrate decision\-making actions across specialized AI resources, and Docker\-based microservices, user\-facing GUIs, and cloud\-hosted services (Kubernetes architecture) hosted on AWS/Azure/Google service platforms. attribution.
**The Level 4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Government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**Qualifications:**
* Bachelor's Degree with 15 years of relevant experience.
* Associate's degree with 17 years of experience may be considered for individuals with in\-depth experience that is clearly related to the position.
* Bachelor'sDegree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 
* Experience with designing and building:
* 
* Customized capabilities to enable Retrieval Augmented Generation (RAG) for multiple enterprise data sets.
* Agentic AI systems to automate and orchestrate decision\-making actions across specialized AI resources.
* Docker\-based microservices, user facing GUIs, and Cloud\-hosted services (Kubernetes architecture) hosted on AWS/Azure/Google service platforms.
* Deep knowledge and experience in AI solutions and an ability to assess, evaluate, and implement the correct ML models for specific purposes and optimized performance.
* Experience generating, evaluating, training, and optimizing Machine Learning models (i.e. LLMs) for use in low\-memory, low\-resourced edge device environments.
* Proficient in the development and application of advanced analytical algorithms, advanced statistical techniques, statistical outlier detection, data clustering, and graph\-based analysis.
* Capable of using data processing and data automation techniques for ETL operations and injection into ELK systems and databases.
* Familiar with graph theory, graph algorithms (i.e. community detection), techniques to design and generate large\-scale graphs (nodes and links) from diverse data sources, and techniques to isolate highly relevant graph entities.
* Familiar with domain\-specific data and knowledge related to cybersecurity tradecraft and knowledge resources (enterprise data sources, data extraction tools, data analysis/interpretation techniques, data policy and compliance, and data curation considerations).
* Self\-sufficient, self\-starter comfortable with working on a collaborative team of highly skilled data scientists and system engineers.
* Able to collaborate with technical mission stakeholders and colleagues for strategic and technical planning.
* Established technical experience and expertise with:
* Python for Data Science (PySpark, Pandas, etc.) and Machine Learning (spaCy, PyTorch, etc.).
* Natural Language Processing (NLP) for text splitting, segmentation, classifiers, labeling, tokenization, and semantic ontology.
* Graph tools such as Neo4j, RedisGraph, or GraphFrames.
* ELK Stack (Elastic Stack): Elasticsearch, Logstash, Kibana.
* ETL to PostgreSQL, MongoDB, Neo4j, Redis.
* Kubernetes, Docker, Kafka.
* Hugging Face.
* AWS, Azure.
* VM (Linux, Ubuntu) configuration for individual and team profiles.
* DevX/Coder.
WeeghmanBriggs was established in 2016\. We are a team of like\-minded people who do business, generate ideas and realize them. Consulting and Cyber Security are our main directions and we know how to deal with many current issues and provide the best services in offering resolutions.
WeeghmanBriggs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14">
      <c r="A14" t="inlineStr">
        <is>
          <t>in-b5fc6bece9c3b8aa</t>
        </is>
      </c>
      <c r="B14" t="inlineStr">
        <is>
          <t>Jr. Data Scientist</t>
        </is>
      </c>
      <c r="C14" t="inlineStr">
        <is>
          <t>Focus Camera</t>
        </is>
      </c>
      <c r="D14" t="inlineStr">
        <is>
          <t>indeed</t>
        </is>
      </c>
      <c r="E14" t="inlineStr"/>
      <c r="F14" t="inlineStr"/>
      <c r="G14" t="inlineStr">
        <is>
          <t>Brooklyn, NY, US</t>
        </is>
      </c>
      <c r="H14" s="2" t="n">
        <v>46056</v>
      </c>
      <c r="I14" t="inlineStr">
        <is>
          <t>***This role is not eligible for employer sponsored visas. Applicants must be legally authorized to work in the United States without the need for company sponsorship now or in the future.***
**Jr. Data Scientist**  
**Location:** Brooklyn, NY (4 days On\-site / 1 day WFH)
**About Us:**
At Focus Camera, we fuel creativity, support our partners, and deliver exceptional customer experience. Guided by our core values—teamwork, responsibility, excellence, adaptability, and results—we collaborate to build scalable solutions that drive growth.
Founded in 1966 as a family\-owned business, Focus Camera has grown to 150\+ employees across three locations: our Brooklyn headquarters and store, our 90,000 sq. ft. warehouse in North Brunswick, NJ, and our Lakewood, NJ retail store. We specialize in consumer electronics and pro audio, partnering with leading brands such as Sony, Nikon, Fujifilm, Yamaha, Fender, and Ninja selling thousands of products across several online platforms such as Amazon, Best Buy, and Walmart.
**Role Overview:**
The Data Science Team supports the company’s ecommerce platforms and adjacent teams by managing advertising campaigns and ensuring high quality reporting processes. This role will assist other departments with as\-needed KPI reporting\- sales, advertising expenditure, etc. The initial focus will be accurate reporting and understanding of internal data processes. Eventually, the role will help to maintain reporting pipelines and dashboards and expand on these further.
The role will need to communicate analyses results/reports to other departments and executives regularly.
**Responsibilities:**
* Extract, transform, and analyze data from advertising platforms (e.g., Google Ads, Amazon Ads) and internal databases using SQL and Python to identify trends, anomalies, and optimization opportunities.
* Design, build, and maintain production\-grade ETL pipelines using SQL and Python; improve reliability, scalability, and data quality.
* Own the end\-to\-end development of machine learning models, including problem formulation, feature engineering, training, evaluation, deployment, and iteration.
* Develop and experiment with advanced modeling techniques, including reinforcement learning, regression, and other statistical/ML approaches to improve marketing and sales outcomes.
* Maintain and enhance internal dashboards and reporting tools used to track advertising and business performance (e.g., Power BI).
* Perform ad\-hoc analysis to support strategic decisions across marketing, growth, and operations.
**Requirements:**
* 2\+ years of experience using Python for data ingestion, analysis, and machine learning (R acceptable background, but Python is required for this role)
* 2\+ years of experience using SQL for data analysis and data pipeline development
* MySQL and/or Microsoft SQL Server preferred
* 1\+ years of hands\-on data engineering experience, including building and maintaining ETL pipelines
* Proven experience owning and building machine learning models from scratch (not just tuning or consuming existing models)
* 1\+ years of experience with cloud platforms such as AWS and/or Azure
* Experience working with version control systems (Git/GitHub) in a collaborative environment
* Strong understanding of data modeling, validation, and analytics best practices
**Nice\-to\-have:**
* Experience with reinforcement learning or experimentation\-driven ML systems
* Hands\-on experience with Google Ads, Amazon Ads, or other eCommerce advertising platforms
* Familiarity with SEO analytics and organic search performance measurement
* Experience with Power BI or similar dashboarding/BI tools
* Experience working with large\-scale marketing or eCommerce datasets
* Background in Bayesian statistics, regression analysis, or causal inference
Exposure to GCP in addition to AWS/Azure
* Collaborate closely with cross\-functional partners (marketing, product, engineering) to understand requirements and deliver actionable insights.
* Contribute to process improvements, data architecture decisions, and best practices for analytics, ML, and data engineering workflows.
* Support and help implement new data\-driven strategies to achieve sales and marketing goals.
Pay: $75,000\.00 \- $85,000\.00 per year
Benefits:
* 401(k)
* Health insurance
* Paid time off
Work Location: In person</t>
        </is>
      </c>
    </row>
    <row r="15">
      <c r="A15" t="inlineStr">
        <is>
          <t>in-ae161b77989c834b</t>
        </is>
      </c>
      <c r="B15" t="inlineStr">
        <is>
          <t>Data Scientist</t>
        </is>
      </c>
      <c r="C15" t="inlineStr">
        <is>
          <t>Horace Mann Insurance</t>
        </is>
      </c>
      <c r="D15" t="inlineStr">
        <is>
          <t>indeed</t>
        </is>
      </c>
      <c r="E15" t="inlineStr"/>
      <c r="F15" t="inlineStr"/>
      <c r="G15" t="inlineStr">
        <is>
          <t>Springfield, IL, US</t>
        </is>
      </c>
      <c r="H15" s="2" t="n">
        <v>46055</v>
      </c>
      <c r="I15" t="inlineStr">
        <is>
          <t>**Overall Objective:** To drive actionable insights and inform corporate strategies through the use of analytics, GenAI, advanced modeling, data mining, and market intelligence.
**Key Skills:**
* **Strong Communication:** Demonstrates strong communication skills with a basic understanding of project management principles. Ability to share updates with team members and manager clearly and concisely, with flexibility in discussions around project scope and deliverables.
* **Data Visualization:** Ability to visualize data effectively to support clear insights and decision\-making.
* **Analysis:** Proficiency in leveraging data and statistical modeling to identify, create, and solve business opportunities.
* **GenAI and Machine Learning:** Some proficiency in GenAI and machine learning techniques to identify, create, and solve business opportunities. Shows a strong desire to build foundational skills first and demonstrates flexibility in selecting appropriate methods.
* **Technical Data Proficiency:** Ability to work with data using programming languages (SQL, Python) and a solid understanding of relational data and data tools.
* **Coding Skills:** Demonstrates the ability to write production\-ready code in Python that is modular, efficient, and well\-documented.
* **BI Tools:** Experience developing dashboards preferred with Python\-based tools (PowerBI experience is a plus).
* **Project Drive:** Demonstrates a desire to learn and own project workstreams with a GenAI/Data Science focus to positively impact business outcomes.
* **Inquisitive Mindset:** Possesses an inquisitive mindset and a desire to delve into the details while maintaining a focus on business impact and practical solutions.
* **Collaboration:** Capable of both independent work and collaboration within projects and cross\-functional teams to achieve targeted outcomes and drive shared success.
**Preferred education/experience: OR Required education**
* Master's degree or higher in data science related areas (statistics, applied economics, data science)
* 2\+ years of professional analytical experience preferred
* 2\+ years of P\&amp;C or Life/Retirement experience preferred
Salary Range:
$89,800\.00 \- $125,500\.00
Salary is commensurate to experience, location, etc.
\#VIZI
\#LI\-LM1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16">
      <c r="A16" t="inlineStr">
        <is>
          <t>in-95b6a2f1c143f263</t>
        </is>
      </c>
      <c r="B16" t="inlineStr">
        <is>
          <t>Data Scientist, Creative Excellence</t>
        </is>
      </c>
      <c r="C16" t="inlineStr">
        <is>
          <t>Ipsos</t>
        </is>
      </c>
      <c r="D16" t="inlineStr">
        <is>
          <t>indeed</t>
        </is>
      </c>
      <c r="E16" t="inlineStr"/>
      <c r="F16" t="inlineStr"/>
      <c r="G16" t="inlineStr">
        <is>
          <t>Chicago, IL, US</t>
        </is>
      </c>
      <c r="H16" s="2" t="n">
        <v>46055</v>
      </c>
      <c r="I16" t="inlineStr">
        <is>
          <t>**What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Stay abreast of the latest data science techniques and tools available.  
*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Good time management, collaboration, and self\-sufficiency skills  
* 
**Nice to haves:**
* Proficiency in R, JavaScript
* Experience with natural language processing, large language models, geospatial analysis, and neural networks
* Experience with cloud computing platforms (AWS, GCP)
* Experience with big data technologies (Spark, Hadoop, etc.)
Project management experience  
*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\#LI\-AE1 \#LI\-Hybrid</t>
        </is>
      </c>
    </row>
    <row r="17">
      <c r="A17" t="inlineStr">
        <is>
          <t>in-122c93ea31675e99</t>
        </is>
      </c>
      <c r="B17" t="inlineStr">
        <is>
          <t>Data Scientist</t>
        </is>
      </c>
      <c r="C17" t="inlineStr">
        <is>
          <t>Potomac Economics</t>
        </is>
      </c>
      <c r="D17" t="inlineStr">
        <is>
          <t>indeed</t>
        </is>
      </c>
      <c r="E17" t="inlineStr"/>
      <c r="F17" t="inlineStr"/>
      <c r="G17" t="inlineStr">
        <is>
          <t>US</t>
        </is>
      </c>
      <c r="H17" s="2" t="n">
        <v>46055</v>
      </c>
      <c r="I17" t="inlineStr">
        <is>
          <t>**Location:** Austin, VA (Hybrid: In\-person 3 days/week)
**Job Type:** Full\-time
**Salary Range:** $90,000 – $150,000
**\_\_\_\_\_\_\_\_\_\_\_\_\_\_\_\_\_\_\_\_\_\_\_\_\_\_\_\_\_\_\_\_\_\_\_\_\_\_\_\_\_\_\_\_\_\_\_\_\_\_\_\_\_\_\_\_\_**
**About the Role:**
Can competitive electricity markets coordinate the production of electricity from all supply resources in order to minimize costs, produce reasonable prices, and keep the lights on?
At Potomac Economics, you would be a valuable member of a market monitoring team that studies wholesale electricity markets throughout the United States. This includes designing, creating, and utilizing databases and custom software to analyze a wide array of market data. The team uses this monitoring software to evaluate the performance of competitive electricity markets, identify potential improvements in market design, and detect attempts to manipulate the market or exercise market power.
**\_\_\_\_\_\_\_\_\_\_\_\_\_\_\_\_\_\_\_\_\_\_\_\_\_\_\_\_\_\_\_\_\_\_\_\_\_\_\_\_\_\_\_\_\_\_\_\_\_\_\_\_\_\_\_\_\_**
**Responsibilities and Expectations:**
* Develop efficient python code to process, analyze, and visualize large electricity market datasets.
* Build and maintain databases, dashboards, figures, and tables to clearly communicate analytical results.
* Develop and manage an ETL process and end\-use data mart for use by the automated monitoring system and market analysts.
* Troubleshoot, debug, and enhance existing data processing tools and software.
* Identify and implement improvements to analytical methods and software systems.
* Summarize and communicate analytical findings clearly to both technical and non\-technical audiences.
* Write well\-structured, maintainable, and reusable code.
* Work productively and independently while contributing to team goals.
* Demonstrate initiative and creativity in addressing analytical challenges.
* Collaborate closely with market experts to interpret results and refine analyses.
* Apply strong quantitative and problem\-solving skills to complex market questions.
**\_\_\_\_\_\_\_\_\_\_\_\_\_\_\_\_\_\_\_\_\_\_\_\_\_\_\_\_\_\_\_\_\_\_\_\_\_\_\_\_\_\_\_\_\_\_\_\_\_\_\_\_\_\_\_\_\_**
**Qualifications:**
*Required*
* Bachelor’s or Master’s degree in Economics, Data Science, or another relevant field of study or equivalent work experience.
* Strong analytical and data management skills, with attention to accuracy and reproducibility.
* Strong Python skills and experience with common database management systems.
* Ability to design and develop clean automated workflows for data and analysis.
*Preferred*
* 2 or more years of experience with data analysis and programming experience in Python.
* Experience working with large energy market datasets.
* Knowledge of wholesale electricity market design or operations.
* Familiarity with packages such as Pandas, SQLAlchemy, Matplotlib, and Plotly.
* Interest and ability to use AI tools (e.g., ChatGPT, coding agents) to enhance coding, data analysis, and workflow efficiency.
**\_\_\_\_\_\_\_\_\_\_\_\_\_\_\_\_\_\_\_\_\_\_\_\_\_\_\_\_\_\_\_\_\_\_\_\_\_\_\_\_\_\_\_\_\_\_\_\_\_\_\_\_\_\_\_\_\_**
**Benefits:**
* Medical / Dental / Vision / Life
* HSA / FSA
* 401(k)
* Paid time off
* Employee discounts</t>
        </is>
      </c>
    </row>
    <row r="18">
      <c r="A18" t="inlineStr">
        <is>
          <t>in-54a0468eb84755bb</t>
        </is>
      </c>
      <c r="B18" t="inlineStr">
        <is>
          <t>Data Scientist (Associate or Experienced)</t>
        </is>
      </c>
      <c r="C18" t="inlineStr">
        <is>
          <t>Boeing</t>
        </is>
      </c>
      <c r="D18" t="inlineStr">
        <is>
          <t>indeed</t>
        </is>
      </c>
      <c r="E18" t="inlineStr"/>
      <c r="F18" t="inlineStr"/>
      <c r="G18" t="inlineStr">
        <is>
          <t>Everett, WA, US</t>
        </is>
      </c>
      <c r="H18" s="2" t="n">
        <v>46055</v>
      </c>
      <c r="I18" t="inlineStr">
        <is>
          <t>At Boeing, we innovate and collaborate to make the world a better place. We’re committed to fostering an environment for every teammate that’s welcoming, respectful and inclusive, with great opportunity for professional growth. Find your future with us.
**Airplane Systems Integration is looking for a Data Scientist (Associate or Experienced) to join our team in Everett, WA.**
**Position Overview:**
The Data Scientist will develop and build next generation Artificial Intelligence (AI) and Machine Learning (ML) products and services. This position will work effectively with cross\-functional teams and technical leads to determining, defining, and deploying analytics solutions to meet business goals.
**Primary Responsibilities:**
You will be responsible for extracting valuable insights from complex datasets, identifying patterns, trends, and anomalies, and developing predictive models to support strategic decision\-making across the organization. You will collaborate closely with cross\-functional teams to design and implement data\-driven solutions that address business challenges and drive continuous improvement. Seeking someone with strong enthusiasm to learn new technologies and expand related skillsets.
* Analyze large\-scale time\-series and tabular datasets to extract meaningful insights and identify actionable opportunities.
* Develop and implement advanced statistical models, machine learning algorithms, and forecasting techniques to predict future trends and outcomes.
* Design and execute experiments to evaluate model performance, validate hypotheses, and optimize algorithms for accuracy and efficiency.
* Collaborate with stakeholders to define business requirements, prioritize analytical projects, and translate findings into actionable recommendations.
* Build and maintain robust data pipelines and automated workflows to streamline data collection, preprocessing, and analysis processes.
* Perform necessary data preparation and enhancements to models
* Evaluate technologies, assist in identifying capabilities gaps, develop and teach best practices and technology standards, and work alongside the rest of the global data scientists and technical leads in Analytics organization
* Communicate complex technical concepts and analytical findings to non\-technical stakeholders through clear and concise presentations, reports, and visualizations.
* Stay abreast of the latest developments in data science, machine learning, and statistical techniques, and evaluate their potential impact on business objectives.
* Contribute to technical documentation.
**Work Authorization:**
This position is expected to be 100% onsite. The selected candidate will be required to work onsite at Everett, WA location.
**Basic Qualifications (Required Skills/ Experience):**
* Bachelor's or advanced degree in Computer Science, Statistics, Mathematics, Engineering, or a related field.
* 1\+ years of experience working with projects, teams, and/or leaders in the analytics and/or data science space
* 1\+ years of experience researching and applying large language and generative AI models
* 1\+ years of experience with various machine learning methods such as regression, clustering, classification, decision trees, natural language processing, ensemble methods, support vector machines (SVM), deep learning, reinforcement learning, etc.
* 1\+ years of experience in designing and implementing Natural Language Processing (NLP) models using machine learning techniques including neural networks, deep learning and transformer architectures
**Preferred Qualifications (Desired Skills/Experience):**
* Master’s or Ph.D. degree in Engineering, Computer Science, or Math etc.
* Preferably experiences in Data processing and database programming skills, such as SQL or NoSQL
* Strong understanding of statistical concepts, hypothesis testing, regression analysis, time\-series modeling, and machine learning algorithms.
* Solid understanding of database systems, SQL, and data manipulation techniques for extracting, transforming, and loading (ETL) data.
* Experience supporting an AI or ML development team
* Proficiency in programming languages such as Python, and experience with libraries/frameworks such as pandas, NumPy, scikit\-learn, TensorFlow, or PyTorch.
* Level 3: 5 or more years' related work experience or an equivalent combination of education and experience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**Union:**
This is not a union\-represented position.
**Pay and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Associate (Level 2\): $108,800 \- $147,200
Experienced (Level 3\): $137,700 \- $186,300
Applications for this position will be accepted until **Feb. 21, 2026**
 **Export Control Requirements:**
This is not an Export Control position.
**Education**
Bachelor's Degree or Equivalent Required
**Relocation**
This position offers relocation based on candidate eligibility.
**Visa Sponsorship**
Employer willing to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9">
      <c r="A19" t="inlineStr">
        <is>
          <t>in-2a9e4b7df043747f</t>
        </is>
      </c>
      <c r="B19" t="inlineStr">
        <is>
          <t>Investment Data Scientist - Senior</t>
        </is>
      </c>
      <c r="C19" t="inlineStr">
        <is>
          <t>USAA</t>
        </is>
      </c>
      <c r="D19" t="inlineStr">
        <is>
          <t>indeed</t>
        </is>
      </c>
      <c r="E19" t="inlineStr"/>
      <c r="F19" t="inlineStr"/>
      <c r="G19" t="inlineStr">
        <is>
          <t>San Antonio, TX, US</t>
        </is>
      </c>
      <c r="H19" s="2" t="n">
        <v>46054</v>
      </c>
      <c r="I1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Investment Data Scientist \- Senior, you will work with the Data Science Team in USAA’s Finance department. Their responsibilities will include working with investment risk models (Valuation, Performance Attribution, VaR, CECL), investment data management, external asset manager relations, and investment operational risk \&amp; processes. Additionally, they will support USAA’s Chief Investment Office with investment analysis.
Translates business problems into applied statistical, machine learning, simulation, and optimization solutions to inform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expanding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visible and based on the highest quality data.
* Translates complex business request(s) into specific analytical questions, completes the analysis and/or modeling, and then communicates outcomes to non\-technical business colleagues with focus on business action and recommendations.
* Handles project landmarks, risks, and impediments. Calls out potential issues that could limit project success or implementation.
* Develops standard methodologies for engaging with Data Engineering and IT to deploy production\-ready analytical assets consistent with modeling procedures and model risk management standards.
* Maintains expertise and awareness of pioneering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 Bachelor’s degree in mathematics, computer science, statistics, economics, finance, actuarial sciences, science and engineering, or other similar quantitative field;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field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Validated experience writing code that is easy to follow, well documented, and commented where necessary to explain logic (high code visibility).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MS in Financial Engineering
* 5\+ Years of Investment Modeling \&amp; Operations Experience
* Experience with Aladdin BlackRock
* Experience with Investment Data Analytics
* Strong knowledge of Python, Snowflake, SQL, Dashboard Reporting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0">
      <c r="A20" t="inlineStr">
        <is>
          <t>in-1a5a2cf26a8a40fa</t>
        </is>
      </c>
      <c r="B20" t="inlineStr">
        <is>
          <t>Applied Scientist, Amazon Special Projects</t>
        </is>
      </c>
      <c r="C20" t="inlineStr">
        <is>
          <t>Amazon.com</t>
        </is>
      </c>
      <c r="D20" t="inlineStr">
        <is>
          <t>indeed</t>
        </is>
      </c>
      <c r="E20" t="inlineStr"/>
      <c r="F20" t="inlineStr"/>
      <c r="G20" t="inlineStr">
        <is>
          <t>Seattle, WA, US</t>
        </is>
      </c>
      <c r="H20" s="2" t="n">
        <v>46026</v>
      </c>
      <c r="I2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in-75a20fc83f7117e8</t>
        </is>
      </c>
      <c r="B21" t="inlineStr">
        <is>
          <t>Applied Scientist, Amazon Special Projects</t>
        </is>
      </c>
      <c r="C21" t="inlineStr">
        <is>
          <t>Amazon.com</t>
        </is>
      </c>
      <c r="D21" t="inlineStr">
        <is>
          <t>indeed</t>
        </is>
      </c>
      <c r="E21" t="inlineStr"/>
      <c r="F21" t="inlineStr"/>
      <c r="G21" t="inlineStr">
        <is>
          <t>Boston, MA, US</t>
        </is>
      </c>
      <c r="H21" s="2" t="n">
        <v>46026</v>
      </c>
      <c r="I2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in-f17c618fde2b391b</t>
        </is>
      </c>
      <c r="B22" t="inlineStr">
        <is>
          <t>Applied Scientist, Last Mile Delivery Automation</t>
        </is>
      </c>
      <c r="C22" t="inlineStr">
        <is>
          <t>Amazon.com</t>
        </is>
      </c>
      <c r="D22" t="inlineStr">
        <is>
          <t>indeed</t>
        </is>
      </c>
      <c r="E22" t="inlineStr"/>
      <c r="F22" t="inlineStr"/>
      <c r="G22" t="inlineStr">
        <is>
          <t>Santa Clara, CA, US</t>
        </is>
      </c>
      <c r="H22" s="2" t="n">
        <v>46026</v>
      </c>
      <c r="I2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in-e8105ad030d94b43</t>
        </is>
      </c>
      <c r="B23" t="inlineStr">
        <is>
          <t>Applied Scientist, Last Mile Delivery Automation</t>
        </is>
      </c>
      <c r="C23" t="inlineStr">
        <is>
          <t>Amazon.com</t>
        </is>
      </c>
      <c r="D23" t="inlineStr">
        <is>
          <t>indeed</t>
        </is>
      </c>
      <c r="E23" t="inlineStr"/>
      <c r="F23" t="inlineStr"/>
      <c r="G23" t="inlineStr">
        <is>
          <t>Bellevue, WA, US</t>
        </is>
      </c>
      <c r="H23" s="2" t="n">
        <v>46026</v>
      </c>
      <c r="I2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in-7d4d69801df38fbd</t>
        </is>
      </c>
      <c r="B24" t="inlineStr">
        <is>
          <t>Senior Applied Scientist, Distributed SQL</t>
        </is>
      </c>
      <c r="C24" t="inlineStr">
        <is>
          <t>Amazon Web Services</t>
        </is>
      </c>
      <c r="D24" t="inlineStr">
        <is>
          <t>indeed</t>
        </is>
      </c>
      <c r="E24" t="inlineStr"/>
      <c r="F24" t="inlineStr"/>
      <c r="G24" t="inlineStr">
        <is>
          <t>East Palo Alto, CA, US</t>
        </is>
      </c>
      <c r="H24" s="2" t="n">
        <v>46012</v>
      </c>
      <c r="I2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5">
      <c r="A25" t="inlineStr">
        <is>
          <t>in-f1a0c9bc18f69620</t>
        </is>
      </c>
      <c r="B25" t="inlineStr">
        <is>
          <t>Senior Applied Scientist, Distributed SQL</t>
        </is>
      </c>
      <c r="C25" t="inlineStr">
        <is>
          <t>Amazon Web Services</t>
        </is>
      </c>
      <c r="D25" t="inlineStr">
        <is>
          <t>indeed</t>
        </is>
      </c>
      <c r="E25" t="inlineStr"/>
      <c r="F25" t="inlineStr"/>
      <c r="G25" t="inlineStr">
        <is>
          <t>Seattle, WA, US</t>
        </is>
      </c>
      <c r="H25" s="2" t="n">
        <v>46012</v>
      </c>
      <c r="I2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6">
      <c r="A26" t="inlineStr">
        <is>
          <t>in-65ea8f3b63440318</t>
        </is>
      </c>
      <c r="B26" t="inlineStr">
        <is>
          <t>Sr. Applied Scientist, Amazon Ads</t>
        </is>
      </c>
      <c r="C26" t="inlineStr">
        <is>
          <t>Amazon.com</t>
        </is>
      </c>
      <c r="D26" t="inlineStr">
        <is>
          <t>indeed</t>
        </is>
      </c>
      <c r="E26" t="inlineStr"/>
      <c r="F26" t="inlineStr"/>
      <c r="G26" t="inlineStr">
        <is>
          <t>Tukwila, WA,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in-6c42d2adf5e9bf35</t>
        </is>
      </c>
      <c r="B27" t="inlineStr">
        <is>
          <t>Sr. Applied Scientist, Amazon Ads</t>
        </is>
      </c>
      <c r="C27" t="inlineStr">
        <is>
          <t>Amazon.com</t>
        </is>
      </c>
      <c r="D27" t="inlineStr">
        <is>
          <t>indeed</t>
        </is>
      </c>
      <c r="E27" t="inlineStr"/>
      <c r="F27" t="inlineStr"/>
      <c r="G27" t="inlineStr">
        <is>
          <t>Palo Alto, CA,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in-01f5534fa6660dfe</t>
        </is>
      </c>
      <c r="B28" t="inlineStr">
        <is>
          <t>Sr. Applied Scientist, Amazon Ads</t>
        </is>
      </c>
      <c r="C28" t="inlineStr">
        <is>
          <t>Amazon.com</t>
        </is>
      </c>
      <c r="D28" t="inlineStr">
        <is>
          <t>indeed</t>
        </is>
      </c>
      <c r="E28" t="inlineStr"/>
      <c r="F28" t="inlineStr"/>
      <c r="G28" t="inlineStr">
        <is>
          <t>Corvallis, OR,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in-15f4641d8a5b2fdc</t>
        </is>
      </c>
      <c r="B29" t="inlineStr">
        <is>
          <t>Sr. Applied Scientist, Amazon Ads</t>
        </is>
      </c>
      <c r="C29" t="inlineStr">
        <is>
          <t>Amazon.com</t>
        </is>
      </c>
      <c r="D29" t="inlineStr">
        <is>
          <t>indeed</t>
        </is>
      </c>
      <c r="E29" t="inlineStr"/>
      <c r="F29" t="inlineStr"/>
      <c r="G29" t="inlineStr">
        <is>
          <t>Boston, MA,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in-16d2ff666e786f5b</t>
        </is>
      </c>
      <c r="B30" t="inlineStr">
        <is>
          <t>Sr. Applied Scientist, Amazon Ads</t>
        </is>
      </c>
      <c r="C30" t="inlineStr">
        <is>
          <t>Amazon.com</t>
        </is>
      </c>
      <c r="D30" t="inlineStr">
        <is>
          <t>indeed</t>
        </is>
      </c>
      <c r="E30" t="inlineStr"/>
      <c r="F30" t="inlineStr"/>
      <c r="G30" t="inlineStr">
        <is>
          <t>Seattle, WA,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in-884356df471008f7</t>
        </is>
      </c>
      <c r="B31" t="inlineStr">
        <is>
          <t>Sr. Applied Scientist, Amazon Ads</t>
        </is>
      </c>
      <c r="C31" t="inlineStr">
        <is>
          <t>Amazon.com</t>
        </is>
      </c>
      <c r="D31" t="inlineStr">
        <is>
          <t>indeed</t>
        </is>
      </c>
      <c r="E31" t="inlineStr"/>
      <c r="F31" t="inlineStr"/>
      <c r="G31" t="inlineStr">
        <is>
          <t>Santa Monica,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in-fcc6303caf8cb3a5</t>
        </is>
      </c>
      <c r="B32" t="inlineStr">
        <is>
          <t>Sr. Applied Scientist, Amazon Ads</t>
        </is>
      </c>
      <c r="C32" t="inlineStr">
        <is>
          <t>Amazon.com</t>
        </is>
      </c>
      <c r="D32" t="inlineStr">
        <is>
          <t>indeed</t>
        </is>
      </c>
      <c r="E32" t="inlineStr"/>
      <c r="F32" t="inlineStr"/>
      <c r="G32" t="inlineStr">
        <is>
          <t>Sunnyvale, CA,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in-cffb5ebeeff2ed64</t>
        </is>
      </c>
      <c r="B33" t="inlineStr">
        <is>
          <t>Sr. Applied Scientist, Amazon Ads</t>
        </is>
      </c>
      <c r="C33" t="inlineStr">
        <is>
          <t>Amazon.com</t>
        </is>
      </c>
      <c r="D33" t="inlineStr">
        <is>
          <t>indeed</t>
        </is>
      </c>
      <c r="E33" t="inlineStr"/>
      <c r="F33" t="inlineStr"/>
      <c r="G33" t="inlineStr">
        <is>
          <t>Boulder, CO,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in-95038bd2657a55d7</t>
        </is>
      </c>
      <c r="B34" t="inlineStr">
        <is>
          <t>Sr. Applied Scientist, Amazon Ads</t>
        </is>
      </c>
      <c r="C34" t="inlineStr">
        <is>
          <t>Amazon.com</t>
        </is>
      </c>
      <c r="D34" t="inlineStr">
        <is>
          <t>indeed</t>
        </is>
      </c>
      <c r="E34" t="inlineStr"/>
      <c r="F34" t="inlineStr"/>
      <c r="G34" t="inlineStr">
        <is>
          <t>New York, NY,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in-c023c4f47a2664c2</t>
        </is>
      </c>
      <c r="B35" t="inlineStr">
        <is>
          <t>Sr. Applied Scientist, Amazon Ads</t>
        </is>
      </c>
      <c r="C35" t="inlineStr">
        <is>
          <t>Amazon.com</t>
        </is>
      </c>
      <c r="D35" t="inlineStr">
        <is>
          <t>indeed</t>
        </is>
      </c>
      <c r="E35" t="inlineStr"/>
      <c r="F35" t="inlineStr"/>
      <c r="G35" t="inlineStr">
        <is>
          <t>Brooklyn, NY,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in-1c2ba3c416637a2f</t>
        </is>
      </c>
      <c r="B36" t="inlineStr">
        <is>
          <t>Senior Data Scientist, Data and Machine Learning, WWPS US Federal</t>
        </is>
      </c>
      <c r="C36" t="inlineStr">
        <is>
          <t>Amazon Web Services</t>
        </is>
      </c>
      <c r="D36" t="inlineStr">
        <is>
          <t>indeed</t>
        </is>
      </c>
      <c r="E36" t="inlineStr"/>
      <c r="F36" t="inlineStr"/>
      <c r="G36" t="inlineStr">
        <is>
          <t>Denver, CO, US</t>
        </is>
      </c>
      <c r="H36" s="2" t="n">
        <v>45993</v>
      </c>
      <c r="I3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7">
      <c r="A37" t="inlineStr">
        <is>
          <t>in-26adb43fce225ad0</t>
        </is>
      </c>
      <c r="B37" t="inlineStr">
        <is>
          <t>Data Scientist, Data and Machine Learning, WWPS US Federal</t>
        </is>
      </c>
      <c r="C37" t="inlineStr">
        <is>
          <t>Amazon Web Services</t>
        </is>
      </c>
      <c r="D37" t="inlineStr">
        <is>
          <t>indeed</t>
        </is>
      </c>
      <c r="E37" t="inlineStr"/>
      <c r="F37" t="inlineStr"/>
      <c r="G37" t="inlineStr">
        <is>
          <t>Denver, CO, US</t>
        </is>
      </c>
      <c r="H37" s="2" t="n">
        <v>45993</v>
      </c>
      <c r="I3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8">
      <c r="A38" t="inlineStr">
        <is>
          <t>in-05ed97ec0da7ecb2</t>
        </is>
      </c>
      <c r="B38" t="inlineStr">
        <is>
          <t>Senior Data Scientist, Data and Machine Learning, WWPS US Federal</t>
        </is>
      </c>
      <c r="C38" t="inlineStr">
        <is>
          <t>Amazon Web Services</t>
        </is>
      </c>
      <c r="D38" t="inlineStr">
        <is>
          <t>indeed</t>
        </is>
      </c>
      <c r="E38" t="inlineStr"/>
      <c r="F38" t="inlineStr"/>
      <c r="G38" t="inlineStr">
        <is>
          <t>St. Louis, MO, US</t>
        </is>
      </c>
      <c r="H38" s="2" t="n">
        <v>45993</v>
      </c>
      <c r="I3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9">
      <c r="A39" t="inlineStr">
        <is>
          <t>in-8b811f5ce151eeff</t>
        </is>
      </c>
      <c r="B39" t="inlineStr">
        <is>
          <t>Data Scientist, Data and Machine Learning, WWPS US Federal</t>
        </is>
      </c>
      <c r="C39" t="inlineStr">
        <is>
          <t>Amazon Web Services</t>
        </is>
      </c>
      <c r="D39" t="inlineStr">
        <is>
          <t>indeed</t>
        </is>
      </c>
      <c r="E39" t="inlineStr"/>
      <c r="F39" t="inlineStr"/>
      <c r="G39" t="inlineStr">
        <is>
          <t>St. Louis, MO, US</t>
        </is>
      </c>
      <c r="H39" s="2" t="n">
        <v>45993</v>
      </c>
      <c r="I3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0">
      <c r="A40" t="inlineStr">
        <is>
          <t>in-673c4a113286fd5f</t>
        </is>
      </c>
      <c r="B40" t="inlineStr">
        <is>
          <t>Senior Data Scientist, Data and Machine Learning, WWPS US Federal</t>
        </is>
      </c>
      <c r="C40" t="inlineStr">
        <is>
          <t>Amazon Web Services</t>
        </is>
      </c>
      <c r="D40" t="inlineStr">
        <is>
          <t>indeed</t>
        </is>
      </c>
      <c r="E40" t="inlineStr"/>
      <c r="F40" t="inlineStr"/>
      <c r="G40" t="inlineStr">
        <is>
          <t>Herndon, VA, US</t>
        </is>
      </c>
      <c r="H40" s="2" t="n">
        <v>45993</v>
      </c>
      <c r="I4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1">
      <c r="A41" t="inlineStr">
        <is>
          <t>in-07fd218491d463da</t>
        </is>
      </c>
      <c r="B41" t="inlineStr">
        <is>
          <t>Senior Data Scientist, Data and Machine Learning, WWPS US Federal</t>
        </is>
      </c>
      <c r="C41" t="inlineStr">
        <is>
          <t>Amazon Web Services</t>
        </is>
      </c>
      <c r="D41" t="inlineStr">
        <is>
          <t>indeed</t>
        </is>
      </c>
      <c r="E41" t="inlineStr"/>
      <c r="F41" t="inlineStr"/>
      <c r="G41" t="inlineStr">
        <is>
          <t>Arlington, VA, US</t>
        </is>
      </c>
      <c r="H41" s="2" t="n">
        <v>45993</v>
      </c>
      <c r="I4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2">
      <c r="A42" t="inlineStr">
        <is>
          <t>in-2c918a3bfde292cd</t>
        </is>
      </c>
      <c r="B42" t="inlineStr">
        <is>
          <t>Senior Data Scientist, Data and Machine Learning, WWPS US Federal</t>
        </is>
      </c>
      <c r="C42" t="inlineStr">
        <is>
          <t>Amazon Web Services</t>
        </is>
      </c>
      <c r="D42" t="inlineStr">
        <is>
          <t>indeed</t>
        </is>
      </c>
      <c r="E42" t="inlineStr"/>
      <c r="F42" t="inlineStr"/>
      <c r="G42" t="inlineStr">
        <is>
          <t>Jessup, MD, US</t>
        </is>
      </c>
      <c r="H42" s="2" t="n">
        <v>45993</v>
      </c>
      <c r="I4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3">
      <c r="A43" t="inlineStr">
        <is>
          <t>in-9c90d292e85629fa</t>
        </is>
      </c>
      <c r="B43" t="inlineStr">
        <is>
          <t>Data Scientist, Data and Machine Learning, WWPS US Federal</t>
        </is>
      </c>
      <c r="C43" t="inlineStr">
        <is>
          <t>Amazon Web Services</t>
        </is>
      </c>
      <c r="D43" t="inlineStr">
        <is>
          <t>indeed</t>
        </is>
      </c>
      <c r="E43" t="inlineStr"/>
      <c r="F43" t="inlineStr"/>
      <c r="G43" t="inlineStr">
        <is>
          <t>Jessup, MD, US</t>
        </is>
      </c>
      <c r="H43" s="2" t="n">
        <v>45993</v>
      </c>
      <c r="I4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4">
      <c r="A44" t="inlineStr">
        <is>
          <t>in-1bda96ffbf513d48</t>
        </is>
      </c>
      <c r="B44" t="inlineStr">
        <is>
          <t>Data Scientist, Data and Machine Learning, WWPS US Federal</t>
        </is>
      </c>
      <c r="C44" t="inlineStr">
        <is>
          <t>Amazon Web Services</t>
        </is>
      </c>
      <c r="D44" t="inlineStr">
        <is>
          <t>indeed</t>
        </is>
      </c>
      <c r="E44" t="inlineStr"/>
      <c r="F44" t="inlineStr"/>
      <c r="G44" t="inlineStr">
        <is>
          <t>Arlington, VA, US</t>
        </is>
      </c>
      <c r="H44" s="2" t="n">
        <v>45993</v>
      </c>
      <c r="I4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5">
      <c r="A45" t="inlineStr">
        <is>
          <t>in-f41260ca77743482</t>
        </is>
      </c>
      <c r="B45" t="inlineStr">
        <is>
          <t>Data Scientist, Data and Machine Learning, WWPS US Federal</t>
        </is>
      </c>
      <c r="C45" t="inlineStr">
        <is>
          <t>Amazon Web Services</t>
        </is>
      </c>
      <c r="D45" t="inlineStr">
        <is>
          <t>indeed</t>
        </is>
      </c>
      <c r="E45" t="inlineStr"/>
      <c r="F45" t="inlineStr"/>
      <c r="G45" t="inlineStr">
        <is>
          <t>Herndon, VA, US</t>
        </is>
      </c>
      <c r="H45" s="2" t="n">
        <v>45993</v>
      </c>
      <c r="I4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6">
      <c r="A46" t="inlineStr">
        <is>
          <t>in-5be405ff34651675</t>
        </is>
      </c>
      <c r="B46" t="inlineStr">
        <is>
          <t>Senior Applied Scientist, Artificial General Intelligence</t>
        </is>
      </c>
      <c r="C46" t="inlineStr">
        <is>
          <t>Amazon.com</t>
        </is>
      </c>
      <c r="D46" t="inlineStr">
        <is>
          <t>indeed</t>
        </is>
      </c>
      <c r="E46" t="inlineStr"/>
      <c r="F46" t="inlineStr"/>
      <c r="G46" t="inlineStr">
        <is>
          <t>New York, NY, US</t>
        </is>
      </c>
      <c r="H46" s="2" t="n">
        <v>45980</v>
      </c>
      <c r="I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in-4e3e8fd3f65fc251</t>
        </is>
      </c>
      <c r="B47" t="inlineStr">
        <is>
          <t>Senior Applied Scientist, Artificial General Intelligence</t>
        </is>
      </c>
      <c r="C47" t="inlineStr">
        <is>
          <t>Amazon.com</t>
        </is>
      </c>
      <c r="D47" t="inlineStr">
        <is>
          <t>indeed</t>
        </is>
      </c>
      <c r="E47" t="inlineStr"/>
      <c r="F47" t="inlineStr"/>
      <c r="G47" t="inlineStr">
        <is>
          <t>Sunnyvale, CA, US</t>
        </is>
      </c>
      <c r="H47" s="2" t="n">
        <v>45980</v>
      </c>
      <c r="I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in-dddb410e43266817</t>
        </is>
      </c>
      <c r="B48" t="inlineStr">
        <is>
          <t>Senior Applied Scientist, Artificial General Intelligence</t>
        </is>
      </c>
      <c r="C48" t="inlineStr">
        <is>
          <t>Amazon.com</t>
        </is>
      </c>
      <c r="D48" t="inlineStr">
        <is>
          <t>indeed</t>
        </is>
      </c>
      <c r="E48" t="inlineStr"/>
      <c r="F48" t="inlineStr"/>
      <c r="G48" t="inlineStr">
        <is>
          <t>Seattle, WA, US</t>
        </is>
      </c>
      <c r="H48" s="2" t="n">
        <v>45980</v>
      </c>
      <c r="I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in-f3d26b3e1468f314</t>
        </is>
      </c>
      <c r="B49" t="inlineStr">
        <is>
          <t>Senior Applied Scientist, Artificial General Intelligence</t>
        </is>
      </c>
      <c r="C49" t="inlineStr">
        <is>
          <t>Amazon.com</t>
        </is>
      </c>
      <c r="D49" t="inlineStr">
        <is>
          <t>indeed</t>
        </is>
      </c>
      <c r="E49" t="inlineStr"/>
      <c r="F49" t="inlineStr"/>
      <c r="G49" t="inlineStr">
        <is>
          <t>Boston, MA, US</t>
        </is>
      </c>
      <c r="H49" s="2" t="n">
        <v>45980</v>
      </c>
      <c r="I4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in-9bb1627db8a0dc3f</t>
        </is>
      </c>
      <c r="B50" t="inlineStr">
        <is>
          <t>Applied Scientist II, SPB Advertiser Guidance</t>
        </is>
      </c>
      <c r="C50" t="inlineStr">
        <is>
          <t>Amazon.com</t>
        </is>
      </c>
      <c r="D50" t="inlineStr">
        <is>
          <t>indeed</t>
        </is>
      </c>
      <c r="E50" t="inlineStr"/>
      <c r="F50" t="inlineStr"/>
      <c r="G50" t="inlineStr">
        <is>
          <t>New York, NY, US</t>
        </is>
      </c>
      <c r="H50" s="2" t="n">
        <v>45980</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in-6f9a794ab5fc13b8</t>
        </is>
      </c>
      <c r="B51" t="inlineStr">
        <is>
          <t>Applied Scientist II, SPB Advertiser Guidance</t>
        </is>
      </c>
      <c r="C51" t="inlineStr">
        <is>
          <t>Amazon.com</t>
        </is>
      </c>
      <c r="D51" t="inlineStr">
        <is>
          <t>indeed</t>
        </is>
      </c>
      <c r="E51" t="inlineStr"/>
      <c r="F51" t="inlineStr"/>
      <c r="G51" t="inlineStr">
        <is>
          <t>Palo Alto, CA, US</t>
        </is>
      </c>
      <c r="H51" s="2" t="n">
        <v>45980</v>
      </c>
      <c r="I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in-b8a093a1f904920e</t>
        </is>
      </c>
      <c r="B52" t="inlineStr">
        <is>
          <t>Applied Scientist II, SPB Advertiser Guidance</t>
        </is>
      </c>
      <c r="C52" t="inlineStr">
        <is>
          <t>Amazon.com</t>
        </is>
      </c>
      <c r="D52" t="inlineStr">
        <is>
          <t>indeed</t>
        </is>
      </c>
      <c r="E52" t="inlineStr"/>
      <c r="F52" t="inlineStr"/>
      <c r="G52" t="inlineStr">
        <is>
          <t>Seattle, WA, US</t>
        </is>
      </c>
      <c r="H52" s="2" t="n">
        <v>45980</v>
      </c>
      <c r="I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in-a00bcf321af0e4a7</t>
        </is>
      </c>
      <c r="B53" t="inlineStr">
        <is>
          <t>Principal Applied Scientist, Sponsored Products and Brands</t>
        </is>
      </c>
      <c r="C53" t="inlineStr">
        <is>
          <t>Amazon.com</t>
        </is>
      </c>
      <c r="D53" t="inlineStr">
        <is>
          <t>indeed</t>
        </is>
      </c>
      <c r="E53" t="inlineStr"/>
      <c r="F53" t="inlineStr"/>
      <c r="G53" t="inlineStr">
        <is>
          <t>Seattle, WA, US</t>
        </is>
      </c>
      <c r="H53" s="2" t="n">
        <v>45979</v>
      </c>
      <c r="I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in-d7f51bc65e66daf5</t>
        </is>
      </c>
      <c r="B54" t="inlineStr">
        <is>
          <t>Principal Applied Scientist, Sponsored Products and Brands</t>
        </is>
      </c>
      <c r="C54" t="inlineStr">
        <is>
          <t>Amazon.com</t>
        </is>
      </c>
      <c r="D54" t="inlineStr">
        <is>
          <t>indeed</t>
        </is>
      </c>
      <c r="E54" t="inlineStr"/>
      <c r="F54" t="inlineStr"/>
      <c r="G54" t="inlineStr">
        <is>
          <t>New York, NY, US</t>
        </is>
      </c>
      <c r="H54" s="2" t="n">
        <v>45979</v>
      </c>
      <c r="I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in-4b5fc6ebb38521cf</t>
        </is>
      </c>
      <c r="B55" t="inlineStr">
        <is>
          <t>Applied Scientist, Personalization, DTx Science</t>
        </is>
      </c>
      <c r="C55" t="inlineStr">
        <is>
          <t>Amazon.com</t>
        </is>
      </c>
      <c r="D55" t="inlineStr">
        <is>
          <t>indeed</t>
        </is>
      </c>
      <c r="E55" t="inlineStr"/>
      <c r="F55" t="inlineStr"/>
      <c r="G55" t="inlineStr">
        <is>
          <t>New York, NY, US</t>
        </is>
      </c>
      <c r="H55" s="2" t="n">
        <v>45979</v>
      </c>
      <c r="I5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in-06020756cab1ac32</t>
        </is>
      </c>
      <c r="B56" t="inlineStr">
        <is>
          <t>Applied Scientist, Personalization, DTx Science</t>
        </is>
      </c>
      <c r="C56" t="inlineStr">
        <is>
          <t>Amazon.com</t>
        </is>
      </c>
      <c r="D56" t="inlineStr">
        <is>
          <t>indeed</t>
        </is>
      </c>
      <c r="E56" t="inlineStr"/>
      <c r="F56" t="inlineStr"/>
      <c r="G56" t="inlineStr">
        <is>
          <t>Seattle, WA, US</t>
        </is>
      </c>
      <c r="H56" s="2" t="n">
        <v>45979</v>
      </c>
      <c r="I5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in-6174ff5e20005339</t>
        </is>
      </c>
      <c r="B57" t="inlineStr">
        <is>
          <t>Sr. Applied Scientist, AGI Foundations</t>
        </is>
      </c>
      <c r="C57" t="inlineStr">
        <is>
          <t>Amazon.com</t>
        </is>
      </c>
      <c r="D57" t="inlineStr">
        <is>
          <t>indeed</t>
        </is>
      </c>
      <c r="E57" t="inlineStr"/>
      <c r="F57" t="inlineStr"/>
      <c r="G57" t="inlineStr">
        <is>
          <t>Sunnyvale, CA, US</t>
        </is>
      </c>
      <c r="H57" s="2" t="n">
        <v>45978</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in-d2c5e610b8ff22cc</t>
        </is>
      </c>
      <c r="B58" t="inlineStr">
        <is>
          <t>Sr. Applied Scientist, AGI Foundations</t>
        </is>
      </c>
      <c r="C58" t="inlineStr">
        <is>
          <t>Amazon.com</t>
        </is>
      </c>
      <c r="D58" t="inlineStr">
        <is>
          <t>indeed</t>
        </is>
      </c>
      <c r="E58" t="inlineStr"/>
      <c r="F58" t="inlineStr"/>
      <c r="G58" t="inlineStr">
        <is>
          <t>Bellevue, WA, US</t>
        </is>
      </c>
      <c r="H58" s="2" t="n">
        <v>45978</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in-3f33996c9587aa19</t>
        </is>
      </c>
      <c r="B59" t="inlineStr">
        <is>
          <t>Sr. Applied Scientist, AGI Foundations</t>
        </is>
      </c>
      <c r="C59" t="inlineStr">
        <is>
          <t>Amazon.com</t>
        </is>
      </c>
      <c r="D59" t="inlineStr">
        <is>
          <t>indeed</t>
        </is>
      </c>
      <c r="E59" t="inlineStr"/>
      <c r="F59" t="inlineStr"/>
      <c r="G59" t="inlineStr">
        <is>
          <t>Boston, MA, US</t>
        </is>
      </c>
      <c r="H59" s="2" t="n">
        <v>45978</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in-2eed1d896a508050</t>
        </is>
      </c>
      <c r="B60" t="inlineStr">
        <is>
          <t>Sr. Applied Scientist, AGI Foundations</t>
        </is>
      </c>
      <c r="C60" t="inlineStr">
        <is>
          <t>Amazon.com</t>
        </is>
      </c>
      <c r="D60" t="inlineStr">
        <is>
          <t>indeed</t>
        </is>
      </c>
      <c r="E60" t="inlineStr"/>
      <c r="F60" t="inlineStr"/>
      <c r="G60" t="inlineStr">
        <is>
          <t>New York, NY, US</t>
        </is>
      </c>
      <c r="H60" s="2" t="n">
        <v>45978</v>
      </c>
      <c r="I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in-2e708639eef71315</t>
        </is>
      </c>
      <c r="B61" t="inlineStr">
        <is>
          <t>Principal Applied Scientist, Amazon AGI</t>
        </is>
      </c>
      <c r="C61" t="inlineStr">
        <is>
          <t>Amazon.com</t>
        </is>
      </c>
      <c r="D61" t="inlineStr">
        <is>
          <t>indeed</t>
        </is>
      </c>
      <c r="E61" t="inlineStr"/>
      <c r="F61" t="inlineStr"/>
      <c r="G61" t="inlineStr">
        <is>
          <t>Boston, MA, US</t>
        </is>
      </c>
      <c r="H61" s="2" t="n">
        <v>45964</v>
      </c>
      <c r="I6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in-299ca5e61d1a7153</t>
        </is>
      </c>
      <c r="B62" t="inlineStr">
        <is>
          <t>Principal Applied Scientist, Amazon AGI</t>
        </is>
      </c>
      <c r="C62" t="inlineStr">
        <is>
          <t>Amazon.com</t>
        </is>
      </c>
      <c r="D62" t="inlineStr">
        <is>
          <t>indeed</t>
        </is>
      </c>
      <c r="E62" t="inlineStr"/>
      <c r="F62" t="inlineStr"/>
      <c r="G62" t="inlineStr">
        <is>
          <t>San Francisco, CA, US</t>
        </is>
      </c>
      <c r="H62" s="2" t="n">
        <v>45964</v>
      </c>
      <c r="I6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in-67347898eadab6f3</t>
        </is>
      </c>
      <c r="B63" t="inlineStr">
        <is>
          <t>Sr. Applied Scientist, AGI Foundations</t>
        </is>
      </c>
      <c r="C63" t="inlineStr">
        <is>
          <t>Amazon.com</t>
        </is>
      </c>
      <c r="D63" t="inlineStr">
        <is>
          <t>indeed</t>
        </is>
      </c>
      <c r="E63" t="inlineStr"/>
      <c r="F63" t="inlineStr"/>
      <c r="G63" t="inlineStr">
        <is>
          <t>Boston, MA, US</t>
        </is>
      </c>
      <c r="H63" s="2" t="n">
        <v>45963</v>
      </c>
      <c r="I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in-cc6b64d0d2d2b586</t>
        </is>
      </c>
      <c r="B64" t="inlineStr">
        <is>
          <t>Sr. Applied Scientist, AGI Foundations</t>
        </is>
      </c>
      <c r="C64" t="inlineStr">
        <is>
          <t>Amazon.com</t>
        </is>
      </c>
      <c r="D64" t="inlineStr">
        <is>
          <t>indeed</t>
        </is>
      </c>
      <c r="E64" t="inlineStr"/>
      <c r="F64" t="inlineStr"/>
      <c r="G64" t="inlineStr">
        <is>
          <t>Bellevue, WA, US</t>
        </is>
      </c>
      <c r="H64" s="2" t="n">
        <v>45963</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in-305eb53db36f11be</t>
        </is>
      </c>
      <c r="B65" t="inlineStr">
        <is>
          <t>Sr. Applied Scientist, AGI Foundations</t>
        </is>
      </c>
      <c r="C65" t="inlineStr">
        <is>
          <t>Amazon.com</t>
        </is>
      </c>
      <c r="D65" t="inlineStr">
        <is>
          <t>indeed</t>
        </is>
      </c>
      <c r="E65" t="inlineStr"/>
      <c r="F65" t="inlineStr"/>
      <c r="G65" t="inlineStr">
        <is>
          <t>New York, NY, US</t>
        </is>
      </c>
      <c r="H65" s="2" t="n">
        <v>45963</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in-ae9f81decf02a6af</t>
        </is>
      </c>
      <c r="B66" t="inlineStr">
        <is>
          <t>Applied Scientist, AWS Agentic AI</t>
        </is>
      </c>
      <c r="C66" t="inlineStr">
        <is>
          <t>Amazon Web Services</t>
        </is>
      </c>
      <c r="D66" t="inlineStr">
        <is>
          <t>indeed</t>
        </is>
      </c>
      <c r="E66" t="inlineStr"/>
      <c r="F66" t="inlineStr"/>
      <c r="G66" t="inlineStr">
        <is>
          <t>Santa Clara, CA, US</t>
        </is>
      </c>
      <c r="H66" s="2" t="n">
        <v>45962</v>
      </c>
      <c r="I6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in-bec63a2de09d66c8</t>
        </is>
      </c>
      <c r="B67" t="inlineStr">
        <is>
          <t>Applied Scientist, AWS Agentic AI</t>
        </is>
      </c>
      <c r="C67" t="inlineStr">
        <is>
          <t>Amazon Web Services</t>
        </is>
      </c>
      <c r="D67" t="inlineStr">
        <is>
          <t>indeed</t>
        </is>
      </c>
      <c r="E67" t="inlineStr"/>
      <c r="F67" t="inlineStr"/>
      <c r="G67" t="inlineStr">
        <is>
          <t>New York, NY, US</t>
        </is>
      </c>
      <c r="H67" s="2" t="n">
        <v>45962</v>
      </c>
      <c r="I6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in-9cb91a13d76c2acf</t>
        </is>
      </c>
      <c r="B68" t="inlineStr">
        <is>
          <t>Applied Scientist, AWS Agentic AI</t>
        </is>
      </c>
      <c r="C68" t="inlineStr">
        <is>
          <t>Amazon Web Services</t>
        </is>
      </c>
      <c r="D68" t="inlineStr">
        <is>
          <t>indeed</t>
        </is>
      </c>
      <c r="E68" t="inlineStr"/>
      <c r="F68" t="inlineStr"/>
      <c r="G68" t="inlineStr">
        <is>
          <t>Seattle, WA,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in-85b32a3ac127bfe7</t>
        </is>
      </c>
      <c r="B69" t="inlineStr">
        <is>
          <t>Applied Scientist, Prime Video - Content Understanding, Localization &amp; Enrichment Team</t>
        </is>
      </c>
      <c r="C69" t="inlineStr">
        <is>
          <t>Amazon.com</t>
        </is>
      </c>
      <c r="D69" t="inlineStr">
        <is>
          <t>indeed</t>
        </is>
      </c>
      <c r="E69" t="inlineStr"/>
      <c r="F69" t="inlineStr"/>
      <c r="G69" t="inlineStr">
        <is>
          <t>San Francisco, CA, US</t>
        </is>
      </c>
      <c r="H69" s="2" t="n">
        <v>45943</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0">
      <c r="A70" t="inlineStr">
        <is>
          <t>in-ae698748a4615631</t>
        </is>
      </c>
      <c r="B70" t="inlineStr">
        <is>
          <t>Applied Scientist, Prime Video - Content Understanding, Localization &amp; Enrichment Team</t>
        </is>
      </c>
      <c r="C70" t="inlineStr">
        <is>
          <t>Amazon.com</t>
        </is>
      </c>
      <c r="D70" t="inlineStr">
        <is>
          <t>indeed</t>
        </is>
      </c>
      <c r="E70" t="inlineStr"/>
      <c r="F70" t="inlineStr"/>
      <c r="G70" t="inlineStr">
        <is>
          <t>Seattle, WA, US</t>
        </is>
      </c>
      <c r="H70" s="2" t="n">
        <v>45943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1">
      <c r="A71" t="inlineStr">
        <is>
          <t>in-d6ad4749927c77d7</t>
        </is>
      </c>
      <c r="B71" t="inlineStr">
        <is>
          <t>Principal Applied Scientist, Advertiser Growth, Amazon Sponsored Products &amp; Brands</t>
        </is>
      </c>
      <c r="C71" t="inlineStr">
        <is>
          <t>Amazon.com</t>
        </is>
      </c>
      <c r="D71" t="inlineStr">
        <is>
          <t>indeed</t>
        </is>
      </c>
      <c r="E71" t="inlineStr"/>
      <c r="F71" t="inlineStr"/>
      <c r="G71" t="inlineStr">
        <is>
          <t>Palo Alto, CA,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in-350b50d9deed38be</t>
        </is>
      </c>
      <c r="B72" t="inlineStr">
        <is>
          <t>Principal Applied Scientist, Advertiser Growth, Amazon Sponsored Products &amp; Brands</t>
        </is>
      </c>
      <c r="C72" t="inlineStr">
        <is>
          <t>Amazon.com</t>
        </is>
      </c>
      <c r="D72" t="inlineStr">
        <is>
          <t>indeed</t>
        </is>
      </c>
      <c r="E72" t="inlineStr"/>
      <c r="F72" t="inlineStr"/>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in-90da3375d8d23ebc</t>
        </is>
      </c>
      <c r="B73" t="inlineStr">
        <is>
          <t>Principal Applied Scientist, Advertiser Growth, Amazon Sponsored Products &amp; Brands</t>
        </is>
      </c>
      <c r="C73" t="inlineStr">
        <is>
          <t>Amazon.com</t>
        </is>
      </c>
      <c r="D73" t="inlineStr">
        <is>
          <t>indeed</t>
        </is>
      </c>
      <c r="E73" t="inlineStr"/>
      <c r="F73" t="inlineStr"/>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in-3cf7d207db224c5e</t>
        </is>
      </c>
      <c r="B74" t="inlineStr">
        <is>
          <t>Applied Scientist</t>
        </is>
      </c>
      <c r="C74" t="inlineStr">
        <is>
          <t>Amazon.com</t>
        </is>
      </c>
      <c r="D74" t="inlineStr">
        <is>
          <t>indeed</t>
        </is>
      </c>
      <c r="E74" t="inlineStr"/>
      <c r="F74" t="inlineStr"/>
      <c r="G74" t="inlineStr">
        <is>
          <t>Palo Alto, CA, US</t>
        </is>
      </c>
      <c r="H74" s="2" t="n">
        <v>45939</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in-ca3cb9e91c3eb7ac</t>
        </is>
      </c>
      <c r="B75" t="inlineStr">
        <is>
          <t>Applied Scientist</t>
        </is>
      </c>
      <c r="C75" t="inlineStr">
        <is>
          <t>Amazon.com</t>
        </is>
      </c>
      <c r="D75" t="inlineStr">
        <is>
          <t>indeed</t>
        </is>
      </c>
      <c r="E75" t="inlineStr"/>
      <c r="F75" t="inlineStr"/>
      <c r="G75" t="inlineStr">
        <is>
          <t>Seattle, WA, US</t>
        </is>
      </c>
      <c r="H75" s="2" t="n">
        <v>45939</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in-09910c8fc721e9a5</t>
        </is>
      </c>
      <c r="B76" t="inlineStr">
        <is>
          <t>Sr. Applied Scientist, SPB Advertiser Guidance</t>
        </is>
      </c>
      <c r="C76" t="inlineStr">
        <is>
          <t>Amazon.com</t>
        </is>
      </c>
      <c r="D76" t="inlineStr">
        <is>
          <t>indeed</t>
        </is>
      </c>
      <c r="E76" t="inlineStr"/>
      <c r="F76" t="inlineStr"/>
      <c r="G76" t="inlineStr">
        <is>
          <t>New York, NY,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in-37abada669a4c1a7</t>
        </is>
      </c>
      <c r="B77" t="inlineStr">
        <is>
          <t>Applied Scientist</t>
        </is>
      </c>
      <c r="C77" t="inlineStr">
        <is>
          <t>Amazon.com</t>
        </is>
      </c>
      <c r="D77" t="inlineStr">
        <is>
          <t>indeed</t>
        </is>
      </c>
      <c r="E77" t="inlineStr"/>
      <c r="F77" t="inlineStr"/>
      <c r="G77" t="inlineStr">
        <is>
          <t>New York, NY,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in-928a8208592b3fc2</t>
        </is>
      </c>
      <c r="B78" t="inlineStr">
        <is>
          <t>Sr. Applied Scientist, SPB Advertiser Guidance</t>
        </is>
      </c>
      <c r="C78" t="inlineStr">
        <is>
          <t>Amazon.com</t>
        </is>
      </c>
      <c r="D78" t="inlineStr">
        <is>
          <t>indeed</t>
        </is>
      </c>
      <c r="E78" t="inlineStr"/>
      <c r="F78" t="inlineStr"/>
      <c r="G78" t="inlineStr">
        <is>
          <t>Palo Alto, CA,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in-705f5f1fdb70b4fa</t>
        </is>
      </c>
      <c r="B79" t="inlineStr">
        <is>
          <t>Sr. Applied Scientist, SPB Advertiser Guidance</t>
        </is>
      </c>
      <c r="C79" t="inlineStr">
        <is>
          <t>Amazon.com</t>
        </is>
      </c>
      <c r="D79" t="inlineStr">
        <is>
          <t>indeed</t>
        </is>
      </c>
      <c r="E79" t="inlineStr"/>
      <c r="F79" t="inlineStr"/>
      <c r="G79" t="inlineStr">
        <is>
          <t>Seattle, WA,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in-37810efe442ff857</t>
        </is>
      </c>
      <c r="B80" t="inlineStr">
        <is>
          <t>Applied Scientist, Workplace Health &amp; Safety</t>
        </is>
      </c>
      <c r="C80" t="inlineStr">
        <is>
          <t>Amazon.com</t>
        </is>
      </c>
      <c r="D80" t="inlineStr">
        <is>
          <t>indeed</t>
        </is>
      </c>
      <c r="E80" t="inlineStr"/>
      <c r="F80" t="inlineStr"/>
      <c r="G80" t="inlineStr">
        <is>
          <t>Bellevue, WA, US</t>
        </is>
      </c>
      <c r="H80" s="2" t="n">
        <v>45917</v>
      </c>
      <c r="I8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in-d4b60e2e3cedd7e7</t>
        </is>
      </c>
      <c r="B81" t="inlineStr">
        <is>
          <t>Applied Scientist, Workplace Health &amp; Safety</t>
        </is>
      </c>
      <c r="C81" t="inlineStr">
        <is>
          <t>Amazon.com</t>
        </is>
      </c>
      <c r="D81" t="inlineStr">
        <is>
          <t>indeed</t>
        </is>
      </c>
      <c r="E81" t="inlineStr"/>
      <c r="F81" t="inlineStr"/>
      <c r="G81" t="inlineStr">
        <is>
          <t>Nashville, TN, US</t>
        </is>
      </c>
      <c r="H81" s="2" t="n">
        <v>45917</v>
      </c>
      <c r="I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in-120163051f472c78</t>
        </is>
      </c>
      <c r="B82" t="inlineStr">
        <is>
          <t>Sr. Applied Scientist, Amazon Advertising</t>
        </is>
      </c>
      <c r="C82" t="inlineStr">
        <is>
          <t>Amazon.com</t>
        </is>
      </c>
      <c r="D82" t="inlineStr">
        <is>
          <t>indeed</t>
        </is>
      </c>
      <c r="E82" t="inlineStr"/>
      <c r="F82" t="inlineStr"/>
      <c r="G82" t="inlineStr">
        <is>
          <t>Los Angeles, CA,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in-e121e130f68600ce</t>
        </is>
      </c>
      <c r="B83" t="inlineStr">
        <is>
          <t>Sr. Applied Scientist, Amazon Advertising</t>
        </is>
      </c>
      <c r="C83" t="inlineStr">
        <is>
          <t>Amazon.com</t>
        </is>
      </c>
      <c r="D83" t="inlineStr">
        <is>
          <t>indeed</t>
        </is>
      </c>
      <c r="E83" t="inlineStr"/>
      <c r="F83" t="inlineStr"/>
      <c r="G83" t="inlineStr">
        <is>
          <t>Simi Valley,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in-5ea316f36d07b6bf</t>
        </is>
      </c>
      <c r="B84" t="inlineStr">
        <is>
          <t>Sr. Applied Scientist, Amazon Advertising</t>
        </is>
      </c>
      <c r="C84" t="inlineStr">
        <is>
          <t>Amazon.com</t>
        </is>
      </c>
      <c r="D84" t="inlineStr">
        <is>
          <t>indeed</t>
        </is>
      </c>
      <c r="E84" t="inlineStr"/>
      <c r="F84" t="inlineStr"/>
      <c r="G84" t="inlineStr">
        <is>
          <t>West Hollywood,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in-c1febcd71616eda1</t>
        </is>
      </c>
      <c r="B85" t="inlineStr">
        <is>
          <t>Sr. Applied Scientist, Amazon Advertising</t>
        </is>
      </c>
      <c r="C85" t="inlineStr">
        <is>
          <t>Amazon.com</t>
        </is>
      </c>
      <c r="D85" t="inlineStr">
        <is>
          <t>indeed</t>
        </is>
      </c>
      <c r="E85" t="inlineStr"/>
      <c r="F85" t="inlineStr"/>
      <c r="G85" t="inlineStr">
        <is>
          <t>Palo Alto, CA,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in-ca5ba5158fe46a2b</t>
        </is>
      </c>
      <c r="B86" t="inlineStr">
        <is>
          <t>Sr. Applied Scientist, Amazon Advertising</t>
        </is>
      </c>
      <c r="C86" t="inlineStr">
        <is>
          <t>Amazon.com</t>
        </is>
      </c>
      <c r="D86" t="inlineStr">
        <is>
          <t>indeed</t>
        </is>
      </c>
      <c r="E86" t="inlineStr"/>
      <c r="F86" t="inlineStr"/>
      <c r="G86" t="inlineStr">
        <is>
          <t>New York, NY,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in-781162852f71d967</t>
        </is>
      </c>
      <c r="B87" t="inlineStr">
        <is>
          <t>Sr. Applied Scientist, Amazon Advertising</t>
        </is>
      </c>
      <c r="C87" t="inlineStr">
        <is>
          <t>Amazon.com</t>
        </is>
      </c>
      <c r="D87" t="inlineStr">
        <is>
          <t>indeed</t>
        </is>
      </c>
      <c r="E87" t="inlineStr"/>
      <c r="F87" t="inlineStr"/>
      <c r="G87" t="inlineStr">
        <is>
          <t>Seattle, WA,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in-74ae1f211973c237</t>
        </is>
      </c>
      <c r="B88" t="inlineStr">
        <is>
          <t>Sr. Applied Scientist, Amazon Advertising</t>
        </is>
      </c>
      <c r="C88" t="inlineStr">
        <is>
          <t>Amazon.com</t>
        </is>
      </c>
      <c r="D88" t="inlineStr">
        <is>
          <t>indeed</t>
        </is>
      </c>
      <c r="E88" t="inlineStr"/>
      <c r="F88" t="inlineStr"/>
      <c r="G88" t="inlineStr">
        <is>
          <t>Austin, TX,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in-ab17ec816f40f7b2</t>
        </is>
      </c>
      <c r="B89" t="inlineStr">
        <is>
          <t>Sr. Applied Scientist, Amazon Advertising</t>
        </is>
      </c>
      <c r="C89" t="inlineStr">
        <is>
          <t>Amazon.com</t>
        </is>
      </c>
      <c r="D89" t="inlineStr">
        <is>
          <t>indeed</t>
        </is>
      </c>
      <c r="E89" t="inlineStr"/>
      <c r="F89" t="inlineStr"/>
      <c r="G89" t="inlineStr">
        <is>
          <t>Arlington, VA,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in-75a77e2d00515ac5</t>
        </is>
      </c>
      <c r="B90" t="inlineStr">
        <is>
          <t>Applied Scientist, Prime Video - Personalization and Discovery Science</t>
        </is>
      </c>
      <c r="C90" t="inlineStr">
        <is>
          <t>Amazon.com</t>
        </is>
      </c>
      <c r="D90" t="inlineStr">
        <is>
          <t>indeed</t>
        </is>
      </c>
      <c r="E90" t="inlineStr"/>
      <c r="F90" t="inlineStr"/>
      <c r="G90" t="inlineStr">
        <is>
          <t>New York, NY, US</t>
        </is>
      </c>
      <c r="H90" s="2" t="n">
        <v>45845</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in-ad5a84e3406fa31c</t>
        </is>
      </c>
      <c r="B91" t="inlineStr">
        <is>
          <t>Applied Scientist, Prime Video - Personalization and Discovery Science</t>
        </is>
      </c>
      <c r="C91" t="inlineStr">
        <is>
          <t>Amazon.com</t>
        </is>
      </c>
      <c r="D91" t="inlineStr">
        <is>
          <t>indeed</t>
        </is>
      </c>
      <c r="E91" t="inlineStr"/>
      <c r="F91" t="inlineStr"/>
      <c r="G91" t="inlineStr">
        <is>
          <t>Sunnyvale, CA, US</t>
        </is>
      </c>
      <c r="H91" s="2" t="n">
        <v>45845</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in-6a4acc0616f7f7a7</t>
        </is>
      </c>
      <c r="B92" t="inlineStr">
        <is>
          <t>Applied Scientist, Prime Video - Personalization and Discovery Science</t>
        </is>
      </c>
      <c r="C92" t="inlineStr">
        <is>
          <t>Amazon.com</t>
        </is>
      </c>
      <c r="D92" t="inlineStr">
        <is>
          <t>indeed</t>
        </is>
      </c>
      <c r="E92" t="inlineStr"/>
      <c r="F92" t="inlineStr"/>
      <c r="G92" t="inlineStr">
        <is>
          <t>Seattle, WA, US</t>
        </is>
      </c>
      <c r="H92" s="2" t="n">
        <v>45845</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in-248b26a87826bf98</t>
        </is>
      </c>
      <c r="B93" t="inlineStr">
        <is>
          <t>Senior Applied Scientist, Artificial General Intelligence</t>
        </is>
      </c>
      <c r="C93" t="inlineStr">
        <is>
          <t>Amazon.com</t>
        </is>
      </c>
      <c r="D93" t="inlineStr">
        <is>
          <t>indeed</t>
        </is>
      </c>
      <c r="E93" t="inlineStr"/>
      <c r="F93" t="inlineStr"/>
      <c r="G93" t="inlineStr">
        <is>
          <t>New York, NY, US</t>
        </is>
      </c>
      <c r="H93" s="2" t="n">
        <v>45838</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in-0bc5dc3c4ebf8570</t>
        </is>
      </c>
      <c r="B94" t="inlineStr">
        <is>
          <t>Senior Applied Scientist, Artificial General Intelligence</t>
        </is>
      </c>
      <c r="C94" t="inlineStr">
        <is>
          <t>Amazon.com</t>
        </is>
      </c>
      <c r="D94" t="inlineStr">
        <is>
          <t>indeed</t>
        </is>
      </c>
      <c r="E94" t="inlineStr"/>
      <c r="F94" t="inlineStr"/>
      <c r="G94" t="inlineStr">
        <is>
          <t>Sunnyvale, CA, US</t>
        </is>
      </c>
      <c r="H94" s="2" t="n">
        <v>45838</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in-0a19c6166ac4acd1</t>
        </is>
      </c>
      <c r="B95" t="inlineStr">
        <is>
          <t>Senior Applied Scientist, Artificial General Intelligence</t>
        </is>
      </c>
      <c r="C95" t="inlineStr">
        <is>
          <t>Amazon.com</t>
        </is>
      </c>
      <c r="D95" t="inlineStr">
        <is>
          <t>indeed</t>
        </is>
      </c>
      <c r="E95" t="inlineStr"/>
      <c r="F95" t="inlineStr"/>
      <c r="G95" t="inlineStr">
        <is>
          <t>Boston, MA,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in-8ae6bb63294f31a9</t>
        </is>
      </c>
      <c r="B96" t="inlineStr">
        <is>
          <t>Sr. Applied Scientist, Sales AI</t>
        </is>
      </c>
      <c r="C96" t="inlineStr">
        <is>
          <t>Amazon.com</t>
        </is>
      </c>
      <c r="D96" t="inlineStr">
        <is>
          <t>indeed</t>
        </is>
      </c>
      <c r="E96" t="inlineStr"/>
      <c r="F96" t="inlineStr"/>
      <c r="G96" t="inlineStr">
        <is>
          <t>Sunnyvale, CA, US</t>
        </is>
      </c>
      <c r="H96" s="2" t="n">
        <v>45830</v>
      </c>
      <c r="I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in-15bb5473e1c32b65</t>
        </is>
      </c>
      <c r="B97" t="inlineStr">
        <is>
          <t>Sr. Applied Scientist, Sales AI</t>
        </is>
      </c>
      <c r="C97" t="inlineStr">
        <is>
          <t>Amazon.com</t>
        </is>
      </c>
      <c r="D97" t="inlineStr">
        <is>
          <t>indeed</t>
        </is>
      </c>
      <c r="E97" t="inlineStr"/>
      <c r="F97" t="inlineStr"/>
      <c r="G97" t="inlineStr">
        <is>
          <t>Seattle, WA,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in-7c6a6cf8d47894b5</t>
        </is>
      </c>
      <c r="B98" t="inlineStr">
        <is>
          <t>Sr. Applied Scientist, Sales AI</t>
        </is>
      </c>
      <c r="C98" t="inlineStr">
        <is>
          <t>Amazon.com</t>
        </is>
      </c>
      <c r="D98" t="inlineStr">
        <is>
          <t>indeed</t>
        </is>
      </c>
      <c r="E98" t="inlineStr"/>
      <c r="F98" t="inlineStr"/>
      <c r="G98" t="inlineStr">
        <is>
          <t>New York, NY, US</t>
        </is>
      </c>
      <c r="H98" s="2" t="n">
        <v>45830</v>
      </c>
      <c r="I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in-63446c114c8943cf</t>
        </is>
      </c>
      <c r="B99" t="inlineStr">
        <is>
          <t>Principal Applied Scientist, Delivery Foundation Model</t>
        </is>
      </c>
      <c r="C99" t="inlineStr">
        <is>
          <t>Amazon.com</t>
        </is>
      </c>
      <c r="D99" t="inlineStr">
        <is>
          <t>indeed</t>
        </is>
      </c>
      <c r="E99" t="inlineStr"/>
      <c r="F99" t="inlineStr"/>
      <c r="G99" t="inlineStr">
        <is>
          <t>Santa Clara, CA, US</t>
        </is>
      </c>
      <c r="H99" s="2"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in-940193088530c784</t>
        </is>
      </c>
      <c r="B100" t="inlineStr">
        <is>
          <t>Principal Applied Scientist, Delivery Foundation Model</t>
        </is>
      </c>
      <c r="C100" t="inlineStr">
        <is>
          <t>Amazon.com</t>
        </is>
      </c>
      <c r="D100" t="inlineStr">
        <is>
          <t>indeed</t>
        </is>
      </c>
      <c r="E100" t="inlineStr"/>
      <c r="F100" t="inlineStr"/>
      <c r="G100" t="inlineStr">
        <is>
          <t>New York, NY, US</t>
        </is>
      </c>
      <c r="H100" s="2"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in-83a31353c3c097d2</t>
        </is>
      </c>
      <c r="B101" t="inlineStr">
        <is>
          <t>Principal Applied Scientist, Delivery Foundation Model</t>
        </is>
      </c>
      <c r="C101" t="inlineStr">
        <is>
          <t>Amazon.com</t>
        </is>
      </c>
      <c r="D101" t="inlineStr">
        <is>
          <t>indeed</t>
        </is>
      </c>
      <c r="E101" t="inlineStr"/>
      <c r="F101" t="inlineStr"/>
      <c r="G101" t="inlineStr">
        <is>
          <t>Bellevue, WA, US</t>
        </is>
      </c>
      <c r="H101" s="2"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in-3c6a7fc29a8c572b</t>
        </is>
      </c>
      <c r="B102" t="inlineStr">
        <is>
          <t>Principal Applied Scientist, Delivery Foundation Model</t>
        </is>
      </c>
      <c r="C102" t="inlineStr">
        <is>
          <t>Amazon.com</t>
        </is>
      </c>
      <c r="D102" t="inlineStr">
        <is>
          <t>indeed</t>
        </is>
      </c>
      <c r="E102" t="inlineStr"/>
      <c r="F102" t="inlineStr"/>
      <c r="G102" t="inlineStr">
        <is>
          <t>Austin, TX, US</t>
        </is>
      </c>
      <c r="H102" s="2"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in-ea1606e78d688c87</t>
        </is>
      </c>
      <c r="B103" t="inlineStr">
        <is>
          <t>Senior Applied Scientist, Delivery Foundation Model</t>
        </is>
      </c>
      <c r="C103" t="inlineStr">
        <is>
          <t>Amazon.com</t>
        </is>
      </c>
      <c r="D103" t="inlineStr">
        <is>
          <t>indeed</t>
        </is>
      </c>
      <c r="E103" t="inlineStr"/>
      <c r="F103" t="inlineStr"/>
      <c r="G103" t="inlineStr">
        <is>
          <t>Bellevue, WA, US</t>
        </is>
      </c>
      <c r="H103" s="2"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in-36574699ccbce97c</t>
        </is>
      </c>
      <c r="B104" t="inlineStr">
        <is>
          <t>Senior Applied Scientist, Delivery Foundation Model</t>
        </is>
      </c>
      <c r="C104" t="inlineStr">
        <is>
          <t>Amazon.com</t>
        </is>
      </c>
      <c r="D104" t="inlineStr">
        <is>
          <t>indeed</t>
        </is>
      </c>
      <c r="E104" t="inlineStr"/>
      <c r="F104" t="inlineStr"/>
      <c r="G104" t="inlineStr">
        <is>
          <t>Santa Clara, CA, US</t>
        </is>
      </c>
      <c r="H104" s="2"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in-d24299d824a1a4e6</t>
        </is>
      </c>
      <c r="B105" t="inlineStr">
        <is>
          <t>Senior Applied Scientist, Delivery Foundation Model</t>
        </is>
      </c>
      <c r="C105" t="inlineStr">
        <is>
          <t>Amazon.com</t>
        </is>
      </c>
      <c r="D105" t="inlineStr">
        <is>
          <t>indeed</t>
        </is>
      </c>
      <c r="E105" t="inlineStr"/>
      <c r="F105" t="inlineStr"/>
      <c r="G105" t="inlineStr">
        <is>
          <t>New York, NY, US</t>
        </is>
      </c>
      <c r="H105" s="2"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in-5f5e477818987fb7</t>
        </is>
      </c>
      <c r="B106" t="inlineStr">
        <is>
          <t>Principal Applied Scientist, Delivery Foundation Model</t>
        </is>
      </c>
      <c r="C106" t="inlineStr">
        <is>
          <t>Amazon.com</t>
        </is>
      </c>
      <c r="D106" t="inlineStr">
        <is>
          <t>indeed</t>
        </is>
      </c>
      <c r="E106" t="inlineStr"/>
      <c r="F106" t="inlineStr"/>
      <c r="G106" t="inlineStr">
        <is>
          <t>Bellevue, WA, US</t>
        </is>
      </c>
      <c r="H106" s="2" t="n">
        <v>45757</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in-9585bd22d2523301</t>
        </is>
      </c>
      <c r="B107" t="inlineStr">
        <is>
          <t>Principal Applied Scientist, Delivery Foundation Model</t>
        </is>
      </c>
      <c r="C107" t="inlineStr">
        <is>
          <t>Amazon.com</t>
        </is>
      </c>
      <c r="D107" t="inlineStr">
        <is>
          <t>indeed</t>
        </is>
      </c>
      <c r="E107" t="inlineStr"/>
      <c r="F107" t="inlineStr"/>
      <c r="G107" t="inlineStr">
        <is>
          <t>New York, NY, US</t>
        </is>
      </c>
      <c r="H107" s="2" t="n">
        <v>45757</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in-25ed534207ad4e92</t>
        </is>
      </c>
      <c r="B108" t="inlineStr">
        <is>
          <t>Principal Applied Scientist, Delivery Foundation Model</t>
        </is>
      </c>
      <c r="C108" t="inlineStr">
        <is>
          <t>Amazon.com</t>
        </is>
      </c>
      <c r="D108" t="inlineStr">
        <is>
          <t>indeed</t>
        </is>
      </c>
      <c r="E108" t="inlineStr"/>
      <c r="F108" t="inlineStr"/>
      <c r="G108" t="inlineStr">
        <is>
          <t>Santa Clara, CA, US</t>
        </is>
      </c>
      <c r="H108" s="2" t="n">
        <v>45757</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in-be972532540d8071</t>
        </is>
      </c>
      <c r="B109" t="inlineStr">
        <is>
          <t>Principal Applied Scientist, FAR (Frontier AI &amp; Robotics)</t>
        </is>
      </c>
      <c r="C109" t="inlineStr">
        <is>
          <t>Amazon.com</t>
        </is>
      </c>
      <c r="D109" t="inlineStr">
        <is>
          <t>indeed</t>
        </is>
      </c>
      <c r="E109" t="inlineStr"/>
      <c r="F109" t="inlineStr"/>
      <c r="G109" t="inlineStr">
        <is>
          <t>Seattle, WA, US</t>
        </is>
      </c>
      <c r="H109" s="2" t="n">
        <v>45740</v>
      </c>
      <c r="I1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in-27ab2ca3999b884f</t>
        </is>
      </c>
      <c r="B110" t="inlineStr">
        <is>
          <t>Principal Applied Scientist, FAR (Frontier AI &amp; Robotics)</t>
        </is>
      </c>
      <c r="C110" t="inlineStr">
        <is>
          <t>Amazon.com</t>
        </is>
      </c>
      <c r="D110" t="inlineStr">
        <is>
          <t>indeed</t>
        </is>
      </c>
      <c r="E110" t="inlineStr"/>
      <c r="F110" t="inlineStr"/>
      <c r="G110" t="inlineStr">
        <is>
          <t>San Francisco, CA, US</t>
        </is>
      </c>
      <c r="H110" s="2" t="n">
        <v>45740</v>
      </c>
      <c r="I11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in-e0ec759aa27f3995</t>
        </is>
      </c>
      <c r="B111" t="inlineStr">
        <is>
          <t>Data Scientist - Computer Vision, Data &amp; Machine Learning (DML)</t>
        </is>
      </c>
      <c r="C111" t="inlineStr">
        <is>
          <t>Amazon Web Services</t>
        </is>
      </c>
      <c r="D111" t="inlineStr">
        <is>
          <t>indeed</t>
        </is>
      </c>
      <c r="E111" t="inlineStr"/>
      <c r="F111" t="inlineStr"/>
      <c r="G111" t="inlineStr">
        <is>
          <t>Herndon, VA, US</t>
        </is>
      </c>
      <c r="H111" s="2" t="n">
        <v>46051</v>
      </c>
      <c r="I11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2">
      <c r="A112" t="inlineStr">
        <is>
          <t>in-fc6b1e41eb332a47</t>
        </is>
      </c>
      <c r="B112" t="inlineStr">
        <is>
          <t>Data Scientist - Computer Vision, Data &amp; Machine Learning (DML)</t>
        </is>
      </c>
      <c r="C112" t="inlineStr">
        <is>
          <t>Amazon Web Services</t>
        </is>
      </c>
      <c r="D112" t="inlineStr">
        <is>
          <t>indeed</t>
        </is>
      </c>
      <c r="E112" t="inlineStr"/>
      <c r="F112" t="inlineStr"/>
      <c r="G112" t="inlineStr">
        <is>
          <t>Arlington, VA, US</t>
        </is>
      </c>
      <c r="H112" s="2" t="n">
        <v>46051</v>
      </c>
      <c r="I11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3">
      <c r="A113" t="inlineStr">
        <is>
          <t>in-da2de93d60cb7557</t>
        </is>
      </c>
      <c r="B113" t="inlineStr">
        <is>
          <t>Data Scientist- Vision Language Model Researcher, Data &amp; Machine Learning (DML)</t>
        </is>
      </c>
      <c r="C113" t="inlineStr">
        <is>
          <t>Amazon Web Services</t>
        </is>
      </c>
      <c r="D113" t="inlineStr">
        <is>
          <t>indeed</t>
        </is>
      </c>
      <c r="E113" t="inlineStr"/>
      <c r="F113" t="inlineStr"/>
      <c r="G113" t="inlineStr">
        <is>
          <t>Arlington, VA, US</t>
        </is>
      </c>
      <c r="H113" s="2" t="n">
        <v>46051</v>
      </c>
      <c r="I11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4">
      <c r="A114" t="inlineStr">
        <is>
          <t>in-bf0b7abb6b792ba2</t>
        </is>
      </c>
      <c r="B114" t="inlineStr">
        <is>
          <t>Data Scientist- Vision Language Model Researcher, Data &amp; Machine Learning (DML)</t>
        </is>
      </c>
      <c r="C114" t="inlineStr">
        <is>
          <t>Amazon Web Services</t>
        </is>
      </c>
      <c r="D114" t="inlineStr">
        <is>
          <t>indeed</t>
        </is>
      </c>
      <c r="E114" t="inlineStr"/>
      <c r="F114" t="inlineStr"/>
      <c r="G114" t="inlineStr">
        <is>
          <t>Herndon, VA, US</t>
        </is>
      </c>
      <c r="H114" s="2" t="n">
        <v>46051</v>
      </c>
      <c r="I11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5">
      <c r="A115" t="inlineStr">
        <is>
          <t>in-9bdbd7664b25871d</t>
        </is>
      </c>
      <c r="B115" t="inlineStr">
        <is>
          <t>Applied Scientist, Alexa Smart Home</t>
        </is>
      </c>
      <c r="C115" t="inlineStr">
        <is>
          <t>Amazon.com</t>
        </is>
      </c>
      <c r="D115" t="inlineStr">
        <is>
          <t>indeed</t>
        </is>
      </c>
      <c r="E115" t="inlineStr"/>
      <c r="F115" t="inlineStr"/>
      <c r="G115" t="inlineStr">
        <is>
          <t>Seattle, WA, US</t>
        </is>
      </c>
      <c r="H115" s="2" t="n">
        <v>46033</v>
      </c>
      <c r="I11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6">
      <c r="A116" t="inlineStr">
        <is>
          <t>in-415dba58ec1b335c</t>
        </is>
      </c>
      <c r="B116" t="inlineStr">
        <is>
          <t>Applied Scientist, Alexa Smart Home</t>
        </is>
      </c>
      <c r="C116" t="inlineStr">
        <is>
          <t>Amazon.com</t>
        </is>
      </c>
      <c r="D116" t="inlineStr">
        <is>
          <t>indeed</t>
        </is>
      </c>
      <c r="E116" t="inlineStr"/>
      <c r="F116" t="inlineStr"/>
      <c r="G116" t="inlineStr">
        <is>
          <t>Sunnyvale, CA, US</t>
        </is>
      </c>
      <c r="H116" s="2" t="n">
        <v>46033</v>
      </c>
      <c r="I11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7">
      <c r="A117" t="inlineStr">
        <is>
          <t>in-392cb777b6f9f7b3</t>
        </is>
      </c>
      <c r="B117" t="inlineStr">
        <is>
          <t>Data Scientist, Algorithms</t>
        </is>
      </c>
      <c r="C117" t="inlineStr">
        <is>
          <t>Lyft</t>
        </is>
      </c>
      <c r="D117" t="inlineStr">
        <is>
          <t>indeed</t>
        </is>
      </c>
      <c r="E117">
        <f>HYPERLINK("https://www.indeed.com/viewjob?jk=392cb777b6f9f7b3", "https://www.indeed.com/viewjob?jk=392cb777b6f9f7b3")</f>
        <v/>
      </c>
      <c r="F117">
        <f>HYPERLINK("https://grnh.se/a1f9ke7h2us", "https://grnh.se/a1f9ke7h2us")</f>
        <v/>
      </c>
      <c r="G117" t="inlineStr">
        <is>
          <t>San Francisco, CA, US</t>
        </is>
      </c>
      <c r="H117" s="3" t="n">
        <v>46055</v>
      </c>
      <c r="I117"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Write production modeling code; collaborate with Software Engineers to implement algorithms in production
* Design and run both simulated and live traffic experiments
* Analyze experimental and observational data; communicate findings; facilitate launch decisions
**Experience:**
---------------
* M.S. or Ph.D. in Statistics, Operations Research, Mathematics, Economics, Computer Science, Physics, Engineering, or a similar quantitative field
* 2\+ years professional experience OR a Ph.D.
* + Expertise in machine learning, optimization and/or causal inference
* Proficient at writing Python code
* End\-to\-end experience with data, including querying, ETL, monitoring, analysis, and visualization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8">
      <c r="A118" t="inlineStr">
        <is>
          <t>in-b067bee4219eeeec</t>
        </is>
      </c>
      <c r="B118" t="inlineStr">
        <is>
          <t>Data Scientist, Algorithms</t>
        </is>
      </c>
      <c r="C118" t="inlineStr">
        <is>
          <t>Lyft</t>
        </is>
      </c>
      <c r="D118" t="inlineStr">
        <is>
          <t>indeed</t>
        </is>
      </c>
      <c r="E118">
        <f>HYPERLINK("https://www.indeed.com/viewjob?jk=b067bee4219eeeec", "https://www.indeed.com/viewjob?jk=b067bee4219eeeec")</f>
        <v/>
      </c>
      <c r="F118">
        <f>HYPERLINK("https://grnh.se/n6tm32jj2us", "https://grnh.se/n6tm32jj2us")</f>
        <v/>
      </c>
      <c r="G118" t="inlineStr">
        <is>
          <t>Seattle, WA, US</t>
        </is>
      </c>
      <c r="H118" s="3" t="n">
        <v>46055</v>
      </c>
      <c r="I118"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Write production modeling code; collaborate with Software Engineers to implement algorithms in production
* Design and run both simulated and live traffic experiments
* Analyze experimental and observational data; communicate findings; facilitate launch decisions
**Experience:**
---------------
* M.S. or Ph.D. in Statistics, Operations Research, Mathematics, Economics, Computer Science, Physics, Engineering, or a similar quantitative field
* 2\+ years professional experience OR a Ph.D.
* + Expertise in machine learning, optimization and/or causal inference
* Proficient at writing Python code
* End\-to\-end experience with data, including querying, ETL, monitoring, analysis, and visualization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9">
      <c r="A119" t="inlineStr">
        <is>
          <t>in-0bcd0def6d4bdbfd</t>
        </is>
      </c>
      <c r="B119" t="inlineStr">
        <is>
          <t>Principal Data Scientist</t>
        </is>
      </c>
      <c r="C119" t="inlineStr">
        <is>
          <t>Johnson &amp; Johnson</t>
        </is>
      </c>
      <c r="D119" t="inlineStr">
        <is>
          <t>indeed</t>
        </is>
      </c>
      <c r="E119">
        <f>HYPERLINK("https://www.indeed.com/viewjob?jk=0bcd0def6d4bdbfd", "https://www.indeed.com/viewjob?jk=0bcd0def6d4bdbfd")</f>
        <v/>
      </c>
      <c r="F119">
        <f>HYPERLINK("https://www.careers.jnj.com/en/jobs/r-056102/principal-data-scientist/", "https://www.careers.jnj.com/en/jobs/r-056102/principal-data-scientist/")</f>
        <v/>
      </c>
      <c r="G119" t="inlineStr">
        <is>
          <t>Jacksonville, FL, US</t>
        </is>
      </c>
      <c r="H119" s="3" t="n">
        <v>46055</v>
      </c>
      <c r="I11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Science**Job Category:**
Scientific/Technology**All Job Posting Locations:**
Jacksonville, Florida, United States of America**Job Description:**
We are currently recruiting for Principal Data Scientist based in Jacksonville FL, Raritan NJ, Spring House PA, Irvine, CA or any other J\&amp;J East Coast locations.
**About Vision**
Fueled by innovation at the intersection of biology and technology, we’re developing the next generation of smarter, less invasive, more personalized treatments.
Are you passionate about improving and expanding on the possibilities of vision treatments? Ready to join a team that’s reimagining how vision is improved? Our Vision team solves the toughest health challenges. Help combine cutting\-edge insights, science, technology, and people to encourage eye care professionals and patients to proactively protect, correct and enhance healthy sight for life. Our products and services address these needs – from the pediatric to aging eye – in a patient’s lifetime.
Your unique talents will help patients on their journey to wellness. Learn more at https://www.jnj.com/medtech
**About the Role**
We are seeking a highly skilled and innovative Principal Data Scientist to design, develop, and deploy AI solutions that span both discriminative and generative AI methods.
In this senior role, you will serve as a technical leader and hands\-on contributor, working closely with business stakeholders, data engineers, and platform teams to solve complex problems with advanced machine learning and AI techniques. You will drive projects from ideation through deployment, ensuring solutions are scalable, compliant, and aligned with best practices in responsible AI.
**The Principal Data Scientist will:**
* Design and implement end\-to\-end AI solutions using both discriminative (e.g., classification, regression, etc.) and generative (e.g., LLMs, content synthesis, etc.) approaches.
* Select appropriate algorithms and architectures, balancing accuracy, interpretability, and performance.
* Build proof\-of\-concept models and scale them into production\-ready solutions.
* Integrate LLM APIs and RAG pipelines where applicable, leveraging enterprise\-approved tools and platforms.
* Partner with stakeholders to translate business objectives into clear problem statements and AI solution design.
* Work with data engineers to ensure pipelines and data sources are optimized for AI workloads.
* Collaborate with data governance teams to ensure models are developed and deployed in compliance with privacy, security, and ethical AI standards.
* Use Dataiku (or similar platforms) to accelerate solution development, experimentation, and deployment.
* Contribute to reusable templates, workflows, and best practices for AI/ML delivery.
* Stay informed on emerging AI methods, tools, and frameworks, advising on strategic adoption for the organization.
* Perform other related tasks as assigned by management
**Required Qualifications**
* Master’s Degree / PhD \+ 4 years’ experience, OR Bachelor’s Degree \+ 6 years’ experience
* Educational degree in quantitative field, such as Statistics, Mathematics, Computer Science, Data Science, Engineering, Economics, and/or related quantitative
* Expertise in both discriminative and generative AI approaches, including deep learning architectures.
* Proficiency in Python and common ML frameworks
* Strong foundation in statistics, optimization, and algorithm design.
* Hands\-on experience with Dataiku or similar AI/analytics platforms such as Databricks, SageMaker, or Vertex AI
* Experience with cloud platforms (Azure, AWS, or GCP) for AI/ML workloads.
* Ability to communicate complex technical concepts to non\-technical audiences.
* Ability to travel both domestically and internationally may be required (\~5\-10%).
* Ability to flex hours to accommodate multiple time zones when necessary.
**Preferred Qualifications**
* Familiarity with data governance frameworks and model risk management practices.
* Knowledge of MLOps concepts and tools for model monitoring, CI/CD, and automated retraining.
* Experience working in large matrixed organization, with Global footprint
**Required Skills:**
**Preferred Skills:**
Advanced Analytics, Coaching, Critical Thinking, Data Analysis, Data Privacy Standards, Data Quality, Data Reporting, Data Savvy, Data Science, Data Visualization, Digital Fluency, Econometric Models, Organizing, Process Improvements, Strategic Thinking, Technical Credibility, Workflow Analysis**The anticipated base pay range for this position is :**
$117,000\.00 \- $201,250\.00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120">
      <c r="A120" t="inlineStr">
        <is>
          <t>in-30a9473ef9de3665</t>
        </is>
      </c>
      <c r="B120" t="inlineStr">
        <is>
          <t>Senior Data Scientist (Public Trust)</t>
        </is>
      </c>
      <c r="C120" t="inlineStr">
        <is>
          <t>Praescient Analytics</t>
        </is>
      </c>
      <c r="D120" t="inlineStr">
        <is>
          <t>indeed</t>
        </is>
      </c>
      <c r="E120">
        <f>HYPERLINK("https://www.indeed.com/viewjob?jk=30a9473ef9de3665", "https://www.indeed.com/viewjob?jk=30a9473ef9de3665")</f>
        <v/>
      </c>
      <c r="F120">
        <f>HYPERLINK("https://praescientanalytics.applicantstack.com/x/detail/a2uae9bl4x89/aaac", "https://praescientanalytics.applicantstack.com/x/detail/a2uae9bl4x89/aaac")</f>
        <v/>
      </c>
      <c r="G120" t="inlineStr">
        <is>
          <t>Bethesda, MD, US</t>
        </is>
      </c>
      <c r="H120" s="3" t="n">
        <v>46055</v>
      </c>
      <c r="I120" t="inlineStr">
        <is>
          <t>**Location:** Bethesda, MD (Hybrid)
**Clearance:** Public Trust (Role may require additional background investigations)
**Employment Type:** Full\-Time
US Citizenship is Required
**Position Overview:**  
Praescient Analytics is seeking a highly skilled Senior Data Scientist for support on a major federal data and analytics modernization program. This role leads the design, development, evaluation, and operationalization of advanced statistical, machine learning, and AI\-driven analytics that directly support mission\-critical decision\-making in a regulated government environment.
The Senior Data Scientist plays a central role in advancing predictive analytics, real\-time hazard detection, semantic analysis, and AI\-enabled insight generation, working across large\-scale structured and unstructured datasets. This position supports the federal client's transition to a cloud\-native, open\-source analytics ecosystem and contributes directly to improving speed, accuracy, and effectiveness of mission outcomes.
**Key Responsibilities:**  
* Design, develop, and deploy advanced statistical, machine learning, and AI models to support predictive analytics, anomaly detection, classification, regression, and clustering.
* Apply supervised and unsupervised learning techniques, including NLP and semantic analysis, to extract insights from structured and unstructured data sources.
* Conduct rigorous model evaluation using metrics such as precision, recall, F1\-score, AUC, and other performance and fairness indicators.
* Assess model robustness, bias, explainability, and suitability for use in high\-impact decision\-making environments.
* Perform advanced exploratory data analysis (EDA) to identify patterns, anomalies, and relationships across diverse datasets.
* Develop compelling data stories that communicate complex analytical results to technical and non\-technical stakeholders.
* Create dashboards, visualizations, and analytic products using Power BI or equivalent tools to support decision\-making and executive briefings.
* Work closely with data engineers, AI/ML engineers, analysts, architects, and Agile project managers in an iterative delivery environment.
* Contribute to Agile ceremonies, backlog refinement, sprint planning, and retrospectives.
* Mentor junior data scientists and contribute to shared analytical standards and best practices.
**Required Qualifications:**  
Experience
* Minimum of 8\+ years of hands\-on experience developing advanced statistical and AI/ML models in production or mission\-critical environments.
* Demonstrated experience building predictive, classification, NLP, and anomaly detection models.
* Proven ability to work with large, complex, and diverse datasets.
Technical Skills
* Strong proficiency in Python, including libraries such as Pandas, NumPy, Scikit\-learn, and deep learning frameworks (PyTorch and/or TensorFlow).
* Experience using SQL for data extraction, transformation, and analysis.
* Hands\-on experience in cloud\-based analytics environments, preferably Microsoft Azure.
* Experience developing dashboards and analytic visualizations (Power BI or equivalent).
* Familiarity with Git\-based version control and collaborative development workflows.
Communication \&amp; Leadership
* Excellent written and verbal communication skills.
* Ability to translate complex analytical concepts into clear, decision\-ready insights.
* Proven ability to collaborate effectively in cross\-functional and Agile teams.
**Clearance:** Minimum of a Public Trust (U.S. Citizenship is Required)
Preferred Qualifications
* Master's or Ph.D. in Data Science, Machine Learning, Computer Science, Statistics, Mathematics, or a related field — or equivalent professional experience.
* Experience supporting federal, public\-sector, or regulated environments.
* Familiarity with responsible AI frameworks, model governance, and ethical AI principles.
* Experience working with real\-time or near\-real\-time analytics pipelines.
* Azure certifications (Data Scientist, AI Engineer, or related) are a plus.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121">
      <c r="A121" t="inlineStr">
        <is>
          <t>in-165f6b22be8cdbfb</t>
        </is>
      </c>
      <c r="B121" t="inlineStr">
        <is>
          <t>Data Scientist</t>
        </is>
      </c>
      <c r="C121" t="inlineStr">
        <is>
          <t>TheAgilePartners</t>
        </is>
      </c>
      <c r="D121" t="inlineStr">
        <is>
          <t>indeed</t>
        </is>
      </c>
      <c r="E121">
        <f>HYPERLINK("https://www.indeed.com/viewjob?jk=165f6b22be8cdbfb", "https://www.indeed.com/viewjob?jk=165f6b22be8cdbfb")</f>
        <v/>
      </c>
      <c r="F121">
        <f>HYPERLINK("http://www.indeed.com/job/data-scientist-165f6b22be8cdbfb", "http://www.indeed.com/job/data-scientist-165f6b22be8cdbfb")</f>
        <v/>
      </c>
      <c r="G121" t="inlineStr">
        <is>
          <t>Atlanta, GA, US</t>
        </is>
      </c>
      <c r="H121" s="3" t="n">
        <v>46056</v>
      </c>
      <c r="I121" t="inlineStr">
        <is>
          <t>**Location:** Atlanta, GA (Onsite)  
**Experience:** 5\+ Years  
**Employment Type:** Full\-Time
**Job Summary:**
We are looking for a **Data Scientist** to design, develop, and deploy advanced analytics and machine learning models. The role focuses on extracting actionable insights from large datasets, building predictive and prescriptive models, performing feature engineering, ensuring data quality, and collaborating with engineering teams to integrate models into production pipelines on distributed data platforms such as Databricks and Cloudera.
**Roles \&amp; Responsibilities:**
* Design and implement predictive models and machine learning algorithms to solve business problems.
* Perform feature selection using techniques such as PCA, Lasso, and Elastic Net.
* Develop and deploy models using algorithms like Linear \&amp; Logistic Regression, SVM, Decision Trees, XGBoost, Hist Gradient Boosting, and LightGBM.
* Utilize cloud technologies (AWS, Azure, Hadoop) for scalable data solutions.
* Create interactive dashboards and visualizations using tools like Domo, Tableau, PowerBI, D3\.js, and Matplotlib.
* Communicate insights through compelling data storytelling for diverse stakeholders.
* Collaborate with cross\-functional teams to integrate data solutions into business processes.
**Must have Technical/Functional Skills**
* Proficient in Python, SQL, and R coding languages, coupled with expertise in Domo, SAS, and web development languages. Adept at leveraging cloud technologies, including AWS, Azure, and the Hadoop ecosystem, for scalable data solutions.
* Skilled in utilizing techniques like PCA, Lasso, and Elastic Net for feature selection, and deploying machine learning algorithms such as Linear \&amp; Logistic Regression, SVM, Decision Trees, XGBoost, Hist Gradient Boosting, and LightGBM for high\-impact results.
* Adept at designing visually appealing data presentations and utilizing data storytelling techniques to effectively communicate insights. Proficient with Domo, Tableau, PowerBI, D3\.js, and Matplotlib for creating data visualizations and dashboards. Experienced in transforming complex findings into actionable insights and narratives that resonate with diverse audiences.
* Palantir \&amp; Skywise experience is a plus point
**Other Requirements:**
* **Onsite role** – Atlanta, GA
* A background check is required.
* **Please note:** Due to client requirements, we are only able to consider candidates who are authorized to work in the U.S. as a Green Card holder or U.S. Citizen.
Job Type: Full\-time
Pay: $110,000\.00 \- $140,000\.00 per year
Work Location: In person</t>
        </is>
      </c>
    </row>
    <row r="122">
      <c r="A122" t="inlineStr">
        <is>
          <t>in-5ff0fbd3af806a37</t>
        </is>
      </c>
      <c r="B122" t="inlineStr">
        <is>
          <t>Data Scientist Level 4</t>
        </is>
      </c>
      <c r="C122" t="inlineStr">
        <is>
          <t>Weeghman &amp; Briggs</t>
        </is>
      </c>
      <c r="D122" t="inlineStr">
        <is>
          <t>indeed</t>
        </is>
      </c>
      <c r="E122">
        <f>HYPERLINK("https://www.indeed.com/viewjob?jk=5ff0fbd3af806a37", "https://www.indeed.com/viewjob?jk=5ff0fbd3af806a37")</f>
        <v/>
      </c>
      <c r="F122">
        <f>HYPERLINK("https://weeghmanandbriggs.isolvedhire.com/jobs/1697494-606921.html", "https://weeghmanandbriggs.isolvedhire.com/jobs/1697494-606921.html")</f>
        <v/>
      </c>
      <c r="G122" t="inlineStr">
        <is>
          <t>Fort Meade, MD, US</t>
        </is>
      </c>
      <c r="H122" s="3" t="n">
        <v>46056</v>
      </c>
      <c r="I122" t="inlineStr">
        <is>
          <t>WeeghmanBriggs is seeking Data Scientists to join our growing team.
**Location:** Annapolis Junction
**Clearance Required:** TS/SCI w/ Polygraph
Your effort and expertise are crucial to the success and execution of this impactful mission. This opportunity supports a team of Data Scientists, Cryptologic Computer Scientists, Cryptanalytic Computer Scientists, Cryptologic Cyber Planners, Intrusion Analysts, Protocol Analysts, Signals Analysts and Reverse Engineers, responsible for improving, protecting, and defending our Nation's Security.
**Job Description:**
* We are seeking a Data Scientist who is an established AI expert with demonstrable experience in designing and implementing sophisticated AI/ML and data science solutions across various domains within the customer environment. You will help to establish an authoritative role in a customer\-prioritized and highly visible AI system that will be of critical use. You will need to to have experience designing and building customized capabilities to enable Retrieval Augmented Generation (RAG) for multiple enterprise data sets, agentic AI systems to automate and orchestrate decision\-making actions across specialized AI resources, and Docker\-based microservices, user\-facing GUIs, and cloud\-hosted services (Kubernetes architecture) hosted on AWS/Azure/Google service platforms. attribution.
**The Level 4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Government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**Qualifications:**
* Bachelor's Degree with 15 years of relevant experience.
* Associate's degree with 17 years of experience may be considered for individuals with in\-depth experience that is clearly related to the position.
* Bachelor'sDegree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 
* Experience with designing and building:
* 
* Customized capabilities to enable Retrieval Augmented Generation (RAG) for multiple enterprise data sets.
* Agentic AI systems to automate and orchestrate decision\-making actions across specialized AI resources.
* Docker\-based microservices, user facing GUIs, and Cloud\-hosted services (Kubernetes architecture) hosted on AWS/Azure/Google service platforms.
* Deep knowledge and experience in AI solutions and an ability to assess, evaluate, and implement the correct ML models for specific purposes and optimized performance.
* Experience generating, evaluating, training, and optimizing Machine Learning models (i.e. LLMs) for use in low\-memory, low\-resourced edge device environments.
* Proficient in the development and application of advanced analytical algorithms, advanced statistical techniques, statistical outlier detection, data clustering, and graph\-based analysis.
* Capable of using data processing and data automation techniques for ETL operations and injection into ELK systems and databases.
* Familiar with graph theory, graph algorithms (i.e. community detection), techniques to design and generate large\-scale graphs (nodes and links) from diverse data sources, and techniques to isolate highly relevant graph entities.
* Familiar with domain\-specific data and knowledge related to cybersecurity tradecraft and knowledge resources (enterprise data sources, data extraction tools, data analysis/interpretation techniques, data policy and compliance, and data curation considerations).
* Self\-sufficient, self\-starter comfortable with working on a collaborative team of highly skilled data scientists and system engineers.
* Able to collaborate with technical mission stakeholders and colleagues for strategic and technical planning.
* Established technical experience and expertise with:
* Python for Data Science (PySpark, Pandas, etc.) and Machine Learning (spaCy, PyTorch, etc.).
* Natural Language Processing (NLP) for text splitting, segmentation, classifiers, labeling, tokenization, and semantic ontology.
* Graph tools such as Neo4j, RedisGraph, or GraphFrames.
* ELK Stack (Elastic Stack): Elasticsearch, Logstash, Kibana.
* ETL to PostgreSQL, MongoDB, Neo4j, Redis.
* Kubernetes, Docker, Kafka.
* Hugging Face.
* AWS, Azure.
* VM (Linux, Ubuntu) configuration for individual and team profiles.
* DevX/Coder.
WeeghmanBriggs was established in 2016\. We are a team of like\-minded people who do business, generate ideas and realize them. Consulting and Cyber Security are our main directions and we know how to deal with many current issues and provide the best services in offering resolutions.
WeeghmanBriggs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123">
      <c r="A123" t="inlineStr">
        <is>
          <t>in-3b56d63c4f6047ed</t>
        </is>
      </c>
      <c r="B123" t="inlineStr">
        <is>
          <t>Senior Data Scientist</t>
        </is>
      </c>
      <c r="C123" t="inlineStr">
        <is>
          <t>RevenueCat</t>
        </is>
      </c>
      <c r="D123" t="inlineStr">
        <is>
          <t>indeed</t>
        </is>
      </c>
      <c r="E123">
        <f>HYPERLINK("https://www.indeed.com/viewjob?jk=3b56d63c4f6047ed", "https://www.indeed.com/viewjob?jk=3b56d63c4f6047ed")</f>
        <v/>
      </c>
      <c r="F123">
        <f>HYPERLINK("https://jobs.ashbyhq.com/revenuecat/453cfb8c-0a21-4f67-abf1-9c0a9d2c15c0?utm_source=jvZAvmBAam", "https://jobs.ashbyhq.com/revenuecat/453cfb8c-0a21-4f67-abf1-9c0a9d2c15c0?utm_source=jvZAvmBAam")</f>
        <v/>
      </c>
      <c r="G123" t="inlineStr">
        <is>
          <t>US</t>
        </is>
      </c>
      <c r="H123" s="3" t="n">
        <v>46055</v>
      </c>
      <c r="I123" t="inlineStr">
        <is>
          <t>RevenueCat removes the headaches of building and scaling in‑app subscriptions. Since graduating from YC’s S18 batch we’ve grown into the default monetization platform for mobile: we’re in \&gt;40% of newly shipped subscription apps, we process $10B\+ in annual purchase volume, and we help everyone from a solo dev in Brazil to the OpenAI mobile team understand and grow their revenue.
We’re a remote‑first crew of 120\+, spread across 25 countries, and guided by values we actually practice: Customer Obsession, Always Be Shipping, Own It, and Balance. If you want your work to touch hundreds of millions of end‑users (and help the developers behind them get paid), you’ll fit right in.
### **The role**
We are looking for a Senior Data Scientist who is deeply product\-minded and highly proactive.
This is not a role for someone who waits for perfectly defined questions or works in isolation. We are looking for someone who actively looks at our data, understands our customers’ pain points, identifies opportunities, and pushes ideas forward.
You will work closely with Product, Engineering, and Analytics to shape what we build, why we build it, and how we measure success. Your work will directly power customer\-facing features such as LTV prediction, experimentation and statistical significance, benchmarking, and entirely new data\-driven products we have not built yet.
You will be expected to bring ideas to the table, backed by analysis and clear hypotheses, and to influence product direction through data.
Our data stack includes a Python backend, PostgreSQL production databases, Snowflake, dbt, and AWS.
### **What you will do**
* Proactively explore RevenueCat’s data to identify customer problems, opportunities, and product bets.
* Translate ambiguous product and business problems and questions into clear analyses, models, and recommendations.
* Partner with Product Managers to shape roadmaps, not just execute on them.
* Design, build, and ship production\-grade predictive and descriptive models that power customer\-facing features.
* Define and evaluate statistical approaches for experimentation, benchmarking, and forecasting.
* Communicate insights clearly and persuasively to technical and non\-technical audiences, with a focus on customer impact.
* Continuously iterate on shipped models and features based on real\-world usage and feedback.
This role has real ownership. You will not just support decisions, you will help drive them.
### **About you**
You are a Senior Data Scientist who cares deeply about impact and product outcomes.
From a skills perspective, you bring:
* 5\+ years of experience working as a Data Scientist.
* Strong SQL skills and comfort with data modeling.
* Experience building and deploying predictive and descriptive models in production.
* Experience writing or collaborating on production\-ready Python code.
* A solid understanding of statistics and experimentation, ideally including Bayesian approaches.
* The ability to clearly explain complex ideas and results to broad audiences.
**You recognize yourself in several of these:**
* You are highly proactive and opinionated, and you are comfortable pushing ideas forward.
* You enjoy working with messy, real\-world data and imperfect information.
* You care more about creating customer value than academic elegance.
* You are comfortable operating in ambiguity and building structure where none exists.
* You enjoy working closely with Product teams and influencing decisions.
* You are excited by the consumer subscription ecosystem and curious about how developers make money.
**What success looks like**
---------------------------
### **In the first month, you'll:**
* Understand our data models.
* Get to know the team.
* Ramp up on the ongoing data feature work.
* Implement and ship your first project.
### **Within the first 3 months, you'll:**
* Meaningfully contribute to shipping a data feature to thousands of developers.
* Work with our Product, Analytics and Engineering teams to improve our data pipelines for data science features.
* Launch your own explorations into our data to fulfill your own curiosity.
### **Within the first 6 months, you'll:**
* Own one or more core data\-powered features end to end.
* Influence the data feature roadmap with clear, data\-backed proposals.
* Be a go\-to partner for product teams on data\-driven decision making.
### **Within the first 12 months, you'll:**
* Propose and lead entirely new data\-driven product initiatives.
* Push the boundaries of how RevenueCat uses data to help developers grow revenue.
* Help shape how data science operates at RevenueCat as the function grows.
### **What we offer:**
* Competitive equity in a fast\-growing, Series C startup backed by top\-tier investors, including Y Combinator
* 10\-year window to exercise vested equity options
* Fully remote and flexible work environment
* 4\-5 weeks of suggested time off annually for mental, physical, and emotional recharge
* $2,000 USD for workspace setup and $1,000 USD annual stipend for continuous learning
Curious about the interview process? Discover more in our blog post about how we hire and learn tips to help you succeed.
Compensation Range: $208K</t>
        </is>
      </c>
    </row>
    <row r="124">
      <c r="A124" t="inlineStr">
        <is>
          <t>in-ae8d0de4393d332c</t>
        </is>
      </c>
      <c r="B124" t="inlineStr">
        <is>
          <t>Inventory Management Data Scientist</t>
        </is>
      </c>
      <c r="C124" t="inlineStr">
        <is>
          <t>Clark Associates</t>
        </is>
      </c>
      <c r="D124" t="inlineStr">
        <is>
          <t>indeed</t>
        </is>
      </c>
      <c r="E124">
        <f>HYPERLINK("https://www.indeed.com/viewjob?jk=ae8d0de4393d332c", "https://www.indeed.com/viewjob?jk=ae8d0de4393d332c")</f>
        <v/>
      </c>
      <c r="F124">
        <f>HYPERLINK("https://careers.clarkassociatesinc.biz/careerdetail/?id=99615", "https://careers.clarkassociatesinc.biz/careerdetail/?id=99615")</f>
        <v/>
      </c>
      <c r="G124" t="inlineStr">
        <is>
          <t>Lancaster, PA, US</t>
        </is>
      </c>
      <c r="H124" s="3" t="n">
        <v>46055</v>
      </c>
      <c r="I124" t="inlineStr">
        <is>
          <t>**Job Summary**
---------------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
This role does not require a degree. We value relevant skills and experience and alignment with our core values above all else.
**Desired Traits \&amp; Skills**
----------------------------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
A rapidly growing, multi\-divisional company headquartered in Lancaster, Pennsylvania with services supporting all of Clark’s distribution methods in the food service industry.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25">
      <c r="A125" t="inlineStr">
        <is>
          <t>in-8d319c36665c8719</t>
        </is>
      </c>
      <c r="B125" t="inlineStr">
        <is>
          <t>Product Data Scientist, Engineering Productivity, Applied AI</t>
        </is>
      </c>
      <c r="C125" t="inlineStr">
        <is>
          <t>Google</t>
        </is>
      </c>
      <c r="D125" t="inlineStr">
        <is>
          <t>indeed</t>
        </is>
      </c>
      <c r="E125">
        <f>HYPERLINK("https://www.indeed.com/viewjob?jk=8d319c36665c8719", "https://www.indeed.com/viewjob?jk=8d319c36665c8719")</f>
        <v/>
      </c>
      <c r="F125">
        <f>HYPERLINK("https://careers.google.com/jobs/results/135943124227629766-product-data-scientist/", "https://careers.google.com/jobs/results/135943124227629766-product-data-scientist/")</f>
        <v/>
      </c>
      <c r="G125" t="inlineStr">
        <is>
          <t>Mountain View, CA, US</t>
        </is>
      </c>
      <c r="H125" s="3" t="n">
        <v>46055</v>
      </c>
      <c r="I125" t="inlineStr">
        <is>
          <t>### **Minimum qualifications:**
* Bachelor's degree in Statistics, Mathematics, Data Science, Engineering, Physics, Economics, or a related quantitative field.
* 2 years of experience with analysis applications (extracting insights, performing statistical analysis, or solving business problems), and coding (Python, R, SQL), or work experience with an advanced degree.
### **Preferred qualifications:**
* Master's degree in Statistics, Mathematics, Data Science, Engineering, Physics, Economics, or a related quantitative field.
* 3 years of experience with analysis applications (extracting insights, performing statistical analysis, or solving business problems), and coding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Platform and Devices Engineering Infrastructure and Operations (PDEIO) team works to increase the productivity of all engineers in the ecosystem, starting right here at Google. The team enables everyone to ship high\-quality code quickly. The goal is to take the world's largest operating system to new heights of efficiency, velocity and effectiveness.
As a Data Scientist in Engineering Productivity Organization, you will be at the forefront of improving how the platforms are built and delivered, impacting billions of users and hundreds of OEM partners.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$113,000\-$161,000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utilizing relevant tools (e.g., SQL, R, Python). Apply standard/common tools, resources, and processes to defined problems and for moderately difficult projects, execute problem\-solving tasks with guidance.
* Own the process of gathering, extracting, and compiling data across sources via relevant tools (e.g., SQL, R, Python). Format, re\-structure, and validate data to ensure quality.
* Provide expert data science guidance, enabling data\-driven decisions that accelerate development and improve efficiency.
* Partner cross\-functionally with Engineering Productivity (EngProd) and core developer, and many other organizations to accelerate and simplify the developer workflows for Android engineers.
* Work closely with an Applied AI team solving complex business problems using ML and Large Language Model (LLM)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6">
      <c r="A126" t="inlineStr">
        <is>
          <t>in-57eb1887a1fb69dc</t>
        </is>
      </c>
      <c r="B126" t="inlineStr">
        <is>
          <t>Senior Data Scientist, Product, Google Shopping</t>
        </is>
      </c>
      <c r="C126" t="inlineStr">
        <is>
          <t>Google</t>
        </is>
      </c>
      <c r="D126" t="inlineStr">
        <is>
          <t>indeed</t>
        </is>
      </c>
      <c r="E126">
        <f>HYPERLINK("https://www.indeed.com/viewjob?jk=57eb1887a1fb69dc", "https://www.indeed.com/viewjob?jk=57eb1887a1fb69dc")</f>
        <v/>
      </c>
      <c r="F126">
        <f>HYPERLINK("https://careers.google.com/jobs/results/73242649019982534-senior-data-scientist/", "https://careers.google.com/jobs/results/73242649019982534-senior-data-scientist/")</f>
        <v/>
      </c>
      <c r="G126" t="inlineStr">
        <is>
          <t>Mountain View, CA, US</t>
        </is>
      </c>
      <c r="H126" s="3" t="n">
        <v>46055</v>
      </c>
      <c r="I126" t="inlineStr">
        <is>
          <t>### **Minimum qualifications:**
* Bachelor's degree in Statistics, Data Science, Mathematics, Physics, Economics, Operations Research, Engineering, or a related quantitative field.
* 10 years of experience using analytics to solve product or business problems, performing statistical analysis, and coding (e.g., Python, R, SQL) or 8 years of experience with a Master's degree.
###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We are the Merchant Data Science team, a global team with members in US, London, and Zurich, acting as key data science partners to the Merchant Shopping Organization. Our data scientists collaborate with Product Managers and Engineers to manage specific issues and drive data\-informed decisions.
The Merchant Shopping Organization aims to make Google the best place for merchants to connect with shoppers. Central to this mission is the development of an exceptional Shopping Graph.
In this role, you will be a key data science partner to our product and engineering team. You will be instrumental in shaping the future of our Shopping Graph by quantifying the impact of its components (such as merchants, brands, images and videos) on consumer shopping experiences across Google. You will be a strong technical data scientist, a strategic thinker, and a compelling communicator, capable of operating independently and influencing product and engineering road maps through data\-driven insights.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Serve as a Technical Lead, mentoring junior data scientists in defining high\-value problem statements and ensuring project outcomes deliver measurable business impact.
* Act as a consultant and thought partner to Engineering and Product Management leads, providing data\-driven perspectives on product direction and opportunities. Define, solve, and analyze key metrics and attribution mechanisms to guide product development.
* Conduct deep\-dive analyses to identify the most significant opportunities for improving the Shopping Graph.
* Design and implement analysis (evals, log analysis etc.) to measure the impact of Shopping Graph data on key shopping experiences (especially AI\-powered experiences like AIM and Gemini).
* Communicate complex findings and recommendations clearly and effectively to technical and non\-technical stakeholders, including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7">
      <c r="A127" t="inlineStr">
        <is>
          <t>in-899cdef1ead0ef54</t>
        </is>
      </c>
      <c r="B127" t="inlineStr">
        <is>
          <t>Data Scientist</t>
        </is>
      </c>
      <c r="C127" t="inlineStr">
        <is>
          <t>General Dynamics Information Technology</t>
        </is>
      </c>
      <c r="D127" t="inlineStr">
        <is>
          <t>indeed</t>
        </is>
      </c>
      <c r="E127">
        <f>HYPERLINK("https://www.indeed.com/viewjob?jk=899cdef1ead0ef54", "https://www.indeed.com/viewjob?jk=899cdef1ead0ef54")</f>
        <v/>
      </c>
      <c r="F127">
        <f>HYPERLINK("https://www.gdit.com/careers/job/65c661dec/data-scientist", "https://www.gdit.com/careers/job/65c661dec/data-scientist")</f>
        <v/>
      </c>
      <c r="G127" t="inlineStr">
        <is>
          <t>IN, US</t>
        </is>
      </c>
      <c r="H127" s="3" t="n">
        <v>46055</v>
      </c>
      <c r="I127" t="inlineStr">
        <is>
          <t>Your Impact
Own your opportunity to work alongside federal civilian agencies. Make an impact by providing services that help the government ensure the well being of U.S. citizens.
Job Description
DATA SCIENTIST SENIOR  
Own your opportunity to turn data into measurable outcomes for our customers’ most complex challenges. As a Data Scientist Senior at GDIT, you’ll power innovation to drive mission impact and grow your expertise to power your career forward.  
MEANINGFUL WORK AND PERSONAL IMPACT  
As a Data Scientist Senior, the work you’ll do at GDIT will be impactful to the mission of Internal Revenue Service, Information Technology Cybersecurity . You will play a crucial role in developing and operationalizing advanced analytics and machine learning models to identify subtle or evolving insider threats .  
* Lead/Manage/Support building and training predictive models to support behavior\-based risk scoring, anomaly detection, and insider threat case prioritization
* Collaborate with IRS partners validate models using operational data and collaborate closely with analysts and engineers to translate behavioral hypotheses into deployable, scalable algorithms that drive proactive threat detection within the CInT environment
* Drive success with the latest User Behavior Analytics’ analytics techniques, technologies, industry standards, processes, procedures, and best practices to existing operations.
* Utilize User Behavior Analytics deterrence, detection, and monitoring in a large and diverse operational environment, behavioral science expertise, expertise in Open\-Source Intelligence (OSINT) techniques, development of intelligence products, data mining, predictive and prescriptive analytics, link analysis, network analytics, text mining (structured and unstructured), and data visualization techniques
WHAT YOU’LL NEED TO SUCCEED  
Bring your expertise and drive for innovation to GDIT. The Data Scientist Senior must have:  
* Education: Bachelor in Data Science
* Experience: 6\-12\+ years of related experience
* Technical skills: CISSP, CCITP
* Security clearance level: \*\*\*insert level, or remove line\*\*\*
* US citizenship required
* Role requirements: data extraction, data analysis, data mining architectures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Work Requirements
Years of Experience
6 \+ years of related experience* may vary based on technical training, certification(s), *or* degree
Certification
Certified Information Systems Security Professional (CISSP) \| International Information System Security Certification Consortium (ISC2\) \- International Information System Security Certification Consortium (ISC2\)
Travel Required
None
Citizenship
U.S. Citizenship Required
Salary and Benefit Information
The likely salary range for this position is $127,500 \- $172,500\.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28">
      <c r="A128" t="inlineStr">
        <is>
          <t>in-cb79a2333995a28a</t>
        </is>
      </c>
      <c r="B128" t="inlineStr">
        <is>
          <t>Data Scientist – Poly Clearance Required!</t>
        </is>
      </c>
      <c r="C128" t="inlineStr">
        <is>
          <t>General Dynamics Information Technology</t>
        </is>
      </c>
      <c r="D128" t="inlineStr">
        <is>
          <t>indeed</t>
        </is>
      </c>
      <c r="E128">
        <f>HYPERLINK("https://www.indeed.com/viewjob?jk=cb79a2333995a28a", "https://www.indeed.com/viewjob?jk=cb79a2333995a28a")</f>
        <v/>
      </c>
      <c r="F128">
        <f>HYPERLINK("https://www.gdit.com/careers/job/32538c4cf/data-scientist-poly-clearance-required", "https://www.gdit.com/careers/job/32538c4cf/data-scientist-poly-clearance-required")</f>
        <v/>
      </c>
      <c r="G128" t="inlineStr">
        <is>
          <t>McLean, VA, US</t>
        </is>
      </c>
      <c r="H128" s="3" t="n">
        <v>46055</v>
      </c>
      <c r="I128" t="inlineStr">
        <is>
          <t>Your Impact
Own your opportunity to serve as a critical component of our nation’s safety and security. Make an impact by using your expertise to protect our country from threats.
Job Description
Reports Engineer/Fledgling Data Scientist – Poly Clearance Required! Praxis is a prime contractor performing on a High Performance Computing (HPC) contract in support of a restricted customer and a select mission partners. This contract provides advanced computing capabilities for executing scientific, data science and AI/ML workloads. The team provides infrastructures to enables innovation in support of high fidelity, advanced analytics and model development by delivering the highest quality technical capabilities, cutting edge computing and engineering support to its customers. The infrastructure delivers a state\-of\-the\-art solution comprised of hardware, software, storage and networking as well as application, database and workstation support. The program supports an advanced computing infrastructure containing clustered GPUs and massively parallel CPU to enable the delivery of high fidelity, advanced analytic products. This environment provides unprecedented access to computational power and analytic throughput to solve some of the government’s most challenging computational and scientific problems. What you will be doing The team needs to understand the performance characteristics of its complex infrastructure and to quantify how our users exercise this platform. To do this, we need to pull and groom data from systems and logs that categorize key attributes of the platform from visualization and analysis. These views of holistic system use inform actions the team will undertake to optimize the systems and inform future investments. The successful candidate is responsible for creating visualizations, reports and dashboards for use by management for monitoring and decision making. This role will require learning the needs of the environment and how it can be serviced by curating data for consumption as insightful visual artifacts. This will require developing or building on data science and visualization techniques to deliver easy to understand data represented as online and on display dashboards. As the role grows, the candidate will expand the work to include acquiring requirements to improve the team’s delivery of HPC hardware and software tools for its mission partners performing data science, complex physics\-based modeling, and AI/ML efforts. The candidate will work with the HPC team, the system administration teams, and the users of the delivered capabilities to create the future environment supporting our growing user base. It is expected that this role expands over time to participate in, or take on complex tasks, to increase the usefulness of the infrastructure being supplied as the team approaches nascent disciplines related to emerging field such as MLOps, LLM integrations, AI enabled services, etc. Day to day this position will be called upon to both work within the defined field of generating these various report and dashboards, while also working with the larger team to leverage all the candidates’ capabilities to meet mission requirements. \#praxisjobs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$148,813 \- $201,335\.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29">
      <c r="A129" t="inlineStr">
        <is>
          <t>in-71de9bcc20ece181</t>
        </is>
      </c>
      <c r="B129" t="inlineStr">
        <is>
          <t>Data Scientist</t>
        </is>
      </c>
      <c r="C129" t="inlineStr">
        <is>
          <t>Guidehouse</t>
        </is>
      </c>
      <c r="D129" t="inlineStr">
        <is>
          <t>indeed</t>
        </is>
      </c>
      <c r="E129">
        <f>HYPERLINK("https://www.indeed.com/viewjob?jk=71de9bcc20ece181", "https://www.indeed.com/viewjob?jk=71de9bcc20ece181")</f>
        <v/>
      </c>
      <c r="F129">
        <f>HYPERLINK("https://guidehouse.searchgreatcareers.com/job/arlington/data-scientist/25181/91336069984", "https://guidehouse.searchgreatcareers.com/job/arlington/data-scientist/25181/91336069984")</f>
        <v/>
      </c>
      <c r="G129" t="inlineStr">
        <is>
          <t>Arlington, VA, US</t>
        </is>
      </c>
      <c r="H129" s="3" t="n">
        <v>46055</v>
      </c>
      <c r="I129" t="inlineStr">
        <is>
          <t>Job Family:
Data Science Consulting  
Travel Required:
Up to 10%  
Clearance Required:
Ability to Obtain Public Trust
What You Will Do:
Our consultants on the Defense \&amp; Security AI \&amp; Data team help clients maximize the value of their data and automate business processes. This high performing team works with clients to implement the full spectrum of data analytics and data science: from data engineering and pipeline development, to data visualization and business intelligence (BI) dashboarding, to predictive analytics leveraging machine learning (ML) and artificial intelligence (AI) models. Our services allow our clients to define their data strategy, enable mission\-critical insights and data\-driven decision making, reduce cost and complexity, increase trust, and improve operational effectiveness.
* Belong to a collaborative team dedicated to AI and data science.
* Focus on client services, while also supporting business development, internal firm initiatives, and ongoing professional development in data science, data analytics, and/or data engineering.
* Work as a data science and analytics professional in collaboration with cross\-functional teams.
* Continue career development in data science and analytics software, methods, and consulting.
* Operate successfully on remote projects as well as hybrid on\-site projects in the DC metro area.
What You Will Need:
* US Citizenship and the ability to obtain and maintain a federal Public Trust clearance. Individuals with an active Public Trust clearance are preferred.
* B.S. or B.A. in computer science, engineering, mathematics, statistics, or a related quantitative/computational discipline.
* THREE (3\) or more years of relevant professional experience doing analysis OR TWO (2\) years of relevant professional experience doing data analysis with a relevant M.S./M.A. degree.
* Experience in Python and/or R.
* Expertise in BI software of choice (Tableau, Power BI).
* Experience leading data analytic activities from initial requirements gathering to successful solution delivery.
* Experience manipulating large data sets and using them to identify trends and reach meaningful conclusions to inform strategic business decisions.
* Ability to support on\-site and hybrid projects in the DC metro area
What Would Be Nice To Have:
* Experience with geospatial analytic toolsets such as ArcGIS.
* Ability to clean, aggregate, organize data from multiple sources and transfer this information to data storage systems.
* Ability to design data modeling processes, create algorithms and predictive models, and perform custom analysis.
* Ability to define data requirements and ensure storage, availability, and coherence of electronically stored information to guarantee it meets the organization's needs.
* Experience with cloud\-based systems (AWS, Azure, GCP) and data platforms (Databricks, Snowflake).
* Experience with SQL for data querying and wrangling.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Experience working with public sector clients.
* Familiarity with federal contracting and procurement processes.
* Excellent verbal and written communication skills.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30">
      <c r="A130" t="inlineStr">
        <is>
          <t>in-441d9a70fdf9704d</t>
        </is>
      </c>
      <c r="B130" t="inlineStr">
        <is>
          <t>Data Scientist</t>
        </is>
      </c>
      <c r="C130" t="inlineStr">
        <is>
          <t>Purpose Financial</t>
        </is>
      </c>
      <c r="D130" t="inlineStr">
        <is>
          <t>indeed</t>
        </is>
      </c>
      <c r="E130">
        <f>HYPERLINK("https://www.indeed.com/viewjob?jk=441d9a70fdf9704d", "https://www.indeed.com/viewjob?jk=441d9a70fdf9704d")</f>
        <v/>
      </c>
      <c r="F130">
        <f>HYPERLINK("https://jobs.havepurpose.com/job/Greenville-Data-Scientist-SC-29601/1361590100/?feedId=307700&amp;utm_source=Indeed&amp;utm_campaign=purpose-financial_indeed", "https://jobs.havepurpose.com/job/Greenville-Data-Scientist-SC-29601/1361590100/?feedId=307700&amp;utm_source=Indeed&amp;utm_campaign=purpose-financial_indeed")</f>
        <v/>
      </c>
      <c r="G130" t="inlineStr">
        <is>
          <t>Greenville, SC, US</t>
        </is>
      </c>
      <c r="H130" s="3" t="n">
        <v>46055</v>
      </c>
      <c r="I130" t="inlineStr">
        <is>
          <t>**Address**: 322 Rhett Street, Greenville, South Carolina, United States \- 29601
Purpose Financial, Inc. is an innovative consumer financial services company that offers a diverse suite of credit products, promoting financial inclusion and meeting consumers wherever they are. Through its brands, the company is committed to helping customers achieve their version of financial stability in the moment and in the future. Since 1997, Purpose Financial has been a pioneer in the consumer credit and financial services market offering money solutions in over 800 storefronts locations and online lending. Providing services in over 23 states, Purpose Financial employs over 2,500 team members.
At Purpose Financial we are always on the lookout for motivated individuals who share in our values of mutual respect to join our team of outstanding professionals.
**We offer:**
* Competitive Wages
* Health/Life Benefits
* Health Savings Account plus Employer Seed
* 401(k) Savings Plan with Company Match
* Paid Parental Leave
* Company Paid Holidays
* Paid Time Off including Volunteer Time
* Tuition Reimbursement
* Business Casual Environment
* Rewards \&amp; Recognition Program
* Employee Assistance Program
* Office in downtown Greenville that offers free parking, onsite gym, free snacks/drinks
To learn more about Purpose Financial visit **Purpose Financial Website****.**
**Position Summary**
--------------------
This position reports to the Director of Data Science and is responsible for leveraging data to develop impactful risk management strategies in the consumer lending sector. This role will collaborate with cross\-functional teams to create predictive models, generate actionable insights, and optimize decision\-making processes, with a particular focus on credit\-based customer acquisition channels. Furthermore, this role requires someone who quickly adapts to change and is willing to complete all duties as assigned and requested.
**Job Responsibility**
----------------------
* Develop statistical and machine learning models to optimize various stages of the customer lifecycle, including acquisition, underwriting, and retention.
* Design experiments, including A/B tests, to improve model accuracy and business processes.
* Automate data pipelines, reporting, and analysis to drive efficiency and provide actionable insights.
* Develop processes to cleanse, integrate, and evaluate large, diverse datasets to derive insights into consumer financial behavior.
* Perform ad\-hoc analyses to support strategic decision\-making and business initiatives.
* Ensure compliance with company policies and industry regulations.
**Accountability**
Understand, adhere to, and enforce all corporate policies.
**Job Responsibilities Cont.**
------------------------------
**Education Required**
----------------------
Bachelor’s degree in a quantitative field such as Computer Science, Statistics, Mathematics, or related disciplines (Advanced degree preferred).
**Experience Required**
-----------------------
* Experience with credit\-based customer acquisition strategies, lead generation models, and marketing analytics in the financial services or consumer lending industry.
* Hands\-on experience in building machine learning models using Python or R.
* Familiarity with reporting tools such as Tableau or Power BI.
* Proficiency in machine learning techniques and Python libraries like Pandas, scikit\-learn, XGBoost, and SHAP.
* Working knowledge of SQL for data manipulation and analysis. Strong analytical abilities to combine data from multiple sources and interpret business performance.
* Excellent communication skills, both written and verbal.
* Flexibility to adapt to a dynamic, fast\-paced environment with changing priorities.
**Knowledge Required**
----------------------
Excellent written and verbal communications skills; adaptability and flexibility to a changing environment; and comfortable working in a dynamic, high volume, fast\-paced environment. Ability to understand and ensure compliance with policies, procedures, and laws governing our industry/business and products.
**Physical Requirements**
-------------------------
Sitting for long periods of time; standing occasionally; walking; bending; squatting; kneeling; pushing/pulling; reaching; twisting; frequent lifting of less than 10 lbs., occasional lifting of up to 20 lbs.; driving and having access during the workday to an insured and reliable transportation; typing; data entry; grasping; transferring items between hands and/or to another person or receptacle; use of office equipment to include computers; ability to travel to, be physically present at, and complete the physical requirements of the position at any assigned location.
**Competencies**
----------------
Data Visualization
OKR
Statistical Analysis
Analytics
Business Knowledge
Data Science**Travel**
----------
up to 5%
**Attire**
----------
Business Casual
**Other**
---------
Must be eligible to work in the USA and able to pass a background check.
All qualified applicants will receive consideration for employment without regard to race, color, religion, sex, sexual orientation, gender identity, national origin, or disability.  
Requisition ID: 45977</t>
        </is>
      </c>
    </row>
    <row r="131">
      <c r="A131" t="inlineStr">
        <is>
          <t>in-68b8bce8597b0ef1</t>
        </is>
      </c>
      <c r="B131" t="inlineStr">
        <is>
          <t>Senior Data Scientist</t>
        </is>
      </c>
      <c r="C131" t="inlineStr">
        <is>
          <t>Deltek</t>
        </is>
      </c>
      <c r="D131" t="inlineStr">
        <is>
          <t>indeed</t>
        </is>
      </c>
      <c r="E131">
        <f>HYPERLINK("https://www.indeed.com/viewjob?jk=68b8bce8597b0ef1", "https://www.indeed.com/viewjob?jk=68b8bce8597b0ef1")</f>
        <v/>
      </c>
      <c r="F131">
        <f>HYPERLINK("https://sjobs.brassring.com/TGnewUI/Search/home/HomeWithPreLoad?partnerid=25397&amp;siteid=5259&amp;PageType=JobDetails&amp;jobid=622319", "https://sjobs.brassring.com/TGnewUI/Search/home/HomeWithPreLoad?partnerid=25397&amp;siteid=5259&amp;PageType=JobDetails&amp;jobid=622319")</f>
        <v/>
      </c>
      <c r="G131" t="inlineStr">
        <is>
          <t>Remote, US</t>
        </is>
      </c>
      <c r="H131" s="3" t="n">
        <v>46055</v>
      </c>
      <c r="I131" t="inlineStr">
        <is>
          <t>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**Position Responsibilities**
We're seeking a Senior Data Scientist to join our newly established Data Science team as we build Deltek's first internal advanced analytics capability. Reporting to the Director of Data Science, you'll translate business opportunities into production machine learning solutions and rigorous statistical analyses on our Snowflake intelligent data platform.
This position requires someone who combines strong technical machine learning skills with the ability to conduct thoughtful statistical analysis and communicate findings effectively. You'll work on everything from exploratory analysis to model development to deployment, building predictive capabilities and analytical insights that directly impact business outcomes.
You'll partner closely with our Enterprise Data \&amp; Intelligence team, leveraging the modern data stack we've built (Snowflake, dbt, Fivetran) and collaborating across the organization to understand business context, requirements, and stakeholder needs. This is an opportunity to build a data science practice from the ground up at an established B2B SaaS company, tackling the unique analytical challenges of enterprise software customers with long lifecycles and complex product relationships.
Model Development \&amp; Deployment
* Design, develop, and deploy machine learning models for customer health scoring, churn prediction, upsell/cross\-sell propensity, expansion revenue opportunities, and other business\-critical use cases
* Build end\-to\-end ML pipelines including feature engineering, model training, evaluation, and scoring in production
* Implement proper model validation techniques including cross\-validation, holdout testing, and business metric evaluation
* Account for B2B SaaS\-specific challenges including long sales cycles, account hierarchies, and multi\-product customer journeys
* Create reusable, maintainable code following software engineering best practices
* Develop monitoring and alerting for model performance degradation and data drift
Statistical Analysis \&amp; Exploration
* Conduct exploratory data analysis to understand patterns, anomalies, and relationships in business data
* Perform statistical tests to validate hypotheses and quantify uncertainty in findings
* Analyze model behavior to understand what drives predictions and identify potential biases
* Provide statistical rigor in problem framing, methodology selection, and results interpretation
Communication \&amp; Business Partnership
* Translate complex model results and statistical findings into clear, actionable business insights
* Create compelling visualizations and presentations that make technical work accessible to stakeholders
* Explain model predictions, confidence intervals, and limitations to non\-technical audiences
* Present findings to leadership with clear recommendations and articulation of uncertainty
* Document analytical approaches, assumptions, and results in ways that build organizational trust
* Partner with business stakeholders to frame analytical questions and define success metrics
Cross\-Functional Collaboration
* Partner with business stakeholders to understand requirements and translate them into technical approaches
* Work across teams to validate model outputs and iterate on solutions
* Collaborate with Deltek's AI Center of Excellence on integration opportunities
* Mentor junior data science team members as the team grows
* Contribute to team practices, documentation, and knowledge sharing
**Qualifications**
Technical Skills
* Master's or Ph.D. in Data Science, Statistics, Computer Science, Analytics, Machine Learning, or related quantitative field (or Bachelor's with 5\+ years relevant experience)
* Strong practical experience building and deploying supervised learning models (classification, regression) in production environments
* Solid foundation in statistical analysis including hypothesis testing, confidence intervals, and experimental design
* Deep understanding of model evaluation metrics, cross\-validation techniques, and avoiding common pitfalls (leakage, overfitting)
* Proficiency with Python and ML libraries (scikit\-learn, XGBoost, pandas, numpy)
* Strong SQL skills for feature engineering and working with data warehouses
Professional Skills
* Proven ability to translate ambiguous business problems into well\-defined analytical and machine learning tasks
* Strong communication skills to explain complex technical concepts, statistical trade\-offs, model limitations, and analytical findings to diverse audiences
* Experience creating presentations and visualizations that effectively communicate technical work to non\-technical stakeholders
* Track record of delivering ML projects from conception through production deployment
* Experience collaborating across teams (data engineering, product, business stakeholders)
* Demonstrated ability to work independently while contributing to team knowledge and practices
US Citizenship is required for this position.
**Compensation Info**
The U.S. salary range for this position is $91,000\.00\-$160,750\.00\. This range is subject to change as Deltek takes a number of factors into consideration when determining individual base pay, such as location, job\-related knowledge, skills and experience. Certain roles are eligible for additional rewards, including incentive compensation and equity.  
Benefits and perks listed here may vary depending on the nature of employment with Deltek. Employees have access to healthcare benefits, a 401(k) plan and company match, paid vacation time and holidays, well\-living programs, short\-term and long\-term disability coverage, basic life insurance and tuition reimbursement.
**Position Type**
FT
**Travel Requirements**
No
**Compliance Requirements**
Certain roles may have additional privacy, security and compliance requirements to the extent they support Costpoint GCCM or similar product offerings.
**EEO Statement**
*Deltek, Inc. is an Equal Opportunity / Affirmative Action employer. All qualified applicants will receive consideration for employment without regard to race, color, religion, sex, national origin, disability, or protected veteran status.*
**E\-Verify Statement**
Deltek, Inc., utilizes the E\-Verify program with every potential new hire. This makes it possible for us to make certain that every employee who works for Deltek is eligible to work in the United States. To learn more about E\-Verify you can call 1\-800\-255\-7688 or visit their website by clicking the logo below. E\-Verify® is a registered trademark of the United States Department of Homeland Security.
**Applicant Privacy Notice**
*Deltek is committed to the protection and promotion of your privacy. In connection with your application for employment with us at Deltek, it is necessary for us to collect, store and use information about you (“Personal Data”) to administer and evaluate your application. We are the “controller” of the Personal Data you provide us and will process any such Personal Data in accordance with applicable law and the statements contained in this* Employment Candidate Privacy Notice*. Additionally, we have not sold and do not sell Personal Data you provide to us through the job application process.*</t>
        </is>
      </c>
    </row>
    <row r="132">
      <c r="A132" t="inlineStr">
        <is>
          <t>in-572db983057182d0</t>
        </is>
      </c>
      <c r="B132" t="inlineStr">
        <is>
          <t>Senior Principal Data Scientist</t>
        </is>
      </c>
      <c r="C132" t="inlineStr">
        <is>
          <t>Deltek</t>
        </is>
      </c>
      <c r="D132" t="inlineStr">
        <is>
          <t>indeed</t>
        </is>
      </c>
      <c r="E132">
        <f>HYPERLINK("https://www.indeed.com/viewjob?jk=572db983057182d0", "https://www.indeed.com/viewjob?jk=572db983057182d0")</f>
        <v/>
      </c>
      <c r="F132">
        <f>HYPERLINK("https://sjobs.brassring.com/TGnewUI/Search/home/HomeWithPreLoad?partnerid=25397&amp;siteid=5259&amp;PageType=JobDetails&amp;jobid=622320", "https://sjobs.brassring.com/TGnewUI/Search/home/HomeWithPreLoad?partnerid=25397&amp;siteid=5259&amp;PageType=JobDetails&amp;jobid=622320")</f>
        <v/>
      </c>
      <c r="G132" t="inlineStr">
        <is>
          <t>Remote, US</t>
        </is>
      </c>
      <c r="H132" s="3" t="n">
        <v>46055</v>
      </c>
      <c r="I132" t="inlineStr">
        <is>
          <t>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**Position Responsibilities**
We're seeking a Senior Principal Data Scientist to provide business and technical leadership for Deltek's newly established Enterprise Data Science team. Reporting to the Director of Data Science , you'll define how we build, deploy, and scale machine learning capabilities on our Snowflake intelligent data platform to enable business decision\-making priorities.
This position requires someone who combines deep machine learning expertise with strong architectural thinking and the ability to establish technical standards that will guide our data science practice as it grows. You'll work on the hardest technical problems while mentoring senior engineers and ensuring our ML systems are built for production scale, reliability, and maintainability.
This is an opportunity to architect a data science function from the ground up at an established enterprise software company.
Advanced Model Development
* Lead development of complex, high\-impact models for customer health scoring, churn prediction, revenue optimization, and other key business\-critical use cases
* Tackle technical challenges that require deep expertise: class imbalance, temporal dependencies, multi\-objective optimization
* Design experimentation frameworks for A/B testing and causal inference
* Ensure models are explainable, fair, and aligned with business constraints
Mentorship \&amp; Knowledge Sharing
* Mentor senior data scientists on technical approaches, code quality, and ML best practices
* Conduct design reviews and code reviews to maintain high technical standards
* Facilitate knowledge transfer sessions on advanced techniques and architectural patterns
* Build internal documentation and playbooks that codify team practices
* Help team members grow their technical skills and advance their careers
Cross\-Functional Collaboration
* Translate business requirements into technical architecture and feasibility assessments
* Work with data engineering leadership to ensure platform capabilities support ML workloads
* Collaborate with the AI Center of Excellence on integration opportunities and enterprise AI strategy
* Communicate technical decisions, trade\-offs, and recommendations to leadership and stakeholders
* Represent data science technical perspective in cross\-functional planning and architecture discussions
**Qualifications**
Technical Skills
* Ph.D. in Data Science, Statistics, Computer Science, Machine Learning, or related quantitative field (or Master's with 4\+ years relevant experience)
* Extensive hands\-on experience building and deploying production ML systems at scale
* Deep expertise in supervised and unsupervised learning
* Experience designing MLOps architectures: feature stores, model monitoring, automated retraining
* Track record of making sound technical decisions that balance multiple constraints (performance, maintainability, time\-to\-market)
* Understanding of cloud data platforms and modern data architectures
Professional Skills
* Proven ability to provide technical leadership without requiring people management authority
* Strong mentorship skills with experience developing other data scientists
* Excellent communication skills to explain complex technical concepts and architectural decisions to diverse audiences
* Strategic thinking to anticipate technical challenges and design systems that scale
* Collaborative approach to working across teams and building consensus on technical direction
* Self\-directed with ability to identify high\-impact problems and drive solutions independently
Preferred Qualifications
* Snowflake experience and deep understanding of cloud data warehouse architectures
* Experience with B2B SaaS analytics, customer health scoring, or churn prediction at scale
* Familiarity with dbt and modern data transformation patterns
* Knowledge of dimensional modeling and enterprise data warehouse concepts
* Deep learning expertise for future applications
* Background in causal inference, experimentation design, or Bayesian methods
* Container orchestration (Docker, Kubernetes) for model deployment
* Experience building data science capabilities or teams from scratch
* Experience with time series forecasting or survival analysis for churn modeling
US Citizenship is required for this position.
**Compensation Info**
The U.S. salary range for this position is $131,500\.00\-$231,750\.00\. This range is subject to change as Deltek takes a number of factors into consideration when determining individual base pay, such as location, job\-related knowledge, skills and experience. Certain roles are eligible for additional rewards, including incentive compensation and equity.  
Benefits and perks listed here may vary depending on the nature of employment with Deltek. Employees have access to healthcare benefits, a 401(k) plan and company match, paid vacation time and holidays, well\-living programs, short\-term and long\-term disability coverage, basic life insurance and tuition reimbursement.
**Position Type**
FT
**Travel Requirements**
No
**Compliance Requirements**
Certain roles may have additional privacy, security and compliance requirements to the extent they support Costpoint GCCM or similar product offerings.
**EEO Statement**
*Deltek, Inc. is an Equal Opportunity / Affirmative Action employer. All qualified applicants will receive consideration for employment without regard to race, color, religion, sex, national origin, disability, or protected veteran status.*
**E\-Verify Statement**
Deltek, Inc., utilizes the E\-Verify program with every potential new hire. This makes it possible for us to make certain that every employee who works for Deltek is eligible to work in the United States. To learn more about E\-Verify you can call 1\-800\-255\-7688 or visit their website by clicking the logo below. E\-Verify® is a registered trademark of the United States Department of Homeland Security.
**Applicant Privacy Notice**
*Deltek is committed to the protection and promotion of your privacy. In connection with your application for employment with us at Deltek, it is necessary for us to collect, store and use information about you (“Personal Data”) to administer and evaluate your application. We are the “controller” of the Personal Data you provide us and will process any such Personal Data in accordance with applicable law and the statements contained in this* Employment Candidate Privacy Notice*. Additionally, we have not sold and do not sell Personal Data you provide to us through the job application process.*</t>
        </is>
      </c>
    </row>
    <row r="133">
      <c r="A133" t="inlineStr">
        <is>
          <t>in-ae161b77989c834b</t>
        </is>
      </c>
      <c r="B133" t="inlineStr">
        <is>
          <t>Data Scientist</t>
        </is>
      </c>
      <c r="C133" t="inlineStr">
        <is>
          <t>Horace Mann Insurance</t>
        </is>
      </c>
      <c r="D133" t="inlineStr">
        <is>
          <t>indeed</t>
        </is>
      </c>
      <c r="E133">
        <f>HYPERLINK("https://www.indeed.com/viewjob?jk=ae161b77989c834b", "https://www.indeed.com/viewjob?jk=ae161b77989c834b")</f>
        <v/>
      </c>
      <c r="F133">
        <f>HYPERLINK("https://grnh.se/fgu5t38m4us", "https://grnh.se/fgu5t38m4us")</f>
        <v/>
      </c>
      <c r="G133" t="inlineStr">
        <is>
          <t>Springfield, IL, US</t>
        </is>
      </c>
      <c r="H133" s="3" t="n">
        <v>46055</v>
      </c>
      <c r="I133" t="inlineStr">
        <is>
          <t>**Overall Objective:** To drive actionable insights and inform corporate strategies through the use of analytics, GenAI, advanced modeling, data mining, and market intelligence.
**Key Skills:**
* **Strong Communication:** Demonstrates strong communication skills with a basic understanding of project management principles. Ability to share updates with team members and manager clearly and concisely, with flexibility in discussions around project scope and deliverables.
* **Data Visualization:** Ability to visualize data effectively to support clear insights and decision\-making.
* **Analysis:** Proficiency in leveraging data and statistical modeling to identify, create, and solve business opportunities.
* **GenAI and Machine Learning:** Some proficiency in GenAI and machine learning techniques to identify, create, and solve business opportunities. Shows a strong desire to build foundational skills first and demonstrates flexibility in selecting appropriate methods.
* **Technical Data Proficiency:** Ability to work with data using programming languages (SQL, Python) and a solid understanding of relational data and data tools.
* **Coding Skills:** Demonstrates the ability to write production\-ready code in Python that is modular, efficient, and well\-documented.
* **BI Tools:** Experience developing dashboards preferred with Python\-based tools (PowerBI experience is a plus).
* **Project Drive:** Demonstrates a desire to learn and own project workstreams with a GenAI/Data Science focus to positively impact business outcomes.
* **Inquisitive Mindset:** Possesses an inquisitive mindset and a desire to delve into the details while maintaining a focus on business impact and practical solutions.
* **Collaboration:** Capable of both independent work and collaboration within projects and cross\-functional teams to achieve targeted outcomes and drive shared success.
**Preferred education/experience: OR Required education**
* Master's degree or higher in data science related areas (statistics, applied economics, data science)
* 2\+ years of professional analytical experience preferred
* 2\+ years of P\&amp;C or Life/Retirement experience preferred
Salary Range:
$89,800\.00 \- $125,500\.00
Salary is commensurate to experience, location, etc.
\#VIZI
\#LI\-LM1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134">
      <c r="A134" t="inlineStr">
        <is>
          <t>in-95b6a2f1c143f263</t>
        </is>
      </c>
      <c r="B134" t="inlineStr">
        <is>
          <t>Data Scientist, Creative Excellence</t>
        </is>
      </c>
      <c r="C134" t="inlineStr">
        <is>
          <t>Ipsos</t>
        </is>
      </c>
      <c r="D134" t="inlineStr">
        <is>
          <t>indeed</t>
        </is>
      </c>
      <c r="E134">
        <f>HYPERLINK("https://www.indeed.com/viewjob?jk=95b6a2f1c143f263", "https://www.indeed.com/viewjob?jk=95b6a2f1c143f263")</f>
        <v/>
      </c>
      <c r="F134">
        <f>HYPERLINK("https://ecqf.fa.em2.oraclecloud.com/hcmUI/CandidateExperience/en/sites/CX_2001/requisitions/preview/7372", "https://ecqf.fa.em2.oraclecloud.com/hcmUI/CandidateExperience/en/sites/CX_2001/requisitions/preview/7372")</f>
        <v/>
      </c>
      <c r="G134" t="inlineStr">
        <is>
          <t>Chicago, IL, US</t>
        </is>
      </c>
      <c r="H134" s="3" t="n">
        <v>46055</v>
      </c>
      <c r="I134" t="inlineStr">
        <is>
          <t>**What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Stay abreast of the latest data science techniques and tools available.  
*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Good time management, collaboration, and self\-sufficiency skills  
* 
**Nice to haves:**
* Proficiency in R, JavaScript
* Experience with natural language processing, large language models, geospatial analysis, and neural networks
* Experience with cloud computing platforms (AWS, GCP)
* Experience with big data technologies (Spark, Hadoop, etc.)
Project management experience  
*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\#LI\-AE1 \#LI\-Hybrid</t>
        </is>
      </c>
    </row>
    <row r="135">
      <c r="A135" t="inlineStr">
        <is>
          <t>in-122c93ea31675e99</t>
        </is>
      </c>
      <c r="B135" t="inlineStr">
        <is>
          <t>Data Scientist</t>
        </is>
      </c>
      <c r="C135" t="inlineStr">
        <is>
          <t>Potomac Economics</t>
        </is>
      </c>
      <c r="D135" t="inlineStr">
        <is>
          <t>indeed</t>
        </is>
      </c>
      <c r="E135">
        <f>HYPERLINK("https://www.indeed.com/viewjob?jk=122c93ea31675e99", "https://www.indeed.com/viewjob?jk=122c93ea31675e99")</f>
        <v/>
      </c>
      <c r="F135">
        <f>HYPERLINK("https://www.potomaceconomics.com/careers/data-scientist-2/", "https://www.potomaceconomics.com/careers/data-scientist-2/")</f>
        <v/>
      </c>
      <c r="G135" t="inlineStr">
        <is>
          <t>US</t>
        </is>
      </c>
      <c r="H135" s="3" t="n">
        <v>46055</v>
      </c>
      <c r="I135" t="inlineStr">
        <is>
          <t>**Location:** Austin, VA (Hybrid: In\-person 3 days/week)
**Job Type:** Full\-time
**Salary Range:** $90,000 – $150,000
**\_\_\_\_\_\_\_\_\_\_\_\_\_\_\_\_\_\_\_\_\_\_\_\_\_\_\_\_\_\_\_\_\_\_\_\_\_\_\_\_\_\_\_\_\_\_\_\_\_\_\_\_\_\_\_\_\_**
**About the Role:**
Can competitive electricity markets coordinate the production of electricity from all supply resources in order to minimize costs, produce reasonable prices, and keep the lights on?
At Potomac Economics, you would be a valuable member of a market monitoring team that studies wholesale electricity markets throughout the United States. This includes designing, creating, and utilizing databases and custom software to analyze a wide array of market data. The team uses this monitoring software to evaluate the performance of competitive electricity markets, identify potential improvements in market design, and detect attempts to manipulate the market or exercise market power.
**\_\_\_\_\_\_\_\_\_\_\_\_\_\_\_\_\_\_\_\_\_\_\_\_\_\_\_\_\_\_\_\_\_\_\_\_\_\_\_\_\_\_\_\_\_\_\_\_\_\_\_\_\_\_\_\_\_**
**Responsibilities and Expectations:**
* Develop efficient python code to process, analyze, and visualize large electricity market datasets.
* Build and maintain databases, dashboards, figures, and tables to clearly communicate analytical results.
* Develop and manage an ETL process and end\-use data mart for use by the automated monitoring system and market analysts.
* Troubleshoot, debug, and enhance existing data processing tools and software.
* Identify and implement improvements to analytical methods and software systems.
* Summarize and communicate analytical findings clearly to both technical and non\-technical audiences.
* Write well\-structured, maintainable, and reusable code.
* Work productively and independently while contributing to team goals.
* Demonstrate initiative and creativity in addressing analytical challenges.
* Collaborate closely with market experts to interpret results and refine analyses.
* Apply strong quantitative and problem\-solving skills to complex market questions.
**\_\_\_\_\_\_\_\_\_\_\_\_\_\_\_\_\_\_\_\_\_\_\_\_\_\_\_\_\_\_\_\_\_\_\_\_\_\_\_\_\_\_\_\_\_\_\_\_\_\_\_\_\_\_\_\_\_**
**Qualifications:**
*Required*
* Bachelor’s or Master’s degree in Economics, Data Science, or another relevant field of study or equivalent work experience.
* Strong analytical and data management skills, with attention to accuracy and reproducibility.
* Strong Python skills and experience with common database management systems.
* Ability to design and develop clean automated workflows for data and analysis.
*Preferred*
* 2 or more years of experience with data analysis and programming experience in Python.
* Experience working with large energy market datasets.
* Knowledge of wholesale electricity market design or operations.
* Familiarity with packages such as Pandas, SQLAlchemy, Matplotlib, and Plotly.
* Interest and ability to use AI tools (e.g., ChatGPT, coding agents) to enhance coding, data analysis, and workflow efficiency.
**\_\_\_\_\_\_\_\_\_\_\_\_\_\_\_\_\_\_\_\_\_\_\_\_\_\_\_\_\_\_\_\_\_\_\_\_\_\_\_\_\_\_\_\_\_\_\_\_\_\_\_\_\_\_\_\_\_**
**Benefits:**
* Medical / Dental / Vision / Life
* HSA / FSA
* 401(k)
* Paid time off
* Employee discounts</t>
        </is>
      </c>
    </row>
    <row r="136">
      <c r="A136" t="inlineStr">
        <is>
          <t>in-2a9e4b7df043747f</t>
        </is>
      </c>
      <c r="B136" t="inlineStr">
        <is>
          <t>Investment Data Scientist - Senior</t>
        </is>
      </c>
      <c r="C136" t="inlineStr">
        <is>
          <t>USAA</t>
        </is>
      </c>
      <c r="D136" t="inlineStr">
        <is>
          <t>indeed</t>
        </is>
      </c>
      <c r="E136">
        <f>HYPERLINK("https://www.indeed.com/viewjob?jk=2a9e4b7df043747f", "https://www.indeed.com/viewjob?jk=2a9e4b7df043747f")</f>
        <v/>
      </c>
      <c r="F136">
        <f>HYPERLINK("https://www.usaajobs.com/job/-/-/1207/91304499264", "https://www.usaajobs.com/job/-/-/1207/91304499264")</f>
        <v/>
      </c>
      <c r="G136" t="inlineStr">
        <is>
          <t>San Antonio, TX, US</t>
        </is>
      </c>
      <c r="H136" s="3" t="n">
        <v>46054</v>
      </c>
      <c r="I13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Investment Data Scientist \- Senior, you will work with the Data Science Team in USAA’s Finance department. Their responsibilities will include working with investment risk models (Valuation, Performance Attribution, VaR, CECL), investment data management, external asset manager relations, and investment operational risk \&amp; processes. Additionally, they will support USAA’s Chief Investment Office with investment analysis.
Translates business problems into applied statistical, machine learning, simulation, and optimization solutions to inform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expanding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visible and based on the highest quality data.
* Translates complex business request(s) into specific analytical questions, completes the analysis and/or modeling, and then communicates outcomes to non\-technical business colleagues with focus on business action and recommendations.
* Handles project landmarks, risks, and impediments. Calls out potential issues that could limit project success or implementation.
* Develops standard methodologies for engaging with Data Engineering and IT to deploy production\-ready analytical assets consistent with modeling procedures and model risk management standards.
* Maintains expertise and awareness of pioneering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 Bachelor’s degree in mathematics, computer science, statistics, economics, finance, actuarial sciences, science and engineering, or other similar quantitative field;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field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Validated experience writing code that is easy to follow, well documented, and commented where necessary to explain logic (high code visibility).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MS in Financial Engineering
* 5\+ Years of Investment Modeling \&amp; Operations Experience
* Experience with Aladdin BlackRock
* Experience with Investment Data Analytics
* Strong knowledge of Python, Snowflake, SQL, Dashboard Reporting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li-4345717277</t>
        </is>
      </c>
      <c r="B2" t="inlineStr">
        <is>
          <t>Data Scientist</t>
        </is>
      </c>
      <c r="C2" t="inlineStr">
        <is>
          <t>FanDuel</t>
        </is>
      </c>
      <c r="D2" t="inlineStr">
        <is>
          <t>linkedin</t>
        </is>
      </c>
      <c r="E2" t="inlineStr"/>
      <c r="F2" t="inlineStr"/>
      <c r="G2" t="inlineStr">
        <is>
          <t>New York, NY</t>
        </is>
      </c>
      <c r="H2" t="inlineStr"/>
      <c r="I2"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3">
      <c r="A3" t="inlineStr">
        <is>
          <t>li-4357369415</t>
        </is>
      </c>
      <c r="B3" t="inlineStr">
        <is>
          <t>Data Scientist 5- Content DSE</t>
        </is>
      </c>
      <c r="C3" t="inlineStr">
        <is>
          <t>Netflix</t>
        </is>
      </c>
      <c r="D3" t="inlineStr">
        <is>
          <t>linkedin</t>
        </is>
      </c>
      <c r="E3" t="inlineStr"/>
      <c r="F3" t="inlineStr"/>
      <c r="G3" t="inlineStr"/>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Data Science and Engineering team provides Netflix with a trusted measurement framework for content quality and value. We develop and evolve the metrics that inform billions of dollars in content investment decisions. As a measurement center of excellence, we don't just compute metrics \- we define what success means. Through continuous research, validation, and cross\-functional partnership, we ensure our frameworks remain rigorous and relevant as Netflix's content strategy evolves.
 This role is for a Senior Data Scientist (L5\) focused on measurement strategy and metrics development. You'll create the scoreboard that others use to evaluate success. We're looking for curious, proactive measurement experts who independently identify gaps in our frameworks, propose impactful research initiatives, and build the evidence base that informs strategic content decisions.
**In This Role, You Will**
* Design and validate measurement frameworks that accurately capture content quality, engagement, and business value across diverse content types
* Autonomously identify measurement gaps and pursue research with significant business impact, making compelling cases for prioritization
* Apply causal inference, observational analysis, and statistical modeling to understand drivers of content value and member satisfaction
* Ensure metrics measure what they intend to, identifying potential biases, edge cases, and unintended consequences before they impact decisions
* Partner across Content, Product, Finance, and Engineering to align measurement approaches with business needs and technical constraints
* Serve as a strategic thought partner to stakeholders, influencing content and product strategy through clear measurement insights
* Contribute to team growth through documentation, mentorship, and knowledge sharing that uplevels skills and practices
* Build well\-documented datasets, tools, and analytical frameworks that scale across the organization
* Present research clearly to technical and non\-technical audiences at all levels
**What You’ll Bring**
* Advanced degree (PhD or Master's) in Statistics, Economics, Quantitative Social Sciences, Operations Research, Mathematics, or related field
* 5\+ years applying statistical methods and causal inference to real\-world product or business problems
* Deep measurement expertise—metric design, bias detection, trade\-off analysis—with a track record of developing frameworks that informed strategic decisions, not just executing analyses using existing metrics
* Strong foundation in experimental design, regression analysis, and causal inference methods
* Proficiency in SQL and quantitative programming (Python or R)
* Ability to work independently: identifying impactful problems, scoping research, and driving projects from ambiguous starting points
* Comfort navigating problem spaces where the "right answer" requires judgment alongside calculation
* Excellent communication and influence across organizational levels, translating complex concepts for diverse audiences
* Intellectual curiosity and proactive mindset—asking "what should we be measuring?" not just "what are we measuring?"
* Embodies Netflix values while bringing fresh perspectives to strengthen our culture
**We'd Be Especially Excited If You Also Have**
* Experience in content analytics, user behavior measurement, or related domains
* Track record of mentoring and upleveling peers
* Comfort leveraging AI tools (LLMs, generative AI) to enhance analytical workflows and accelerate research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li-4368253822</t>
        </is>
      </c>
      <c r="B4" t="inlineStr">
        <is>
          <t>Data Scientist</t>
        </is>
      </c>
      <c r="C4" t="inlineStr">
        <is>
          <t>Corner Alliance</t>
        </is>
      </c>
      <c r="D4" t="inlineStr">
        <is>
          <t>linkedin</t>
        </is>
      </c>
      <c r="E4" t="inlineStr"/>
      <c r="F4" t="inlineStr"/>
      <c r="G4" t="inlineStr">
        <is>
          <t>Washington, DC</t>
        </is>
      </c>
      <c r="H4" t="inlineStr"/>
      <c r="I4" t="inlineStr">
        <is>
          <t>Corner Alliance is a dynamic, growing consulting firm that devotes itself to providing an enriching employee experience
 *while* 
 working in meaningful ways to
 **create results for the government.** 
 We are currently seeking a Data Scientist with 8\+ years of experience to join our team and fully embrace our commitment to
 *deliver, grow and thrive* 
 .
* This position is contingent upon award\*\*
**About The Role**
 As a
 **Senior Data Analyst** 
 supporting our Federal government client, you will be trusted to support the development of the
 **Data Strategy** 
**,** 
 articulating how the organization will accelerate the adoption of data, analytics, and
 **artificial intelligence (AI)** 
 to enable joint operational situational awareness and data\-driven decision\-making. In this role, you will lead advanced analytics efforts, enhance enterprise data capabilities, and transform complex datasets into actionable insights that support mission outcomes.
**Key Responsibilities Include (but Are Not Limited To)**
* Develop scripts to curate select datasets for integration into business intelligence data products
* Enhance and maintain data pipelines used to restructure, clean, and transform datasets for integration into the enterprise data warehouse
* Design, enhance, and develop business intelligence dashboards and data visualizations to provide leadership with timely, actionable insights and joint operational situational awareness
* Lead exploratory data analysis efforts to identify trends, risks, and opportunities across complex datasets
* Identify and develop opportunities within existing data management and analytics efforts where AI/ML can expand capabilities and deliver performance enhancements
* Deliver spatial data science solutions to extract deeper insights, uncover hidden patterns, and improve predictive modeling
* Leverage advanced analytics and visualization tools (e.g., Power BI, ArcGIS, Palantir or equivalent platforms) to support decision\-making and performance tracking
* Translate complex analytical findings into clear, concise reports and presentations for technical and non\-technical stakeholders
* Ensure analytics products meet federal standards for quality, accuracy, documentation, and usability
* Provide technical leadership and guidance on analytics best practices across data initiatives
* Carry out our
**Location:**
 You will work as part of a remote team; however, you may be required to attend occasional meetings at headquarters located in: Washington, DC; Reston, VA; Arlington, VA or Boulder, CO.
**Required Experience/Skills**
* A Bachelor’s degree and 8 years of relevant professional experience
+ A Master’s degree and 5 years of experience may be substituted in lieu of 8 years of experience
* Demonstrated experience supporting advanced data analytics initiatives, preferably in a federal or consulting environment
* Advanced experience developing and maintaining data pipelines and enterprise data solutions
* Expert\-level experience with data visualization and analytics tools such as Power BI, ArcGIS, Tableau, or similar platforms
* Experience applying advanced analytical techniques, including exploratory analysis and predictive modeling
* Proficiency with scripting or data manipulation languages such as SQL, Python, R, or equivalent
* Strong written and verbal communication skills, with the ability to present complex data clearly and effectively
* Ability to work independently and lead analytics tasks across multiple workstreams
* US citizenship and the ability to pass public trust clearance or suitability
**Preferred Experience/Skills:**
* Experience developing or operationalizing AI/ML solutions within analytics environments
* Experience delivering spatial or geospatial analytics solutions
* Experience operating or supporting Palantir or similar data foundry platforms
* Prior experience supporting large, complex federal programs or enterprise data environments
*Don’t think you have everything for this role but are still very interested? Please don’t hold back from applying because you may not have it all. You can learn and grow with us. We're looking for someone who is coachable, unflappable in navigating challenges, resourceful in learning new skills, innovative in challenging the status quo, excellent in writing, analytical in thinking, skilled in prioritization, and a rapport builder with clients and colleagues.*
**About Us**
*Corner Alliance offers a comprehensive and competitive benefits package for full\-time employees including 401k matching (4%), PTO (3 weeks to start, 4 weeks (2\-5 years) and 5 weeks (5 years\+)), health, dental, vision, short\- and long\-term disability, FSA accounts, 4 weeks of paid parental leave, 11 paid holidays (including your birthday off), fitness \&amp; cell phone reimbursements, monthly all hands update meetings, annual in\-person all hands team building day and evening out, regular check\-ins for professional growth goals, semi\-monthly one on one performance manager meetings, a social team that coordinates monthly events, use of technology like Slack to keep us connected and collaborative, and overall, a company culture dedicated to a highly engaged team.*
*Corner Alliance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 We are dedicated to building a talented workforce that reflects the strength of our society and our shared commitment to excellence. In compliance with the Americans with Disabilities Act Amendments Act (ADAAA), if you have a disability and would like to request an accommodation in order to apply for a position with Corner Alliance please call (202\) 754\-8120 or email* 
*recruiting@corneralliance.com* 
*. Corner Alliance participates in the E\-verify program and will provide the Federal Government with Form I\-9 information to confirm work authorization in the U.S.*
*Visit us at* 
*www.corneralliance.com* 
*to learn more.*
**Securing Your Data**
*Beware of fake employment opportunities using Corner Alliance’s name. Corner Alliance will never ask you to provide payment\-related information during any part of the employment application process (i.e., ask you for money), nor will Corner Alliance ever advance money as part of the hiring process (i.e., send you a check or money order before doing any work). Further, Corner Alliance will only communicate with you through our ATS system JazzHR and/or emails that are generated by the* 
*corneralliance.com* 
*automated system – never from free commercial services (e.g., Gmail, Yahoo, Hotmail) or via WhatsApp, Telegram, etc. If you received an email purporting to be from Corner Alliance that asks for payment\-related information or any other personal information (e.g., about you or your previous employer), and you are concerned about its legitimacy, please make us aware immediately by emailing us at* 
*recruiting@corneralliance.com* 
*. If you believe you are the victim of a scam, contact your local law enforcement and report the incident to the* 
*U.S. Federal Trade Commission* 
*.*
**Salary**
*Approximate Salary Estimate: $120,000 \- $145,000 annually*
*The estimate displayed represents the typical salary range of candidates hired. Factors that may be used to determine your actual salary may include your specific skills, how many years of experience you have, and comparison to other employees already in this role.*
 Powered by JazzHR</t>
        </is>
      </c>
    </row>
    <row r="5">
      <c r="A5" t="inlineStr">
        <is>
          <t>li-4320766131</t>
        </is>
      </c>
      <c r="B5" t="inlineStr">
        <is>
          <t>Data Scientist</t>
        </is>
      </c>
      <c r="C5" t="inlineStr">
        <is>
          <t>Toyota North America</t>
        </is>
      </c>
      <c r="D5" t="inlineStr">
        <is>
          <t>linkedin</t>
        </is>
      </c>
      <c r="E5" t="inlineStr"/>
      <c r="F5" t="inlineStr"/>
      <c r="G5" t="inlineStr">
        <is>
          <t>Plano, TX</t>
        </is>
      </c>
      <c r="H5" t="inlineStr"/>
      <c r="I5"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 Work closely with team members and business partners to identify and prioritize key questions and drive impactful data\-based decisions.
* Extract, manipulate, and clean data from diverse sources using SQL and Python, preparing it for detailed analysis and model development.
* Develop and implement sophisticated predictive and prescriptive models using statistical and machine learning techniques. Ensure these models address key business challenges and deliver actionable insights.
* Create clear, compelling data visualizations to effectively communicate findings to both technical and non\-technical stakeholders.
* Effectively and efficiently transition models from development to production within the organization’s existing cloud ecosystem.
* Participate actively in project planning and prioritization sessions to ensure data initiatives align with business goals.
* Stay updated with the latest industry trends and tools and integrate this knowledge to improve methodologies and solutions.
**What You Bring**
* Master’s degree or higher in a relevant analytical field.
* Hands\-on experience building and optimizing data solutions using Python.
* Experience solving problems using a variety of statistical and machine learning techniques.
* Hands\-on experience using statistical or machine learning frameworks to solve a variety of real\-world problems (e.g., statsmodels, scikit\-learn, PyTorch).
* Knowledge of methods like Logistic Regression, Time Series Analysis, GLMs, Mixed Modeling, Multivariate Statistics, Predictive Modeling, Decision Trees, Gradient\-Boosted Trees, Random Forests, and Neural Networks.
* Experience with identifying problems and developing innovative solutions.
* Experience working in a data science role outside of a degree\-seeking academic program.
**Added bonus if you have**
* Experience with version control systems such as GitHub, and familiarity with CI/CD practices to streamline model deployment and code management.
* Hands\-on experience with cloud\-based machine learning platforms (e.g., AWS SageMaker or Azure ML) to leverage scalable computing resources and tools.
* Demonstrated ability to lead through influence, effectively navigating and prioritizing complex cross\-departmental projects to drive impactful change.
* Capability to replace and bridge existing legacy infrastructure and processes.
* Experience working with Data Science outside of a degree\-seeking program.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6">
      <c r="A6" t="inlineStr">
        <is>
          <t>li-4360726320</t>
        </is>
      </c>
      <c r="B6" t="inlineStr">
        <is>
          <t>Data Scientist</t>
        </is>
      </c>
      <c r="C6" t="inlineStr">
        <is>
          <t>Commence</t>
        </is>
      </c>
      <c r="D6" t="inlineStr">
        <is>
          <t>linkedin</t>
        </is>
      </c>
      <c r="E6" t="inlineStr"/>
      <c r="F6" t="inlineStr"/>
      <c r="G6" t="inlineStr"/>
      <c r="H6" t="inlineStr"/>
      <c r="I6"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The Data Scientist combines advanced analytics and machine learning with deep domain knowledge to generate clinical and operational insights, build predictive models, and support decision\-making across the healthcare ecosystem. The ideal candidate will be adept at working with complex datasets (e.g., EHRs, claims, FHIR), collaborating cross\-functionally, and ensuring data use aligns with regulatory and ethical standards.
* Prepare and analyze large and complex datasets to identify trends, patterns, and insights that drive business decisions.
* Develop, implement, and optimize machine learning models, including Generative AI, for predictive analytics, classification, and other applications.
* Apply statistical techniques to analyze data and build models that forecast future trends and behaviors (e.g., risk stratification, disease progression, readmission likelihood).
* Create compelling data visualizations and dashboards to effectively communicate findings and insights to stakeholders.
* Connect and match within and across data sources both internal/ external to augment and enhance analyses.
* Work closely with cross\-functional teams, including data engineers, software developers, and business analysts, to gather requirements and deliver data solutions.
* Stay current with industry trends and advancements in data science and integrate new techniques and tools into existing workflows. Identify, review, and execute impactful analytical approaches from industry whitepapers.
* Translate complex data into actionable insights to support clinical decision\-making, care optimization, and operational efficiency, often through dashboards or reports.
* Collaborate with clinicians, informaticists, and SMEs to derive relevant features from health data, such as comorbidity indices, lab value trajectories, or time\-to\-treatment measures.
* Ensure data use complies with HIPAA, 42 CFR Part 2, and other applicable regulations. Apply de\-identification, data masking, or differential privacy techniques when needed.
* Help define and sometimes implement workflows for data acquisition, preprocessing, and model inference pipelines, often in cloud\-based environments (e.g., AWS, Azure).
* Identify and mitigate potential biases in data or models, and ensure outputs are interpretable by clinical or policy stakeholders.
* Monitor model performance over time and retrain or recalibrate as necessary to maintain accuracy and relevance in evolving clinical environments.
**Basic Qualifications**
* Bachelor’s degree in Data Science, Computer Science, Statistics, Mathematics, or a related field; Master’s or PhD preferred.
* Minimum of 4 years of experience in data science or a related field.
* Proficiency in programming languages such as Python, R, or SQL.
* Demonstrated experience practically leveraging and deploying AI/ML models to production.
* Working knowledge of Generative AI tuning and implementation techniques and toolsets i.e. AWS Bedrock, LangChain, Anthropic MCP, and LlamaIndex.
* Experience with big data frameworks/ toolsets such as Apache Spark, Databricks, and AWS EMR Studio.
* Experience with AI/ machine learning libraries and frameworks (e.g., TensorFlow, Scikit\-Learn, PyTorch, and Spark ML Flow).
* Experience working with healthcare datasets such as EHRs, medical claims, FHIR, HL7, or patient\-reported outcomes
* Familiarity with healthcare regulations and standards (e.g., HIPAA, 42 CFR Part 2, HEDIS, CMS measures)
* Demonstrated experience working with Notebook tools such as Databricks/ Jupyter.
* Strong understanding of statistical analysis and modeling techniques.
* Experience with data visualization tools (e.g., Amazon Quicksight, Power BI, Matplotlib).
* Excellent problem\-solving skills and attention to detail.
* Strong communication and interpersonal skills, with the ability to work effectively with diverse teams and stakeholders.
**Preferred Qualifications**
* AI/ ML certifications.
* Familiarity with Databricks, Snowflake, or other modern data platforms
* Understanding of data governance and security frameworks relevant to healthcare (e.g., NIST, HITRUST)
* Prior experience working with government agencies (e.g., CMS, VA, DoD) or payer/provider organizations
* Knowledge of healthcare delivery systems and policy frameworks
 Commence is an equal employment opportunity employer. All personnel processes are merit\-based and applied without discrimination on the basis of race, color, religion, sex, sexual orientation, gender identity, marital status, age, disability, national or ethnic origin, military and veteran status or any other characteristic protected by applicable law.
 If you need assistance or an accommodation due to a disability, you may contact us at 757\-306\-4920 or hr@commence.ai
 Salary Description
 $115K\-$150K</t>
        </is>
      </c>
    </row>
    <row r="7">
      <c r="A7" t="inlineStr">
        <is>
          <t>li-4368633754</t>
        </is>
      </c>
      <c r="B7" t="inlineStr">
        <is>
          <t>Data Scientist</t>
        </is>
      </c>
      <c r="C7" t="inlineStr">
        <is>
          <t>Whatnot</t>
        </is>
      </c>
      <c r="D7" t="inlineStr">
        <is>
          <t>linkedin</t>
        </is>
      </c>
      <c r="E7" t="inlineStr"/>
      <c r="F7" t="inlineStr"/>
      <c r="G7" t="inlineStr"/>
      <c r="H7" t="inlineStr"/>
      <c r="I7" t="inlineStr">
        <is>
          <t>**About The Company**
 Join the Future of Commerce with Whatnot! Whatnot is the largest live shopping platform operating across North America and Europe, revolutionizing the way people buy, sell, and discover their favorite items. By seamlessly blending community, entertainment, and e\-commerce, Whatnot creates an engaging and trusted marketplace experience. With a diverse, remote co\-located team and hubs in the US, UK, Germany, Ireland, and Poland, the company is committed to building innovative online marketplaces. From fashion, beauty, electronics, to collectibles like trading cards, comic books, and live plants, Whatnot offers a dynamic platform where users can participate in live auctions and community\-driven shopping experiences. As one of the fastest\-growing marketplaces, Whatnot is dedicated to empowering passionate individuals and fostering a vibrant community through cutting\-edge technology and strategic growth initiatives.
**About The Role**
 We are seeking a highly skilled Data Scientist specializing in fraud detection and risk management to support our mission of maintaining a safe and trustworthy environment for our users. In this role, you will analyze complex data sets, generate actionable insights, and develop strategies to prevent fraudulent activities on our platform. Your expertise will be instrumental in shaping our fraud prevention frameworks, driving experimentation, and building data\-driven tools that enhance our operational capabilities. Collaborating closely with product managers, engineers, and trust \&amp; safety teams, you will lead initiatives to measure the effectiveness of anti\-fraud strategies, influence product roadmaps, and ensure the integrity of our marketplace. The ideal candidate will possess a strong background in data analytics, causal inference, and cross\-functional leadership, with a passion for solving real\-world problems at scale.
**Qualifications**
* 5\+ years of experience in data analysis, data science, or related fields supporting anti\-fraud, risk, or trust \&amp; safety initiatives
* 3\+ years of experience specifically in fraud detection, risk management, or integrity\-related projects
* Bachelor’s degree in Computer Science, Economics, Statistics, Cybersecurity, or a related discipline (or equivalent work experience)
* Advanced SQL skills and experience with modern data warehouses such as Snowflake, BigQuery, or Redshift
* Proficiency in Python or R for data analysis, modeling, and experimentation
* Experience designing and analyzing A/B tests and applying causal inference techniques
* Strong data visualization skills and familiarity with BI tools for creating dashboards and reports
* Excellent communication skills, capable of translating complex insights for diverse audiences
* Proven ability to lead cross\-functional projects and influence strategic decision\-making
* Comfortable working in fast\-paced, ambiguous environments with a high degree of ownership
**Responsibilities**
* Translate complex data into actionable insights for the fraud engineering and operations teams to mitigate risks effectively
* Define, track, and optimize KPIs related to fraud costs, detection strategies, and marketplace impact
* Analyze the effectiveness of current anti\-fraud measures and collaborate with product and machine learning teams to enhance these strategies
* Design, implement, and evaluate experiments to test new fraud prevention features and tactics
* Develop frameworks for causal inference and impact measurement outside traditional A/B testing environments
* Create dashboards, data pipelines, and self\-serve tools to empower teams across the organization
* Partner with engineering teams to improve data accessibility, quality, and instrumentation for new product features
* Advocate for data\-driven decision\-making and foster a culture of measurement within the trust \&amp; risk organization
* Communicate insights clearly to both technical and non\-technical stakeholders, influencing product roadmaps and strategic initiatives
* Support investigations into fraud tactics, quantifying their impact and developing long\-term protections against emerging threats
* Serve as a thought leader, shaping fraud prevention strategies and best practices across the platform
**Benefits**
* Flexible time off policy and company\-wide holidays, including seasonal breaks
* Comprehensive health insurance options covering Medical, Dental, and Vision
* Support for remote work with home office setup allowances
* Monthly stipends for cellphone and internet expenses
* Care benefits and wellness allowances to support overall well\-being
* Annual childcare assistance allowances and lifetime family planning benefits
* Retirement plans including 401(k) with employer matching in the US and pension plans internationally
* Monthly allowances for product testing and app usage ("dogfooding")
* Paid parental leave of 16 weeks plus a gradual return\-to\-work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diverse perspectives and experiences enhances our company culture and drives innovation. All qualified applicants will receive consideration for employment without regard to any protected status.</t>
        </is>
      </c>
    </row>
    <row r="8">
      <c r="A8" t="inlineStr">
        <is>
          <t>li-4368688540</t>
        </is>
      </c>
      <c r="B8" t="inlineStr">
        <is>
          <t>Data Scientist/Analyst</t>
        </is>
      </c>
      <c r="C8" t="inlineStr">
        <is>
          <t>Selby Jennings</t>
        </is>
      </c>
      <c r="D8" t="inlineStr">
        <is>
          <t>linkedin</t>
        </is>
      </c>
      <c r="E8" t="inlineStr"/>
      <c r="F8" t="inlineStr"/>
      <c r="G8" t="inlineStr">
        <is>
          <t>New York, NY</t>
        </is>
      </c>
      <c r="H8" t="inlineStr"/>
      <c r="I8" t="inlineStr">
        <is>
          <t>**Data Scientist/Analyst \- L/S Fundamental Equities** 
**Location:** 
 New York, NY
**Position Type:** 
 Full‑Time
 A well‑capitalized, global investment platform is building a next‑generation equity multi‑strategy fund and is seeking a
 **Data Scientist** 
 to directly support a very successful fundamental equities PM and their expanding team. This is a unique opportunity to join a growing platform at an inflection point and help shape its analytical, data, and AI capabilities from the ground up.
 Role Overview
 The Data Scientist will work directly with Portfolio Managers across fundamental, quantitative, and event‑driven strategies. This role blends hands‑on analytics, tool‑building, data engineering, and applied AI \- supporting both day‑to‑day investment questions and the scaling of firm‑wide research infrastructure. The ideal candidate is technical, collaborative, and energized by a fast‑moving environment where responsibilities evolve as the platform grows.
**Key Responsibilities:** 
***Investment Partnering \&amp; Analytics***
* Collaborate and advise directly with PMs to frame investment questions as structured analytical problems.
* Build bespoke analyses to support idea validation, factor/driver exploration, and portfolio construction.
* Provide rapid, high‑quality analytical support for PM‑driven requests.
*Tool \&amp; Platform Development* 
* Develop scalable, reusable research tools, dashboards, and analytical frameworks.
* Enhance and maintain existing investment analytics infrastructure.
* Build intuitive tooling that allows PMs to independently explore data and insights.
***Data Science \&amp; Engineering***
* Work with large, diverse datasets (market data, fundamentals, alternative data, internal sources).
* Build models, signals, and statistical analyses using modern quantitative techniques.
* Ensure data quality, robustness, and reproducibility.
* Partner with engineering teams to productionize analytics when appropriate.
*AI \&amp; Emerging Technology Integration* 
* Research and integrate emerging AI tools.
* Design prompts and workflows that improve research speed, quality, and efficiency.
* Build internal tools that leverage AI while adhering to security and governance constraints.
***Communication \&amp; Collaboration***
* Clearly articulate methods, assumptions, and insights to PMs and senior stakeholders.
* Document tools, workflows, and best practices for broader adoption.
* Work cross‑functionally within a multi‑strategy investment environment.
**Qualifications:** 
* 3\-7 years of full\-time experience in data science, quantitative research/analysis
 **from a top hedge fund or trading firm** 
 .
* **Top 50** 
 degree in Computer Science, Data Science, Statistics, Engineering, or a similar quantitative discipline.
* Strong proficiency in Python and common data science libraries.
* Experience with financial or market data; equities experience is very much preferred.
* Proven ability to build tools used by non‑technical end users.
* Hands‑on experience with AI/LLM tools, including prompt design and workflow integration.
* Strong communication skills and comfort working directly with PMs.
* Experience supporting multiple PMs or strategies in a platform model is a plus.
* Familiarity with dashboards, visualization tools, cloud environments, APIs, and production data pipelines.
**Why This Role** 
* Join an emerging, well‑funded multi‑strategy fund at the ground level.
* Meaningfully influence the analytical and AI foundation of the firm.
* Work directly with senior investors in a high‑ownership, low‑bureaucracy environment.
* A role with defined core responsibilities \- but also
 **flexibility to expand based on your strengths** 
 as the platform scales.
 If this is a strong fit, apply now! All applications are confidential and protected.
 \*Candidates will ideally be based in NYC\*
 \*No contractors\*</t>
        </is>
      </c>
    </row>
    <row r="9">
      <c r="A9" t="inlineStr">
        <is>
          <t>li-4313399643</t>
        </is>
      </c>
      <c r="B9" t="inlineStr">
        <is>
          <t>Data Scientist, Product</t>
        </is>
      </c>
      <c r="C9" t="inlineStr">
        <is>
          <t>OpenAI</t>
        </is>
      </c>
      <c r="D9" t="inlineStr">
        <is>
          <t>linkedin</t>
        </is>
      </c>
      <c r="E9" t="inlineStr"/>
      <c r="F9" t="inlineStr"/>
      <c r="G9" t="inlineStr">
        <is>
          <t>San Francisco, CA</t>
        </is>
      </c>
      <c r="H9" t="inlineStr"/>
      <c r="I9" t="inlineStr">
        <is>
          <t>**About The Team**
 Our Applied team brings OpenAI technologies to consumers and businesses around the world. We collaborate across research, engineering, design and business functions to turn cutting\-edge AI advancements into impactful real\-world applications. Our team has been behind notable product launches (ChatGPT, API, Sora), creating tools that help developers write code, enable businesses to operate more efficiently, and empower individuals to learn and create. As AI capabilities rapidly evolve, we focus on ensuring that our products are safe, accessible, and beneficial to all.
**About The Role**
 As a Data Scientist on the Applied Product team, you will contribute to a data\-driven product development culture for consumer and enterprise products at OpenAI. This is critical as our products reach millions of users and businesses worldwide. We are focused on aligning both research and product development to drive measurable impact for these individuals and organizations alike.
 You should expect to define our north\-star metrics, design A/B tests, and establish source\-of\-truth dashboards that the entire company can use to answer their own product questions. Most importantly, you should expect to be a core member of the product development team.
 This role is based in San Francisco, CA or Seattle, WA. We use a hybrid work model of 3 days in the office per week and offer relocation assistance to new employees.
**In This Role, You Will**
* Embed with the product development team as a trusted partner, uncovering new ways to improve the product and drive growth
* Define and interpret A/B tests that help answer critical questions about the impact of model and UX changes to our product
* Establish a data\-driven product development culture by defining, tracking, and operationalizing feature\-, product\-, and company\-level metrics
* Develop and socialize dashboards, reports, and other ways of enabling the team and company to answer product data questions in a self\-serve way
**You Might Thrive In This Role If You Have**
* 5\+ years experience in a quantitative role navigating highly ambiguous environments, ideally as an early data scientist or product analyst at a hyper\-growth product company or research org
* Proposed, designed, and run rigorous experiments with clear insights and product recommendations utilizing SQL and Python
* Defined, implemented, and operationalized new feature and product\-level metrics from scratch
* Excellent communication skills with demonstrated ability to communicate with product managers, engineers, and executives alike
* Strategic insights beyond the paradigm of statistical significance testing
**You could be an especially great fit if you have:**
* Strong programming background, with ability to run simulations and prototype variants
* Experience validating quantitative insights with qualitative methods (e.g. surveys, UXR)
* Demonstrated prior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0">
      <c r="A10" t="inlineStr">
        <is>
          <t>li-4368679459</t>
        </is>
      </c>
      <c r="B10" t="inlineStr">
        <is>
          <t>Data scientist with Python and AI/ML consultant.</t>
        </is>
      </c>
      <c r="C10" t="inlineStr">
        <is>
          <t>Accord Technologies Inc</t>
        </is>
      </c>
      <c r="D10" t="inlineStr">
        <is>
          <t>linkedin</t>
        </is>
      </c>
      <c r="E10" t="inlineStr"/>
      <c r="F10" t="inlineStr"/>
      <c r="G10" t="inlineStr">
        <is>
          <t>Alpharetta, GA</t>
        </is>
      </c>
      <c r="H10" t="inlineStr"/>
      <c r="I10" t="inlineStr">
        <is>
          <t>**Title: Data Scientist with Python and AI/ML consultant.
 Location: Alpharetta, GA (100% onsite)
 Inperson interview required**
**Position type; W2 contract**
 We are looking for a talented
 **Data Scientist with Python and AI/ML expertise** 
 to build predictive models, deploy machine learning solutions, and deliver advanced analytics across enterprise platforms. The role focuses on transforming data into actionable business insights using modern AI techniques.
**Key Responsibilities**
* Develop and deploy machine learning models using Python.
* Perform data exploration, feature engineering, and model evaluation.
* Build AI/ML solutions for prediction, classification, NLP, and recommendation systems.
* Work with large datasets using SQL, Pandas, NumPy, Spark.
* Implement deep learning models using TensorFlow / PyTorch.
* Develop NLP pipelines using spaCy, NLTK, HuggingFace.
* Collaborate with product and engineering teams to operationalize models (MLOps).
* Monitor model performance and retrain as required.
* Create dashboards and presentations for stakeholders.
* Support experimentation and A/B testing frameworks.
**Required Skills**
* Strong proficiency in Python for data science and ML.
* Experience with Scikit\-learn, TensorFlow, PyTorch.
* Strong knowledge of statistics, probability, and linear algebra.
* Experience with SQL and big data tools (Spark, Hadoop).
* Hands\-on experience with NLP, computer vision, or recommendation systems.
* Knowledge of MLOps, CI/CD for ML models.
* Experience deploying models in cloud environments (AWS/Azure/GCP).</t>
        </is>
      </c>
    </row>
    <row r="11">
      <c r="A11" t="inlineStr">
        <is>
          <t>li-4368246323</t>
        </is>
      </c>
      <c r="B11" t="inlineStr">
        <is>
          <t>Generative AI Data Scientist</t>
        </is>
      </c>
      <c r="C11" t="inlineStr">
        <is>
          <t>Fractal</t>
        </is>
      </c>
      <c r="D11" t="inlineStr">
        <is>
          <t>linkedin</t>
        </is>
      </c>
      <c r="E11" t="inlineStr"/>
      <c r="F11" t="inlineStr"/>
      <c r="G11" t="inlineStr"/>
      <c r="H11" t="inlineStr"/>
      <c r="I11"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**Job Summary** 
 We are seeking a seasoned AI Data Scientist to lead our efforts in leveraging Generative AI and advanced analytics to optimize lead generation strategies. This role blends deep technical expertise in machine learning and AI with strategic leadership and business acumen. You will guide cross\-functional teams to build intelligent systems that enhance customer acquisition, personalize outreach, and improve conversion rates.
**Key Responsibilities** 
**Strategic Leadership** 
* Lead AI\-driven initiatives focused on lead generation, customer segmentation, and personalization.
* Translate business goals into data science strategies and scalable solutions.
* Mentor junior data scientists and foster a culture of innovation and experimentation.
**Technical Execution** 
* Design and deploy ML models for lead scoring, churn prediction, and campaign optimization.
* Develop GenAI\-powered tools (e.g., LLM\-based chatbots, content generators) to support marketing and sales.
* Build and maintain robust data pipelines and ML workflows using cloud platforms (AWS, Azure, GCP).
**Cross\-functional Collaboration** 
* Work closely with marketing, sales, and product teams to align AI solutions with business needs.
* Present insights and model outcomes to stakeholders in a clear, actionable manner.
* Ensure compliance with data governance, privacy, and ethical AI standards.
**Required Qualifications** 
* Master’s or Ph.D. in Computer Science, Data Science, Statistics, or related field.
* 10\+ years of experience in data science, with at least 3 years in a leadership role.
* Proven track record in deploying AI/ML solutions for lead generation or customer acquisition.
* Expertise in Python, R, SQL, and ML frameworks (TensorFlow, PyTorch, Scikit\-learn).
* Experience with GenAI technologies (LLMs, retrieval\-augmented generation, prompt engineering).
* Strong understanding of marketing funnels, CRM systems, and customer lifecycle analytics.
**Preferred Skills** 
* Familiarity with tools like Salesforce, HubSpot, Marketo, or similar.
* Experience with A/B testing, causal inference, and uplift modeling.
* Knowledge of data visualization tools (Tableau, Power BI).
* Excellent communication and stakeholder management skills.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$165,000 \- $198,000\.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12">
      <c r="A12" t="inlineStr">
        <is>
          <t>li-4368662441</t>
        </is>
      </c>
      <c r="B12" t="inlineStr">
        <is>
          <t>Data Scientist</t>
        </is>
      </c>
      <c r="C12" t="inlineStr">
        <is>
          <t>Hirenza</t>
        </is>
      </c>
      <c r="D12" t="inlineStr">
        <is>
          <t>linkedin</t>
        </is>
      </c>
      <c r="E12" t="inlineStr"/>
      <c r="F12" t="inlineStr"/>
      <c r="G12" t="inlineStr"/>
      <c r="H12" t="inlineStr"/>
      <c r="I12" t="inlineStr">
        <is>
          <t>**About The Company**
 Guidehouse is a leading global consulting firm dedicated to providing innovative solutions to complex challenges across various industries. With a focus on data\-driven strategies, technology integration, and operational excellence, Guidehouse empowers organizations to achieve their strategic objectives and drive sustainable growth. Committed to diversity, equity, and inclusion, the company fosters a collaborative environment where talent thrives and ideas flourish. Recognized for its expertise in consulting services, Guidehouse serves a broad spectrum of clients including government agencies, commercial enterprises, and non\-profit organizations, delivering impactful results through tailored solutions and cutting\-edge insights.
**About The Role**
 We are seeking a highly skilled Data Scientist to join our dynamic Data and Analytics consulting team. In this high\-visibility role, you will be instrumental in helping clients unlock the full potential of their data assets. Your expertise will enable organizations to develop robust data strategies, implement advanced analytics, and leverage artificial intelligence to make informed decisions. You will lead efforts in designing, developing, and maintaining data models and analytics solutions, ensuring they align with client objectives and industry best practices. The role requires excellent communication skills to effectively interface with clients, subject matter experts, and internal teams, fostering collaborative relationships and driving project success. As part of our team, you will contribute to business development initiatives, participate in strategic planning, and help shape the future of data\-driven decision\-making within our client organizations.
**Qualifications**
 The ideal candidate will possess an active and maintained Top Secret SCI clearance with a full\-scope polygraph, along with a strong educational background and practical experience. A bachelor’s degree in a relevant field such as Data Science, Computer Science, Statistics, Mathematics, or Engineering is required. Candidates should have at least three years of experience in data science, analytics, or visualization, demonstrating proficiency in data cleaning, manipulation, and analysis using tools like Python, SQL, R, and Tableau. Experience in developing dashboards, reports, and business intelligence solutions is essential. Candidates must also have excellent problem\-solving skills, a collaborative mindset, and the ability to communicate complex technical concepts clearly to diverse audiences.
**Responsibilities**
* Coordinate and lead internal teams to ensure project milestones and client objectives are met efficiently and effectively.
* Engage with clients to understand their analytics needs, recommend technical solutions, and develop models that support high\-confidence decision\-making.
* Collaborate with subject matter experts to design, validate, and deploy analytics capabilities that align with client goals and operational requirements.
* Develop, test, and maintain data assets, including data pipelines, databases, and models, ensuring data integrity and security.
* Create comprehensive dashboards and reports using visualization tools such as Tableau to enable actionable insights for clients.
* Participate in business development activities by identifying new opportunities, preparing proposals, and supporting client presentations.
* Stay current with industry trends, emerging technologies, and best practices in data science and analytics to continuously enhance service delivery.
**Benefits**
 Guidehouse offers a competitive and comprehensive benefits package designed to support the well\-being and professional growth of our employees. Benefits include medical, dental, vision, and prescription drug coverage, along with flexible spending accounts and health savings accounts. We provide paid time off, holidays, and parental leave to support work\-life balance. Employees may be eligible for discretionary performance bonuses and participate in our 401(k) retirement plan with company matching. Additional perks include tuition reimbursement, professional development opportunities, skills certifications, and employee referral programs. We also offer community engagement initiatives, emergency childcare programs, mobility stipends, and other wellness benefits aimed at fostering a supportive and inclusive workplace environment.
 Equal Opportunity
 Guidehouse is an Equal Opportunity Employer committed to fostering a diverse and inclusive workplace. We welcome applications from all qualified individuals, including protected veterans, persons with disabilities, and candidates from all backgrounds. We adhere to all applicable laws and regulations regarding equal employment opportunity and do not discriminate based on race, color, religion, gender, sexual orientation, national origin, age, or any other protected characteristic. Our recruitment and employment practices are designed to ensure fairness and equity, and we are dedicated to creating an environment where every employee can thrive and contribute to our collective success.</t>
        </is>
      </c>
    </row>
    <row r="13">
      <c r="A13" t="inlineStr">
        <is>
          <t>li-4368691315</t>
        </is>
      </c>
      <c r="B13" t="inlineStr">
        <is>
          <t>Data Scientist II (US)</t>
        </is>
      </c>
      <c r="C13" t="inlineStr">
        <is>
          <t>TD Securities</t>
        </is>
      </c>
      <c r="D13" t="inlineStr">
        <is>
          <t>linkedin</t>
        </is>
      </c>
      <c r="E13" t="inlineStr"/>
      <c r="F13" t="inlineStr"/>
      <c r="G13" t="inlineStr">
        <is>
          <t>New York, NY</t>
        </is>
      </c>
      <c r="H13" t="inlineStr"/>
      <c r="I13" t="inlineStr">
        <is>
          <t>**Work Location:**
 New York, New York, United States of America
**Hours**
 40
**Pay Details**
 $76,290 \- $125,260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**Department Overview:**
**Why Work with Us?**
 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
**The Ideal Candidate**
 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
 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
 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
 The Fair Banking Compliance team oversees the governance and analytical processes to assure that predictive models and lending practices are fair and responsible. The Fair Banking Compliance analytics team is seeking a qualified Data Scientist II who will perform the quantitative analysis, model development, model review and related research to meet the business requirements of the team. This is a critical role in the oversight and review of models to ensure fair banking compliance. The incumbent of this role must have a strong working knowledge of building quantitative models, performing data analysis, recommending statistical tests, researching metrics and presenting results of data analysis. The role requires excellent verbal and written communication skills to communicate effectively with business partners.
**Key Responsibilities**
* Develop\\Review models (traditional regressions as well as AI/ML based) to ensure fair banking compliance
* Perform quantitative analysis to identify fair lending risks
* Identify potential alternative ways to mitigate fair lending bias arising from models/policies
* Develop specialized analytical tools for projects or ongoing use
* Compile and generate ad\-hoc analytical reports
* Lead research efforts, applying expertise in statistical analysis and modeling
* Provide advisory support to line of business model owners regarding best practices for compliance guided by policies and industry standards/methods
* Lead cross\-functional teams or projects with significant complexity
* Independently manage end\-to\-end functional programs
* Use sophisticated analytical mindset to exercise judgement and identify solutions
* Communicate complex results to non\-technical audience
* Work autonomously as the lead and guide others within the area of expertise
* Independently handle multiple projects and prioritize based on changing business needs
**The above details are specific to the role which is outlined in the general description below. Please review the preferred background and experience section below in as you consider this opportunity.**
**Job Description Summary**
 The Data Scientist 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Experienced professional role providing specialized guidance/assistance to function supported
* Focuses on short to medium\-term non\-routine specialized/ fewer complex issues and/or initial escalated matters
* Independently perform activities from end\-to\-end
**Education \&amp; Experience**
* Undergraduate degree or advanced technical degree preferred (e.g., math, physics, engineering, finance or computer science) Graduate's degree preferred with either progressive project work experience, or;
* Past relevant work experience is a plus
**Desired Skills And Experience**
* Graduate degree in a quantitative field is a plus. Research experience is a plus.
* 2\+ years of relevant work experience within a big bank.
* Demonstrated experience in development of predictive models using Python
* In\-depth knowledge of quantitative models and statistical analysis,
* Experience working with AI/ML based models. Proficiency in Python to be able to code multi objective optimization algorithms and display charts.
* Experience working with databases/datasets and data visualization tools (Tableau/Power BI)
* Strong communications skills, both written and verbal. Strong presentation skills
* Strong interpersonal and consultative communication skills with well\-developed presentation skills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Contributes to various operational activities and processes as assigned
* Is knowledgeable of practices and procedures within own area of responsibility and keeps abreast of emerging trends for own functional area
* Monitors service, productivity and assesses efficiency levels within own function and implements continuous process/performance improvements where opportunities exist
* Acquires and applies expertise in the discipline, provides guidance, assistance and direction to others
* Identifies, recommends and effectively executes standard practices applicable to the discipline
* Adheres to internal policies/procedures and applicable regulatory guidelines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Supports the team by continuously enhancing knowledge/expertise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4">
      <c r="A14" t="inlineStr">
        <is>
          <t>li-4368810703</t>
        </is>
      </c>
      <c r="B14" t="inlineStr">
        <is>
          <t>Senior Data Scientist- Pricing &amp; Underwriting</t>
        </is>
      </c>
      <c r="C14" t="inlineStr">
        <is>
          <t>Alt</t>
        </is>
      </c>
      <c r="D14" t="inlineStr">
        <is>
          <t>linkedin</t>
        </is>
      </c>
      <c r="E14" t="inlineStr"/>
      <c r="F14" t="inlineStr"/>
      <c r="G14" t="inlineStr"/>
      <c r="H14" t="inlineStr"/>
      <c r="I14"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As a Pricing Data Scientist, you will be the architect of the logic behind the Alt Value, Alt’s core pricing model. You will research, design, and validate the science and models that will price millions of alternative assets in real\-time. This role is highly collaborative; you will work alongside Expert Pricers to translate human intuition into mathematical features and partner with Data and ML Engineers to bring those models to life at scale.
**What You'll Do Here**
* Research, develop, and ship sophisticated pricing models (e.g. Tree\-based, Gradient\-based, Deep Learning, ensemble methods) to improve valuation accuracy for high\-value assets.
* Identify new data signals — emanating from data such as auction results to social sentiment — and validate their predictive power through rigorous backtesting and experimentation.
* Partner with the Product Engineering team to refine our Risk \&amp; Underwriting models, balancing the goal of maximizing cash advances with the need to maintain a balanced lending portfolio.
* Collaborate with the Expert Pricing team and domain experts to encode market nuances into automated features and inferences, ensuring our models respect the qualitative factors collectors care about.
* Define, monitor, and lift model performance metrics and communicate the "why" behind price coverage, movements, and freshness toward becoming the ultimate liquidity platform.
**This is a perfect fit if you...**
* Are deeply curious about how value is assigned to unique, non\-traditional, and conventionally “illiquid” asset classes.
* Are a hands\-on individual contributor who thrives in a zero\-to\-one startup environment.
* Are a product\-minded builder who wants to see their work deployed in a user\-facing production application.
**What You Bring To The Table**
* 5\+ years of experience in Data Science, with a focus on feature engineering and algorithm/model\-building in the pricing, financial modeling, or marketplace dynamics domains.
* Expert\-level proficiency in SQL, Python, and populate Python libraries (Pandas, Scikit\-Learn, XGBoost/LightGBM, PyTorch/Tensforflow).
* Statistical rigor and deep understanding of experimental design, backtesting methodologies, and dealing with "noisy" or sparse data environments.
* Collaborative experience working in a sprint\-based environment alongside Data and ML Engineers; you understand enough about model hand\-offs and quality code to ensure your models are efficient and readily "production\-capable".
* Proficient in developing in cloud environments (AWS, GCP) and familiarity with ML Ops infrastructure (e.g. MLFlow, workflow and container orchestration, deployment and telemetry patterns).
* Advanced degree (Master’s or PhD) in a quantitative field such as Statistics, Economics, Mathematics, or Computer Science is preferred.
**Compensation: $200,000**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t>
        </is>
      </c>
    </row>
    <row r="15">
      <c r="A15" t="inlineStr">
        <is>
          <t>li-4368805213</t>
        </is>
      </c>
      <c r="B15" t="inlineStr">
        <is>
          <t>Marketing Data Scientist</t>
        </is>
      </c>
      <c r="C15" t="inlineStr">
        <is>
          <t>SoFi</t>
        </is>
      </c>
      <c r="D15" t="inlineStr">
        <is>
          <t>linkedin</t>
        </is>
      </c>
      <c r="E15" t="inlineStr"/>
      <c r="F15" t="inlineStr"/>
      <c r="G15" t="inlineStr">
        <is>
          <t>San Francisco, CA</t>
        </is>
      </c>
      <c r="H15" t="inlineStr"/>
      <c r="I1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Data Scientist to join the Marketing Data Science (MDS) team. The MDS team plays a crucial role in enabling data\-driven decisions across SoFi's Marketing organization through robust analytics, modeling, experimentation, and measurement.
 This exciting new role will support the development and ongoing operation of an automated, end\-to\-end marketing offer measurement and reporting framework that tracks offer setup, execution, fulfillment, and post\-campaign validation across all products. The work produced by this role directly supports accurate offer execution, operational monitoring, and compliance readiness.
 The position will partner closely with a senior position on the same project area, focusing primarily on execution, implementation, and day\-to\-day reliability of offer reporting systems. This role is ideal for someone who enjoys building and maintaining high\-quality data products, working within established frameworks, and collaborating across teams to ensure consistent and accurate reporting.
**What you’ll do:**
* Build and maintain automated offer campaign reporting pipelines, dashboards, and datasets under the guidance of a senior IC3\..
* Implement standardized logic for offer eligibility, fulfillment tracking, and payout validation across marketing campaigns.
* Perform routine monitoring and data quality checks to ensure offer execution and fulfillment data is accurate, complete, and timely.
* Investigate and help resolve data discrepancies, delays, or failures related to offer reporting and fulfillment tracking.
* Support ongoing maintenance and enhancements of self\-serve dashboards used by Marketing, Product, and Compliance stakeholders.
* Assist with time\-sensitive or non\-standard offer reporting needs by extending existing reporting frameworks.
* Contribute to documentation of data definitions, business logic, and reporting processes to ensure transparency and consistency.
* Collaborate with Marketing, Product, Engineering, and Compliance partners to gather requirements and validate reporting outputs.
**What you’ll need:**
* Bachelor’s degree in Computer Science, Mathematics, Statistics, Engineering, or a related quantitative field.
* 2–4 years of experience in data science, analytics, or data engineering roles supporting marketing, growth, or product analytics.
* Strong proficiency in SQL and working knowledge of Python for data analysis and pipeline development.
* Experience building or maintaining dashboards and self\-serve reporting solutions (e.g., Tableau or similar BI tools).
* Familiarity with modern data stacks and workflow tools such as dbt, Airflow, and cloud data warehouses (e.g., Snowflake), or a strong willingness to learn.
* Experience working with structured datasets and applying consistent business logic across reporting outputs.
* Ability to follow established standards while contributing thoughtful improvements to data quality, efficiency, and maintainability.
* Strong attention to detail and comfort working with operational data that requires high accuracy.
* Clear communication skills and the ability to collaborate effectively with cross\-functional, non\-technical partners.
* Curiosity, reliability, and a growth mindset, with interest in developing toward greater ownership over time.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
      <c r="A16" t="inlineStr">
        <is>
          <t>li-4278528600</t>
        </is>
      </c>
      <c r="B16" t="inlineStr">
        <is>
          <t>Jr. Data Scientist - Austin, Jr. Developer Program</t>
        </is>
      </c>
      <c r="C16" t="inlineStr">
        <is>
          <t>Amazon</t>
        </is>
      </c>
      <c r="D16" t="inlineStr">
        <is>
          <t>linkedin</t>
        </is>
      </c>
      <c r="E16" t="inlineStr"/>
      <c r="F16" t="inlineStr"/>
      <c r="G16" t="inlineStr">
        <is>
          <t>Austin, TX</t>
        </is>
      </c>
      <c r="H16" t="inlineStr"/>
      <c r="I16" t="inlineStr">
        <is>
          <t>**Description**
 The Jr. Data Scientist role is a unique employment opportunity for students seeking to gain on\-the\-job data science \&amp; analytics experience and receive excellent mentoring while completing their education. Jr. Data Scientists are immersed in an Amazon team and work on exciting, meaningful projects that impact real Amazon customers. Paired 1:1 with an Amazon Jr. Data Science Mentor, Jr. Data Scientists receive guidance and support in all aspects of their role: skill development, career advisement, project collaboration, and more! Upon successful completion of the Jr. Data Scientist Program, the opportunity for full\-time employment may be available at an Amazon corporate site.
 The Jr. Data Scientist role is part of the Jr Developer Program, a unique internship program in several respects:
* We offer employment year\-round, part\-time (16 hrs/week) while in school and full\-time (40hrs/week) during summer. Working schedules are flexible and can be re\-arranged each quarter to accommodate class schedules.
* We offer excellent mentoring. Our full\-time data scientists, applied scientists and business intelligence engineers are willing and able to mentor exceptional student data scientists, applied scientists and BIEs.
* Jr. Data Scientists are given responsibilities and roles that prepare them to enter the workforce after graduation with “real world” data science and analytics experience.
 Jrs. who participate in the Jr. Developer Program routinely acknowledge the valuable learning experience created by the uniform excellence of their teams, mentoring offered by experienced Amazonians, and the challenge of being a principal contributor to science and software products.
 Key job responsibilities
* Create pipelines for reports, analyze massive\-scale data, leverage knowledge in machine learning, advanced analytics, metrics, reporting, and analytic tooling/languages like SQL, Excel, and others, to analyze and translate the data into meaningful insights; make sense of the results and be able to explain what it all means to key stakeholders like scientists, product managers, and engineers.
* Analyze large amounts of data, discover and solve real world problems and build metrics and business cases around key performance of this program.
* Use a customer backwards approach in deriving insights and identifying actions we can take to improve the customer experience and conversion for the program.
**Basic Qualifications**
* Currently enrolled in an accredited college or university Master's program.
* Majoring in Data Science, Computer Science, or a related STEM discipline.
* Graduating in June 2027 and beyond.
* Ability to work year\-round: part\-time during the school year and full\-time during the summer.
* This role is not offered as remote or hybrid and working hours must be conducted in our corporate office in Austin, TX.
* Living within commutable distance to Austin, TX.
**Preferred Qualifications**
* Previous technical internship(s).
* Effectively articulate technical challenges and solutions.
* Adept at handling ambiguous or undefined problems as well as ability to think abstractly.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$16\.83/hr in our lowest geographic market up to $75\.63/hr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A3048199</t>
        </is>
      </c>
    </row>
    <row r="17">
      <c r="A17" t="inlineStr">
        <is>
          <t>li-4368253207</t>
        </is>
      </c>
      <c r="B17" t="inlineStr">
        <is>
          <t>Data Scientist</t>
        </is>
      </c>
      <c r="C17" t="inlineStr">
        <is>
          <t>Horace Mann</t>
        </is>
      </c>
      <c r="D17" t="inlineStr">
        <is>
          <t>linkedin</t>
        </is>
      </c>
      <c r="E17" t="inlineStr"/>
      <c r="F17" t="inlineStr"/>
      <c r="G17" t="inlineStr"/>
      <c r="H17" t="inlineStr"/>
      <c r="I17" t="inlineStr">
        <is>
          <t>**Overall Objective:**
 To drive actionable insights and inform corporate strategies through the use of analytics, GenAI, advanced modeling, data mining, and market intelligence.
**Key Skills:**
* ****Strong Communication:****
  Demonstrates strong communication skills with a basic understanding of project management principles.  Ability to share updates with team members and manager clearly and concisely, with flexibility in discussions around project scope and deliverables.
* ****Data Visualization:****
  Ability to visualize data effectively to support clear insights and decision\-making.
* ****Analysis:****
  Proficiency in leveraging data and statistical modeling to identify, create, and solve business opportunities.
* ****GenAI and Machine Learning:****
   Some proficiency in GenAI and machine learning techniques to identify, create, and solve business opportunities. Shows a strong desire to build foundational skills first and demonstrates flexibility in selecting appropriate methods.
* ****Technical Data Proficiency:****
  Ability to work with data using programming languages (SQL, Python) and a solid understanding of relational data and data tools.
* ****Coding Skills:****
  Demonstrates the ability to write production\-ready code in Python that is modular, efficient, and well\-documented.
* ****BI Tools:****
  Experience developing dashboards preferred with Python\-based tools (PowerBI experience is a plus).
* ****Project Drive:****
 Demonstrates a desire to learn and own project workstreams with a GenAI/Data Science focus to positively impact business outcomes.
* ****Inquisitive Mindset:****
  Possesses an inquisitive mindset and a desire to delve into the details while maintaining a focus on business impact and practical solutions.
* ****Collaboration:****
 Capable of both independent work and collaboration within projects and cross\-functional teams to achieve targeted outcomes and drive shared success.
**Preferred education/experience: OR Required education**
* Master’s degree or higher in data science related areas (statistics, applied economics, data science)
* 2\+ years of professional analytical experience preferred
* 2\+ years of P\&amp;C or Life/Retirement experience preferred
 Salary Range:
 $89,800\.00 \- $125,500\.00  
 Salary is commensurate to experience, location, etc.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18">
      <c r="A18" t="inlineStr">
        <is>
          <t>li-4368806062</t>
        </is>
      </c>
      <c r="B18" t="inlineStr">
        <is>
          <t>Data Scientist</t>
        </is>
      </c>
      <c r="C18" t="inlineStr">
        <is>
          <t>Amgen</t>
        </is>
      </c>
      <c r="D18" t="inlineStr">
        <is>
          <t>linkedin</t>
        </is>
      </c>
      <c r="E18" t="inlineStr"/>
      <c r="F18" t="inlineStr"/>
      <c r="G18" t="inlineStr">
        <is>
          <t>New Albany, OH</t>
        </is>
      </c>
      <c r="H18" t="inlineStr"/>
      <c r="I1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**Data Scientist**
**What you will do and what we expect of you**
 Let’s do this. Let’s change the world. In this vital role you will:
**Duties:** 
 Coordinate with multi\-department leaders to define and develop key performance metrics for safety, quality, manufacturing, and supply chain within the Digital Control Tower (DCT); Extract, process, and analyze data from SAP, MES, LIMS, Rapid Response, and other operational systems; Utilize Databricks including SQL and Python to map and integrate data from multiple sources for multi\-project usage; Work with large\-scale data repositories including data lake and data fabric to harmonize and structure complex operational data; Develop statistical models and simulations to analyze manufacturing processes and predict performance outcomes; Support future projects, such as building machine learning models for IIOT\-based predictive maintenance, minimizing shutdown risks, and optimizing preventive maintenance strategies; Co\-design and enhance the Digital Control Tower (DCT) by integrating GenAI and real\-time data for improved operational efficiency; Write User Acceptance Testing (UAT) scripts and conduct testing to ensure software solutions meet business requirements; Work closely with external consulting firms to align on data integration and process improvements; and Routinely engage with internal stakeholders to gather user feedback for continuous tool development and improvement. May telecommute.
**Requirements:** 
 Master’s degree (or foreign equivalent) in Business Administration, Data Analytics, Data Science or related field \&amp; completion of a university\-level course, research project, internship, thesis, or one year of experience involving the following:
* Analyzing manufacturing, supply chain, and engineering data;
* Working with unstructured and structured data sets, integrating data from multiple sources, and developing data\-driven models;
* Programming tools for Databricks including SQL and Python, and cloud platforms including AWS and Azure;
* Tableau, Spotfire, or Power BI;
* Relational databases and operating systems including: SAP, MES, LIMS, and Rapid Response;
* Databricks for automating workflows and optimizing processes;
* Developing production simulations and predictive maintenance models for IIOT applications;
* AI/ML techniques for predictive analytics and operational improvements;
* Developing simulations to model manufacturing processes and operational outcomes; and
* Writing and executing UAT scripts for software tools.
**Contact:** 
 Interested candidates please apply via https://careers.amgen.com/en/search\-jobs and search for job \# R\-225146\.
 Job type: Full Time position. The annual salary range for this position in the U.S. is $106,488\.00 \- $133,117\.00 per year. Also, this position offers stock, retirement, medical, life and disability insurance and eligibility for an annual bonus or for sales roles, other incentive compensation. For more details visit 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19">
      <c r="A19" t="inlineStr">
        <is>
          <t>li-4333711005</t>
        </is>
      </c>
      <c r="B19" t="inlineStr">
        <is>
          <t>Senior Data Scientist - CMX</t>
        </is>
      </c>
      <c r="C19" t="inlineStr">
        <is>
          <t>CVS Health</t>
        </is>
      </c>
      <c r="D19" t="inlineStr">
        <is>
          <t>linkedin</t>
        </is>
      </c>
      <c r="E19" t="inlineStr"/>
      <c r="F19" t="inlineStr"/>
      <c r="G19" t="inlineStr">
        <is>
          <t>New York, NY</t>
        </is>
      </c>
      <c r="H19" t="inlineStr"/>
      <c r="I1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a Sr. Data Scientist at CMX, you will lead the development and deployment of cutting\-edge Generative AI (GenAI) solutions within one of the largest health\-aligned enterprise ecosystems. This role focuses on building scalable, production\-grade systems using Python and modern frameworks, with applications such as Retrieval\-Augmented Generation (RAG) and intelligent agents. You will work at the intersection of data science, engineering, and MLOps, collaborating with stakeholders to clarify requirements and deliver impactful solutions that enhance patient and consumer experiences.
**Key Responsibilities** 
 In this role, you will:
* Design and implement GenAI solutions, including RAG pipelines and agent\-based systems, for enterprise\-scale applications.
* Build and optimize backend systems using Python and frameworks like FastAPI, ensuring robust and efficient deployments.
* Collaborate with data engineering and MLOps teams to integrate models into production workflows.
* Work consultatively with stakeholders to understand business needs, present results, and guide technical decisions.
* Contribute to best practices for coding standards, workflow efficiency, and distributed computing
**Required Qualifications** 
* 3\+ years of coding experience (primarily on Python).
* 3\+ years of experience in backend systems development (FastAPI experience is a plus).
* Proven track record of building and deploying GenAI solutions (e.g., RAG pipelines, agent\-based systems).
* Hands\-on experience with GenAI frameworks such as LangChain, LangGraph, or similar.
* Experience working in cloud environments (GCP, Azure, or AWS).
* Strong collaboration skills and ability to thrive in agile team settings.
* Ability to communicate technical concepts effectively to stakeholders.
**Preferred Qualifications** 
* Experience integrating GenAI solutions and agentic design into enterprise workflows.
* Exposure to MLOps practices and tools (e.g., Jenkins, Docker)
* Experience in Front End development
* Experience in Ad\-tech is a plus
**Education** 
* Master’s degree or equivalent work experience in a relevant field.
* PhD preferred.
**Anticipated Weekly Hours** 
 40
**Time Type** 
 Full time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20">
      <c r="A20" t="inlineStr">
        <is>
          <t>li-4368638650</t>
        </is>
      </c>
      <c r="B20" t="inlineStr">
        <is>
          <t>Senior Data Scientist – Agentic AI &amp; Decision Intelligence</t>
        </is>
      </c>
      <c r="C20" t="inlineStr">
        <is>
          <t>CVS Health</t>
        </is>
      </c>
      <c r="D20" t="inlineStr">
        <is>
          <t>linkedin</t>
        </is>
      </c>
      <c r="E20" t="inlineStr"/>
      <c r="F20" t="inlineStr"/>
      <c r="G20" t="inlineStr">
        <is>
          <t>Woonsocket, RI</t>
        </is>
      </c>
      <c r="H20" t="inlineStr"/>
      <c r="I2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**Sr. Data Scientist – Agentic AI \&amp; Decision Intelligence** 
 to pioneer the next generation of analytics and data driven decision\-making. This role will focus on
 **building and scaling agentic AI frameworks, conversational analytics, and decision intelligence systems** 
 that transform how our business interacts with data. You will design and execute a
 **customer\-centric analytics strategy** 
 powered by AI agents, LLMs, and generative AI, ensuring insights are not just delivered, but acted upon. This is a highly visible role where you will contribute to the
 **vision, strategy, and** 
 own the
 **execution of AI\-driven decision systems** 
 , positioning the organization at the forefront of intelligent business analytics.
**Required Qualifications** 
* 3\+ years of experience in advanced analytics, decision science, applied AI/ML
* Strong programming skills in Python and SQL, with experience deploying AI systems in cloud environments (GCP, AWS, or Azure).
* Deep expertise in at least one area of advanced modeling: predictive analytics, reinforcement learning, NLP, or causal inference.
* Proven ability to translate complex AI concepts into business impact, including stakeholder alignment and business value sizing.
* Experience leading end\-to\-end AI\-driven solution delivery: from data foundation to model orchestration to front\-end adoption.
* Hands\-on experience with LLMs, generative AI, or conversational AI frameworks (e.g., LangChain, RAG).
* Strong communication, storytelling, and customer engagement skills, with a passion for building solutions that are intuitive and impactful.
**Preferred Qualifications** 
* Experience implementing agentic AI systems for conversational analytics, autonomous reporting, or decision support.
* Familiarity with Vertex AI and Google Cloud Platform, or equivalent enterprise AI platforms.
* Familiarity with BI tools (Tableau, Looker, Power BI) and analytics engineering (Snowflake, modern warehouses).
* Background in healthcare or pharmacy analytics, with a strong interest in improving outcomes through intelligent decision systems.
* Experience with UI/UX design, customer journey mapping, and design thinking (Figma experience is a plus).
* Knowledge of data observability, governance, and AI ethics to ensure trustworthy, transparent decision intelligence systems.
**Education** 
 Bachelor's degree or equivalent work experience in Mathematics, Statistics, Computer Science, Business Analytics, Economics, Physics, Engineering, or related discipline.
 Master’s degree or PhD preferred
**Anticipated Weekly Hours** 
 40
**Time Type** 
 Full time
**Pay Range** 
**The Typical Pay Range For This Role Is** 
 $101,970\.00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21">
      <c r="A21" t="inlineStr">
        <is>
          <t>li-4365869854</t>
        </is>
      </c>
      <c r="B21" t="inlineStr">
        <is>
          <t>Data Scientist</t>
        </is>
      </c>
      <c r="C21" t="inlineStr">
        <is>
          <t>Sysco</t>
        </is>
      </c>
      <c r="D21" t="inlineStr">
        <is>
          <t>linkedin</t>
        </is>
      </c>
      <c r="E21" t="inlineStr"/>
      <c r="F21" t="inlineStr"/>
      <c r="G21" t="inlineStr">
        <is>
          <t>Houston, TX</t>
        </is>
      </c>
      <c r="H21" t="inlineStr"/>
      <c r="I21"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
* SIdentify necessary data elements and their sources, leverage appropriate tools to acquire and consolidate large volumes of data from different internal and external sources, and identify and resolve any irrelevant, corrupt, missing, or incongruent dat
* aIdentify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
**g
 QUALIFICATIO**
 NS
 Education and / or Experien
* ce:Master’s degree or PhD or Bachelor’s degree \+ 3 years of industry experience in management consulting, strategy, analytics, at a specialized analytics company or in an analytics organization in a corporate setti
* ng.Degree should be in mathematics, statistics or computer science or related field; preferred from a top tier Universi
* ty.1\-4 years of overall analytics experience, can be inclusive of post\-graduate w
* ork2\+ years of experience accessing and manipulating data in SQL or NoSQL database environme
* nts1\+ years of experience with scientific scripting languages (e.g., Python) and/or object\-oriented programming (e.g., C\+\+, Ja
* va)2\+ years of experience with Bayesian statistics, regression analysis (beyond linear regression), supervised learning, unsupervised learning or time\-series analysis requi
**red
 Professional Sk** 
* illsExperience accessing and manipulating data in SQL or NoSQL database environm
* entsExperience with scientific scripting languages (e.g., Python) and/or object\-oriented programming (e.g., C\+\+, J
* ava)Experience with regression analysis (beyond linear regression), supervised learning, unsupervised learning or time\-series analysis requ
 ired</t>
        </is>
      </c>
    </row>
    <row r="22">
      <c r="A22" t="inlineStr">
        <is>
          <t>li-4328705005</t>
        </is>
      </c>
      <c r="B22" t="inlineStr">
        <is>
          <t>Data Scientist - Perception Verification and Validation</t>
        </is>
      </c>
      <c r="C22" t="inlineStr">
        <is>
          <t>Zoox</t>
        </is>
      </c>
      <c r="D22" t="inlineStr">
        <is>
          <t>linkedin</t>
        </is>
      </c>
      <c r="E22" t="inlineStr"/>
      <c r="F22" t="inlineStr"/>
      <c r="G22" t="inlineStr">
        <is>
          <t>Boston, MA</t>
        </is>
      </c>
      <c r="H22" t="inlineStr"/>
      <c r="I22"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$167,000 \- $228,000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li-4352536154</t>
        </is>
      </c>
      <c r="B23" t="inlineStr">
        <is>
          <t>Product Policy - Data Scientist</t>
        </is>
      </c>
      <c r="C23" t="inlineStr">
        <is>
          <t>OpenAI</t>
        </is>
      </c>
      <c r="D23" t="inlineStr">
        <is>
          <t>linkedin</t>
        </is>
      </c>
      <c r="E23" t="inlineStr"/>
      <c r="F23" t="inlineStr"/>
      <c r="G23" t="inlineStr">
        <is>
          <t>San Francisco, CA</t>
        </is>
      </c>
      <c r="H23" t="inlineStr"/>
      <c r="I23" t="inlineStr">
        <is>
          <t>**About The Team**
 The Product Research team partners closely with Product Management, Design, Engineering, and Policy to ensure OpenAI builds products that are useful, usable, and responsible. We help teams understand user needs, evaluate product concepts, and validate experiences across the full product lifecycle—from early exploration through launch and iteration.
 Our work directly informs how OpenAI’s products evolve, ensuring that we deliver experiences that meet real\-world needs while upholding OpenAI’s mission to ensure AI benefits all of humanity.
**About The Role**
 As a
 **Product Policy \- Data Scientist** 
 , you will design and lead high\-impact research that shapes OpenAI’s product strategy and user experience. You’ll work across multiple product teams to generate insights that influence product decisions, inform design direction, and improve how people interact with AI.
 You will own research from start to finish—partnering with stakeholders to define the right questions, choosing the best methods, executing studies, and turning findings into clear, actionable recommendations. This role requires someone who can balance rigor with speed, bring clarity to ambiguity, and confidently influence cross\-functional partners at all levels.
 This role is based in the
 **San Francisco Bay Area** 
 and requires being in the office
 **three days per week** 
 to collaborate closely with cross\-functional partners.
**We're Looking For People Who**
* Partner with product managers, designers, and engineers to identify and prioritize research opportunities that improve product decisions and user experience
* Design and execute high\-quality qualitative and quantitative research across all stages of product development, including foundational research, concept testing, prototyping, and usability testing
* Lead end\-to\-end research projects, from scoping and study design through recruitment, fieldwork, analysis, and reporting
* Translate complex research findings into clear, compelling insights that inform product strategy and design direction
* Present findings and recommendations to senior leadership and key stakeholders
* Balance rigor and speed by adapting methods to timelines while maintaining high standards for data quality and validity
**In This Role, You Will**
* 7\+ years of experience in user experience research, market research, or a related field
* Deep expertise in mixed\-methods research, with strong qualitative skills and the ability to conduct and analyze quantitative studies at scale
* Proven experience leading research that has shaped product or design decisions
* Exceptional written and verbal communication skills, with the ability to influence across disciplines and levels
* Experience working with senior stakeholders and cross\-functional teams
**You Might Thrive In This Role If. You**
* Experience with advanced quantitative methods (e.g., MaxDiff, conjoint, segmentation)
* Experience working with executive audiences or large enterprise clients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4">
      <c r="A24" t="inlineStr">
        <is>
          <t>li-4368216617</t>
        </is>
      </c>
      <c r="B24" t="inlineStr">
        <is>
          <t>Senior Product Data Scientist, Pixel</t>
        </is>
      </c>
      <c r="C24" t="inlineStr">
        <is>
          <t>Google</t>
        </is>
      </c>
      <c r="D24" t="inlineStr">
        <is>
          <t>linkedin</t>
        </is>
      </c>
      <c r="E24" t="inlineStr"/>
      <c r="F24" t="inlineStr"/>
      <c r="G24" t="inlineStr">
        <is>
          <t>Mountain View, CA</t>
        </is>
      </c>
      <c r="H24" t="inlineStr"/>
      <c r="I24" t="inlineStr">
        <is>
          <t>**Minimum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 Experience building predictive or causal models to understand user behaviors (e.g., churn, loyalty, engagement, etc.).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Google Pixel phones, watches, and earbuds showcase the best of Google’s hardware and AI. We develop technologies to make user experiences faster, more powerful, and seamless including industry leading camera features powered by Google’s expertise in Artificial Intelligence and Machine Learning.
 The Pixel Data Science team's mission is to power the growth and evolution of the Pixel ecosystem. We bridge data, analytics, and business strategy, acting as essential thought partners to product and strategy leaders within the centralized Devices and Services Strategy and Operations (StratOps) organization. By uncovering critical insights and developing data\-driven solutions, we optimize performance, enhance user experiences, and help scale the Google Pixel business.
 In this role, you will provide business critical insights, leveraging data to influence the direction of products. Your work will directly contribute to key decisions and the overall success of the Pixel line.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on key Pixel metrics utilizing advanced investigative tools (e.g., SQL, R, Python). Own and execute the full workstream for Pixel dashboards, including data engineering, dashboard design, metrics definition, and insights sharing.
* Own outcomes for projects by covering problem definition, metrics development, data extraction and manipulation, visualization, creation, and implementation of statistical models, and presentation to stakeholders.
* Develop solutions for ambiguous problems lacking clear precedent by framing hypotheses and providing recommendations that combine investigative and product\-specific expertise.
* Liaise and align cross\-functionally with Product Management, Marketing, Sales, and executive leadership to translate analytics into actionable business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li-4368640535</t>
        </is>
      </c>
      <c r="B25" t="inlineStr">
        <is>
          <t>Data Scientist (REMOTE)</t>
        </is>
      </c>
      <c r="C25" t="inlineStr">
        <is>
          <t>ExecutivePlacements.com</t>
        </is>
      </c>
      <c r="D25" t="inlineStr">
        <is>
          <t>linkedin</t>
        </is>
      </c>
      <c r="E25" t="inlineStr"/>
      <c r="F25" t="inlineStr"/>
      <c r="G25" t="inlineStr">
        <is>
          <t>Nashville, TN</t>
        </is>
      </c>
      <c r="H25" t="inlineStr"/>
      <c r="I25"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\#HiringDataScientists\#DataScienceJobs\#Python\#DataScientist
 Work environment requirements for entry\-level opportunities include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t>
        </is>
      </c>
    </row>
    <row r="26">
      <c r="A26" t="inlineStr">
        <is>
          <t>li-4368811229</t>
        </is>
      </c>
      <c r="B26" t="inlineStr">
        <is>
          <t>Data Scientist, Creative Excellence</t>
        </is>
      </c>
      <c r="C26" t="inlineStr">
        <is>
          <t>Ipsos in US</t>
        </is>
      </c>
      <c r="D26" t="inlineStr">
        <is>
          <t>linkedin</t>
        </is>
      </c>
      <c r="E26" t="inlineStr"/>
      <c r="F26" t="inlineStr"/>
      <c r="G26" t="inlineStr">
        <is>
          <t>Seattle, WA</t>
        </is>
      </c>
      <c r="H26" t="inlineStr"/>
      <c r="I26"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27">
      <c r="A27" t="inlineStr">
        <is>
          <t>li-4368811139</t>
        </is>
      </c>
      <c r="B27" t="inlineStr">
        <is>
          <t>Marketing Data Scientist</t>
        </is>
      </c>
      <c r="C27" t="inlineStr">
        <is>
          <t>SoFi</t>
        </is>
      </c>
      <c r="D27" t="inlineStr">
        <is>
          <t>linkedin</t>
        </is>
      </c>
      <c r="E27" t="inlineStr"/>
      <c r="F27" t="inlineStr"/>
      <c r="G27" t="inlineStr">
        <is>
          <t>San Francisco, CA</t>
        </is>
      </c>
      <c r="H27" t="inlineStr"/>
      <c r="I2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Data Scientist to join the Marketing Data Science (MDS) team. The MDS team plays a crucial role in enabling data\-driven decisions across SoFi's Marketing organization through robust analytics, modeling, experimentation, and measurement.
 This exciting new role will be part of the Optimization hub and will support both TV/DV media\-specific optimization and broader marketing budget planning, with roughly half of the work focused on media analytics, forecasting, and optimization, and the other half focused on holistic marketing budget forecasting and scenario planning across brand, sponsorships, product marketing, and all marketing channels (TV, DV, DM, social, display etc.).
 The role is execution\-focused, with ownership of recurring analytical deliverables and workflows. The IC2 will work closely with senior data scientists and marketing stakeholders, with a clear growth path toward independently owning forecasting, optimization analyses, and stakeholder partnerships over time.
**What you’ll do:**
* Own and maintain recurring dashboards and analytical deliverables that support media performance monitoring and broader marketing spend diagnostics across channels.
* Partner with Media, Brand Marketing, and Product Marketing to support day\-to\-day analytics, deep dives, and planning\-related questions.
* Support quarterly and annual marketing forecasts using SoFi’s in\-house Marketing Mix Modeling (MMM) and related forecasting frameworks.
* Run MMM pipelines and refreshes, including data preparation, quality checks, model execution, and output validation.
* Assist in interpreting MMM outputs and translating results into insights that inform media and marketing investment decisions.
* Support media allocation and optimization analyses (e.g., TV vs. Digital, upper\- vs. lower\-funnel tradeoffs), including scenario modeling and sensitivity analysis.
* Contribute to holistic marketing budget optimization and scenario planning across brand, sponsorships, product, and performance marketing investments.
* Support cross\-channel budget tradeoff analyses to evaluate the impact of spend shifts across media types and marketing initiatives.
* Contribute to ongoing improvement of MMM models and forecasting tools, including feature development, testing, automation, and documentation.
* Collaborate closely with senior data scientists to improve forecast accuracy, model robustness, and the usability of optimization outputs for stakeholders.
* Maintain clear documentation of models, assumptions, and analytical workflows to support long\-term maintainability.
**What you’ll need:**
* Bachelor’s degree in Computer Science, Statistics, Mathematics, Economics, Engineering, or a related quantitative field.
* 2–4 years of experience in data science, analytics, or applied modeling roles supporting marketing, media, growth, or product analytics.
* Strong proficiency in SQL and Python, with experience building analytical workflows and working with large, structured datasets.
* Experience with forecasting, causal modeling, or Marketing Mix Modeling (MMM), including running model pipelines and supporting model interpretation.
* Familiarity with marketing performance measurement across a broad range of channels, including upper\- and lower\-funnel investments.
* Experience building and maintaining dashboards or recurring analytical deliverables using BI tools (e.g., Tableau or equivalent).
* Comfort working in a production analytics environment, including data validation, model QA, and ongoing maintenance.
* Ability to translate analytical results into clear insights for non\-technical stakeholders, with support from senior team members.
* Strong attention to detail, structured problem\-solving skills, and comfort working with ambiguous planning questions.
* Collaborative mindset and ability to work effectively with cross\-functional partners across Marketing.
* Curiosity and motivation to grow toward greater ownership of forecasting, optimization, and stakeholder\-facing work over time.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8">
      <c r="A28" t="inlineStr">
        <is>
          <t>li-4368800328</t>
        </is>
      </c>
      <c r="B28" t="inlineStr">
        <is>
          <t>Data Scientist, Creative Excellence</t>
        </is>
      </c>
      <c r="C28" t="inlineStr">
        <is>
          <t>Ipsos in US</t>
        </is>
      </c>
      <c r="D28" t="inlineStr">
        <is>
          <t>linkedin</t>
        </is>
      </c>
      <c r="E28" t="inlineStr"/>
      <c r="F28" t="inlineStr"/>
      <c r="G28" t="inlineStr">
        <is>
          <t>San Francisco, CA</t>
        </is>
      </c>
      <c r="H28" t="inlineStr"/>
      <c r="I28"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29">
      <c r="A29" t="inlineStr">
        <is>
          <t>li-4368237889</t>
        </is>
      </c>
      <c r="B29" t="inlineStr">
        <is>
          <t>Sr. Data Scientist</t>
        </is>
      </c>
      <c r="C29" t="inlineStr">
        <is>
          <t>TAG - The Aspen Group</t>
        </is>
      </c>
      <c r="D29" t="inlineStr">
        <is>
          <t>linkedin</t>
        </is>
      </c>
      <c r="E29" t="inlineStr"/>
      <c r="F29" t="inlineStr"/>
      <c r="G29" t="inlineStr">
        <is>
          <t>Chicago, IL</t>
        </is>
      </c>
      <c r="H29" t="inlineStr"/>
      <c r="I29" t="inlineStr">
        <is>
          <t>The Aspen Group (TAG) is one of the largest and most trusted retail healthcare business support organizations in the U.S., supporting 15,000 healthcare professionals and team members at more than 1,200 health and wellness offices across 47 states in four distinct categories: Dental care, urgent care, veterinary care, and medical aesthetics.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Lovet Animal Hospitals and Chapter Aesthetic Studios. Each brand has access to a deep community of experts, tools and resources to grow their practices, and an unwavering commitment to delivering high\-quality consumer healthcare experiences at scale.
 As a reflection of our current needs and planned growth we are very pleased to offer a new opportunity to join our dedicated team as a Senior Data Scientist. This role is responsible for transforming raw data from various sources to develop high quality machine learning and forecasting models informing the growth strategy across our brands and for TAG as a whole.
**Responsibilities**
 As a Senior Data Scientist, you will be responsible for:
* Model Development
* Build, validate, and deploy predictive forecasting models to predict demand, revenue, and market trends
* Design and execute A/B tests and multivariate experiments to measure the impact of pricing changes and promotional strategies
* Build elasticity models and scenario simulations to forecast revenue, margin, and adoption under different pricing and promotional strategies
* Apply statistical and machine learning methods to identify patterns, trends, and insights
* Develop and apply LLM\-based models for text categorization, semantic analysis, and interpretation of unstructured data
* Understand business objectives and translate them into data\-driven solutions
* Conduct rigorous testing of models, ensuring reasonable results and reporting back to leadership on outcomes
* Identify opportunities within the business and proactively partner with business leaders to develop models using advanced ML and AI techniques to unlock stronger, more streamlined business performance
* Model Ownership
* Monitor and report on model performance
* Develop recommendations to improve model accuracy
* Translate complex analytical findings into clear, actionable insights with recommendations to improve performance
* Partner with leaders in Product, IT, and Brand leadership to implement tools that leverage the models, changing data outputs into a fully functioning product
* Maintain well\-documented, reproducible code and workflows
* Continuous Learning \&amp; Development
* Stay current with industry trends, tools, and best practices in data science
* Proactively suggest new approaches and methodologies to enhance decision\-making by leadership
* Collaborate with cross\-functional teams (IT, product, finance, operations) evolve data science approaches to integrate the latest business insights and trends
**Minimum Education and Experience**
* BA or BS in Data Science, Computer Science, Mathematics, or other degree with equivalent work experience in advanced analytics or business forecasting roles. Advanced Degree is preferred.
* 4\-6 years of experience in roles that leverage statistical modeling or machine learning required including experience leading projects
* Hands\-on experience leveraging statistical and machine learning packages in Python for statistical analysis and leveraging SQL to query data is required.
* Experience working with funnel optimization, user segmentation, cohort analyses, time series analyses, and regression models
* Experience with mentoring and guiding Jr. level Data Scientists
* Excellent communication and interpersonal skills are required. Experience managing cross\-functional projects with multiple stakeholders is desirable.
* Experience with version control tools (Github, etc.)
* Ability to excel in fast paced environment, take direction, and handle multiple priorities
**Preferred Qualifications**
* Experience with re\-training, modifying, and evaluating open source LLM algorithms to be deployed in business use cases (needs additional detail). Deployment experience is a plus
* Proven track record of partnering with executive\-level audiences to identify opportunities, build out the framework for potential models, and deliver a recommended approach to the business
* Experience using data visualization software like Tableau or PowerBI is a plus.
 Annual Salary Range: $128\-145k, with a generous benefits package that includes paid time off, health, dental, vision, and 401(k) savings plan with match
 If you are an applicant residing in California, please view our privacy policy here: https://careers.aspendental.com/us/en/tag\-privacy\-policy\-for\-california\-employees
 View CA Privacy Policy</t>
        </is>
      </c>
    </row>
    <row r="30">
      <c r="A30" t="inlineStr">
        <is>
          <t>li-4368209789</t>
        </is>
      </c>
      <c r="B30" t="inlineStr">
        <is>
          <t>Data Scientist</t>
        </is>
      </c>
      <c r="C30" t="inlineStr">
        <is>
          <t>RemoteHunter</t>
        </is>
      </c>
      <c r="D30" t="inlineStr">
        <is>
          <t>linkedin</t>
        </is>
      </c>
      <c r="E30" t="inlineStr"/>
      <c r="F30" t="inlineStr"/>
      <c r="G30" t="inlineStr"/>
      <c r="H30" t="inlineStr"/>
      <c r="I30"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li-4368697336</t>
        </is>
      </c>
      <c r="B31" t="inlineStr">
        <is>
          <t>Data Scientist, Creative Excellence</t>
        </is>
      </c>
      <c r="C31" t="inlineStr">
        <is>
          <t>Ipsos in US</t>
        </is>
      </c>
      <c r="D31" t="inlineStr">
        <is>
          <t>linkedin</t>
        </is>
      </c>
      <c r="E31" t="inlineStr"/>
      <c r="F31" t="inlineStr"/>
      <c r="G31" t="inlineStr">
        <is>
          <t>Chicago, IL</t>
        </is>
      </c>
      <c r="H31" t="inlineStr"/>
      <c r="I31"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2">
      <c r="A32" t="inlineStr">
        <is>
          <t>li-4321581133</t>
        </is>
      </c>
      <c r="B32" t="inlineStr">
        <is>
          <t>Sr/Staff Data Scientist (Remote - US)</t>
        </is>
      </c>
      <c r="C32" t="inlineStr">
        <is>
          <t>BNSF Railway</t>
        </is>
      </c>
      <c r="D32" t="inlineStr">
        <is>
          <t>linkedin</t>
        </is>
      </c>
      <c r="E32" t="inlineStr"/>
      <c r="F32" t="inlineStr"/>
      <c r="G32" t="inlineStr"/>
      <c r="H32" t="inlineStr"/>
      <c r="I32"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**Lead cross\-functional collaboration** 
 to identify and define analytic initiatives, formulate strategies, and develop solutions to achieve business goals through effective use of data machine learning models.
**Apply** 
 data science skills to analyze large, complex datasets and identify meaningful patterns that lead to actionable insights and data\-driven solutions to business problems.
**Lead the development and deployment** 
 of advanced machine learning models to forecast outcomes and optimize workflows.
**Engage** 
 closely with stakeholders to grasp their requirements and deliver actionable insights that drive strategic decision\-making.
**Design and present** 
 compelling visualizations and reports to effectively communicate analytical findings.
**Oversee** 
 the maintenance and enhancement of data pipelines to uphold data quality and precision.
**Keep abreast** 
 of emerging trends and breakthroughs in data science and machine learning fields.
**Proficiently extract, aggregate, and transform** 
 data from SQL and NoSQL databases, leveraging languages like R, Python, or other relevant tools for analysis and modeling.
 **Build, test, and validate** 
 statistical, and machine learning models and analyses using Python, R, or other appropriate language as part of overall solution development.
**Lead implementation** 
 of analytic solutions into reporting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6 years of experience with building optimization algorithms or relevant experience.
* Advanced proficiency in programming languages such as Python, R, SQL, and Java.
* Demonstrated expertise in utilizing data visualization tools to communicate insights clearly and effectively.
* In\-depth experience with data science cloud platforms and their integration into business solutions.
* Exceptional intellectual curiosity and a proven ability to thrive in a fast\-paced, collaborative team environment.
* Track record of rapidly acquiring new technical skills and adapting to cutting\-edge technologies.
* Strong communication skills to articulate technical concepts to diverse audiences with clarity and professionalism.
* Deep understanding and application of statistical analysis and advanced machine learning techniques.
* Must understand and have proficiency in the core architecture of LLMs (e.g., transformers and attention mechanisms)
* Experience with prompt engineering techniques, including chain\-of\-thought prompting, Retrieval\-Augmented Generation (RAG), fine\-tuning of language models, and evaluation methodologies.
* Experience with Vector Databases and embeddings.
* Experience with Model Fine\-tuning.
* Experience with GPU optimization.
**Preferred Qualifications**
* Bachelor's degree or higher in Operations Research, Computer Science, Industrial Engineering or a related field. Ph.D is a plus.
* Knowledge of geospatial analytics, route optimization, and GIS concepts.
* Previous hands\-on experience with AI/Machine Learning frameworks and tools, showcasing innovative solutions.
* Extensive background in Rail, Shipping, Airline, Logistics, Warehousing, Supply Chain, or Transportation industries, or in the High\-Tech sector.
* Proficiency in leveraging open\-source libraries and frameworks to drive data science initiatives.
* Seasoned in Agile methodologies like Scrum, Kanban, or SAFe for efficient project management and delivery at a senior level.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33">
      <c r="A33" t="inlineStr">
        <is>
          <t>li-4340196468</t>
        </is>
      </c>
      <c r="B33" t="inlineStr">
        <is>
          <t>Research Scientist / Data Scientist - AI &amp; Analytics</t>
        </is>
      </c>
      <c r="C33" t="inlineStr">
        <is>
          <t>Adelphi Research | Global Pharma Market Insight Consultancy</t>
        </is>
      </c>
      <c r="D33" t="inlineStr">
        <is>
          <t>linkedin</t>
        </is>
      </c>
      <c r="E33" t="inlineStr"/>
      <c r="F33" t="inlineStr"/>
      <c r="G33" t="inlineStr">
        <is>
          <t>Doylestown, PA</t>
        </is>
      </c>
      <c r="H33" t="inlineStr"/>
      <c r="I33" t="inlineStr">
        <is>
          <t>**Adelphi Research \| Advanced Market Research Group (AMG)**
**About The Role**
 Adelphi Research is seeking a Research Scientist/Data Scientist to join our Advanced Market Research Group. You'll work directly with the Senior Statistician to execute pharmaceutical market research analytics while also contributing to our growing portfolio of AI\-powered research tools.
 You'll spend significant time doing traditional statistical analysis for client projects (segmentation, conjoint analysis, message testing), but you'll also be a key contributor to building and testing new AI\-enhanced methodologies and applications. If you're a strong quantitative researcher who's genuinely curious about AI's potential in market research—and has done some hands\-on experimentation—this role offers a unique opportunity to shape the future of pharmaceutical insights.
**What You'll Do**
**Client Analytics \&amp; Research Execution**
* Execute advanced statistical analyses for pharmaceutical market research studies:
+ Segmentation analysis (cluster analysis, latent class)
+ Conjoint analysis (discrete choice, MaxDiff)
+ Message testing and positioning research
+ Key driver analysis and predictive modeling
* Perform data cleaning, weighting, and quality control for survey data
* Create professional client deliverables: Simulators in excel and R shiny, PowerPoint, Excel outputs, crosstabs, etc.
* Support project teams with statistical methodology recommendations
* Collaborate on study design, questionnaire development, and analytical plans
**AI Tool Development \&amp; Innovation**
* Contribute to building and testing R Shiny applications that enhance our research capabilities
* Help develop AI\-powered qualitative coding tools for open\-ended survey responses
* Test and refine chatbot interfaces that help clients interact with their data
* Support validation studies for synthetic respondent methodologies (comparing AI\-generated data to real respondent data)
* Integrate LLM APIs into existing workflows where appropriate
* Experiment with AI applications for research acceleration and automation
* Document findings, create user guides, and support internal adoption
**Required Qualifications**
**Core Technical Skills**
* Strong proficiency in R programming, including tidyverse ecosystem (dplyr, ggplot2, tidyr, purr, ellmer, vitals, ragnar)
+ OR strong Python skills (pandas, scikit\-learn) with willingness to become proficient in R
* R Shiny development experience
* Statistical methods: Applied experience with regression, clustering, factor analysis, conjoint/MaxDiff, or similar techniques
* Data manipulation: Comfortable working with complex survey data, messy datasets, weighting schemes
* Some programming experience beyond scripting: You've built something—a dashboard, an analysis pipeline, a tool—not just run one\-off analyses
**AI Experience**
* Evidence of hands\-on experimentation with AI tools beyond consumer use.
+ Built a small project using an LLM API (even if just a personal experiment)
+ Created a prototype chatbot or AI\-enhanced tool
+ Worked through tutorials and actually implemented something with OpenAI/Anthropic/Google APIs
+ Experimented with prompt engineering in a programmatic way
+ Contributed to an AI\-related project at work or school
**Foundation \&amp; Experience**
* Master's degree in Statistics, Data Science, Biostatistics, Economics, or related quantitative field (PhD welcomed but not required)
* 2\-4 years of experience in applied statistics, data science, or market research analytics
* Experience with survey research methodologies preferred
* Strong problem\-solving skills and attention to detail
* Excellent communication skills—ability to explain technical concepts to non\-technical audiences
* Comfort juggling multiple projects and shifting priorities
**Nice\-to\-Haves (Valued But Not Required)**
**Domain \&amp; Methodology**
* Experience in pharmaceutical or healthcare market research
* Understanding of survey design, sampling, and weighting approaches
* Familiarity with FDA regulations or pharmaceutical compliance considerations
* Background in segmentation, conjoint analysis, or MaxDiff studies
**Technical \&amp; Tools**
* R package development or contribution to open\-source projects
* Familiarity with Azure, Google Cloud, or AWS
* Python \+ R bilingual coding
* Exposure to Bayesian methods or probabilistic models
* Any experience with vector databases, RAG systems, or advanced AI architectures (rare but great if you have it)
* Experience translating SPSS workflows to R
**Learning \&amp; Development**
* Work directly with Senior Statisticians leading our AI initiatives
* Exposure to diverse therapeutic areas across major pharmaceutical clients
* Hands\-on experience building production AI tools in a regulated industry
* Professional development in both traditional research methods and emerging AI capabilities
**Our Working Environment**
 You'll work directly with the Senior Statisticians and collaborate with:
* Project teams serving major pharmaceutical clients
* Data science colleagues across AMG
* Qualitative researchers and strategic consultants
 We value intellectual curiosity, pragmatic problem\-solving, and a bias toward action. This is a role for someone who's equally comfortable running a factor analysis and experimenting with an LLM API—who sees the value in both rigorous statistical methods and emerging AI capabilities.
**Tech Stack** 
 : R (tidyverse, Shiny, tidymodels), Azure OpenAI APIs, Google Gemini APIs, Posit Connect. Open to strong Python developers willing to become R\-proficient.
**To Apply** 
 : Please include any code samples, GitHub links, or portfolio pieces that demonstrate your analytical work. If you've built anything with AI/LLMs (even personal projects or experiments), we'd love to see it.
 The range below represents the low and high end of the base salary someone in this role may earn as an employee of an Omnicom Health Group company in the United States.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
* $90,000 \- $110,000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34">
      <c r="A34" t="inlineStr">
        <is>
          <t>li-4316543088</t>
        </is>
      </c>
      <c r="B34" t="inlineStr">
        <is>
          <t>Principal Data Scientist - Rentals Machine Learning Team</t>
        </is>
      </c>
      <c r="C34" t="inlineStr">
        <is>
          <t>Zillow</t>
        </is>
      </c>
      <c r="D34" t="inlineStr">
        <is>
          <t>linkedin</t>
        </is>
      </c>
      <c r="E34" t="inlineStr"/>
      <c r="F34" t="inlineStr"/>
      <c r="G34" t="inlineStr"/>
      <c r="H34" t="inlineStr"/>
      <c r="I34" t="inlineStr">
        <is>
          <t>**About The Team**
 Zillow Group’s mission is to give people the power to unlock life's next chapter. In pursuit of this mission, we are actively seeking a highly skilled and experienced Principal Data Scientist to join our innovative Rentals Machine Learning team! We are passionately dedicated to rigorous research, deep analysis of complex datasets, and ultimately, the implementation of sophisticated model and data\-driven solutions that are instrumental in powering a wide array of workflows and product experiences across Zillow’s rapidly expanding Rentals business.
**About The Role**
 In this high\-impact role, you will work closely with cross\-functional partners including machine learning engineers, product managers, data scientists, and engineers. In this collaborative environment, you will gain a deep and comprehensive understanding of our customer segments, diverse product offerings, and the varied mechanisms through which we monetize and deliver value to all of the users of the Zillow Rentals marketplace. You will design and implement testing and measurement techniques that improve understanding of the efficiency and effectiveness of not only our existing marketplace solutions, but also the effects of the many innovations we’re making in the space. Your data\-driven insights will guide critical decision making discussions with business leaders and be used to improve outcomes and satisfaction for our marketplace customers. This role offers an unparalleled opportunity to shape the future of the Rentals marketplace and business through cutting\-edge data science.
**More specifically, you will:**
* Work with cross\-functional stakeholders to answer questions related to model\-driven listing performance
* Design and implement innovative measurement and communication techniques and tools that provide insight into our marketplace value\-delivery mechanisms
* Partner with Machine Learning Engineers to develop and refine marketplace management, valuation, and recommendation models
* Lead discussions with business partners and leaders to create clarity, evaluate trade\-offs, and drive decision making
* Ensure data excellence of Machine Learning experimentation data pipelines and A/B testing framework integrations
* Provide predictive insights into anticipated marketplace responses to changes in inventory prioritization methods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does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Experience modeling 2\-sided marketplace dynamics (inventory optimization, advertising management, supply/demand prediction, etc.)
* Strong understanding of statistical concepts, measurement methods, A/B testing, and causal inference techniques
* Experience designing and analyzing tests in online marketplace settings
* Mastery of SQL and Python, with experience with Tableau, Databricks, or other visualization software
* Superb verbal and written communication skills with the ability to distill sophisticated issues and detailed analysis into simple, structured frameworks with concrete action plans
* Ability to work cross\-functionally and influence business partners to set realistic goals and focus on data\-driven solutions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5">
      <c r="A35" t="inlineStr">
        <is>
          <t>li-4318298262</t>
        </is>
      </c>
      <c r="B35" t="inlineStr">
        <is>
          <t>Applied Scientist</t>
        </is>
      </c>
      <c r="C35" t="inlineStr">
        <is>
          <t>Amazon</t>
        </is>
      </c>
      <c r="D35" t="inlineStr">
        <is>
          <t>linkedin</t>
        </is>
      </c>
      <c r="E35" t="inlineStr"/>
      <c r="F35" t="inlineStr"/>
      <c r="G35" t="inlineStr">
        <is>
          <t>New York, United States</t>
        </is>
      </c>
      <c r="H35" t="inlineStr"/>
      <c r="I35"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36">
      <c r="A36" t="inlineStr">
        <is>
          <t>li-4335090761</t>
        </is>
      </c>
      <c r="B36" t="inlineStr">
        <is>
          <t>Applied Scientist, Sponsored Products and Brands</t>
        </is>
      </c>
      <c r="C36" t="inlineStr">
        <is>
          <t>Amazon</t>
        </is>
      </c>
      <c r="D36" t="inlineStr">
        <is>
          <t>linkedin</t>
        </is>
      </c>
      <c r="E36" t="inlineStr"/>
      <c r="F36" t="inlineStr"/>
      <c r="G36" t="inlineStr">
        <is>
          <t>New York, United States</t>
        </is>
      </c>
      <c r="H36" t="inlineStr"/>
      <c r="I36"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A3122617</t>
        </is>
      </c>
    </row>
    <row r="37">
      <c r="A37" t="inlineStr">
        <is>
          <t>li-4368677527</t>
        </is>
      </c>
      <c r="B37" t="inlineStr">
        <is>
          <t>Senior Data Scientist</t>
        </is>
      </c>
      <c r="C37" t="inlineStr">
        <is>
          <t>Fetch</t>
        </is>
      </c>
      <c r="D37" t="inlineStr">
        <is>
          <t>linkedin</t>
        </is>
      </c>
      <c r="E37" t="inlineStr"/>
      <c r="F37" t="inlineStr"/>
      <c r="G37" t="inlineStr"/>
      <c r="H37" t="inlineStr"/>
      <c r="I37"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**Meet Fetch Engineering**
 At Fetch, our engineering philosophy emphasizes innovation, adaptability, and informed decision\-making. Our engineers thrive in complex environments, making decisions based on critical thinking and data, even in uncertain situations. We value proactive problem\-solving and focus on driving impactful results while maintaining high technical standards. You will work alongside talented engineers who are dedicated to pushing the boundaries of technology and encouraging each other to excel. We understand that Fetch may not be the right fit for everyone, but if you're passionate about solving challenging problems and navigating intricate systems, Fetch could be a great place for you.
**About The Role**
 Fetch is at a major inflection point in leveraging data to drive business growth and innovation. With over $100B in item\-level purchase data from millions of monthly active users, we are uniquely positioned to turn raw consumer insights into actionable intelligence that powers every aspect of our product, operations, and monetization strategies.
 We are seeking a Senior Data Scientist to play a key role in developing and scaling Fetch’s data science capabilities. This role transcends traditional analytics as you will architect and operationalize production\-ready models and frameworks that directly influence Fetch’s product strategy, personalization systems, and business outcomes. As a Senior Data Scientist, you will partner cross\-functionally with Product, Engineering, Marketing, and Data Product teams to transform complex datasets into measurable business impact through experimentation, predictive modeling, and data\-driven decision\-making.
 Within your first year, you will lead multiple high\-impact initiatives such as designing predictive models for engagement and churn, optimizing personalization systems through experimentation and machine learning, and developing scalable frameworks that quantify the business impact of new product launches and feature iterations.
 This is a full\-time role that can be held from one of our US offices or remotely in the United States.
**What You’ll Do At Fetch**
**Advanced Analytics \&amp; Modeling**
* Design, build, and deploy predictive and causal models that power personalization, retention, and monetization strategies.
* Apply advanced statistical methods, including Bayesian inference, causal impact analysis, and hierarchical modeling, to guide decision\-making.
* Develop and operationalize experimentation and measurement frameworks that ensure accurate attribution and reproducibility across Fetch’s products.
**Business Impact \&amp; Experimentation**
* Quantify the impact of key business and product initiatives, translating complex model outputs into actionable insights.
* Design and analyze experiments that test hypotheses about user behavior, product features, and marketing initiatives.
* Establish metrics and analytical frameworks that measure Fetch’s progress toward strategic growth and retention goals.
**Collaboration \&amp; Influence**
* Partner closely with Product, Engineering, and Data Product teams to transform insights into scalable data products and intelligent systems.
* Communicate complex analyses through clear narratives and visualizations that drive executive understanding and action.
* Mentor and collaborate with peers to strengthen Fetch’s scientific rigor, data culture, and analytical storytelling capabilities.
**Technical Excellence**
* Leverage tools and technologies such as Python, SQL, Snowflake, dbt, Airflow, Spark, and AWS to build and scale robust data science solutions.
* Champion best practices in experimentation, model validation, reproducibility, and governance.
* Advance Fetch’s use of AI/ML tools for automation, documentation, and anomaly detection, emphasizing validation and responsible use.
**Minimum Requirements**
* 8\+ years of experience in data science, machine learning, or applied analytics with proven impact in product\-driven environments.
* Deep expertise in statistical modeling, experimental design, and causal inference.
* Strong proficiency in SQL and at least one programming language (Python preferred).
* Experience working with large\-scale data systems such as Snowflake, dbt, Airflow, or Spark.
* Proven ability to communicate complex technical insights to non\-technical stakeholders and drive strategic decision\-making.
* Bachelor’s degree in Statistics, Mathematics, Computer Science, Engineering, or a related quantitative field.
**Preferred Requirements**
* Advanced degree (Master’s or Ph.D.) in a quantitative discipline.
* Experience deploying ML models into production and managing model lifecycle and performance.
* Background in consumer technology, ad tech, or personalization systems.
* Experience building frameworks that improve experimentation velocity and decision quality.
* Familiarity with privacy\-preserving data modeling and compliance standards such as GDPR or CCPA.
* Mentorship experience or demonstrated leadership in scientific or analytical development.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38">
      <c r="A38" t="inlineStr">
        <is>
          <t>li-4368697092</t>
        </is>
      </c>
      <c r="B38" t="inlineStr">
        <is>
          <t>Senior Data Scientist</t>
        </is>
      </c>
      <c r="C38" t="inlineStr">
        <is>
          <t>Amgen</t>
        </is>
      </c>
      <c r="D38" t="inlineStr">
        <is>
          <t>linkedin</t>
        </is>
      </c>
      <c r="E38" t="inlineStr"/>
      <c r="F38" t="inlineStr"/>
      <c r="G38" t="inlineStr">
        <is>
          <t>Thousand Oaks, CA</t>
        </is>
      </c>
      <c r="H38" t="inlineStr"/>
      <c r="I3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**Sr. Data Scientist**
**What you will do and what we expect of you**
 Let’s do this. Let’s change the world. In this vital role you will:
**Duties:** 
 Leading the development of data science, machine learning prototypes, proof of concepts and models for testing various omnichannel strategies; Leading measurement and tracking of omnichannel CX enablement initiatives; Extract, clean, pre\-process and analyze large\-scale structured and unstructured datasets to uncover insights that drive engagement and key Metrics; Crafting and deploying a framework to supervise the performance of various campaigns, and tactics at a granular level; Develop, Prototype, and deploy predictive models using ML, Deep Learning and Generative AI NLP techniques, architecting Data science frameworks for use cases such as Next Best Action Recommendation, and other recommender systems to optimize Omnichannel strategies that helps to serve patients; Measuring the impact of cross\-channel campaigns and the overall omnichannel program; Identifying business needs and proposing potential analytics approaches for solutions; Communicating analysis ideas, progress and results to leadership and business partners regarding omni channel; Utilize big data frameworks like Spark, SQL, Python for distributed computing and scalable data processing; and Work on Large Scale Data architectures and leverage AWS cloud platforms to build ETL pipelines for data science experiments. May telecommute.
**Requirements:** 
 Master’s degree in Information Systems, Data Science or related field \&amp; 2 years of experience involving the following:
* Campaign measurement, marketing analytics and resource optimization;
* Programming experience with Python, R, or SAS;
* Working with large datasets;
* Distributed computing tools including Spark;
* Data science relating to Biotechnology or Pharmaceutical industry; and
* Data Wrangling and analysis using python, R, or SQL.
**Contact:** 
 Interested candidates please apply via https://careers.amgen.com/en/search\-jobs and search for job \# R\-225152\.
 Job type: Full Time position. The annual salary range for this position in the U.S. is $137,855\.00 \- $168,574\.00 per year. Also, this position offers stock, retirement, medical, life and disability insurance and eligibility for an annual bonus or for sales roles, other incentive compensation. For more details visit 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39">
      <c r="A39" t="inlineStr">
        <is>
          <t>li-4304616872</t>
        </is>
      </c>
      <c r="B39" t="inlineStr">
        <is>
          <t>Senior Data Scientist</t>
        </is>
      </c>
      <c r="C39" t="inlineStr">
        <is>
          <t>Blue Cross Blue Shield of Massachusetts</t>
        </is>
      </c>
      <c r="D39" t="inlineStr">
        <is>
          <t>linkedin</t>
        </is>
      </c>
      <c r="E39" t="inlineStr"/>
      <c r="F39" t="inlineStr"/>
      <c r="G39" t="inlineStr">
        <is>
          <t>Boston, MA</t>
        </is>
      </c>
      <c r="H39" t="inlineStr"/>
      <c r="I39" t="inlineStr">
        <is>
          <t>**Ready to help us transform healthcare? Bring your true colors to blue.**
**What We Need**
 The senior data scientist will lead high value workstreams within Actuarial and Analytics Solutions (AAS) department and be intimately involved all phases of development, from ideation to design to build and deployment. This work includes a variety of modeling and analytics to support medical economics, payment integrity, and various other areas of finance. Additionally, they will be responsible for implementing advanced program measurements leveraging statistical analysis and developing/executing on predictive modeling use cases. Finally, they will provide mentorship to junior data scientists and analysts.
 Our ideal candidate is a subject matter expert in cutting edge data science techniques; experience with healthcare data, and especially claims, is a major plus. We are looking for someone to work closely with other Business Owners, Product Managers, Data Scientists, and Software Engineers to understand problems and co\-own solutions. Candidates should have a track record of effectively collaborating with experts and non\-experts alike.
* This role is eligible for our FLEX persona.
**Your Day\-to\-Day**
* Lead the research, design, and implementation of data science solutions to support current/future business needs
* Anticipate and provide strategies/solutions to complex data problems or trends
* Evaluate and design new approaches and methodologies to solve business problems or improve efficiency
* Utilize statistical techniques to execute on advanced measurements of messy/noisy data
* Produce meaningful observations and recommendations through synthesizing data from internal and external sources
* Drive the design, building, and launching of new data models and data pipelines
* Manage the delivery of high impact dashboards and data visualizations
* Maintain knowledge on current and emerging developments/trends; assesses the impact and collaborates with management to incorporate new trends and development in current and future solutions
* Coordinate with other departmental leaders to ensure consistency and transparency in data trends, themes and findings, particularly across the areas of medical economics, trend measurement, pricing, financial planning and informatics.
* Effectively communicate customized views of analysis and financial impacts to senior leadership
* This document is not an exhaustive list of all responsibilities, skills, duties, requirements, or working conditions associated with the job. Employees may be required to perform other job\-related duties.
**What You Bring**
* Deep and broad understanding of health care delivery system and health plan operations, including knowledge of Medical Economics, Trend Management, Pricing, Forecasting, Provider Payment Methodologies, and industry benchmarks.
* Experience with machine learning algorithms, statistical techniques, data interpretation methodologies, and deploying Predictive Models in a variety of applications
* Proven ability to effectively communicate with all levels of the organization.
* Comfort managing multiple competing priorities
* Strong customer focus and ability to work effectively in matrix environment.
* Creative problem solver – able to assess problems, develop creative solutions and see solutions to completion.
* Ability to think strategically, ensure execution and influence others
* Proven ability to produce value in high performance environment.
* Familiarity of software for data analysis and modeling; specifically: Python, SQL, Tableau, statistical software (R, SAS etc)
* Proficiency working with modern data \&amp; analytics technologies and solutions on cloud platform (Snowflake preferred)
* Familiarity with working in an Agile Environment and partnering closely with IT
**Education/Relevant Experience**
* Minimum of five years of health care experience in analysis, design, development and delivery of data solutions
* Direct experience with claims data a major plus
* BA/BS required; MS, MPH, PhD in relevant field considered in lieu of work experience.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**Minimum Education Requirements**
 High school degree or equivalent required unless otherwise noted above
 Location
 Boston
 Time Type
 Full time
 Salary Range: $155,070\.00 \- $189,530\.00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40">
      <c r="A40" t="inlineStr">
        <is>
          <t>li-4357359819</t>
        </is>
      </c>
      <c r="B40" t="inlineStr">
        <is>
          <t>Sr. Data Scientist – Agentic AI, Generative AI &amp; AI Engineering (Healthcare): 100% Remote</t>
        </is>
      </c>
      <c r="C40" t="inlineStr">
        <is>
          <t>LanceSoft, Inc.</t>
        </is>
      </c>
      <c r="D40" t="inlineStr">
        <is>
          <t>linkedin</t>
        </is>
      </c>
      <c r="E40" t="inlineStr"/>
      <c r="F40" t="inlineStr"/>
      <c r="G40" t="inlineStr"/>
      <c r="H40" t="inlineStr"/>
      <c r="I40" t="inlineStr">
        <is>
          <t>**If you are interested, please call me at \+1 (571\) 678\-0702 or send your updated resume to Priya.Raghuwanshi@lancesoft.com** 
**Position Type: Full time** 
**Job Title: Sr. Data Scientist** 
**Location: 100% Remote** 
**Offered Rate: $62\.24/hr. On W2 (all inclusive)** 
 Job Description: 
**Title: Technical – Sr. Data Scientist: AI and GenAI or Agentic AI (Hands\-on)** 
**Candidates must live in one of the preferred 15 states: AZ, FL, GA, ID, IA, KY, MI, NE, NM, NY (outside greater\-NYC), OH, TX, UT, WA (outside greater\-Seattle), WI** 
**Will be able to work in their own time zone** 
**Typical schedule: 8:30 AM to 5:00 PM (local time)** 
**REQUIRED EXPERIENCE:** 
**Sr. Data Scientist only \- no Principal Scientists** 
**Ph D is preferred, but not required** 
**Must have Agentic AI experience** 
**Must have Cloud experience** 
**Must have AI Engineering and Integration experience** 
**6\+ years of work experience as a data scientist (healthcare required)** 
**Job Summary:** 
 Perform data and error analysis to improve models, and clean and validate data for uniformity and accuracy. Execute data science and statistical analytical experiments methodically to help solve various problems and make a true impact across various healthcare domains. Develop and deploy advanced machine learning models and AI solutions that enhance products and services. Leverage expertise in data science, machine learning, and AI technologies to derive insights from large datasets and create predictive models that drive business decisions.
**Job Duties:** 
 \* Data analysis and interpretation to extract meaningful insights from complex datasets and inform strategic decision\-making
 \* Design, develop, and train machine learning models using supervised, unsupervised, deep learning, and reinforcement learning techniques
 \* Develop and implement \*\*agentic workflows\*\* utilizing AI agents for autonomous task execution
 \* Employ \*\*retrieval\-augmented generation (RAG)\*\* patterns to enhance language model performance
 \* Fine\-tune pre\-trained models for specific tasks or datasets
 \* Data cleaning and preprocessing, including handling missing values and outliers
 \* Deploy AI models into production environments and monitor performance
 \* Collaborate with cross\-functional teams to integrate AI solutions
 \* Stay current with advancements in AI and machine learning
 \* Create documentation and communicate results to non\-technical stakeholders
 \* Mentor and provide guidance to newer data scientists
 \* Partner with business and technology teams to build ML models improving Star ratings, reducing care gaps, and achieving business objectives
 \* Present complex analytical information clearly to all levels of audiences
 \* Assign and manage analytical project delivery as appropriate
 \* Perform other duties as business requirements change and identify data and technology\-enabled solution opportunities
 \* Use a broad range of tools and techniques to extract insights from industry or sector trends
**Must Have Skills:** 
 \* 6\+ years of work experience as a data scientist (healthcare required; other industries considered)
 \* Knowledge of big data technologies (Hadoop, Spark)
 \* Familiarity with relational database concepts and SDLC
 \* Strong critical thinking and ability to structure unstructured problems
 \* Strong programming skills in \*\*Python and R\*\*
 \* Experience with ML frameworks such as \*\*TensorFlow, Keras, or PyTorch\*\*
 \* Strong understanding of statistical methods and ML algorithms (k\-NN, Naive Bayes, SVM, neural networks)
 \* Experience with \*\*Agentic Workflows\*\*
 \* Knowledge of \*\*RAG techniques\*\*
 \* Experience in \*\*model fine\-tuning\*\*
 \* Proficiency with data visualization tools (Tableau, Power BI)
 \* Experience with SQL, NoSQL databases, data warehousing, and ETL
 \* Strong analytical and problem\-solving skills
 \* Experience with cloud platforms (Databricks, Snowflake, Azure AI Studio, etc.)
 \* Familiarity with NLP and computer vision techniques</t>
        </is>
      </c>
    </row>
    <row r="41">
      <c r="A41" t="inlineStr">
        <is>
          <t>li-4365502593</t>
        </is>
      </c>
      <c r="B41" t="inlineStr">
        <is>
          <t>Data Scientist</t>
        </is>
      </c>
      <c r="C41" t="inlineStr">
        <is>
          <t>Underdog.io -Apply to top tech jobs in 60 seconds. A place where companies apply to you</t>
        </is>
      </c>
      <c r="D41" t="inlineStr">
        <is>
          <t>linkedin</t>
        </is>
      </c>
      <c r="E41" t="inlineStr"/>
      <c r="F41" t="inlineStr"/>
      <c r="G41" t="inlineStr"/>
      <c r="H41" t="inlineStr"/>
      <c r="I41"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42">
      <c r="A42" t="inlineStr">
        <is>
          <t>li-4368272043</t>
        </is>
      </c>
      <c r="B42" t="inlineStr">
        <is>
          <t>Senior Data Scientist (NLP and GenAI Specialist)</t>
        </is>
      </c>
      <c r="C42" t="inlineStr">
        <is>
          <t>Morgan Stanley</t>
        </is>
      </c>
      <c r="D42" t="inlineStr">
        <is>
          <t>linkedin</t>
        </is>
      </c>
      <c r="E42" t="inlineStr"/>
      <c r="F42" t="inlineStr"/>
      <c r="G42" t="inlineStr">
        <is>
          <t>Coppell, TX</t>
        </is>
      </c>
      <c r="H42" t="inlineStr"/>
      <c r="I42"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3">
      <c r="A43" t="inlineStr">
        <is>
          <t>li-4346126172</t>
        </is>
      </c>
      <c r="B43" t="inlineStr">
        <is>
          <t>Senior Data Scientist</t>
        </is>
      </c>
      <c r="C43" t="inlineStr">
        <is>
          <t>Trepp, Inc.</t>
        </is>
      </c>
      <c r="D43" t="inlineStr">
        <is>
          <t>linkedin</t>
        </is>
      </c>
      <c r="E43" t="inlineStr"/>
      <c r="F43" t="inlineStr"/>
      <c r="G43" t="inlineStr"/>
      <c r="H43" t="inlineStr"/>
      <c r="I43" t="inlineStr">
        <is>
          <t>**(This role is based in Trepp's NYC office and follows a hybrid work schedule)** 
**About this Role** 
 As a Senior Data Scientist at Trepp, you will take a leading role in designing, developing, and deploying advanced data science and GenAI solutions that directly support Trepp’s analytics and product offerings. You will operate with a high degree of autonomy, owning complex projects end\-to\-end while partnering closely with product, engineering, and business stakeholders.
 This role emphasizes technical leadership, GenAI production expertise, and mentorship, while continuing to contribute hands\-on to statistical, machine learning, and applied analytics initiatives. Your work will shape Trepp’s next generation of data\-driven and AI\-powered capabilities in commercial real estate and structured finance.
**Professional and Technical Responsibilities** 
* Partner with product managers, engineers, and domain experts to translate ambiguous business problems into scalable, data\-driven solutions.
* Architect and implement GenAI applications leveraging large language models (LLMs), retrieval\-augmented generation (RAG), embeddings, agentic architectures and prompt engineering techniques.
* Build, evaluate, and maintain machine learning models using appropriate statistical, ML, and deep learning approaches.
* Ensure model quality through rigorous experimentation, validation, monitoring, and performance evaluation.
* Communicate complex technical concepts, results, and trade\-offs clearly to both technical and non\-technical stakeholders.
* Provide technical mentorship and guidance to junior data scientists, contributing to best practices and team standards.
* Contribute to the evolution of Trepp’s data science and GenAI strategy, tools, and methodologies.
**Requirements** 
 Education \&amp; Experience
* Bachelor’s or Master’s degree in Data Science, Computer Science, Statistics, Engineering, or a related quantitative field.
* 5\+ years of professional data science or applied machine learning experience.
* 2\+ years of hands\-on experience developing, deploying, and maintaining GenAI solutions in production environments.
 Core Technical Skills
* Advanced proficiency in Python for data analysis, machine learning, and GenAI development.
* Strong SQL skills and experience working with large, complex datasets.
* Experience with modern ML libraries and frameworks (e.g., scikit\-learn, PyTorch, TensorFlow).
* Proven experience with LLMs and GenAI tooling, including:
* Prompt engineering and evaluation
* Embeddings and semantic search
* Retrieval\-augmented generation (RAG) architectures
* Model APIs and open\-source LLM frameworks
* Experience deploying models and GenAI services using cloud platforms (e.g., AWS).
* Proficiency with GitHub and collaborative development workflows.
 Professional Skills
* Strong analytical thinking and problem\-solving ability, with attention to detail.
* Ability to independently own complex projects and manage ambiguity.
* Excellent verbal and written communication skills, with the ability to tailor messaging to different audiences.
* Ability to balance multiple priorities and work effectively in a fast\-paced, cross\-functional environment.
**Salary Range:**
* Base salary starting from $160k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follows a 3\-2 hybrid\-working policy with the expectation of in\-office work on Tuesday\-Thursday and the option to work from home on Monday and Friday.
 Trepp maintains a drug\-free workplace.</t>
        </is>
      </c>
    </row>
    <row r="44">
      <c r="A44" t="inlineStr">
        <is>
          <t>li-4345845725</t>
        </is>
      </c>
      <c r="B44" t="inlineStr">
        <is>
          <t>Senior Data Scientist, Creative Excellence</t>
        </is>
      </c>
      <c r="C44" t="inlineStr">
        <is>
          <t>Ipsos in US</t>
        </is>
      </c>
      <c r="D44" t="inlineStr">
        <is>
          <t>linkedin</t>
        </is>
      </c>
      <c r="E44" t="inlineStr"/>
      <c r="F44" t="inlineStr"/>
      <c r="G44" t="inlineStr">
        <is>
          <t>Seattle, WA</t>
        </is>
      </c>
      <c r="H44" t="inlineStr"/>
      <c r="I44"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45">
      <c r="A45" t="inlineStr">
        <is>
          <t>li-4368271075</t>
        </is>
      </c>
      <c r="B45" t="inlineStr">
        <is>
          <t>Senior Data Scientist (NLP and GenAI Specialist)</t>
        </is>
      </c>
      <c r="C45" t="inlineStr">
        <is>
          <t>Morgan Stanley</t>
        </is>
      </c>
      <c r="D45" t="inlineStr">
        <is>
          <t>linkedin</t>
        </is>
      </c>
      <c r="E45" t="inlineStr"/>
      <c r="F45" t="inlineStr"/>
      <c r="G45" t="inlineStr">
        <is>
          <t>Dallas, TX</t>
        </is>
      </c>
      <c r="H45" t="inlineStr"/>
      <c r="I45"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6">
      <c r="A46" t="inlineStr">
        <is>
          <t>li-4368254985</t>
        </is>
      </c>
      <c r="B46" t="inlineStr">
        <is>
          <t>Senior Data Scientist (NLP and GenAI Specialist)</t>
        </is>
      </c>
      <c r="C46" t="inlineStr">
        <is>
          <t>Morgan Stanley</t>
        </is>
      </c>
      <c r="D46" t="inlineStr">
        <is>
          <t>linkedin</t>
        </is>
      </c>
      <c r="E46" t="inlineStr"/>
      <c r="F46" t="inlineStr"/>
      <c r="G46" t="inlineStr">
        <is>
          <t>Irving, TX</t>
        </is>
      </c>
      <c r="H46" t="inlineStr"/>
      <c r="I46"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7">
      <c r="A47" t="inlineStr">
        <is>
          <t>li-4333711181</t>
        </is>
      </c>
      <c r="B47" t="inlineStr">
        <is>
          <t>Lead Data Scientist – Forecasting</t>
        </is>
      </c>
      <c r="C47" t="inlineStr">
        <is>
          <t>CVS Health</t>
        </is>
      </c>
      <c r="D47" t="inlineStr">
        <is>
          <t>linkedin</t>
        </is>
      </c>
      <c r="E47" t="inlineStr"/>
      <c r="F47" t="inlineStr"/>
      <c r="G47" t="inlineStr">
        <is>
          <t>Olympia, WA</t>
        </is>
      </c>
      <c r="H47" t="inlineStr"/>
      <c r="I4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Forecasting Center of Excellence (COE) at CVS Health develops scalable forecasting solutions that power smarter pricing, promotions, and assortment decisions across the retail business. As a Lead Data Scientist, you will play a key role in advancing forecasting models, deploying production\-ready pipelines, and guiding junior team members.
 This role requires strong technical expertise in time\-series modeling, machine learning, and MLOps practices, along with hands\-on ability to design, implement, and scale models. You will also collaborate closely with data engineering, merchandising, pricing, promotions, and assortment teams to integrate diverse datasets (including coupon and external data) and translate modeling insights into measurable business impact.
**In This Role, You Will Have The Opportunity To**
* Build, optimize, and deploy scalable forecasting models that support pricing, promotions, and assortment strategies across multiple product categories
* Apply advanced statistical, machine learning, and deep learning methods (e.g., ARIMA, Prophet, gradient boosting, LSTMs, hybrid ensembles) for forecasting at SKU, category, and chain levels
* Implement robust MLOps practices for model deployment, monitoring, and retraining using cloud platforms (Azure, GCP, AWS)
* Integrate multiple internal and external data sources (e.g., coupon redemption, merchandising, competitive, and macroeconomic data) into forecasting pipelines
* Collaborate with data engineering to ensure scalable, high\-quality data pipelines
* Partner with business stakeholders in pricing, promotions, and assortment to design and validate forecast\-driven decision workflows
* Coach and mentor junior data scientists, sharing best practices in forecasting, MLOps, and applied analytics
* Monitor forecast accuracy, perform backtesting, and refine models to reduce error rates and improve stability
* Develop frameworks for scenario planning and simulation to measure business impact of promotions, pricing strategies, and assortment changes
**Required Qualifications**
* 7\+ years of experience in data science, forecasting, or applied predictive modeling
* 4\+ years of experience building and deploying time\-series forecasting models using methods such as ARIMA, Prophet, gradient boosting, LSTMs, or hybrid ensembles
* 4\+ years of experience with Python and SQL for large\-scale data processing
* 3\+ years of experience with MLOps tools and practices (e.g., GitHub/GitLab, Docker, Kubernetes, Kubeflow, CI/CD pipelines)
* 3\+ years of experience using cloud platforms (Azure, AWS, or GCP) and distributed computing frameworks (e.g., Databricks, Spark)
* Proven track record of deploying at least 2 production forecasting models that delivered ≥10% improvement in accuracy (e.g., reduction in MAPE, WMAPE, or sMAPE
* Experience working with cross\-functional teams (engineering, merchandising, pricing, assortment) to deliver at least 2\+ enterprise\-level data\-driven solutions from design to production
**Preferred Qualifications**
* Experience forecasting across multiple hierarchy levels (SKU, category, store, chain) and handling temporal aggregation challenges
* Exposure to promotion, pricing, and assortment data as forecast drivers
* Familiarity with simulation frameworks for what\-if analysis and demand scenario planning
* Experience applying generative AI (e.g., embeddings, LLMs, foundation models) to forecasting, feature engineering, or automation
* Strong ability to communicate technical results to senior leadership and business stakeholders
* Experience mentoring junior team members, setting standards for modeling practices, and guiding code reviews
* Experience with end\-to\-end forecast lifecycle management (versioning, retraining, data drift monitoring)
**Education**
* Bachelor’s degree in Statistics, Mathematics, Computer Science, Engineering, Economics, or related field (Master’s/PhD preferred)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48">
      <c r="A48" t="inlineStr">
        <is>
          <t>li-4365902011</t>
        </is>
      </c>
      <c r="B48" t="inlineStr">
        <is>
          <t>Sr. Data Scientist - Visa Commercial Solutions</t>
        </is>
      </c>
      <c r="C48" t="inlineStr">
        <is>
          <t>Visa</t>
        </is>
      </c>
      <c r="D48" t="inlineStr">
        <is>
          <t>linkedin</t>
        </is>
      </c>
      <c r="E48" t="inlineStr"/>
      <c r="F48" t="inlineStr"/>
      <c r="G48" t="inlineStr">
        <is>
          <t>Atlanta, GA</t>
        </is>
      </c>
      <c r="H48" t="inlineStr"/>
      <c r="I4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cards play a crucial role in allowing our commercial solutions partners to pay and be paid. From large enterprises to small businesses, companies depend on Visa to allow their employees ease of operation in the digital payments ecosystem and to provide them with services that can help them gain valuable insights into their customers spending as well as their own spending. The Global Data Science group supports these commercial partners by using our outstandingly rich data set that spans more than 3 billion cards globally and collects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hiring Data Scientists who are equally passionate about the opportunity to use Visa’s rich data to solve meaningful business problems.
 Essential Functions
* Brainstorm innovative ways to use our unique data to answer business problems
* Use LLM\-based systems for natural language processing, data quality evaluation, and performance evaluation
* Connect with internal clients to understand the challenges they face and convince them with data
* Extract and understand data to form an opinion on how to best help our clients and derive relevant insights
* Develop visualizations to make your sophisticated analyses accessible to a broad audience
* Identify and create key metrics and dashboards to track program success
* Find opportunities to craft products out of analyses that are suitable for multiple clients
* Mine and analyze data from company databases to drive optimization and improvement of product, marketing techniques and business strategies for Visa and its clients
* Work collaboratively with Data Scientists, Data Engineers and other cross\-functional partners to tailor analyses and solutions to the needs of the business
* Assess the efficiency and accuracy of new data sources and data gathering techniques
* Develop custom data models and algorithms to apply to data sets
* Use predictive modeling to increase and optimize customer experiences, revenue generation, data insights, and other business outcomes
* Synthesize ideas/proposals in writing and engage in productive discussions with external or internal partners
 This is a hybrid position. Expectation of days in the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experience in data\-based decision\-making or quantitative analysis
* Master’s degree in Statistics, Operations Research, Applied Mathematics, Economics, Data Science, Business Analytics, Computer Science, or a related technical field
* Extracting and aggregating data from large data sets using SQL/Hive or Spark
* Analyzing large data sets using programming languages such as Python, R, SQL and/or Spark
* Generating and visualizing data\-based insights in software such as Tableau
* Advanced knowledge and experience of AI/ML model development and implementation
* Experienced with building AI/ML model pipelines and creating robust and scalable AI/ML solutions.
* Experience working with LLMs in a production environment
* Track record of creating robust and scalable AI/ML/Data Science solutions and products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137,200 to 199,100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9">
      <c r="A49" t="inlineStr">
        <is>
          <t>li-4368807621</t>
        </is>
      </c>
      <c r="B49" t="inlineStr">
        <is>
          <t>Sr Associate Data Scientist (Databricks Platform)</t>
        </is>
      </c>
      <c r="C49" t="inlineStr">
        <is>
          <t>McKesson</t>
        </is>
      </c>
      <c r="D49" t="inlineStr">
        <is>
          <t>linkedin</t>
        </is>
      </c>
      <c r="E49" t="inlineStr"/>
      <c r="F49" t="inlineStr"/>
      <c r="G49" t="inlineStr">
        <is>
          <t>Columbus, OH</t>
        </is>
      </c>
      <c r="H49" t="inlineStr"/>
      <c r="I4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Rx Savings Solutions (RxSS), part of McKesson's CoverMyMeds organization, offers an innovative, patented software system that educates and empowers consumers to make the best healthcare choices at the lowest cost. Founded and operated by a team of pharmacists and software engineers, we support a collaborative, cost\-saving solution for purchasing prescription drugs.
 We currently have an opportunity for a
 **Sr Associate** 
**Data Scientist** 
 to join our engineering team! The Sr Associate Data Scientist is a junior\-level position on our team that contributes to the development, deployment, and optimization of machine‑learning models and analytical solutions within the RxSS Data \&amp; AI ecosystem. This role leverages the Databricks platform— spanning Delta Lake, Unity Catalog, MLflow, and associated cloud services — to support model lifecycle activities, data engineering collaboration, and applied data science initiatives across the business. The Sr Associate Data Scientist is responsible for hands‑on model experimentation, feature engineering, and data preparation in partnership with Data Engineering, Product, and Analytics teams.
* Our ideal candidate will reside in the Columbus, OH or Overland Park, KS areas to support a hybrid work scenario, but we me may consider a well\-qualified, fully remote candidate.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**Key Responsibilities:**
**Machine Learning \&amp; Model Development**
* Build, train, evaluate, and optimize machine‑learning models using Spark MLlib, Python, and cloud‑based toolchains
* Perform exploratory data analysis (EDA), statistical profiling, and feature engineering on large\-scale datasets hosted in Databricks
* Implement and manage MLflow experiment tracking, model registry, versioning, and reproducibility workflows
* Contribute to model monitoring, performance tuning, drift detection, and continuous improvement.
**Databricks Cloud Engineering**
* Develop notebooks, jobs, and workflows within Databricks for data preparation, model training, and batch/streaming inference
* Utilize Unity Catalog for secure, governed data access, lineage, and metadata management
* Work with Delta Lake (bronze/silver/gold layers) for scalable feature pipelines supporting both training and production
* Collaborate with Engineering to migrate workloads to Databricks and support transformations, optimizations, and cost‑efficient compute usage.
**Data \&amp; Feature Engineering**
* Build reusable, production‑grade feature pipelines in PySpark and SQL
* Implement data validation, quality checks, and transformation logic consistent with enterprise guidelines
* Participate in design sessions for ingestion, medallion architecture workflows, and schema evolution
**Collaboration \&amp; Cross** 
**‑** 
**Functional Support**
* Partner with Data Engineering, Analytics, Product, and SMEs to translate business problems into data‑driven solutions
* Document model assumptions, data transformations, evaluation metrics, and deployment patterns
**Required Qualifications:**
* Bachelor’s degree in Data Science, Computer Science, Analytics, Math, Statistics, Engineering, or related field, or related experience
* Typically requires 2\+ years of experience in applied ML, data science, or advanced analytics
* Hands\-on experience with Python, PySpark, SQL, and Git\-based workflows
* Practical exposure to cloud\-based ML environments (preferably Databricks)
* Understanding of ML techniques such as regression, classification, clustering, time\-series forecasting, and embeddings
* Ability to work with large, complex datasets
**Preferred Qualifications:**
* Experience with Databricks MLflow, model serving, and workflow orchestration
* Familiarity with Delta Lake storage formats, feature engineering at scale, and medallion architecture patterns
* Experience deploying models into production environments with monitoring and observability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$84,500 \- $140,800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50">
      <c r="A50" t="inlineStr">
        <is>
          <t>li-4303229457</t>
        </is>
      </c>
      <c r="B50" t="inlineStr">
        <is>
          <t>Applied Scientist, Amazon LEO Capacity Planning - Simulation &amp; Optimization</t>
        </is>
      </c>
      <c r="C50" t="inlineStr">
        <is>
          <t>Amazon</t>
        </is>
      </c>
      <c r="D50" t="inlineStr">
        <is>
          <t>linkedin</t>
        </is>
      </c>
      <c r="E50" t="inlineStr"/>
      <c r="F50" t="inlineStr"/>
      <c r="G50" t="inlineStr">
        <is>
          <t>Bellevue, WA</t>
        </is>
      </c>
      <c r="H50" t="inlineStr"/>
      <c r="I50"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Global Capacity Planning team owns designing, implementing, and operating systems that support the planning, management, and optimization of Amazon LEO network resources worldwide. We are looking for a talented scientist to implement Amazon LEO's long\-term vision and strategy for capacity simulations and inventory optimization. This effort will be instrumental in helping Amazon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A3023006</t>
        </is>
      </c>
    </row>
    <row r="51">
      <c r="A51" t="inlineStr">
        <is>
          <t>li-4361340789</t>
        </is>
      </c>
      <c r="B51" t="inlineStr">
        <is>
          <t>Principal Associate, Data Scientist - Specialist Models</t>
        </is>
      </c>
      <c r="C51" t="inlineStr">
        <is>
          <t>Capital One</t>
        </is>
      </c>
      <c r="D51" t="inlineStr">
        <is>
          <t>linkedin</t>
        </is>
      </c>
      <c r="E51" t="inlineStr"/>
      <c r="F51" t="inlineStr"/>
      <c r="G51" t="inlineStr">
        <is>
          <t>New York, NY</t>
        </is>
      </c>
      <c r="H51" t="inlineStr"/>
      <c r="I5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AI and machine learning technologies and operating across billions of customer records to unlock the big opportunities that help everyday people save money, time and agony in their financial lives.
****Team Description****
 The
 *Specialist Models* 
 team builds AI and machine learning models that help our customers
 *and lines of businesses get timely \&amp; accurate recommendations, reduce friction and prevent fraud* 
 . We build Recommendation systems, AI Search Systems, Summarization tools, RAG based systems, and Agentic AI systems, using LangChain, LangGraph, PyTorch on AWS environment.
****Role Description****
 In this role, you will:
* Partner with a cross\-functional team of data scientists, software engineers, and product managers to deliver products customers love
* Leverage a broad stack of technologies — Python, Conda, AWS, frontier Foundation Models, Spark, and more — to reveal the insights hidden within huge volumes of numeric and textual data
* Build AI and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li-4280735715</t>
        </is>
      </c>
      <c r="B52" t="inlineStr">
        <is>
          <t>Sr. Applied Scientist, Amazon Advertising</t>
        </is>
      </c>
      <c r="C52" t="inlineStr">
        <is>
          <t>Amazon</t>
        </is>
      </c>
      <c r="D52" t="inlineStr">
        <is>
          <t>linkedin</t>
        </is>
      </c>
      <c r="E52" t="inlineStr"/>
      <c r="F52" t="inlineStr"/>
      <c r="G52" t="inlineStr">
        <is>
          <t>Simi Valley, CA</t>
        </is>
      </c>
      <c r="H52" t="inlineStr"/>
      <c r="I52"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3">
      <c r="A53" t="inlineStr">
        <is>
          <t>li-4296628911</t>
        </is>
      </c>
      <c r="B53" t="inlineStr">
        <is>
          <t>Senior Applied Scientist, Amazon Q Developer Science</t>
        </is>
      </c>
      <c r="C53" t="inlineStr">
        <is>
          <t>Amazon Web Services (AWS)</t>
        </is>
      </c>
      <c r="D53" t="inlineStr">
        <is>
          <t>linkedin</t>
        </is>
      </c>
      <c r="E53" t="inlineStr"/>
      <c r="F53" t="inlineStr"/>
      <c r="G53" t="inlineStr">
        <is>
          <t>Seattle, WA</t>
        </is>
      </c>
      <c r="H53" t="inlineStr"/>
      <c r="I53" t="inlineStr">
        <is>
          <t>**Description**
 The Amazon Q Developer Science team is looking for an Applied Scientist who is passionate about building services and tools for developers that leverage artificial intelligence (AI) agents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 senior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distributed systems such as Hadoop, Spark etc.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A3076459</t>
        </is>
      </c>
    </row>
    <row r="54">
      <c r="A54" t="inlineStr">
        <is>
          <t>li-4340768410</t>
        </is>
      </c>
      <c r="B54" t="inlineStr">
        <is>
          <t>Sr. Applied Scientist, Classification and Policy Platform</t>
        </is>
      </c>
      <c r="C54" t="inlineStr">
        <is>
          <t>Amazon</t>
        </is>
      </c>
      <c r="D54" t="inlineStr">
        <is>
          <t>linkedin</t>
        </is>
      </c>
      <c r="E54" t="inlineStr"/>
      <c r="F54" t="inlineStr"/>
      <c r="G54" t="inlineStr">
        <is>
          <t>Seattle, WA</t>
        </is>
      </c>
      <c r="H54" t="inlineStr"/>
      <c r="I54" t="inlineStr">
        <is>
          <t>**Description**
 Ever wonder how you can keep the world’s largest selection also the world’s safest and legally compliant selection? Then come join a team with the charter to monitor and classify the billions of items in the Amazon catalog to ensure compliance with various legal regulations.
 The Classification and Policy Platform team is looking for Applied Scientists to build technology to automatically monitor the billions of products on the Amazon platform. The software and processes built by this team are a critical component of building a catalog that our customers trust.
 You will have an opportunity to work with machine learning algorithms on large datasets. You will need to build Amazon scale applications running on Amazon Cloud that both leverage and create new technologies to process large volumes of data that derive patterns and conclusions from the data.
 We are looking for highly motivated applied scientists and engineers interested in delivering the next level of innovation to product search for Amazon. As an Applied Scientist on the CPP team, you will be responsible for working across backend, client, business development, and data engineering teams to coordinate deep\-dives, inform roadmaps, visualize metrics, and create predictive models to determine how we can best serve our customers.
 Key job responsibilities
 Designing and implementing new features and machine learned models, including the application of state\-of\-art deep learning to solve search matching and ranking problems, including filtering, new content indexing, and apply document understanding
 Conducting and coordinating process development leading to improved and streamlined processes for model development. Strong customer focus is essential
 Working closely with Product Managers to expand depth of our product insights with data, create a variety of experiments, and determine the highest\-impact projects to include in planning roadmaps
 Providing technical and scientific guidance to your team members
 Communicating effectively with senior management as well as with colleagues from science, engineering, and business backgrounds
 Being a cultural leader that ensures teams are collecting, understanding, and using data to inform every decision that impacts our customers
 The successful candidate will have an established background in developing customer\-facing experiences, a strong technical ability, a start\-up mentality, excellent project management skills, and great communication skills.
 Amazon Science gives you insight into the company’s approach to customer\-obsessed scientific innovation. Amazon fundamentally believes that scientific innovation is essential to being the most customer\-centric company in the world. It’s the company’s ability to have an impact at scale that allows us to attract some of the brightest minds in artificial intelligence and related fields. Our scientists continue to publish, teach, and engage with the academic community, in addition to utilizing our working backwards method to enrich the way we live and work.
 Please visit https://www.amazon.science for more information.
**Basic Qualifications**
* 4\+ years of applied research experience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A3134261</t>
        </is>
      </c>
    </row>
    <row r="55">
      <c r="A55" t="inlineStr">
        <is>
          <t>li-4267538707</t>
        </is>
      </c>
      <c r="B55" t="inlineStr">
        <is>
          <t>Sr. Applied Scientist, Amazon Advertising</t>
        </is>
      </c>
      <c r="C55" t="inlineStr">
        <is>
          <t>Amazon</t>
        </is>
      </c>
      <c r="D55" t="inlineStr">
        <is>
          <t>linkedin</t>
        </is>
      </c>
      <c r="E55" t="inlineStr"/>
      <c r="F55" t="inlineStr"/>
      <c r="G55" t="inlineStr">
        <is>
          <t>Palo Alto, CA</t>
        </is>
      </c>
      <c r="H55" t="inlineStr"/>
      <c r="I55"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6">
      <c r="A56" t="inlineStr">
        <is>
          <t>li-4267544484</t>
        </is>
      </c>
      <c r="B56" t="inlineStr">
        <is>
          <t>Sr. Applied Scientist, Amazon Advertising</t>
        </is>
      </c>
      <c r="C56" t="inlineStr">
        <is>
          <t>Amazon</t>
        </is>
      </c>
      <c r="D56" t="inlineStr">
        <is>
          <t>linkedin</t>
        </is>
      </c>
      <c r="E56" t="inlineStr"/>
      <c r="F56" t="inlineStr"/>
      <c r="G56" t="inlineStr">
        <is>
          <t>Seattle, WA</t>
        </is>
      </c>
      <c r="H56" t="inlineStr"/>
      <c r="I56"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7">
      <c r="A57" t="inlineStr">
        <is>
          <t>li-4341070502</t>
        </is>
      </c>
      <c r="B57" t="inlineStr">
        <is>
          <t>Senior Applied Scientist, Locomotion, Amazon Industrial Robotics</t>
        </is>
      </c>
      <c r="C57" t="inlineStr">
        <is>
          <t>Amazon</t>
        </is>
      </c>
      <c r="D57" t="inlineStr">
        <is>
          <t>linkedin</t>
        </is>
      </c>
      <c r="E57" t="inlineStr"/>
      <c r="F57" t="inlineStr"/>
      <c r="G57" t="inlineStr">
        <is>
          <t>Middlesex County, MA</t>
        </is>
      </c>
      <c r="H57" t="inlineStr"/>
      <c r="I57"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A3134751</t>
        </is>
      </c>
    </row>
    <row r="58">
      <c r="A58" t="inlineStr">
        <is>
          <t>li-4345882621</t>
        </is>
      </c>
      <c r="B58" t="inlineStr">
        <is>
          <t>Data Scientist III - GEOINT</t>
        </is>
      </c>
      <c r="C58" t="inlineStr">
        <is>
          <t>Pacific Northwest National Laboratory</t>
        </is>
      </c>
      <c r="D58" t="inlineStr">
        <is>
          <t>linkedin</t>
        </is>
      </c>
      <c r="E58" t="inlineStr"/>
      <c r="F58" t="inlineStr"/>
      <c r="G58" t="inlineStr">
        <is>
          <t>Richland, WA</t>
        </is>
      </c>
      <c r="H58" t="inlineStr"/>
      <c r="I58"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the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with expertise in data science and a passion for solving mission\-critical challenges in the geospatial intelligence (GEOINT) domain. The selected candidate will contribute to research and development programs within the AI and Data Analytics Division which specializes in data science, applied mathematics, advanced analytic architectures, software engineering, and human\-centered computing.
 The Data Scientist will work as part of interdisciplinary teams to deliver data\-driven solutions that address critical national security challenges. This individual will collaborate with peers to develop machine learning (ML) models, analyze geospatial datasets, and perform research that bridges cutting\-edge methods and field\-ready solutions. The candidate will support PNNL's mission by contributing to impactful R\&amp;D projects that help tackle national challenges.
 Successful candidates will have the opportunity to grow professionally while working on diverse, mission\-focused projects. At PNNL, we foster a collaborative and innovative work environment aimed at lifelong learning, creative problem\-solving, and advancing interdisciplinary, data\-driven innovation.
**Key Responsibilities**
* Drives the execution of research by developing, testing, and deploying ML models and geospatial analytics workflows.
* Takes ownership of defined tasks or small projects, proactively identifying technical challenges and proposing solutions to senior staff or project leads.
* Engages with stakeholders to understand project requirements and translate them into actionable technical approaches aligned with sponsor goals.
* Serves as a mentor to junior staff or interns within the team, fostering a collaborative and inclusive research environment.
* Supports proposal development and business development my contributing to proposals and/or briefing sponsors.
* Builds effective working relationships within your immediate team, as well as across interdisciplinary teams at the group or division level.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data science, computer science, physics, mathematics or a similar discipline.
* Expertise in GEOINT workflows, including experience with remote sensing platforms, multi\-modal data fusion, and advanced geospatial analytics.
* Experience in applying ML techniques to analyze hyperspectral data fusion for GEOINT applications.
* Hands\-on experience with geospatial analysis tools and machine learning frameworks, such as Python, TensorFlow, PyTorch, or equivalent.
* Demonstrated proficiency in creating proposals and technical reports.
* Proven ability to collaborate effectively with a multi\-disciplinary team environment.
* Demonstrated strong communication skills with the ability to deliver technical findings to diverse audiences.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59">
      <c r="A59" t="inlineStr">
        <is>
          <t>li-4366057818</t>
        </is>
      </c>
      <c r="B59" t="inlineStr">
        <is>
          <t>Sr. Exploitation Specialist/Data Scientist (TS/SCI)</t>
        </is>
      </c>
      <c r="C59" t="inlineStr">
        <is>
          <t>Culmen International</t>
        </is>
      </c>
      <c r="D59" t="inlineStr">
        <is>
          <t>linkedin</t>
        </is>
      </c>
      <c r="E59" t="inlineStr"/>
      <c r="F59" t="inlineStr"/>
      <c r="G59" t="inlineStr">
        <is>
          <t>St Louis, MO</t>
        </is>
      </c>
      <c r="H59" t="inlineStr"/>
      <c r="I59" t="inlineStr">
        <is>
          <t>Culmen International is hiring
**Sr.
 Exploitation Specialist/Data Scientist
 s**
 to provide support
**on\-site**
 at
 the
**National
 Geospatial\-Intelligence
 Agency (NGA)**
 in
**St. Louis, MO., supporting an Analysis Office.**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t>
        </is>
      </c>
    </row>
    <row r="60">
      <c r="A60" t="inlineStr">
        <is>
          <t>li-4353014325</t>
        </is>
      </c>
      <c r="B60" t="inlineStr">
        <is>
          <t>Sr. Exploitation Specialist/Data Scientist (TS/SCI)</t>
        </is>
      </c>
      <c r="C60" t="inlineStr">
        <is>
          <t>Culmen International</t>
        </is>
      </c>
      <c r="D60" t="inlineStr">
        <is>
          <t>linkedin</t>
        </is>
      </c>
      <c r="E60" t="inlineStr"/>
      <c r="F60" t="inlineStr"/>
      <c r="G60" t="inlineStr">
        <is>
          <t>St Louis, MO</t>
        </is>
      </c>
      <c r="H60" t="inlineStr"/>
      <c r="I60" t="inlineStr">
        <is>
          <t>Culmen International is hiring
**Sr.
 Exploitation Specialist/Data Scientist
 s**
 to provide support
**on\-site**
 at
 the
**National
 Geospatial\-Intelligence
 Agency (NGA)**
 in
**St. Louis, MO.**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**TALENT PIPELINE \- Qualified applicants will be contacted as soon as funding for this position is secured.**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t>
        </is>
      </c>
    </row>
    <row r="61">
      <c r="A61" t="inlineStr">
        <is>
          <t>li-4256828066</t>
        </is>
      </c>
      <c r="B61" t="inlineStr">
        <is>
          <t>Principal Applied Scientist, Delivery Foundation Model</t>
        </is>
      </c>
      <c r="C61" t="inlineStr">
        <is>
          <t>Amazon</t>
        </is>
      </c>
      <c r="D61" t="inlineStr">
        <is>
          <t>linkedin</t>
        </is>
      </c>
      <c r="E61" t="inlineStr"/>
      <c r="F61" t="inlineStr"/>
      <c r="G61" t="inlineStr">
        <is>
          <t>Santa Clara, CA</t>
        </is>
      </c>
      <c r="H61" t="inlineStr"/>
      <c r="I61"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62">
      <c r="A62" t="inlineStr">
        <is>
          <t>li-4256822486</t>
        </is>
      </c>
      <c r="B62" t="inlineStr">
        <is>
          <t>Principal Applied Scientist, Delivery Foundation Model</t>
        </is>
      </c>
      <c r="C62" t="inlineStr">
        <is>
          <t>Amazon</t>
        </is>
      </c>
      <c r="D62" t="inlineStr">
        <is>
          <t>linkedin</t>
        </is>
      </c>
      <c r="E62" t="inlineStr"/>
      <c r="F62" t="inlineStr"/>
      <c r="G62" t="inlineStr">
        <is>
          <t>Bellevue, WA</t>
        </is>
      </c>
      <c r="H62" t="inlineStr"/>
      <c r="I62"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63">
      <c r="A63" t="inlineStr">
        <is>
          <t>li-4249625447</t>
        </is>
      </c>
      <c r="B63" t="inlineStr">
        <is>
          <t>Principal Applied Scientist, Delivery Foundation Model</t>
        </is>
      </c>
      <c r="C63" t="inlineStr">
        <is>
          <t>Amazon</t>
        </is>
      </c>
      <c r="D63" t="inlineStr">
        <is>
          <t>linkedin</t>
        </is>
      </c>
      <c r="E63" t="inlineStr"/>
      <c r="F63" t="inlineStr"/>
      <c r="G63" t="inlineStr">
        <is>
          <t>Bellevue, WA</t>
        </is>
      </c>
      <c r="H63" t="inlineStr"/>
      <c r="I6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64">
      <c r="A64" t="inlineStr">
        <is>
          <t>li-4331395242</t>
        </is>
      </c>
      <c r="B64" t="inlineStr">
        <is>
          <t>Principal Applied Scientist, Advertiser Growth, Amazon Sponsored Products &amp; Brands</t>
        </is>
      </c>
      <c r="C64" t="inlineStr">
        <is>
          <t>Amazon</t>
        </is>
      </c>
      <c r="D64" t="inlineStr">
        <is>
          <t>linkedin</t>
        </is>
      </c>
      <c r="E64" t="inlineStr"/>
      <c r="F64" t="inlineStr"/>
      <c r="G64" t="inlineStr">
        <is>
          <t>Palo Alto, CA</t>
        </is>
      </c>
      <c r="H64" t="inlineStr"/>
      <c r="I64"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5">
      <c r="A65" t="inlineStr">
        <is>
          <t>li-4331383958</t>
        </is>
      </c>
      <c r="B65" t="inlineStr">
        <is>
          <t>Principal Applied Scientist, Advertiser Growth, Amazon Sponsored Products &amp; Brands</t>
        </is>
      </c>
      <c r="C65" t="inlineStr">
        <is>
          <t>Amazon</t>
        </is>
      </c>
      <c r="D65" t="inlineStr">
        <is>
          <t>linkedin</t>
        </is>
      </c>
      <c r="E65" t="inlineStr"/>
      <c r="F65" t="inlineStr"/>
      <c r="G65" t="inlineStr">
        <is>
          <t>Seattle, WA</t>
        </is>
      </c>
      <c r="H65" t="inlineStr"/>
      <c r="I65"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6">
      <c r="A66" t="inlineStr">
        <is>
          <t>li-4334992900</t>
        </is>
      </c>
      <c r="B66" t="inlineStr">
        <is>
          <t>Sr. Applied Scientist, AGI Foundations</t>
        </is>
      </c>
      <c r="C66" t="inlineStr">
        <is>
          <t>Amazon</t>
        </is>
      </c>
      <c r="D66" t="inlineStr">
        <is>
          <t>linkedin</t>
        </is>
      </c>
      <c r="E66" t="inlineStr"/>
      <c r="F66" t="inlineStr"/>
      <c r="G66" t="inlineStr">
        <is>
          <t>Boston, MA</t>
        </is>
      </c>
      <c r="H66" t="inlineStr"/>
      <c r="I66"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67">
      <c r="A67" t="inlineStr">
        <is>
          <t>li-4368819038</t>
        </is>
      </c>
      <c r="B67" t="inlineStr">
        <is>
          <t>Lead Data Scientist - Risk Intelligence &amp; AI</t>
        </is>
      </c>
      <c r="C67" t="inlineStr">
        <is>
          <t>AppOmni</t>
        </is>
      </c>
      <c r="D67" t="inlineStr">
        <is>
          <t>linkedin</t>
        </is>
      </c>
      <c r="E67" t="inlineStr"/>
      <c r="F67" t="inlineStr"/>
      <c r="G67" t="inlineStr"/>
      <c r="H67" t="inlineStr"/>
      <c r="I67" t="inlineStr">
        <is>
          <t>**About AppOmni** 
 AppOmni prevents SaaS data breaches by delivering end\-to\-end SaaS security. Our platform gives security teams clear visibility into posture, access, third\-party connections, AI\-related activity, and with built\-in discovery to identify unsanctioned SaaS and Shadow AI tools. Backed by continuous monitoring and real\-time threat detection, AppOmni helps enterprises identify and resolve risks early, keeping their SaaS applications secure.
 Recognized as a Frost Radar™ 2025 Leader and Great Place To Work®, AppOmni continues to set the standard for innovation and customer value in SaaS security. The largest and fastest\-growing global enterprises across industries trust AppOmni to secure their SaaS applications.
**About the Role** 
 AppOmni is looking for a Lead Data Scientist, Risk Intelligence \&amp; AI to define and build machine\-learning–driven risk scoring, prioritization, and AI\-powered security workflows within our SaaS security platform.
 In this role, you will apply statistical modeling, machine learning, and modern AI techniques to help transform security signals into actionable prioritization, and to develop intelligent, agent\-driven product capabilities that assist customers with investigation, triage, and response. You will play a key role in shaping how AI is applied responsibly and effectively in customer\-facing security workflows.
 This is a hands\-on individual contributor role with technical leadership responsibilities. You will work closely with Product and Engineering to design, build, and operationalize ML and AI systems that are explainable, reliable, and safe to deploy in production.
**What You’ll Do** 
* Design and implement data\-driven risk scoring and prioritization approaches across SaaS security signals.
* Lead the development of AI\-powered product capabilities, including agentic and LLM\-based features that support investigation, triage, and security operations workflows.
* Define and evolve explainable decision logic so customers understand why issues are prioritized or actions are recommended.
* Contribute to approaches that assess the potential scope and impact of security issues.
* Establish evaluation methods to measure model quality, effectiveness, and reliability over time.
* Incorporate product usage signals and feedback to guide continuous improvement of ML and AI systems.
* Monitor ML and AI systems in production to ensure stability, safety, and consistent behavior.
* Partner with Engineering to operationalize models and AI workflows, supporting safe deployment and iteration.
* Collaborate with Product to shape AI\-driven user experiences, ensuring alignment with customer needs and trust expectations.
* Act as a technical leader and thought partner on applied ML and AI across the product area.
**What We’re Looking For** 
* 7–10\+ years of experience as a Data Scientist, Applied Scientist, or Machine Learning Engineer, with ownership of production systems.
* Strong background in statistical modeling, machine learning, and applied decision systems.
* Experience designing and shipping ML\- or AI\-driven product features used by customers.
* Experience applying ML or AI to decision\-making systems that influence user workflows or automated outcomes.
* Experience designing or contributing to agent\-like or automated workflows, including reasoning about task decomposition, tool usage, or control flow.
* Demonstrated ability to design guardrails and human\-in\-the\-loop mechanisms for automated or AI\-assisted actions.
* Experience operating ML or AI systems post\-launch, including monitoring behavior, iterating based on feedback, and addressing reliability or trust issues.
* Familiarity with LLMs and agent\-based approaches, with practical awareness of reliability, safety, and evaluation considerations.
* Experience in security, identity, fraud, or risk modeling domains.
* Ability to balance automation, explainability, and user trust in customer\-facing systems.
* Experience partnering closely with Product and Engineering to deliver customer\-facing capabilities.
* Strong written and verbal communication skills.
**Culture** 
 Our talented team is collaborative and supportive as we move quickly to research and develop new ideas, deliver new features to our customers, and iterate on ideas and innovations. We accomplish this by focusing on our five core values: Trust, Transparency, Quality, Customer Focus, and Delivery. Our team is determined to make a difference to positively impact our way of life by securing the technology that is changing the world.
 AppOmni is proud to be Certified by Great Place to WorkⓇ, as we seek to build a culture where all employees feel appreciated and supported, especially with clear and honest leadership, employee recognition, and an environment that fosters innovation and collaboration.
 We believe diversity fuels innovation and drives growth by bringing a wealth of different perspectives and skills. We’re committed to fostering an inclusive environment where every employee feels valued, heard, and empowered to reach their full potential. Join us in building a workplace where we can all thrive.
 https://appomni.com/careers/
**Compensation \&amp; Benefits** 
 AppOmni is committed to supporting our employees' financial, professional, and personal well\-being. To do this, we take a holistic view of compensation, one that values not just the immediate financial package but also the long\-term growth of both our employees and our company. We're committed to pay equity and transparency and encourage all candidates to discuss their salary expectations with us early in the application process.
 Our total rewards package includes the following:
* Base Salary: The annual base salary compensation range in the U.S. for this role is: $215,000 \- $260,000 USD. Final offer amounts are determined by factors such as the final candidate’s skills, qualifications, and experience, as well as business considerations and peer compensation.
* Stock Options: Our vision is to not just grow as a company but to grow together. By offering stock options, we are inviting you to be an integral part of our journey forward.
* Benefits: Home office stipend, Generous paid time off, paid company holidays, paid floating holidays, paid parental leave, paid sick time and paid family leave for applicable states, health insurance \- medical, dental, and vision with HSA option, LifeWorks Employee Assistance Program, company\-provided life insurance, AD\&amp;D, STD/LTD and additional supplemental life insurance options, 401(k) and Roth retirement saving accounts, and a monthly wellness benefit reimbursement. All benefits are subject to eligibility requirements and plan details.
*AppOmni is an equal\-opportunity employer. Applicants will not be discriminated against because of race, color, creed, national origin, ancestry, citizenship status, sex, sexual orientation, gender identity or expression, age, religion, disability, pregnancy, marital status, veteran status, medical condition, genetic information, or any other characteristic protected by law. AppOmni is also committed to providing reasonable accommodations to qualified individuals with disabilities and disabled veterans in our job application procedures. If you need assistance or an accommodation due to a disability, you may contact us at employeesuccess@appomni.com.*</t>
        </is>
      </c>
    </row>
    <row r="68">
      <c r="A68" t="inlineStr">
        <is>
          <t>li-4368822147</t>
        </is>
      </c>
      <c r="B68" t="inlineStr">
        <is>
          <t>Data Scientist, Algorithms</t>
        </is>
      </c>
      <c r="C68" t="inlineStr">
        <is>
          <t>Lyft</t>
        </is>
      </c>
      <c r="D68" t="inlineStr">
        <is>
          <t>linkedin</t>
        </is>
      </c>
      <c r="E68">
        <f>HYPERLINK("https://www.linkedin.com/jobs/view/4368822147", "https://www.linkedin.com/jobs/view/4368822147")</f>
        <v/>
      </c>
      <c r="F68" t="inlineStr"/>
      <c r="G68" t="inlineStr">
        <is>
          <t>San Francisco County, CA</t>
        </is>
      </c>
      <c r="H68" t="inlineStr"/>
      <c r="I68"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Write production modeling code; collaborate with Software Engineers to implement algorithms in production
* Design and run both simulated and live traffic experiments
* Analyze experimental and observational data; communicate findings; facilitate launch decisions
**Experience:**
* M.S. or Ph.D. in Statistics, Operations Research, Mathematics, Economics, Computer Science, Physics, Engineering, or a similar quantitative field
* 2\+ years professional experience OR a Ph.D.
+ Expertise in machine learning, optimization and/or causal inference
* Proficient at writing Python code
* End\-to\-end experience with data, including querying, ETL, monitoring, analysis, and visualization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9">
      <c r="A69" t="inlineStr">
        <is>
          <t>li-4368816211</t>
        </is>
      </c>
      <c r="B69" t="inlineStr">
        <is>
          <t>Data Scientist, Algorithms</t>
        </is>
      </c>
      <c r="C69" t="inlineStr">
        <is>
          <t>Lyft</t>
        </is>
      </c>
      <c r="D69" t="inlineStr">
        <is>
          <t>linkedin</t>
        </is>
      </c>
      <c r="E69">
        <f>HYPERLINK("https://www.linkedin.com/jobs/view/4368816211", "https://www.linkedin.com/jobs/view/4368816211")</f>
        <v/>
      </c>
      <c r="F69" t="inlineStr"/>
      <c r="G69" t="inlineStr">
        <is>
          <t>Seattle, WA</t>
        </is>
      </c>
      <c r="H69" t="inlineStr"/>
      <c r="I69"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Write production modeling code; collaborate with Software Engineers to implement algorithms in production
* Design and run both simulated and live traffic experiments
* Analyze experimental and observational data; communicate findings; facilitate launch decisions
**Experience:**
* M.S. or Ph.D. in Statistics, Operations Research, Mathematics, Economics, Computer Science, Physics, Engineering, or a similar quantitative field
* 2\+ years professional experience OR a Ph.D.
+ Expertise in machine learning, optimization and/or causal inference
* Proficient at writing Python code
* End\-to\-end experience with data, including querying, ETL, monitoring, analysis, and visualization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70">
      <c r="A70" t="inlineStr">
        <is>
          <t>li-4320766131</t>
        </is>
      </c>
      <c r="B70" t="inlineStr">
        <is>
          <t>Data Scientist</t>
        </is>
      </c>
      <c r="C70" t="inlineStr">
        <is>
          <t>Toyota North America</t>
        </is>
      </c>
      <c r="D70" t="inlineStr">
        <is>
          <t>linkedin</t>
        </is>
      </c>
      <c r="E70">
        <f>HYPERLINK("https://www.linkedin.com/jobs/view/4320766131", "https://www.linkedin.com/jobs/view/4320766131")</f>
        <v/>
      </c>
      <c r="F70" t="inlineStr"/>
      <c r="G70" t="inlineStr">
        <is>
          <t>Plano, TX</t>
        </is>
      </c>
      <c r="H70" t="inlineStr"/>
      <c r="I70"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 Work closely with team members and business partners to identify and prioritize key questions and drive impactful data\-based decisions.
* Extract, manipulate, and clean data from diverse sources using SQL and Python, preparing it for detailed analysis and model development.
* Develop and implement sophisticated predictive and prescriptive models using statistical and machine learning techniques. Ensure these models address key business challenges and deliver actionable insights.
* Create clear, compelling data visualizations to effectively communicate findings to both technical and non\-technical stakeholders.
* Effectively and efficiently transition models from development to production within the organization’s existing cloud ecosystem.
* Participate actively in project planning and prioritization sessions to ensure data initiatives align with business goals.
* Stay updated with the latest industry trends and tools and integrate this knowledge to improve methodologies and solutions.
**What You Bring**
* Master’s degree or higher in a relevant analytical field.
* Hands\-on experience building and optimizing data solutions using Python.
* Experience solving problems using a variety of statistical and machine learning techniques.
* Hands\-on experience using statistical or machine learning frameworks to solve a variety of real\-world problems (e.g., statsmodels, scikit\-learn, PyTorch).
* Knowledge of methods like Logistic Regression, Time Series Analysis, GLMs, Mixed Modeling, Multivariate Statistics, Predictive Modeling, Decision Trees, Gradient\-Boosted Trees, Random Forests, and Neural Networks.
* Experience with identifying problems and developing innovative solutions.
* Experience working in a data science role outside of a degree\-seeking academic program.
**Added bonus if you have**
* Experience with version control systems such as GitHub, and familiarity with CI/CD practices to streamline model deployment and code management.
* Hands\-on experience with cloud\-based machine learning platforms (e.g., AWS SageMaker or Azure ML) to leverage scalable computing resources and tools.
* Demonstrated ability to lead through influence, effectively navigating and prioritizing complex cross\-departmental projects to drive impactful change.
* Capability to replace and bridge existing legacy infrastructure and processes.
* Experience working with Data Science outside of a degree\-seeking program.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71">
      <c r="A71" t="inlineStr">
        <is>
          <t>li-4368253822</t>
        </is>
      </c>
      <c r="B71" t="inlineStr">
        <is>
          <t>Data Scientist</t>
        </is>
      </c>
      <c r="C71" t="inlineStr">
        <is>
          <t>Corner Alliance</t>
        </is>
      </c>
      <c r="D71" t="inlineStr">
        <is>
          <t>linkedin</t>
        </is>
      </c>
      <c r="E71">
        <f>HYPERLINK("https://www.linkedin.com/jobs/view/4368253822", "https://www.linkedin.com/jobs/view/4368253822")</f>
        <v/>
      </c>
      <c r="F71" t="inlineStr"/>
      <c r="G71" t="inlineStr">
        <is>
          <t>Washington, DC</t>
        </is>
      </c>
      <c r="H71" t="inlineStr"/>
      <c r="I71" t="inlineStr">
        <is>
          <t>Corner Alliance is a dynamic, growing consulting firm that devotes itself to providing an enriching employee experience
 *while* 
 working in meaningful ways to
 **create results for the government.** 
 We are currently seeking a Data Scientist with 8\+ years of experience to join our team and fully embrace our commitment to
 *deliver, grow and thrive* 
 .
* This position is contingent upon award\*\*
**About The Role**
 As a
 **Senior Data Analyst** 
 supporting our Federal government client, you will be trusted to support the development of the
 **Data Strategy** 
**,** 
 articulating how the organization will accelerate the adoption of data, analytics, and
 **artificial intelligence (AI)** 
 to enable joint operational situational awareness and data\-driven decision\-making. In this role, you will lead advanced analytics efforts, enhance enterprise data capabilities, and transform complex datasets into actionable insights that support mission outcomes.
**Key Responsibilities Include (but Are Not Limited To)**
* Develop scripts to curate select datasets for integration into business intelligence data products
* Enhance and maintain data pipelines used to restructure, clean, and transform datasets for integration into the enterprise data warehouse
* Design, enhance, and develop business intelligence dashboards and data visualizations to provide leadership with timely, actionable insights and joint operational situational awareness
* Lead exploratory data analysis efforts to identify trends, risks, and opportunities across complex datasets
* Identify and develop opportunities within existing data management and analytics efforts where AI/ML can expand capabilities and deliver performance enhancements
* Deliver spatial data science solutions to extract deeper insights, uncover hidden patterns, and improve predictive modeling
* Leverage advanced analytics and visualization tools (e.g., Power BI, ArcGIS, Palantir or equivalent platforms) to support decision\-making and performance tracking
* Translate complex analytical findings into clear, concise reports and presentations for technical and non\-technical stakeholders
* Ensure analytics products meet federal standards for quality, accuracy, documentation, and usability
* Provide technical leadership and guidance on analytics best practices across data initiatives
* Carry out our
**Location:**
 You will work as part of a remote team; however, you may be required to attend occasional meetings at headquarters located in: Washington, DC; Reston, VA; Arlington, VA or Boulder, CO.
**Required Experience/Skills**
* A Bachelor’s degree and 8 years of relevant professional experience
+ A Master’s degree and 5 years of experience may be substituted in lieu of 8 years of experience
* Demonstrated experience supporting advanced data analytics initiatives, preferably in a federal or consulting environment
* Advanced experience developing and maintaining data pipelines and enterprise data solutions
* Expert\-level experience with data visualization and analytics tools such as Power BI, ArcGIS, Tableau, or similar platforms
* Experience applying advanced analytical techniques, including exploratory analysis and predictive modeling
* Proficiency with scripting or data manipulation languages such as SQL, Python, R, or equivalent
* Strong written and verbal communication skills, with the ability to present complex data clearly and effectively
* Ability to work independently and lead analytics tasks across multiple workstreams
* US citizenship and the ability to pass public trust clearance or suitability
**Preferred Experience/Skills:**
* Experience developing or operationalizing AI/ML solutions within analytics environments
* Experience delivering spatial or geospatial analytics solutions
* Experience operating or supporting Palantir or similar data foundry platforms
* Prior experience supporting large, complex federal programs or enterprise data environments
*Don’t think you have everything for this role but are still very interested? Please don’t hold back from applying because you may not have it all. You can learn and grow with us. We're looking for someone who is coachable, unflappable in navigating challenges, resourceful in learning new skills, innovative in challenging the status quo, excellent in writing, analytical in thinking, skilled in prioritization, and a rapport builder with clients and colleagues.*
**About Us**
*Corner Alliance offers a comprehensive and competitive benefits package for full\-time employees including 401k matching (4%), PTO (3 weeks to start, 4 weeks (2\-5 years) and 5 weeks (5 years\+)), health, dental, vision, short\- and long\-term disability, FSA accounts, 4 weeks of paid parental leave, 11 paid holidays (including your birthday off), fitness \&amp; cell phone reimbursements, monthly all hands update meetings, annual in\-person all hands team building day and evening out, regular check\-ins for professional growth goals, semi\-monthly one on one performance manager meetings, a social team that coordinates monthly events, use of technology like Slack to keep us connected and collaborative, and overall, a company culture dedicated to a highly engaged team.*
*Corner Alliance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 We are dedicated to building a talented workforce that reflects the strength of our society and our shared commitment to excellence. In compliance with the Americans with Disabilities Act Amendments Act (ADAAA), if you have a disability and would like to request an accommodation in order to apply for a position with Corner Alliance please call (202\) 754\-8120 or email* 
*recruiting@corneralliance.com* 
*. Corner Alliance participates in the E\-verify program and will provide the Federal Government with Form I\-9 information to confirm work authorization in the U.S.*
*Visit us at* 
*www.corneralliance.com* 
*to learn more.*
**Securing Your Data**
*Beware of fake employment opportunities using Corner Alliance’s name. Corner Alliance will never ask you to provide payment\-related information during any part of the employment application process (i.e., ask you for money), nor will Corner Alliance ever advance money as part of the hiring process (i.e., send you a check or money order before doing any work). Further, Corner Alliance will only communicate with you through our ATS system JazzHR and/or emails that are generated by the* 
*corneralliance.com* 
*automated system – never from free commercial services (e.g., Gmail, Yahoo, Hotmail) or via WhatsApp, Telegram, etc. If you received an email purporting to be from Corner Alliance that asks for payment\-related information or any other personal information (e.g., about you or your previous employer), and you are concerned about its legitimacy, please make us aware immediately by emailing us at* 
*recruiting@corneralliance.com* 
*. If you believe you are the victim of a scam, contact your local law enforcement and report the incident to the* 
*U.S. Federal Trade Commission* 
*.*
**Salary**
*Approximate Salary Estimate: $120,000 \- $145,000 annually*
*The estimate displayed represents the typical salary range of candidates hired. Factors that may be used to determine your actual salary may include your specific skills, how many years of experience you have, and comparison to other employees already in this role.*
 Powered by JazzHR</t>
        </is>
      </c>
    </row>
    <row r="72">
      <c r="A72" t="inlineStr">
        <is>
          <t>li-4365501039</t>
        </is>
      </c>
      <c r="B72" t="inlineStr">
        <is>
          <t>Data Scientist</t>
        </is>
      </c>
      <c r="C72" t="inlineStr">
        <is>
          <t>New York City Police Department</t>
        </is>
      </c>
      <c r="D72" t="inlineStr">
        <is>
          <t>linkedin</t>
        </is>
      </c>
      <c r="E72">
        <f>HYPERLINK("https://www.linkedin.com/jobs/view/4365501039", "https://www.linkedin.com/jobs/view/4365501039")</f>
        <v/>
      </c>
      <c r="F72">
        <f>HYPERLINK("https://cityjobs.nyc.gov/job/data-scientist-in-nyc-all-boros-jid-38531?trid=2d92f286-613b-4daf-9dfa-6340ffbecf73&amp;urlHash=06Ww", "https://cityjobs.nyc.gov/job/data-scientist-in-nyc-all-boros-jid-38531?trid=2d92f286-613b-4daf-9dfa-6340ffbecf73&amp;urlHash=06Ww")</f>
        <v/>
      </c>
      <c r="G72" t="inlineStr"/>
      <c r="H72" t="inlineStr"/>
      <c r="I72" t="inlineStr">
        <is>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 The Office of Management Analysis and Planning (OMAP) is seeking a skilled and highly motivated Data Scientist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 A successful candidate will contribute to the section mission by designing and developing data science services that solve Department challenges. They also will harmonize analysis and research to advise leadership on policy and improve Department decision making. Key responsibilities include experience with Python and machine learning; the ability to work with both structured and unstructured datasets (e.g. text, geospatial, network data); and the ability to write clean code to integrate data science services with business intelligence tools. Strong project management and interpersonal skills are required.
 WORK LOCATION:
 1 Police Plaza, N.Y. 10038
**Hours/Shift**
 Monday \- Friday 8 x 4 or 10 x 6
 TO APPLY
 Click the 'Apply' button, or visit: https://cityjobs.nyc.gov and search for Job ID \#759884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**Minimum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designing and developing full\-stack software applications using Python, SQL, and/or R. \-Experience designing and developing statistical and machine learning models (e.g. scikit\-learn, statsmodels, PyTorch). \-Ability to design and develop metrics to measure business objectives and improve the operational effectiveness of the Department. \-Ability to design and develop data visualizations and business communication for department leadership to improve organizational decision making (e.g. Pandas, Numpy, Matplotlib). \-Ability to work with unstructured data, such as text, geospatial, and network data is preferred (e.g. NLTK, GeoPy, networkx). \-Ability to write clean and simple code to automate business tools such as Word, Excel, PowerPoint, ArcGIS, and PowerBI is preferred. \-Excellent oral, written, analytic, organizational, and interpersonal skills and attention to detail are required. \-Ability to manage multiple projects simultaneously and meet tight deadlines. \-Ability to work both independently and on a team. \-Ability to work cross\-functionally to strengthen relationships with internal stakeholders, agencies, and academic institutions. \-Knowledge and understanding of criminal justice policy and research literature is preferred.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row>
    <row r="73">
      <c r="A73" t="inlineStr">
        <is>
          <t>li-4368281186</t>
        </is>
      </c>
      <c r="B73" t="inlineStr">
        <is>
          <t>Product Data Scientist, Engineering Productivity, Applied AI</t>
        </is>
      </c>
      <c r="C73" t="inlineStr">
        <is>
          <t>Google</t>
        </is>
      </c>
      <c r="D73" t="inlineStr">
        <is>
          <t>linkedin</t>
        </is>
      </c>
      <c r="E73">
        <f>HYPERLINK("https://www.linkedin.com/jobs/view/4368281186", "https://www.linkedin.com/jobs/view/4368281186")</f>
        <v/>
      </c>
      <c r="F73">
        <f>HYPERLINK("https://careers.google.com/jobs/results/135943124227629766-product-data-scientist/?src=Online/LinkedIn/linkedin_us&amp;utm_source=linkedin&amp;utm_medium=jobposting&amp;utm_campaign=contract&amp;urlHash=TYoz", "https://careers.google.com/jobs/results/135943124227629766-product-data-scientist/?src=Online/LinkedIn/linkedin_us&amp;utm_source=linkedin&amp;utm_medium=jobposting&amp;utm_campaign=contract&amp;urlHash=TYoz")</f>
        <v/>
      </c>
      <c r="G73" t="inlineStr">
        <is>
          <t>Mountain View, CA</t>
        </is>
      </c>
      <c r="H73" t="inlineStr"/>
      <c r="I73" t="inlineStr">
        <is>
          <t>**Minimum qualifications:**
* Bachelor's degree in Statistics, Mathematics, Data Science, Engineering, Physics, Economics, or a related quantitative field.
* 2 years of experience with analysis applications (extracting insights, performing statistical analysis, or solving business problems), and coding (Python, R, SQL), or work experience with an advanced degree.
**Preferred qualifications:**
* Master's degree in Statistics, Mathematics, Data Science, Engineering, Physics, Economics, or a related quantitative field.
* 3 years of experience with analysis applications (extracting insights, performing statistical analysis, or solving business problems), and coding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Platform and Devices Engineering Infrastructure and Operations (PDEIO) team works to increase the productivity of all engineers in the ecosystem, starting right here at Google. The team enables everyone to ship high\-quality code quickly. The goal is to take the world's largest operating system to new heights of efficiency, velocity and effectiveness.
 As a Data Scientist in Engineering Productivity Organization, you will be at the forefront of improving how the platforms are built and delivered, impacting billions of users and hundreds of OEM partners.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$113,000\-$161,000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Apply standard/common tools, resources, and processes to defined problems and for moderately difficult projects, execute problem\-solving tasks with guidance.
* Own the process of gathering, extracting, and compiling data across sources via relevant tools (e.g., SQL, R, Python). Format, re\-structure, and validate data to ensure quality.
* Provide expert data science guidance, enabling data\-driven decisions that accelerate development and improve efficiency.
* Partner cross\-functionally with Engineering Productivity (EngProd) and core developer, and many other organizations to accelerate and simplify the developer workflows for Android engineers.
* Work closely with an Applied AI team solving complex business problems using ML and Large Language Model (LLM)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li-4368858034</t>
        </is>
      </c>
      <c r="B74" t="inlineStr">
        <is>
          <t>Data Scientist I/II</t>
        </is>
      </c>
      <c r="C74" t="inlineStr">
        <is>
          <t>San Diego Association of Governments (SANDAG)</t>
        </is>
      </c>
      <c r="D74" t="inlineStr">
        <is>
          <t>linkedin</t>
        </is>
      </c>
      <c r="E74">
        <f>HYPERLINK("https://www.linkedin.com/jobs/view/4368858034", "https://www.linkedin.com/jobs/view/4368858034")</f>
        <v/>
      </c>
      <c r="F74">
        <f>HYPERLINK("https://www.governmentjobs.com/careers/sandag/jobs/5223049/data-scientist-i-ii?src=LinkedIn&amp;urlHash=hZ6C", "https://www.governmentjobs.com/careers/sandag/jobs/5223049/data-scientist-i-ii?src=LinkedIn&amp;urlHash=hZ6C")</f>
        <v/>
      </c>
      <c r="G74" t="inlineStr">
        <is>
          <t>San Diego, CA</t>
        </is>
      </c>
      <c r="H74" t="inlineStr"/>
      <c r="I74" t="inlineStr">
        <is>
          <t>**Description**
**Overview of SANDAG**
 Our mission is to maintain and improve the quality of life for everyone who calls this region home. The San Diego Association of Governments (SANDAG) is both a metropolitan planning organization and a council of governments, bringing together local decision\-makers to develop solutions to regional issues including improving equity, transportation, air quality, clean energy, economic development, goods movement, public health, public safety, housing, and more.
 Our current focus is to serve as a data\-driven agency, speeding up the delivery of exciting, large\-scale infrastructure projects throughout the region. This includes building infrastructure to link transit connections, boosting cross\-border travel between the U.S. and Mexico with a new, high\-tech border crossing facility, and fortifying our coastal railway corridor against erosion. Other important SANDAG initiatives include administering the TransNet Program, regional tolling operations, providing a forum for housing needs, and offering funding and technical assistance to member agencies.
**Overview Of The Data Science Department**
 The Data Science Department provides SANDAG member agencies, elected officials, other organizations, and the public with information and technical resources for regional planning, funding, and policymaking efforts. The department represents a broad range of expertise from land use and transportation modeling, applied social research, public safety, demographics, economics, and quality assurance. The information the department gathers, analyzes, produces, delivers, and maintains is essential to the success of SANDAG.
**Overview Of The Data Quality Assurance/Quality Control Team**
 The Data Quality Assurance/Quality Control team provides independent verification of data acquired or produced by SANDAG modeling, forecasting, analysis, mapping, and visualization efforts. In addition to conducting data verification steps, the team also develops and implements formalized policies and processes around data quality management.
**Role**
 The Data Science Department is hiring a Data Scientist who will work in the Data Quality Assurance/Quality Control and Data Science Management and Analytics teams. The position will serve as a shared resource to support multiple divisions within Data Science. Under supervision from the hiring manager, the position will develop and implement quality control checks on datasets used and produced by teams across the agency to ensure quality and reliability.
 In addition, this position will contribute to developing data\-driven analytics applications across the agency and support various agency priority projects. This position is ideal for someone who enjoys analytical and critical thinking and problem solving who is highly organized, hands\-on, flexible, and can be relied upon to meet deadlines with changing priorities.
**Job Responsibilities**
*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 Develop and perform quality control tests and analysis of data using tools such as Python, R, ArcGIS, and SQL to identify and report data anomalies and identify root cause patterns.
* Examine datasets and supporting documentation to identify risks and problem areas and recommend standards, policies, and procedures to facilitate a comprehensive data quality management system.
* Support Peer Review Process through review of datasets and methodologies, including suggestions for improvement as well as documentation, including meeting notes and action items.
* Create and maintain documentation related to data compliance, business rules, data flows, process flows, and reporting.
* Coordinate the preparation of metrics and statistical reports, perform reviews, and complete special studies; prepare spreadsheets, charts, maps, and data visualizations to support information sharing.
* Participate on inter\-departmental and interagency teams assembled for various agency projects.
* Prepare and present written, oral, and visual reports and recommendations to various teams and upper management.
**Typical Qualifications**
* The minimum education, training, and experience include a bachelor’s degree with major course work in data science, computer science, management information systems, regional planning, geography, demographics, statistics, mathematics or a related field. One to two years of professional experience in data analysis and programming is preferred.
* Intermediate\-advanced level programming experience in Python (and other object\-oriented program languages) is critical. Experience of Jupyter notebook is desirable.
* Knowledge of design principles for relational database management systems; experience creating SQL queries, stored procedures, and data views; familiarity with MS SQL Server or other enterprise relational database systems.
* Experience using geographic information system software such as Esri ArcGIS or QGIS.
* Experience using business intelligence/information sharing software (Power BI, Tableau, etc.) to create reports and dashboards.
* Experience updating and maintaining project databases, files, and records, including data documentation.
* Knowledge of quality assurance and quality control practices used for validating data and ensuring data accuracy and integrity, including statistical analysis and sampling techniques, preferably for demographic and economic data.
* Experience with data analysis and research methodologies; knowledge of data acquisition and quality control methods used for gathering and compiling various types of information; knowledge of factors that contribute to the reliability and integrity of collected data.
* Experience analyzing, organizing, interpreting, and exploring data with the ability to discover patterns, meaningful relationships, anomalies, and trends.
* Experience communicating highly technical information effectively to a broad range of audiences
* Familiarity with the principles, practices, and objectives of regional planning and forecasting.
* Familiarity with formalized data governance processes and procedures.
* Excellent organizational skills, attention to detail, and ability to multitask and work on several projects simultaneously.
* Demonstrated flexibility and willingness to perform a variety of tasks typical of an entry\-level data analytics position.
* Experience in cloud computing environment such as Azure.
* Proficiency in implementing Extract, Transform and Load (ETL) processes
* Ability to support ad\-hoc research and development work as needed and present research findings.
 This employer does not participate in the federal E\-Verify program. Employment is contingent upon the employee’s ability to provide documentation verifying identity and authorization to work in the United States.
**Annual Salary Ranges**
* Data Scientist I: $74,422\-$115,357
* Data Scientist II: $82,077\-$127,234
 First Review Date: February 17, 2026
 Expected Start Date: March 2026</t>
        </is>
      </c>
    </row>
    <row r="75">
      <c r="A75" t="inlineStr">
        <is>
          <t>li-4368267967</t>
        </is>
      </c>
      <c r="B75" t="inlineStr">
        <is>
          <t>Associate Data Scientist</t>
        </is>
      </c>
      <c r="C75" t="inlineStr">
        <is>
          <t>Garner Health, LLC</t>
        </is>
      </c>
      <c r="D75" t="inlineStr">
        <is>
          <t>linkedin</t>
        </is>
      </c>
      <c r="E75">
        <f>HYPERLINK("https://www.linkedin.com/jobs/view/4368267967", "https://www.linkedin.com/jobs/view/4368267967")</f>
        <v/>
      </c>
      <c r="F75" t="inlineStr"/>
      <c r="G75" t="inlineStr">
        <is>
          <t>New York, NY</t>
        </is>
      </c>
      <c r="H75" t="inlineStr"/>
      <c r="I7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looking for an
 **Associate Data Scientist** 
 to join our Garner Health Intelligence team to help build and evolve our provider data insights. You’ll work with other data scientists, data engineers, and product managers to improve the logic and systems we use to rank providers and power our recommendations.
**Where You Will Work**
 This role will be based in our New York City office. You must be willing to work in the office 3 days per week on Tuesday, Wednesday and Thursday.
**What You Will Do**
* Build and maintain data\-driven algorithms to improve provider recommendations and the member search experience.
* Design data pipelines that model and enrich healthcare provider data.
* Collaborate across product, engineering, and operations teams to solve open\-ended business problems with data\-driven solutions.
**What You Will Bring To The Team**
* Bachelor’s degree in Computer Science, Mathematics, Statistics, Economics, or a related STEM field.
* Less than 1 year of professional experience in data science, analytics, finance, consulting, or product roles.
* Proficiency in statistics, hypothesis testing, and exploratory data analysis.
* Demonstrated ability to produce high\-quality analytical work through internships, academic research, or personal projects.
* Experience with Python or SQL, including use of common data science libraries (e.g. Pandas, NumPy, scikit\-learn, and visualization tools such as Matplotlib or Plotly), is highly desirable.
* Strong technical writing, analytical, and communication skills.
**Compensation Transparency**
 The target salary range for this position is $95,000 \- $115,000\.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76">
      <c r="A76" t="inlineStr">
        <is>
          <t>li-4368688540</t>
        </is>
      </c>
      <c r="B76" t="inlineStr">
        <is>
          <t>Data Scientist/Analyst</t>
        </is>
      </c>
      <c r="C76" t="inlineStr">
        <is>
          <t>Selby Jennings</t>
        </is>
      </c>
      <c r="D76" t="inlineStr">
        <is>
          <t>linkedin</t>
        </is>
      </c>
      <c r="E76">
        <f>HYPERLINK("https://www.linkedin.com/jobs/view/4368688540", "https://www.linkedin.com/jobs/view/4368688540")</f>
        <v/>
      </c>
      <c r="F76" t="inlineStr"/>
      <c r="G76" t="inlineStr">
        <is>
          <t>New York, NY</t>
        </is>
      </c>
      <c r="H76" t="inlineStr"/>
      <c r="I76" t="inlineStr">
        <is>
          <t>**Data Scientist/Analyst \- L/S Fundamental Equities** 
**Location:** 
 New York, NY
**Position Type:** 
 Full‑Time
 A well‑capitalized, global investment platform is building a next‑generation equity multi‑strategy fund and is seeking a
 **Data Scientist** 
 to directly support a very successful fundamental equities PM and their expanding team. This is a unique opportunity to join a growing platform at an inflection point and help shape its analytical, data, and AI capabilities from the ground up.
 Role Overview
 The Data Scientist will work directly with Portfolio Managers across fundamental, quantitative, and event‑driven strategies. This role blends hands‑on analytics, tool‑building, data engineering, and applied AI \- supporting both day‑to‑day investment questions and the scaling of firm‑wide research infrastructure. The ideal candidate is technical, collaborative, and energized by a fast‑moving environment where responsibilities evolve as the platform grows.
**Key Responsibilities:** 
***Investment Partnering \&amp; Analytics***
* Collaborate and advise directly with PMs to frame investment questions as structured analytical problems.
* Build bespoke analyses to support idea validation, factor/driver exploration, and portfolio construction.
* Provide rapid, high‑quality analytical support for PM‑driven requests.
*Tool \&amp; Platform Development* 
* Develop scalable, reusable research tools, dashboards, and analytical frameworks.
* Enhance and maintain existing investment analytics infrastructure.
* Build intuitive tooling that allows PMs to independently explore data and insights.
***Data Science \&amp; Engineering***
* Work with large, diverse datasets (market data, fundamentals, alternative data, internal sources).
* Build models, signals, and statistical analyses using modern quantitative techniques.
* Ensure data quality, robustness, and reproducibility.
* Partner with engineering teams to productionize analytics when appropriate.
*AI \&amp; Emerging Technology Integration* 
* Research and integrate emerging AI tools.
* Design prompts and workflows that improve research speed, quality, and efficiency.
* Build internal tools that leverage AI while adhering to security and governance constraints.
***Communication \&amp; Collaboration***
* Clearly articulate methods, assumptions, and insights to PMs and senior stakeholders.
* Document tools, workflows, and best practices for broader adoption.
* Work cross‑functionally within a multi‑strategy investment environment.
**Qualifications:** 
* 3\-7 years of full\-time experience in data science, quantitative research/analysis
 **from a top hedge fund or trading firm** 
 .
* **Top 50** 
 degree in Computer Science, Data Science, Statistics, Engineering, or a similar quantitative discipline.
* Strong proficiency in Python and common data science libraries.
* Experience with financial or market data; equities experience is very much preferred.
* Proven ability to build tools used by non‑technical end users.
* Hands‑on experience with AI/LLM tools, including prompt design and workflow integration.
* Strong communication skills and comfort working directly with PMs.
* Experience supporting multiple PMs or strategies in a platform model is a plus.
* Familiarity with dashboards, visualization tools, cloud environments, APIs, and production data pipelines.
**Why This Role** 
* Join an emerging, well‑funded multi‑strategy fund at the ground level.
* Meaningfully influence the analytical and AI foundation of the firm.
* Work directly with senior investors in a high‑ownership, low‑bureaucracy environment.
* A role with defined core responsibilities \- but also
 **flexibility to expand based on your strengths** 
 as the platform scales.
 If this is a strong fit, apply now! All applications are confidential and protected.
 \*Candidates will ideally be based in NYC\*
 \*No contractors\*</t>
        </is>
      </c>
    </row>
    <row r="77">
      <c r="A77" t="inlineStr">
        <is>
          <t>li-4357901059</t>
        </is>
      </c>
      <c r="B77" t="inlineStr">
        <is>
          <t>Data Scientist</t>
        </is>
      </c>
      <c r="C77" t="inlineStr">
        <is>
          <t>Trella Health</t>
        </is>
      </c>
      <c r="D77" t="inlineStr">
        <is>
          <t>linkedin</t>
        </is>
      </c>
      <c r="E77">
        <f>HYPERLINK("https://www.linkedin.com/jobs/view/4357901059", "https://www.linkedin.com/jobs/view/4357901059")</f>
        <v/>
      </c>
      <c r="F77" t="inlineStr"/>
      <c r="G77" t="inlineStr"/>
      <c r="H77" t="inlineStr"/>
      <c r="I77" t="inlineStr">
        <is>
          <t>At Trella Health, we are passionate and committed to our mission: empowering meaningful change in healthcare. Since our founding in 2015, we continue to grow our team, enhance our solution and services offerings, accelerate into new markets, and expand our customer base. We are rapidly growing and are looking for new Trellavators to join our team!
 “What is a Trellavator?” you ask. Innovate and elevate is the name of our game! We go above and beyond to collaborate with and support each other. We believe that when a colleague or customers succeeds, we succeed. By learning from others, building on our successes, and taking risks, we constantly raise the bar. After all, continuous improvement is in our DNA. Our word is paramount, we keep our commitments, and we always follow through. We have a strong, reliable support system that fuels growth, collaboration, and passion—and together, we create a positive environment where everyone at Trella Health, including the customers we support, can thrive. Are you ready to learn more about the opportunities with our team? Trell\-yeah you are!
**Position Overview:** 
 We are looking for a
 **Data Scientist** 
 to join our Data Science \&amp; Engineering team. In this role, you will be responsible for turning medical and pharmacy claims data into measures and actionable insights within our software as a Service (SaaS) solution. You will utilize your strong quantitative analysis, SQL, and Python skills to create and analyze scripts to compute metrics and impact downstream data sets. You will work cross\-functionally with the data engineering, product, and data quality teams to ensure our data pipelines are accurate, efficient, and high quality. We're looking for someone who is intellectually curious and passionate about continuous learning, especially when solving problems within healthcare data.
**Location:** 
 This role is remote with a strong preference for candidates within commuting distance of Atlanta, GA; Philadelphia, PA; or Nashville, TN. We will also consider applicants based in other U.S. locations.
**Reports to:** 
 Data Science Manager
**As a Data Scientist at Trella, you will:** 
* Work with vast national datasets of medical and pharmacy claims data to interpret, analyze, and build datasets that deliver actionable insights to Trella’s proprietary solutions.
* Design, build, and maintain scalable Databricks workflows and jobs for processing healthcare claims data.
* Develop and optimize PySpark and SQL pipelines for performance, reliability, and efficiency.
* Implement data quality monitoring and validation frameworks to ensure completeness, accuracy, and consistency of claims data.
* Support modernization by refactoring legacy SAS scripts into Databricks.
* Act as a subject matter expert on healthcare data sources, calculations, and methodologies.
* Collaborate with the product team to size and scope new analytic projects, defining specifications and requirements.
* Continuously enhance your knowledge of the healthcare industry through independent research and professional development.
**This job might be a fit for you if you have:** 
* 4\+ years of experience in data science, preferably within healthcare space.
* Advanced SQL and Python skills (e.g. writing complex data processing scripts and automating workflows).
* Experience working with Databricks, including analytics, data modeling, and machine learning workflows.
* Understanding of data lineage to track and visualize data dependencies, identifying upstream/downstream impacts.
* Experience with statistical modeling including regression, imputation techniques, and risk scoring.
* Knowledge of medical claims data (e.g., Medicare, Medicaid, Commercial) as well as medical coding systems (ICD10, CPT, HCPCS, MS DRG, NPPES NPI).
* Excellent problem\-solving, time management, and communication skills.
* Familiarity with software development tools like Jira, Confluence, and Bitbucket.
* A passion for using data to improve healthcare and a love for solving complex problems.
* Bachelor's or Master’s degree in a technical field or equivalent experience.
**About Trella Health:** 
 Trella Health provides unmatched, actionable market intelligence to post\-acute care and value\-based care providers of all sizes. Our industry leading analytics paired with CRM and EHR integration workflows positions us as the most advanced sales enablement platform for the post\-acute care market. One of only a few companies to be deemed both a Qualified Entity by CMS and an Innovator under its Virtual Research Data Center Program, Trella has elite access to billions of performance metrics and referral data to enable competitive positioning across the market. Its standardized insights, representing 90% of all lives 65\+ U.S. population, help customers identify, engage, and manage critical relationships and advance their organizations with certainty.
 Since launching our first product in 2016, we have experienced tremendous growth and have highlighted a few key data points to get an at\-a\-glance view of Trella:
* Over 1,000 customers including 10 of the top 10 post\-acute providers and 4 of the top 10 health systems
* Over 150 team members and growing
* Recognized as one of Modern Healthcare’s “Best Places to Work” in consecutive years and were ranked in the Top 50 startups in the US by LinkedIn
* Headquartered in Atlanta, GA with remote hubs in Nashville, Philadelphia, the Philippines, and Latin America.
**The Trellavator Experience:** 
 At Trella Health, you can expect to join a welcoming team that truly embodies our core values. Our collaborative culture is anchored by trust, transparency, and inclusion—and we also have a lot of fun. No matter where you work, at Trella Health you can expect an awesome team, frequent virtual gatherings, engaging events, casual attire, and more.
 We offer competitive salaries with a comprehensive benefits package to all employees and provide an environment that fosters work\-life harmonization with Flexible Paid Time Off, along with remote\-first work arrangements. As we continue to see exponential growth, our goal is to continue to put team members first and strive to offer our team members the best culture and benefits possible. Some of the benefits we provide are:
* Health, Dental, Vision \&amp; Voluntary Benefits
* Competitive Salary \&amp; Bonus Plans
* 401k Retirement Savings
* Flexible PTO \&amp; 10 Paid Holidays
* Flexible Work Hours
* Equity Shares
* Paid Leave Programs
* Marketplace for discounted retail and entertainment
**Equal Opportunity Employer** 
 Trella Health is an equal opportunity employer. All persons will receive consideration for employment without regard to race, color, gender, sexual orientation, gender identity or expression, religion, national origin, marital status, age, disability, handicap, veteran status, genetic information, or any other protected status as recognized by federal, state, or local laws.</t>
        </is>
      </c>
    </row>
    <row r="78">
      <c r="A78" t="inlineStr">
        <is>
          <t>li-4368679459</t>
        </is>
      </c>
      <c r="B78" t="inlineStr">
        <is>
          <t>Data scientist with Python and AI/ML consultant.</t>
        </is>
      </c>
      <c r="C78" t="inlineStr">
        <is>
          <t>Accord Technologies Inc</t>
        </is>
      </c>
      <c r="D78" t="inlineStr">
        <is>
          <t>linkedin</t>
        </is>
      </c>
      <c r="E78">
        <f>HYPERLINK("https://www.linkedin.com/jobs/view/4368679459", "https://www.linkedin.com/jobs/view/4368679459")</f>
        <v/>
      </c>
      <c r="F78" t="inlineStr"/>
      <c r="G78" t="inlineStr">
        <is>
          <t>Alpharetta, GA</t>
        </is>
      </c>
      <c r="H78" t="inlineStr"/>
      <c r="I78" t="inlineStr">
        <is>
          <t>**Title: Data Scientist with Python and AI/ML consultant.
 Location: Alpharetta, GA (100% onsite)
 Inperson interview required**
**Position type; W2 contract**
 We are looking for a talented
 **Data Scientist with Python and AI/ML expertise** 
 to build predictive models, deploy machine learning solutions, and deliver advanced analytics across enterprise platforms. The role focuses on transforming data into actionable business insights using modern AI techniques.
**Key Responsibilities**
* Develop and deploy machine learning models using Python.
* Perform data exploration, feature engineering, and model evaluation.
* Build AI/ML solutions for prediction, classification, NLP, and recommendation systems.
* Work with large datasets using SQL, Pandas, NumPy, Spark.
* Implement deep learning models using TensorFlow / PyTorch.
* Develop NLP pipelines using spaCy, NLTK, HuggingFace.
* Collaborate with product and engineering teams to operationalize models (MLOps).
* Monitor model performance and retrain as required.
* Create dashboards and presentations for stakeholders.
* Support experimentation and A/B testing frameworks.
**Required Skills**
* Strong proficiency in Python for data science and ML.
* Experience with Scikit\-learn, TensorFlow, PyTorch.
* Strong knowledge of statistics, probability, and linear algebra.
* Experience with SQL and big data tools (Spark, Hadoop).
* Hands\-on experience with NLP, computer vision, or recommendation systems.
* Knowledge of MLOps, CI/CD for ML models.
* Experience deploying models in cloud environments (AWS/Azure/GCP).</t>
        </is>
      </c>
    </row>
    <row r="79">
      <c r="A79" t="inlineStr">
        <is>
          <t>li-4368246323</t>
        </is>
      </c>
      <c r="B79" t="inlineStr">
        <is>
          <t>Generative AI Data Scientist</t>
        </is>
      </c>
      <c r="C79" t="inlineStr">
        <is>
          <t>Fractal</t>
        </is>
      </c>
      <c r="D79" t="inlineStr">
        <is>
          <t>linkedin</t>
        </is>
      </c>
      <c r="E79">
        <f>HYPERLINK("https://www.linkedin.com/jobs/view/4368246323", "https://www.linkedin.com/jobs/view/4368246323")</f>
        <v/>
      </c>
      <c r="F79" t="inlineStr"/>
      <c r="G79" t="inlineStr"/>
      <c r="H79" t="inlineStr"/>
      <c r="I79"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**Job Summary** 
 We are seeking a seasoned AI Data Scientist to lead our efforts in leveraging Generative AI and advanced analytics to optimize lead generation strategies. This role blends deep technical expertise in machine learning and AI with strategic leadership and business acumen. You will guide cross\-functional teams to build intelligent systems that enhance customer acquisition, personalize outreach, and improve conversion rates.
**Key Responsibilities** 
**Strategic Leadership** 
* Lead AI\-driven initiatives focused on lead generation, customer segmentation, and personalization.
* Translate business goals into data science strategies and scalable solutions.
* Mentor junior data scientists and foster a culture of innovation and experimentation.
**Technical Execution** 
* Design and deploy ML models for lead scoring, churn prediction, and campaign optimization.
* Develop GenAI\-powered tools (e.g., LLM\-based chatbots, content generators) to support marketing and sales.
* Build and maintain robust data pipelines and ML workflows using cloud platforms (AWS, Azure, GCP).
**Cross\-functional Collaboration** 
* Work closely with marketing, sales, and product teams to align AI solutions with business needs.
* Present insights and model outcomes to stakeholders in a clear, actionable manner.
* Ensure compliance with data governance, privacy, and ethical AI standards.
**Required Qualifications** 
* Master’s or Ph.D. in Computer Science, Data Science, Statistics, or related field.
* 10\+ years of experience in data science, with at least 3 years in a leadership role.
* Proven track record in deploying AI/ML solutions for lead generation or customer acquisition.
* Expertise in Python, R, SQL, and ML frameworks (TensorFlow, PyTorch, Scikit\-learn).
* Experience with GenAI technologies (LLMs, retrieval\-augmented generation, prompt engineering).
* Strong understanding of marketing funnels, CRM systems, and customer lifecycle analytics.
**Preferred Skills** 
* Familiarity with tools like Salesforce, HubSpot, Marketo, or similar.
* Experience with A/B testing, causal inference, and uplift modeling.
* Knowledge of data visualization tools (Tableau, Power BI).
* Excellent communication and stakeholder management skills.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$165,000 \- $198,000\.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80">
      <c r="A80" t="inlineStr">
        <is>
          <t>li-4368810703</t>
        </is>
      </c>
      <c r="B80" t="inlineStr">
        <is>
          <t>Senior Data Scientist- Pricing &amp; Underwriting</t>
        </is>
      </c>
      <c r="C80" t="inlineStr">
        <is>
          <t>Alt</t>
        </is>
      </c>
      <c r="D80" t="inlineStr">
        <is>
          <t>linkedin</t>
        </is>
      </c>
      <c r="E80">
        <f>HYPERLINK("https://www.linkedin.com/jobs/view/4368810703", "https://www.linkedin.com/jobs/view/4368810703")</f>
        <v/>
      </c>
      <c r="F80" t="inlineStr"/>
      <c r="G80" t="inlineStr"/>
      <c r="H80" t="inlineStr"/>
      <c r="I80"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As a Pricing Data Scientist, you will be the architect of the logic behind the Alt Value, Alt’s core pricing model. You will research, design, and validate the science and models that will price millions of alternative assets in real\-time. This role is highly collaborative; you will work alongside Expert Pricers to translate human intuition into mathematical features and partner with Data and ML Engineers to bring those models to life at scale.
**What You'll Do Here**
* Research, develop, and ship sophisticated pricing models (e.g. Tree\-based, Gradient\-based, Deep Learning, ensemble methods) to improve valuation accuracy for high\-value assets.
* Identify new data signals — emanating from data such as auction results to social sentiment — and validate their predictive power through rigorous backtesting and experimentation.
* Partner with the Product Engineering team to refine our Risk \&amp; Underwriting models, balancing the goal of maximizing cash advances with the need to maintain a balanced lending portfolio.
* Collaborate with the Expert Pricing team and domain experts to encode market nuances into automated features and inferences, ensuring our models respect the qualitative factors collectors care about.
* Define, monitor, and lift model performance metrics and communicate the "why" behind price coverage, movements, and freshness toward becoming the ultimate liquidity platform.
**This is a perfect fit if you...**
* Are deeply curious about how value is assigned to unique, non\-traditional, and conventionally “illiquid” asset classes.
* Are a hands\-on individual contributor who thrives in a zero\-to\-one startup environment.
* Are a product\-minded builder who wants to see their work deployed in a user\-facing production application.
**What You Bring To The Table**
* 5\+ years of experience in Data Science, with a focus on feature engineering and algorithm/model\-building in the pricing, financial modeling, or marketplace dynamics domains.
* Expert\-level proficiency in SQL, Python, and populate Python libraries (Pandas, Scikit\-Learn, XGBoost/LightGBM, PyTorch/Tensforflow).
* Statistical rigor and deep understanding of experimental design, backtesting methodologies, and dealing with "noisy" or sparse data environments.
* Collaborative experience working in a sprint\-based environment alongside Data and ML Engineers; you understand enough about model hand\-offs and quality code to ensure your models are efficient and readily "production\-capable".
* Proficient in developing in cloud environments (AWS, GCP) and familiarity with ML Ops infrastructure (e.g. MLFlow, workflow and container orchestration, deployment and telemetry patterns).
* Advanced degree (Master’s or PhD) in a quantitative field such as Statistics, Economics, Mathematics, or Computer Science is preferred.
**Compensation: $200,000**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t>
        </is>
      </c>
    </row>
    <row r="81">
      <c r="A81" t="inlineStr">
        <is>
          <t>li-4357733955</t>
        </is>
      </c>
      <c r="B81" t="inlineStr">
        <is>
          <t>Data Scientist</t>
        </is>
      </c>
      <c r="C81" t="inlineStr">
        <is>
          <t>Unisys</t>
        </is>
      </c>
      <c r="D81" t="inlineStr">
        <is>
          <t>linkedin</t>
        </is>
      </c>
      <c r="E81">
        <f>HYPERLINK("https://www.linkedin.com/jobs/view/4357733955", "https://www.linkedin.com/jobs/view/4357733955")</f>
        <v/>
      </c>
      <c r="F81" t="inlineStr"/>
      <c r="G81" t="inlineStr">
        <is>
          <t>Rockville, MD</t>
        </is>
      </c>
      <c r="H81" t="inlineStr"/>
      <c r="I81" t="inlineStr">
        <is>
          <t>**Role: Sr. Data Scientist** 
**Location: Tysons, VA / Rockville, MD (3 days onsite in a week)** 
**Looking for stakeholder management/communication, Python, SQL, statistics, ML model building, Plotly, and cloud. (Bonus: GenAI, LLM, graph DB, ML Ops, financial/regulated industries** 
 JD
 :
 **Senior Data Scientist** 
 We are seeking an experienced Senior Data Scientist to join our team and drive impactful data\-driven insights that inform strategic business decisions. This role requires a blend of technical expertise, analytical rigor, and excellent communication skills to collaborate effectively across technical and non\-technical stakeholders.
**Key Responsibilities** 
* Design, develop, and deploy machine learning models to solve complex business problems
* Explore and implement generative AI solutions to enhance analytical capabilities and business processes
* Create advanced, interactive visualizations and dashboards to communicate insights to diverse audiences
* Collaborate with cross\-functional teams to understand business needs and translate them into analytical solutions
* Conduct rigorous statistical analyses to validate findings and ensure data integrity
* Lead stakeholder engagement, presenting complex technical concepts in accessible ways
* Mentor junior team members and contribute to the growth of the data science practice
* Deploy and maintain models in cloud\-based environments
* Drive end\-to\-end project delivery from problem definition through implementation
**Required Qualifications** 
* **Python Proficiency** 
 : Expert\-level skills in Python for data analysis, modeling, and automation (required)
* **Data Manipulation \&amp; Processing** 
 : Strong proficiency in pandas for data analysis and PySpark for large\-scale distributed data processing
* **SQL** 
 : Advanced SQL skills for data extraction, transformation, and analysis across various database systems
* **Statistics** 
 : Strong foundation in statistical methods, experimental design, and hypothesis testing (required)
* **Machine Learning** 
 : Hands\-on experience building, training, and deploying ML models in production environments
* **Advanced Visualization** 
 : Proficiency with Plotly and Plotly Dash for creating interactive, production\-grade visualizations
* **Cloud Technologies** 
 : Experience with cloud platforms (AWS, Azure, or GCP) for data processing and model deployment
* **Communication Skills** 
 : Exceptional ability to communicate technical findings to both technical and non\-technical audiences
* **Stakeholder Management** 
 : Proven track record of managing stakeholder relationships and driving alignment
* **Education** 
 : Bachelor's degree in Data Science, Statistics, Computer Science, Mathematics, Engineering, or related quantitative field; advanced degree (Master's or PhD) preferred
**Preferred Qualifications** 
* **Generative AI** 
 : Experience with large language models (LLMs), prompt engineering, and GenAI applications
* Experience with graph databases and graph analytics
* Knowledge of network analysis and graph\-based algorithms
* Experience in financial services or regulated industries
* Familiarity with MLOps and model monitoring best practices</t>
        </is>
      </c>
    </row>
    <row r="82">
      <c r="A82" t="inlineStr">
        <is>
          <t>li-4368272855</t>
        </is>
      </c>
      <c r="B82" t="inlineStr">
        <is>
          <t>Junior Data Scientist</t>
        </is>
      </c>
      <c r="C82" t="inlineStr">
        <is>
          <t>Brooksource</t>
        </is>
      </c>
      <c r="D82" t="inlineStr">
        <is>
          <t>linkedin</t>
        </is>
      </c>
      <c r="E82">
        <f>HYPERLINK("https://www.linkedin.com/jobs/view/4368272855", "https://www.linkedin.com/jobs/view/4368272855")</f>
        <v/>
      </c>
      <c r="F82" t="inlineStr"/>
      <c r="G82" t="inlineStr"/>
      <c r="H82" t="inlineStr"/>
      <c r="I82" t="inlineStr">
        <is>
          <t>**Junior Data Scientist** 
**Remote** 
**Month Contract\-Hire** 
**Pay Rate \- $35\.00 \- $42\.00/hr (Depending on level of experience)** 
 One of our largest Energy clients is seeking a associate level Data Scientist to support strategic initiatives tied to a Nuclear Online Work Management modernization. The Junior Data Scientist will focus on using data science and machine learning techniques to improve how nuclear work activities are planned, tracked, analyzed, and optimized across digital platforms. This position is ideal for an early\-career data professional who is eager to apply analytics and AI in a highly regulated, mission\-critical environment. You will work with structured and unstructured operational data to uncover trends, improve data quality, and support predictive and prescriptive use cases that enhance nuclear work planning, compliance, and performance.
**Requirements:**
* Bachelor’s degree in Computer Science, Data Science, Statistics, Mathematics, Engineering, or related technical field
* 1–3 years of experience in data analysis, data science, or machine learning (internships and academic projects included)
* Hands\-on experience with Python for data analysis and scripting
* Experience working in Databricks environments for data processing or model development
* Exposure to Microsoft Azure cloud services (Azure Data Factory, Azure ML, storage, or similar)
* Foundational understanding of machine learning concepts (classification, regression, clustering)
* Experience using data science libraries such as Pandas, NumPy, Scikit\-learn, or similar
* Basic knowledge of SQL for querying and transforming data
* Understanding of data cleaning, preprocessing, and validation techniques
* Strong analytical and problem\-solving skills
* Strong attention to detail and ability to follow technical and procedural requirements
* Effective written and verbal communication skills for working with both technical and non\-technical stakeholders
**Preferred Experience:**
* Familiarity with data pipelines and ETL/ELT processes
* Experience with data visualization tools such as Power BI, Tableau, or similar
* Understanding of machine learning workflows (feature engineering, model training, evaluation)
* Experience working in regulated industries (energy, utilities, manufacturing, healthcare, etc.)
* Exposure to Agile/Scrum project environments
* Familiarity with version control (Git) and collaborative development practices
**Your Responsibilities Include:**
* Support data preparation for analytics and machine learning use cases related to nuclear online work management systems
* Source, clean, transform, and profile operational and work management data from multiple systems
* Perform exploratory data analysis (EDA) to identify patterns, anomalies, and data quality issues
* Develop features and datasets to support predictive models and performance insights
* Assist in building and testing machine learning models under guidance from senior data scientists
* Validate model outputs against historical data and expected operational results
* Build basic dashboards and visualizations to communicate trends, KPIs, and insights
* Document data definitions, business rules, and data lineage
* Collaborate with engineers and product teams to support data pipeline and analytics needs in Databricks and Azure
* Participate in sprint planning, stand\-ups, and other Agile ceremonies as part of the data workstream
* Contribute to improving data quality, governance, and usability across nuclear digital platforms
* Clearly communicate findings and insights to stakeholders to support data\-driven operational decisions
* Continuously build technical and domain knowledge in data science and nuclear operations
**What’s in it for you?**
 A welcoming, team\-oriented environment where you’ll gain hands\-on experience with a Fortune 100 company. Eight Eleven Group offers health, dental, and vision benefits, weekly pay, holiday paid time off, and sick leave.
**Equal Opportunity Employer:** 
 Eight Eleven Group provides equal employment opportunities (EEO) to all employees and applicants without regard to race, color, religion, national origin, age, sex, citizenship, disability, genetic information, gender, sexual orientation, gender identity, marital status, amnesty, or veteran status, in accordance with applicable federal, state, and local laws.</t>
        </is>
      </c>
    </row>
    <row r="83">
      <c r="A83" t="inlineStr">
        <is>
          <t>li-4368291539</t>
        </is>
      </c>
      <c r="B83" t="inlineStr">
        <is>
          <t>AI/ML Data Scientist with advanced analytics experience</t>
        </is>
      </c>
      <c r="C83" t="inlineStr">
        <is>
          <t>innoVet Health (SDVOSB)</t>
        </is>
      </c>
      <c r="D83" t="inlineStr">
        <is>
          <t>linkedin</t>
        </is>
      </c>
      <c r="E83">
        <f>HYPERLINK("https://www.linkedin.com/jobs/view/4368291539", "https://www.linkedin.com/jobs/view/4368291539")</f>
        <v/>
      </c>
      <c r="F83" t="inlineStr"/>
      <c r="G83" t="inlineStr"/>
      <c r="H83" t="inlineStr"/>
      <c r="I83" t="inlineStr">
        <is>
          <t>InnoVet Health, a small and growing business that provides health IT professional services to the Department of Veterans Affairs (VA) is seeking an AI/ML Data Scientist with deep expertise in advanced analytics, artificial intelligence (AI), machine learning (ML), large language models (LLM), and cloud computing. The ideal candidate excels at translating complex requirements into clear insights, actionable predictions, and meaningful business intelligence. The position offers stimulating advanced analytics activities (AI/ML), in a rich healthcare environment, interacting with senior staff. This position is full\-time and does not require relocating (work remotely). The pay, benefits, and growth potential are competitive.
**Responsibilities** 
 \- Lead AI/ML initiatives and project teams in a customer\-facing role, managing engagements and relationships with senior\-level stakeholders at VA.
 \- Lead AI/ML growth through active participation in business development, strategic planning, proposal writing, and creating AI/ML demos and presentations.
 \- Collect, elaborate, and manage technical and business requirements gathered from VA stakeholders, ensuring alignment with project goals.
 \- Design, build, deploy, and maintain advanced AI/ML/NLP/LLM applications using AWS and Azure cloud platforms, incorporating best practices for model lifecycle management.
 \- Develop and optimize diagnostic and predictive models (e.g., logistic regression, random forests, decision trees) leveraging large healthcare data sets and applying statistical methodologies.
 \- Operationalize models in AWS/Azure and other analytics platforms (e.g. Databricks) by integrating them into workflows, ensuring ease of use, accuracy, scalability, and compliance with healthcare industry standards.
 \- Perform comprehensive data acquisition, profiling, cleansing, exploratory data analysis (EDA), and validation to ensure data quality and integrity.
 \- Clearly articulate and present analytical results, insights, and recommendations to diverse audiences through business proposals, written reports, white papers, and executive presentations.
 \- Management duties related to managing relationships with VA clients, participating in project management review meetings, recruitment, and mentoring personnel working on AI/ML projects.
**Qualifications** 
 \- MS degree in data science, statistics, or computer/information science or similar area a minimum
 \- Minimum of 5 years of hands\-on advanced analytics (AI/ML) experience, with demonstrable expertise in AWS and Azure cloud environments.
 \- Proven track record in developing and implementing AI/ML/NLP/LLM models, automation solutions, and analytics pipelines.
 \- Strong programming proficiency in Python and Scala, and relevant libraries/frameworks.
 \- Expertise in data visualization tools (e.g., PowerBI, ggplot, seaborn).
 \- Exceptional problem\-solving abilities, interpersonal skills, and professional\-level written and verbal communication, with the capability to produce detailed documentation and compelling presentations.
 \- Experience building impactful and persuasive demos to illustrate advanced analytics capabilities to technical and non\-technical audiences.
 \- Prior experience in healthcare analytics, research, and consulting is highly preferred.
 \- Must possess a valid Green Card or be a U.S. citizen.
* \- No consideration given to 1099, corp\-to\-corp, or international outsourcing and staffing agencies.</t>
        </is>
      </c>
    </row>
    <row r="84">
      <c r="A84" t="inlineStr">
        <is>
          <t>li-4368290383</t>
        </is>
      </c>
      <c r="B84" t="inlineStr">
        <is>
          <t>Data Scientist</t>
        </is>
      </c>
      <c r="C84" t="inlineStr">
        <is>
          <t>EssilorLuxottica</t>
        </is>
      </c>
      <c r="D84" t="inlineStr">
        <is>
          <t>linkedin</t>
        </is>
      </c>
      <c r="E84">
        <f>HYPERLINK("https://www.linkedin.com/jobs/view/4368290383", "https://www.linkedin.com/jobs/view/4368290383")</f>
        <v/>
      </c>
      <c r="F84">
        <f>HYPERLINK("https://careers.essilorluxottica.com/job/Dallas-Data-Scientist-TX-75204/1290063901/&amp;urlHash=-1IB", "https://careers.essilorluxottica.com/job/Dallas-Data-Scientist-TX-75204/1290063901/&amp;urlHash=-1IB")</f>
        <v/>
      </c>
      <c r="G84" t="inlineStr">
        <is>
          <t>Dallas, TX</t>
        </is>
      </c>
      <c r="H84" t="inlineStr"/>
      <c r="I84" t="inlineStr">
        <is>
          <t>**Requisition I** 
**D:** 
 914851
 **Store \#:** 
 A00057 Tech Srvcs Wholesale PW
**Position** 
 : Full\-Time
**Total Rewards: Benefits/Incentive Information**
 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Join our global community of over 200,000 dedicated employees around the world in driving the transformation of the eyewear and eyecare industry. Discover more by following us on LinkedIn!
**GENERAL FUNCTION**
 The Applied Data Scientist is a business\-facing analytics professional responsible for AI research and solution delivery. The role owns the full problem\-to\-solution journey: engaging stakeholders, translating business challenges into ML solutions, researching emerging AI techniques, and delivering production\-ready models that drive measurable business value. It balances innovation with execution, ensuring outcomes are practical, scalable, and aligned to business needs.
**Major Duties And Responsibilities**
 Managing
* Engage with stakeholders to understand objectives, constraints, and success metrics
* Deliver end\-to\-end ML solutions from problem framing to production deployment
* Conduct applied research to evaluate and prototype new AI/ML techniques
* Prioritize between research and delivery based on business impact
* Manage model lifecycle: validation, monitoring, retraining, and optimization
 Organizing
* Translate ambiguous business problems into structured data science statements
* Organize exploratory analysis, experimentation, and research frameworks
* Structure scalable ML pipelines for training, inference, and deployment
* Develop proof\-of\-concepts to validate new AI techniques
* Convert insights and research outcomes into actionable recommendations
 Leading
* Drive solutions from research to production
* Act as a trusted analytics advisor through consultative problem\-solving
* Promote adoption of ML solutions by communicating value and limitations
* Evaluate and adopt emerging AI/ML techniques
* Mentor junior team members on research and delivery best practices
**Basic Qualifications**
* Bachelor’s degree in Computer Science, Data Science, Statistics, or related field
* 5\+ years of relevant work experience
* Proven experience delivering ML solutions in production
* Ability to work independently with stakeholders and own delivery
* Strong programming skills in Python or R; experience with ML libraries (scikit\-learn, TensorFlow, PyTorch)
* Solid understanding of statistical modeling, ML techniques, and data mining
**Preferred Qualifications**
* Master’s or PhD in Data Science, Statistics, or related discipline
* Experience in applied research and rapid prototyping of AI/ML solutions
* Exposure to advanced AI techniques (deep learning, generative AI, optimization)
* Experience deploying ML models using Docker, Kubernetes, or cloud\-native services
* Familiarity with Azure, Databricks, Spark, Synapse, and Lakehouse architecture
* Strong storytelling and communication skills for technical and non\-technical audiences
* Experience in agile, fast\-paced, cross\-functional environments
* Balance research depth with delivery focus
* Ability to evaluate and apply new AI techniques pragmatically
* Excellent listening and problem\-solving skills
* Strong ownership mindset with minimal supervision
* Ability to translate complex research into business value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85">
      <c r="A85" t="inlineStr">
        <is>
          <t>li-4368832431</t>
        </is>
      </c>
      <c r="B85" t="inlineStr">
        <is>
          <t>Data Scientist</t>
        </is>
      </c>
      <c r="C85" t="inlineStr">
        <is>
          <t>Torchlight®</t>
        </is>
      </c>
      <c r="D85" t="inlineStr">
        <is>
          <t>linkedin</t>
        </is>
      </c>
      <c r="E85">
        <f>HYPERLINK("https://www.linkedin.com/jobs/view/4368832431", "https://www.linkedin.com/jobs/view/4368832431")</f>
        <v/>
      </c>
      <c r="F85" t="inlineStr"/>
      <c r="G85" t="inlineStr">
        <is>
          <t>Reston, VA</t>
        </is>
      </c>
      <c r="H85" t="inlineStr"/>
      <c r="I85" t="inlineStr">
        <is>
          <t>Torchlight is looking for a strong statistical machine learning practitioner to design and productionize probabilistic models that infer affiliation from patterns and behavioral signals. You will build the statistical core behind services that deliver clear probability outputs and help evolve raw behavioral data into actionable intelligence products. This role has high ownership and a clear growth path: within 12–24 months, you will transition into Data Scientist Lead, heading all data science projects on the team.
**Responsibilities** 
* Develop and productionize statistical machine learning models for probabilistic country attribution based on browsing patterns and behavioral signals
* Design and refine predictive models and statistical algorithms to improve accuracy and reliability of behavioral calculations
* Work with petabyte\-scale datasets to extract, clean, and analyze large volumes of behavioral data
* Build scalable data pipelines and modeling workflows using Python and SQL
* Collaborate with engineering and product teams to integrate models into production services
* Create clear visualizations and reports to communicate model performance and insights
* Own end\-to\-end algorithm development and model lifecycle management
* Mentor junior team members as the role evolves into Data Scientist Lead
**Qualifications Required** 
* Ability to obtain DOD Secret Clearance
* 4–6 years of hands\-on experience in statistical machine learning and predictive modeling
* Strong statistical background with experience in probabilistic modeling
* Proficiency in Python and SQL for data analysis and modeling
* Experience working with big data at scale (experience with petabyte\-scale datasets is a plus)
* Bachelor’s degree in Statistics, Mathematics, Computer Science, or another STEM field (required)
* Demonstrated experience in algorithm development and productionizing ML models
* Self\-starter with high ownership and ability to drive projects independently
**Qualifications Desired** 
* Master’s degree in a relevant field (strongly preferred)
* Prior experience with geospatial data or geospatial analytics
* Experience working in DoD or intelligence community environments
* Familiarity with Looker, Tableau, or similar BI/visualization tools
* Experience building services that generate probabilistic outputs from behavioral data
**About Torchlight** 
 Torchlight AI® provides Behavior Based Insights to decision\-makers in government and corporate organizations to uncover emerging threats and new opportunities.
**Torchlight is an Equal Opportunity/Affirmative Action Employer.** 
 All qualified applicants will be considered for employment without regard to race, color, religion, sex, sexual orientation, gender identity, national origin, age, protected veteran status, disability status, or any other protected class. U.S. Citizenship is required for positions requiring government security clearance and for certain other restricted positions.</t>
        </is>
      </c>
    </row>
    <row r="86">
      <c r="A86" t="inlineStr">
        <is>
          <t>li-4368805213</t>
        </is>
      </c>
      <c r="B86" t="inlineStr">
        <is>
          <t>Marketing Data Scientist</t>
        </is>
      </c>
      <c r="C86" t="inlineStr">
        <is>
          <t>SoFi</t>
        </is>
      </c>
      <c r="D86" t="inlineStr">
        <is>
          <t>linkedin</t>
        </is>
      </c>
      <c r="E86">
        <f>HYPERLINK("https://www.linkedin.com/jobs/view/4368805213", "https://www.linkedin.com/jobs/view/4368805213")</f>
        <v/>
      </c>
      <c r="F86" t="inlineStr"/>
      <c r="G86" t="inlineStr">
        <is>
          <t>San Francisco, CA</t>
        </is>
      </c>
      <c r="H86" t="inlineStr"/>
      <c r="I8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Data Scientist to join the Marketing Data Science (MDS) team. The MDS team plays a crucial role in enabling data\-driven decisions across SoFi's Marketing organization through robust analytics, modeling, experimentation, and measurement.
 This exciting new role will support the development and ongoing operation of an automated, end\-to\-end marketing offer measurement and reporting framework that tracks offer setup, execution, fulfillment, and post\-campaign validation across all products. The work produced by this role directly supports accurate offer execution, operational monitoring, and compliance readiness.
 The position will partner closely with a senior position on the same project area, focusing primarily on execution, implementation, and day\-to\-day reliability of offer reporting systems. This role is ideal for someone who enjoys building and maintaining high\-quality data products, working within established frameworks, and collaborating across teams to ensure consistent and accurate reporting.
**What you’ll do:**
* Build and maintain automated offer campaign reporting pipelines, dashboards, and datasets under the guidance of a senior IC3\..
* Implement standardized logic for offer eligibility, fulfillment tracking, and payout validation across marketing campaigns.
* Perform routine monitoring and data quality checks to ensure offer execution and fulfillment data is accurate, complete, and timely.
* Investigate and help resolve data discrepancies, delays, or failures related to offer reporting and fulfillment tracking.
* Support ongoing maintenance and enhancements of self\-serve dashboards used by Marketing, Product, and Compliance stakeholders.
* Assist with time\-sensitive or non\-standard offer reporting needs by extending existing reporting frameworks.
* Contribute to documentation of data definitions, business logic, and reporting processes to ensure transparency and consistency.
* Collaborate with Marketing, Product, Engineering, and Compliance partners to gather requirements and validate reporting outputs.
**What you’ll need:**
* Bachelor’s degree in Computer Science, Mathematics, Statistics, Engineering, or a related quantitative field.
* 2–4 years of experience in data science, analytics, or data engineering roles supporting marketing, growth, or product analytics.
* Strong proficiency in SQL and working knowledge of Python for data analysis and pipeline development.
* Experience building or maintaining dashboards and self\-serve reporting solutions (e.g., Tableau or similar BI tools).
* Familiarity with modern data stacks and workflow tools such as dbt, Airflow, and cloud data warehouses (e.g., Snowflake), or a strong willingness to learn.
* Experience working with structured datasets and applying consistent business logic across reporting outputs.
* Ability to follow established standards while contributing thoughtful improvements to data quality, efficiency, and maintainability.
* Strong attention to detail and comfort working with operational data that requires high accuracy.
* Clear communication skills and the ability to collaborate effectively with cross\-functional, non\-technical partners.
* Curiosity, reliability, and a growth mindset, with interest in developing toward greater ownership over time.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7">
      <c r="A87" t="inlineStr">
        <is>
          <t>li-4368806062</t>
        </is>
      </c>
      <c r="B87" t="inlineStr">
        <is>
          <t>Data Scientist</t>
        </is>
      </c>
      <c r="C87" t="inlineStr">
        <is>
          <t>Amgen</t>
        </is>
      </c>
      <c r="D87" t="inlineStr">
        <is>
          <t>linkedin</t>
        </is>
      </c>
      <c r="E87">
        <f>HYPERLINK("https://www.linkedin.com/jobs/view/4368806062", "https://www.linkedin.com/jobs/view/4368806062")</f>
        <v/>
      </c>
      <c r="F87">
        <f>HYPERLINK("https://careers.amgen.com/job/-/-/87/91327344896?src=Linkedin&amp;urlHash=kAqY", "https://careers.amgen.com/job/-/-/87/91327344896?src=Linkedin&amp;urlHash=kAqY")</f>
        <v/>
      </c>
      <c r="G87" t="inlineStr">
        <is>
          <t>New Albany, OH</t>
        </is>
      </c>
      <c r="H87" t="inlineStr"/>
      <c r="I87"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**Data Scientist**
**What you will do and what we expect of you**
 Let’s do this. Let’s change the world. In this vital role you will:
**Duties:** 
 Coordinate with multi\-department leaders to define and develop key performance metrics for safety, quality, manufacturing, and supply chain within the Digital Control Tower (DCT); Extract, process, and analyze data from SAP, MES, LIMS, Rapid Response, and other operational systems; Utilize Databricks including SQL and Python to map and integrate data from multiple sources for multi\-project usage; Work with large\-scale data repositories including data lake and data fabric to harmonize and structure complex operational data; Develop statistical models and simulations to analyze manufacturing processes and predict performance outcomes; Support future projects, such as building machine learning models for IIOT\-based predictive maintenance, minimizing shutdown risks, and optimizing preventive maintenance strategies; Co\-design and enhance the Digital Control Tower (DCT) by integrating GenAI and real\-time data for improved operational efficiency; Write User Acceptance Testing (UAT) scripts and conduct testing to ensure software solutions meet business requirements; Work closely with external consulting firms to align on data integration and process improvements; and Routinely engage with internal stakeholders to gather user feedback for continuous tool development and improvement. May telecommute.
**Requirements:** 
 Master’s degree (or foreign equivalent) in Business Administration, Data Analytics, Data Science or related field \&amp; completion of a university\-level course, research project, internship, thesis, or one year of experience involving the following:
* Analyzing manufacturing, supply chain, and engineering data;
* Working with unstructured and structured data sets, integrating data from multiple sources, and developing data\-driven models;
* Programming tools for Databricks including SQL and Python, and cloud platforms including AWS and Azure;
* Tableau, Spotfire, or Power BI;
* Relational databases and operating systems including: SAP, MES, LIMS, and Rapid Response;
* Databricks for automating workflows and optimizing processes;
* Developing production simulations and predictive maintenance models for IIOT applications;
* AI/ML techniques for predictive analytics and operational improvements;
* Developing simulations to model manufacturing processes and operational outcomes; and
* Writing and executing UAT scripts for software tools.
**Contact:** 
 Interested candidates please apply via https://careers.amgen.com/en/search\-jobs and search for job \# R\-225146\.
 Job type: Full Time position. The annual salary range for this position in the U.S. is $106,488\.00 \- $133,117\.00 per year. Also, this position offers stock, retirement, medical, life and disability insurance and eligibility for an annual bonus or for sales roles, other incentive compensation. For more details visit 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88">
      <c r="A88" t="inlineStr">
        <is>
          <t>li-4351685000</t>
        </is>
      </c>
      <c r="B88" t="inlineStr">
        <is>
          <t>AIML Data Scientist</t>
        </is>
      </c>
      <c r="C88" t="inlineStr">
        <is>
          <t>Fractal</t>
        </is>
      </c>
      <c r="D88" t="inlineStr">
        <is>
          <t>linkedin</t>
        </is>
      </c>
      <c r="E88">
        <f>HYPERLINK("https://www.linkedin.com/jobs/view/4351685000", "https://www.linkedin.com/jobs/view/4351685000")</f>
        <v/>
      </c>
      <c r="F88" t="inlineStr"/>
      <c r="G88" t="inlineStr"/>
      <c r="H88" t="inlineStr"/>
      <c r="I88" t="inlineStr">
        <is>
          <t>**AI/ML Data Scientist**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 Bachelor’s degree in Computer Science, AI, Machine Learning, or a related quantitative field; equivalent experience considered
* 4\+ years of experience in software engineering, machine learning, or AI development, requiring at least one\-year hands\-on work with Generative AI / LLMs. Production of Gen AI solution is preferred
* Strong proficiency in Python and experience with GenAI frameworks and platforms (e.g., Hugging Face, OpenAI/Azure OpenAI, AWS Bedrock)
* Experience with prompt engineering, fine\-tuning, and RAG architectures, including vector databases
* Knowledge of cloud\-based deployment, MLOps/LLMOps practices, and scalable production systems
 Understanding of responsible AI, data privacy, and security requirements, especially in regulated environments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$120,000 \- $145,000\.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89">
      <c r="A89" t="inlineStr">
        <is>
          <t>li-4368619946</t>
        </is>
      </c>
      <c r="B89" t="inlineStr">
        <is>
          <t>Data Scientist, Research</t>
        </is>
      </c>
      <c r="C89" t="inlineStr">
        <is>
          <t>Stanford University</t>
        </is>
      </c>
      <c r="D89" t="inlineStr">
        <is>
          <t>linkedin</t>
        </is>
      </c>
      <c r="E89">
        <f>HYPERLINK("https://www.linkedin.com/jobs/view/4368619946", "https://www.linkedin.com/jobs/view/4368619946")</f>
        <v/>
      </c>
      <c r="F89" t="inlineStr"/>
      <c r="G89" t="inlineStr"/>
      <c r="H89" t="inlineStr"/>
      <c r="I89" t="inlineStr">
        <is>
          <t>**About The Company**
 Stanford University is a world\-renowned academic and research institution committed to advancing knowledge and fostering innovation across a broad spectrum of disciplines. With a rich history of pioneering discoveries and a dedication to excellence, Stanford continuously strives to push the boundaries of science, technology, medicine, and the humanities. The university's vibrant community includes esteemed faculty, dedicated staff, talented students, and accomplished alumni, all working collaboratively to address some of the most pressing challenges facing society today. Stanford's commitment to diversity, sustainability, and global impact underscores its mission to create a better future for all.
**About The Role**
 Stanford University is seeking a highly skilled Research Data Scientist to join its innovative Data Science team. This role is part of a strategic initiative centered around Marlowe, a GPU\-centric high\-performance computing platform designed to facilitate large\-scale, data\-intensive research across multiple disciplines. The successful candidate will leverage their expertise in computational research, machine learning, and high\-performance GPU computing to develop, optimize, and implement workflows and applications that maximize Marlowe’s capabilities. This is a fixed\-term position for three years, offering an exceptional opportunity to contribute to groundbreaking scientific discoveries. The role involves close collaboration with faculty and research groups to design advanced computational methodologies, support large\-scale experiments, and foster an environment of open science and interdisciplinary research. Remote work will be considered, with occasional in\-person engagements as required.
**Qualifications**
* Ph.D. in a computational, data science, or related field or equivalent experience
* Minimum of five years of experience at an academic staff researcher level or similar
* Proficiency in Linux operating systems and troubleshooting batch scheduled jobs
* Extensive experience with GPU computing and high\-performance computing environments
* Strong programming skills in languages such as Python, C\+\+, or similar
* Experience developing scalable algorithms and data management strategies for large datasets
* Ability to collaborate effectively with multidisciplinary teams and communicate complex technical concepts
* Experience with scientific software development, version control, and open science principles
* Prior experience mentoring or supervising technical staff, students, or early\-career researchers (preferred)
* Experience with grant proposal writing and research funding processes (preferred)
**Responsibilities**
* Design and develop GPU\-accelerated computational workflows and pipelines to support large\-scale research projects
* Collaborate with Principal Investigators and research teams to optimize algorithms and data processing strategies for high\-performance computing environments
* Develop innovative computational methodologies to address complex scientific challenges across disciplines such as biology, physics, and data science
* Assist research teams in applying for and utilizing supercomputing resources at national centers, ensuring efficient use of computational infrastructure
* Install, configure, and maintain software stacks essential for research activities, ensuring system stability and security
* Lead workshops, training sessions, and interdisciplinary courses to disseminate knowledge on GPU\-centric research techniques
* Mentor graduate students, postdoctoral researchers, and early\-career scientists in computational methods and best practices
* Integrate open science principles into workflows, including data provenance, reproducibility, and long\-term code sustainability
* Contribute to scientific publications, reports, and presentations to disseminate research findings
* Support the development of tools and workflows that ensure research continuity and compliance with funding agency mandates
**Benefits**
* Competitive salary range from $142,000 to $200,000 per annum, based on experience and location
* Comprehensive health insurance plans covering medical, dental, and vision care
* Retirement savings options with university\-matched contributions
* Generous paid time off, including vacation, sick leave, and holidays
* Professional development opportunities and support for continuing education
* Access to cutting\-edge research facilities and resources
* Flexible work arrangements, including remote work options
* Inclusive and diverse work environment committed to equity and inclusion
 Equal Opportunity
 Stanford University is an equal employment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protected veteran status, or any other characteristic protected by law. We encourage individuals from all backgrounds to apply and join our community dedicated to excellence and innovation.</t>
        </is>
      </c>
    </row>
    <row r="90">
      <c r="A90" t="inlineStr">
        <is>
          <t>li-4368629749</t>
        </is>
      </c>
      <c r="B90" t="inlineStr">
        <is>
          <t>Data Scientist, Sr.</t>
        </is>
      </c>
      <c r="C90" t="inlineStr">
        <is>
          <t>Thumbtack</t>
        </is>
      </c>
      <c r="D90" t="inlineStr">
        <is>
          <t>linkedin</t>
        </is>
      </c>
      <c r="E90">
        <f>HYPERLINK("https://www.linkedin.com/jobs/view/4368629749", "https://www.linkedin.com/jobs/view/4368629749")</f>
        <v/>
      </c>
      <c r="F90" t="inlineStr"/>
      <c r="G90" t="inlineStr"/>
      <c r="H90" t="inlineStr"/>
      <c r="I90" t="inlineStr">
        <is>
          <t>**About The Company** 
 Thumbtack is a leading platform dedicated to helping millions of individuals confidently care for their homes. Our comprehensive app serves as a one\-stop solution for homeowners seeking personalized guidance, AI\-driven tools, and a seamless hiring experience for various home projects. Whether it's urgent repairs, seasonal maintenance, or significant renovations, Thumbtack connects users with a trusted community of over 300,000 local service professionals across every county in the United States. Our mission is to empower homeowners with the knowledge and resources they need to make informed decisions about their home improvement projects, ensuring quality and reliability at every step. By continuously innovating and expanding our services, we aim to transform the home care industry and build lasting relationships with our users and service providers.
**About The Role** 
 The Senior Data Scientist within the People Data Science team will play a pivotal role in shaping how data, analytics, and artificial intelligence inform talent\-related decisions at Thumbtack. This position offers an exciting opportunity to influence the company's people strategies by developing scalable data products, insights, and AI solutions that enhance decision\-making processes across various HR functions. The successful candidate will collaborate closely with the People Team and business leaders to identify high\-impact questions, define success metrics, and deliver actionable insights. They will also be responsible for building and maintaining the foundational data infrastructure, including pipelines and data models, to support advanced analytics and AI initiatives. This role provides high visibility, with exposure to senior leadership, and offers the chance to define and implement modern, analytically driven talent management practices that align with Thumbtack’s growth and innovation goals.
**Qualifications** 
* BA/BS degree in Economics, Statistics, Psychology, or a related quantitative field
* Minimum of 4 years of experience in data science or analytics, with at least 1 year specifically in People Data Science or People Analytics
* Experience managing data pipelines and data warehousing solutions
* Proficiency in SQL for querying large datasets
* Strong skills in data visualization tools such as Tableau
* Familiarity with programming languages like R or Python for statistical analysis and modeling
* Excellent written and verbal communication skills, capable of explaining complex insights to diverse audiences including senior leaders
* Proven ability to work independently, prioritize tasks effectively, and manage multiple projects simultaneously
* Experience partnering cross\-functionally with HR, talent acquisition, and business teams
* Interest in exploring AI applications to enhance insights and decision support in talent management
**Responsibilities** 
* Develop and communicate clear, actionable insights about talent and organizational health through data storytelling
* Leverage AI and machine learning techniques to identify opportunities for improving talent insights, decision\-making, and experimentation
* Design, implement, and maintain the underlying data infrastructure, including pipelines and data models in BigQuery, in collaboration with Data Engineering and HR Operations teams
* Create scalable analytics products and dashboards, utilizing tools like Tableau, to support various HR functions
* Partner with the People Team and business leaders to identify high\-impact questions, conduct quantitative analyses, and translate findings into practical recommendations
* Lead end\-to\-end initiatives across recruitment, talent management, diversity, equity, inclusion, and belonging (DEIB), and other HR domains
* Promote a culture of data\-informed decision\-making within the People Team and across the organization
* Stay current with emerging AI and analytics trends, exploring innovative ways to apply these technologies to talent management challenges
**Benefits** 
* Competitive salary packages aligned with experience and location
* Comprehensive health, dental, and vision insurance plans
* Flexible work arrangements and remote work options
* Generous paid time off and holiday leave policies
* Opportunities for professional growth and development
* Inclusive and diverse workplace environment
* Supportive company culture focused on innovation and impact
 Equal Opportunity
 Thumbtack is an equal opportunity employer committed to fostering an inclusive environment for all employees. We do not discriminate based on sex, race, color, age, pregnancy, sexual orientation, gender identity or expression, religion, national origin, ancestry, citizenship, marital status, military or veteran status, genetic information, disability, or any other characteristic protected by federal, state, or local law.</t>
        </is>
      </c>
    </row>
    <row r="91">
      <c r="A91" t="inlineStr">
        <is>
          <t>li-4368810454</t>
        </is>
      </c>
      <c r="B91" t="inlineStr">
        <is>
          <t>Lead Data Scientist</t>
        </is>
      </c>
      <c r="C91" t="inlineStr">
        <is>
          <t>kadence</t>
        </is>
      </c>
      <c r="D91" t="inlineStr">
        <is>
          <t>linkedin</t>
        </is>
      </c>
      <c r="E91">
        <f>HYPERLINK("https://www.linkedin.com/jobs/view/4368810454", "https://www.linkedin.com/jobs/view/4368810454")</f>
        <v/>
      </c>
      <c r="F91" t="inlineStr"/>
      <c r="G91" t="inlineStr"/>
      <c r="H91" t="inlineStr"/>
      <c r="I91" t="inlineStr">
        <is>
          <t>**Lead Data Scientist – Fraud Detection \&amp; Financial Risk** 
**Series B Fintech \| US (Remote / USA)** 
**Company Overview** 
 We’re partnering with a Series B fintech building some of the most advanced fraud detection and financial risk systems in the market. Their platform helps protect leading financial institutions (and their customers) from increasingly sophisticated fraud through real\-time machine learning and production\-grade decisioning.
**The Role** 
 This team is scaling quickly and hiring across multiple levels. The work sits directly in the critical path of the product — you’ll be solving adversarial, high\-stakes problems where model performance has immediate real\-world outcomes.
 You’ll work on challenges across anomaly detection, behavioral modelling, and large\-scale data processing, with meaningful ownership from experimentation through to production.
**What You’ll Be Doing** 
* Building and deploying real\-time ML models for fraud detection and risk assessment
* Designing anomaly detection systems to identify emerging fraud patterns
* Developing behavioral models across multiple data sources and signals
* Partnering closely with engineering to productionise models at scale (monitoring, iteration, reliability)
* Working with external stakeholders to understand evolving threat landscapes and requirements
* Owning technical decisions and being able to clearly defend modelling approaches in high\-impact environments
**What They’re Looking For** 
* 7\+ years of hands\-on data science experience (openings range from mid\-level through staff)
* Strong background in fraud detection, risk modelling, identity, or security\-focused data science
* Experience deploying and monitoring models in production environments
* Strong Python \+ SQL foundations (modern ML tooling experience expected)
* Ability to communicate clearly with both technical and non\-technical stakeholders
* Comfortable operating in fast\-paced environments where the work has direct customer and business impact
**Nice to Have** 
* Fintech or financial services exposure is ideal
* Graph ML, time series modelling, ensemble methods, or sequential behaviour modelling experience
* Familiarity with regulated environments and risk constraints
* Track record of improving model performance post\-deployment
**Why This One Is Worth a Look** 
 This is a genuinely high\-impact DS role where fraud science is core to the company’s success. The bar is high, but the scope, ownership, and technical depth are as well \- and the team is building at serious scale.</t>
        </is>
      </c>
    </row>
    <row r="92">
      <c r="A92" t="inlineStr">
        <is>
          <t>li-4368277753</t>
        </is>
      </c>
      <c r="B92" t="inlineStr">
        <is>
          <t>Data Scientist</t>
        </is>
      </c>
      <c r="C92" t="inlineStr">
        <is>
          <t>State Farm</t>
        </is>
      </c>
      <c r="D92" t="inlineStr">
        <is>
          <t>linkedin</t>
        </is>
      </c>
      <c r="E92">
        <f>HYPERLINK("https://www.linkedin.com/jobs/view/4368277753", "https://www.linkedin.com/jobs/view/4368277753")</f>
        <v/>
      </c>
      <c r="F92" t="inlineStr"/>
      <c r="G92" t="inlineStr">
        <is>
          <t>Atlanta, GA</t>
        </is>
      </c>
      <c r="H92" t="inlineStr"/>
      <c r="I92" t="inlineStr">
        <is>
          <t>**Overview**
 Being good neighbors – helping people, investing in our communities, and making the world a better place – is who we are at State Farm. It is at the core of how we operate and the reason for our success. Come join a \#1 team and do some good!
**Office Locations** 
 : Bloomington, Atlanta, Dallas, Phoenix
**HYBRID** 
 : Qualified candidates (in or near hub locations listed below) should plan to spend time working from home and some time working in the office as part of our hybrid work environment.
**Why Join Our Data Science Team?**
 At State Farm, we are dedicated to helping our team members develop to their full potential. As a Data Scientist, you have the unique opportunity to develop both professionally \&amp; analytically. You will strengthen your communication skills through interactions with technical and non\-technical business partners. Our data science teams also embrace staying current with the evolving data science landscape.
* Applicants are required to be eligible to lawfully work in the U.S. immediately; employer will not sponsor applicants for U.S. work authorization (e.g., H\-1B Visa) or future need for this opportunity.
**Responsibilities**
 State Farm's Rating \&amp; Underwriting Modeling Team is seeking Data Scientists to support the growing demand for advanced analytic solutions across the organization. We are looking for talented, motivated individuals who will partner with business areas to help drive results for the enterprise via the development and adoption of analytic solutions.
 Applicants for this posting will be considered for Data Scientist openings in:
* Property \&amp; Casualty Actuarial \&amp; Underwriting Modeling Department (PCM): Develops models that support State Farm’s insurance pricing and underwriting decisions
**Data Science at State Farm** 
 :
 As a Data Scientist at State Farm, you will serve as a subject matter expert and consultant. Through this role, you will share your knowledge and work to increase the use of analytics for decision\-making across the organization. Below are some of the tasks you can expect in the typical day of a Data Scientist:
* Develop and validate advanced analytic models
* Provide input into and/or build datasets to support model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Work on complex problems of diverse scopes
* Establish and leverage a network of associates with business domain and data expertise
* Instill a business\-oriented mindset that drives the data science \&amp; research agenda
* Build and maintain a relationship with the open\-source community by creating and contributing to open\-source data science software initiatives
**Qualifications**
**Requirements:**
* Completed Masters or other advanced degrees, in an analytical field such as statistics, mathematics, economics, data science, quantitative marketing, operations research, industrial engineering, etc.
* Experience building advanced analytic solutions using generalized linear models and at least one of the following: time series analysis, cluster analysis, tree\-based algorithms, or neural networks
* Experience with at least one statistical programming language: SAS, R, and/or Python
**Other Things We Look For:**
* Experience with cloud\-based environments (e.g., AWS), Linux, and/or SQL
* Strong communication skills and the ability to manage multiple, diverse stakeholders across business areas and leadership levels
**What You Can Expect:**
 Competitive candidates may be invited to participate in pre\-employment testing and/or the interview process. This is where the excitement begins!
* Applicants are required to be eligible to lawfully work in the U.S. immediately; employer will not sponsor applicants for U.S. work authorization (e.g., H\-1B Visa) or future need for this opportunity.
**Our Benefits**
 Because work\-life balance is a priority at State Farm, compensation is based on our standard 38:45\-hour work week!
* Potential starting salary range: $102,000 \- $163,000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93">
      <c r="A93" t="inlineStr">
        <is>
          <t>li-4368826846</t>
        </is>
      </c>
      <c r="B93" t="inlineStr">
        <is>
          <t>Data Scientist II, Commercial &amp; Medical Analytics</t>
        </is>
      </c>
      <c r="C93" t="inlineStr">
        <is>
          <t>Ambit Inc.</t>
        </is>
      </c>
      <c r="D93" t="inlineStr">
        <is>
          <t>linkedin</t>
        </is>
      </c>
      <c r="E93">
        <f>HYPERLINK("https://www.linkedin.com/jobs/view/4368826846", "https://www.linkedin.com/jobs/view/4368826846")</f>
        <v/>
      </c>
      <c r="F93" t="inlineStr"/>
      <c r="G93" t="inlineStr">
        <is>
          <t>New York, NY</t>
        </is>
      </c>
      <c r="H93" t="inlineStr"/>
      <c r="I93" t="inlineStr">
        <is>
          <t>**About Ambit:**
 Ambit is a data and tech\-enabled biopharma services company that provides advanced analytics, consulting, and patient identification solutions to pharmaceutical and biotech companies. We focus largely on drug developers and manufacturers in the rare and specialty disease areas.
**Overview:**
 At Ambit we are on a mission to transform the world of rare and specialty disease. We are looking for people who excel in their work and are able to manage ambiguity with resourcefulness and creativity. Our core values are:
* Set high standards
* Deliver on ambitious goals
* Be relentless and innovative
* Be responsible and trusted
**Qualifications:**
 In this role, you’ll be at the forefront of solving complex, high\-stakes analytics challenges for some of the most innovative biopharma companies in the world. You’ll work with diverse data sources, cutting\-edge tools, and a collaborative team to uncover insights that directly influence strategic decisions in rare and specialty disease. This is an opportunity to combine your technical expertise with creative problem\-solving to make a measurable impact on patients’ lives while contributing to Ambit’s mission of transforming healthcare through data.
**As a Data Scientist II, You Will:**
* Partner directly with company leadership to solve critical, interesting analytics problems.
* Apply advanced analytics techniques for clustering and classiﬁcation in highly
* dimensional databases.
* Apply your coding, modeling and critical thinking skills to personally deliver analyses that will drive key business insights.
* Import, clean, manipulate and analyze large volumes of data to help evaluate and solve critical business questions using SQL, SAS, and other tools.
* Communicate ﬁndings from your analysis to internal team members and use your ﬁndings to support critical strategic decisions.
**Qualifications:**
* An ideal candidate will have a master's degree or equivalent knowledge and experience and 2\-4 years of experience working specifically with pharma/biopharma data projects or clients
* 2\+ years working with claims data is required
* Experience with hub, call, shipment, and affiliations data is a plus
* Work on rare disease projects is strongly preferred
* Ability to manipulate data in SQL, SAS, R, or Python
* Experience in cloud\-based platforms (e.g. Snowflake, AWS, Azure)
* Experience in data visualization is a plus (e.g. Power BI, Tableau, D3\.js, Qlik Sense, HTML/ JavaScript)
* Knowledge of any of the following: Experimental Design, Bayesian Networks, Network/ Graph Mining
* Able to start within 2\-4 weeks upon accepting an offer
 Please note we will not be accepting any candidates from recruitment agencies for this position and are seeking talent currently residing in NY/NJ who are willing to be onsite for client and team meetings as needed.
 The base salary range for this role is $120,000 \- $145,000\.
**Why Apply To Ambit:**
* Learning \- At Ambit, we invest in our employees’ long\-term professional development. Working here, you will receive both formal and “on\-the\-job” training to help you build the skills you need to propel your career forward
* Great environment – We value a collegial team environment with open communication. We support and reward hard work and skills development with rapid advancement.
* Compensation – We offer a competitive salary plus an attractive benefits package that meets the needs of our employees and our business model
* Challenging and exciting work \- We consult and work with a variety of biotech and pharmaceutical clients. You will work on innovative and challenging projects that help our clients make important strategic decisions
**We Treat Our Team Right:**
 Competitive compensation is just the beginning. As part of our team, you can expect:
* An early\-stage growth company filled with passionate and fun teammates, dedicated to changing every life touched by rare disease
* Flexible vacation policy with company wide shutdowns to unplug, rest, and recharge
* 401(k) (full\-time employees)
* Medical, dental, vision \&amp; disability insurance (full\-time employees)
* Parental leave (full\-time employees)</t>
        </is>
      </c>
    </row>
    <row r="94">
      <c r="A94" t="inlineStr">
        <is>
          <t>li-4368811139</t>
        </is>
      </c>
      <c r="B94" t="inlineStr">
        <is>
          <t>Marketing Data Scientist</t>
        </is>
      </c>
      <c r="C94" t="inlineStr">
        <is>
          <t>SoFi</t>
        </is>
      </c>
      <c r="D94" t="inlineStr">
        <is>
          <t>linkedin</t>
        </is>
      </c>
      <c r="E94">
        <f>HYPERLINK("https://www.linkedin.com/jobs/view/4368811139", "https://www.linkedin.com/jobs/view/4368811139")</f>
        <v/>
      </c>
      <c r="F94" t="inlineStr"/>
      <c r="G94" t="inlineStr">
        <is>
          <t>San Francisco, CA</t>
        </is>
      </c>
      <c r="H94" t="inlineStr"/>
      <c r="I9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Data Scientist to join the Marketing Data Science (MDS) team. The MDS team plays a crucial role in enabling data\-driven decisions across SoFi's Marketing organization through robust analytics, modeling, experimentation, and measurement.
 This exciting new role will be part of the Optimization hub and will support both TV/DV media\-specific optimization and broader marketing budget planning, with roughly half of the work focused on media analytics, forecasting, and optimization, and the other half focused on holistic marketing budget forecasting and scenario planning across brand, sponsorships, product marketing, and all marketing channels (TV, DV, DM, social, display etc.).
 The role is execution\-focused, with ownership of recurring analytical deliverables and workflows. The IC2 will work closely with senior data scientists and marketing stakeholders, with a clear growth path toward independently owning forecasting, optimization analyses, and stakeholder partnerships over time.
**What you’ll do:**
* Own and maintain recurring dashboards and analytical deliverables that support media performance monitoring and broader marketing spend diagnostics across channels.
* Partner with Media, Brand Marketing, and Product Marketing to support day\-to\-day analytics, deep dives, and planning\-related questions.
* Support quarterly and annual marketing forecasts using SoFi’s in\-house Marketing Mix Modeling (MMM) and related forecasting frameworks.
* Run MMM pipelines and refreshes, including data preparation, quality checks, model execution, and output validation.
* Assist in interpreting MMM outputs and translating results into insights that inform media and marketing investment decisions.
* Support media allocation and optimization analyses (e.g., TV vs. Digital, upper\- vs. lower\-funnel tradeoffs), including scenario modeling and sensitivity analysis.
* Contribute to holistic marketing budget optimization and scenario planning across brand, sponsorships, product, and performance marketing investments.
* Support cross\-channel budget tradeoff analyses to evaluate the impact of spend shifts across media types and marketing initiatives.
* Contribute to ongoing improvement of MMM models and forecasting tools, including feature development, testing, automation, and documentation.
* Collaborate closely with senior data scientists to improve forecast accuracy, model robustness, and the usability of optimization outputs for stakeholders.
* Maintain clear documentation of models, assumptions, and analytical workflows to support long\-term maintainability.
**What you’ll need:**
* Bachelor’s degree in Computer Science, Statistics, Mathematics, Economics, Engineering, or a related quantitative field.
* 2–4 years of experience in data science, analytics, or applied modeling roles supporting marketing, media, growth, or product analytics.
* Strong proficiency in SQL and Python, with experience building analytical workflows and working with large, structured datasets.
* Experience with forecasting, causal modeling, or Marketing Mix Modeling (MMM), including running model pipelines and supporting model interpretation.
* Familiarity with marketing performance measurement across a broad range of channels, including upper\- and lower\-funnel investments.
* Experience building and maintaining dashboards or recurring analytical deliverables using BI tools (e.g., Tableau or equivalent).
* Comfort working in a production analytics environment, including data validation, model QA, and ongoing maintenance.
* Ability to translate analytical results into clear insights for non\-technical stakeholders, with support from senior team members.
* Strong attention to detail, structured problem\-solving skills, and comfort working with ambiguous planning questions.
* Collaborative mindset and ability to work effectively with cross\-functional partners across Marketing.
* Curiosity and motivation to grow toward greater ownership of forecasting, optimization, and stakeholder\-facing work over time.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5">
      <c r="A95" t="inlineStr">
        <is>
          <t>li-4368800328</t>
        </is>
      </c>
      <c r="B95" t="inlineStr">
        <is>
          <t>Data Scientist, Creative Excellence</t>
        </is>
      </c>
      <c r="C95" t="inlineStr">
        <is>
          <t>Ipsos in US</t>
        </is>
      </c>
      <c r="D95" t="inlineStr">
        <is>
          <t>linkedin</t>
        </is>
      </c>
      <c r="E95">
        <f>HYPERLINK("https://www.linkedin.com/jobs/view/4368800328", "https://www.linkedin.com/jobs/view/4368800328")</f>
        <v/>
      </c>
      <c r="F95" t="inlineStr"/>
      <c r="G95" t="inlineStr">
        <is>
          <t>San Francisco, CA</t>
        </is>
      </c>
      <c r="H95" t="inlineStr"/>
      <c r="I95"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96">
      <c r="A96" t="inlineStr">
        <is>
          <t>li-4357761766</t>
        </is>
      </c>
      <c r="B96" t="inlineStr">
        <is>
          <t>Data Scientist, Agentic AI</t>
        </is>
      </c>
      <c r="C96" t="inlineStr">
        <is>
          <t>Guardian Life</t>
        </is>
      </c>
      <c r="D96" t="inlineStr">
        <is>
          <t>linkedin</t>
        </is>
      </c>
      <c r="E96">
        <f>HYPERLINK("https://www.linkedin.com/jobs/view/4357761766", "https://www.linkedin.com/jobs/view/4357761766")</f>
        <v/>
      </c>
      <c r="F96" t="inlineStr"/>
      <c r="G96" t="inlineStr">
        <is>
          <t>New York, NY</t>
        </is>
      </c>
      <c r="H96" t="inlineStr"/>
      <c r="I96"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 Design and implement Agentic AI solutions that automate business workflows, improve decision\-making, and enhance customer and employee experiences.
* Apply LLMs and generative AI to process and interpret unstructured data such as contracts, claims, medical records, and customer interactions.
* Develop autonomous agents and reasoning systems that integrate with Guardian’s platforms to deliver measurable business outcomes.
* Collaborate with data engineers and AIOps teams to ensure models are scalable, robust, and production\-ready.
* Translate research in agentic AI and reinforcement learning into practical applications for underwriting, claims automation, customer servicing, and risk assessment.
* Work closely with product owners, engineers, and business stakeholders to define use cases, design solutions, and measure impact.
* Contribute to the Data Science Lab by building reusable components and frameworks for developing and deploying agentic AI solutions.
 You are:
* Passionate about applying advanced AI techniques to solve real\-world business challenges.
* Curious about agentic AI, autonomous systems, and LLM\-based solutions that transform industries.
* A hands\-on builder who enjoys moving solutions from prototype to deployment.
* Comfortable collaborating in cross\-functional teams and aligning technical solutions with business goals.
 You have:
* PhD with 0–1 years of experience, Master’s degree with 2\+ years, or Bachelor’s degree with 4\+ years in Statistics, Computer Science, Engineering, Applied Mathematics, or related field.
* 2\+ years of hands\-on experience in AI/ML modeling and development.
* Solid understanding of probability, statistics, and machine learning fundamentals.
* Strong programming skills in Python and familiarity with frameworks like PyTorch, TensorFlow, and LangGraph.
* Experience with LLMs, generative AI, and multi\-step reasoning systems.
* Excellent problem\-solving and analytical skills with attention to detail.
* Strong communication skills and ability to collaborate effectively with product and engineering teams.
**Location:**
*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97">
      <c r="A97" t="inlineStr">
        <is>
          <t>li-4368811229</t>
        </is>
      </c>
      <c r="B97" t="inlineStr">
        <is>
          <t>Data Scientist, Creative Excellence</t>
        </is>
      </c>
      <c r="C97" t="inlineStr">
        <is>
          <t>Ipsos in US</t>
        </is>
      </c>
      <c r="D97" t="inlineStr">
        <is>
          <t>linkedin</t>
        </is>
      </c>
      <c r="E97">
        <f>HYPERLINK("https://www.linkedin.com/jobs/view/4368811229", "https://www.linkedin.com/jobs/view/4368811229")</f>
        <v/>
      </c>
      <c r="F97" t="inlineStr"/>
      <c r="G97" t="inlineStr">
        <is>
          <t>Seattle, WA</t>
        </is>
      </c>
      <c r="H97" t="inlineStr"/>
      <c r="I97"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98">
      <c r="A98" t="inlineStr">
        <is>
          <t>li-4368698974</t>
        </is>
      </c>
      <c r="B98" t="inlineStr">
        <is>
          <t>DATA SCIENTIST</t>
        </is>
      </c>
      <c r="C98" t="inlineStr">
        <is>
          <t>TalentAlly</t>
        </is>
      </c>
      <c r="D98" t="inlineStr">
        <is>
          <t>linkedin</t>
        </is>
      </c>
      <c r="E98">
        <f>HYPERLINK("https://www.linkedin.com/jobs/view/4368698974", "https://www.linkedin.com/jobs/view/4368698974")</f>
        <v/>
      </c>
      <c r="F98" t="inlineStr"/>
      <c r="G98" t="inlineStr">
        <is>
          <t>Norco, CA</t>
        </is>
      </c>
      <c r="H98" t="inlineStr"/>
      <c r="I98" t="inlineStr">
        <is>
          <t>**Job Summary** 
 We are seeking a talented and driven Data Scientist with Secret Clearance to join our dynamic team. In this role, you will apply advanced data analytics and machine learning techniques to solve complex problems in a variety of domains. You will work with large datasets, develop predictive models, and support decision\-making processes while adhering to the highest standards of security and confidentiality.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Analyze large and complex datasets to extract actionable insights that will inform business strategies and decisions
* Develop, implement, and maintain predictive models and machine learning algorithms
* Collaborate with cross\-functional teams to understand business needs and translate them into technical solutions
* Use statistical methods, data mining, and machine learning to uncover trends and patterns within the data
* Prepare reports and presentations that effectively communicate your findings to both technical and non\-technical stakeholders
* Ensure compliance with all security protocols and confidentiality requirements, adhering to industry standards and internal policies
* Support senior leadership in strategic decision\-making through advanced data\-driven insights
* Stay up\-to\-date with the latest developments in data science, machine learning, and related fields
* Provide technical guidance and mentorship to junior data scientists and analysts
**Basic Qualifications** 
* US Citizenship Required
* Active Secret Security Clearance
* Bachelor's degree in Computer Science, Data Science, Mathematics, Statistics, Engineering, or related field
* At least 3\+ years of experience as a Data Scientist or in a related data analysis role
* Strong proficiency in Python, R, or similar programming languages for data analysis
* Expertise in machine learning frameworks (e.g., TensorFlow, PyTorch, Scikit\-learn)
* Strong knowledge of SQL and experience with relational databases
* Familiarity with data visualization tools like Tableau, Power BI, or similar
* Solid understanding of statistical modeling, hypothesis testing, and data\-driven decision\-making
* Excellent communication skills, with the ability to present technical findings to non\-technical stakeholder
* Ability to work onsite in Norco, CA
* If applicable: If you are or have been recently employed by the U.S. government, a post\-employment ethics letter will be required if employment with VSolvit is offered
**Preferred Qualifications** 
* Master's degree in Computer Science, Data Science, Mathematics, Statistics, Engineering, or related field
* Experience working with classified government data or in a defense\-related environment
* Familiarity with cloud platforms (AWS, Azure, etc.) and data processing tools
* Experience with DevOps practices and version control (Git, GitHub)
* Experience with Agile methodologies and working in a Scaled Agile Framework (SAFe) environment
* Strong problem\-solving skills and ability to work in a fast\-paced environment
* Machine Learning experience is a plus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PDN\-a0f67be9\-6857\-4efe\-afe4\-ffdd2c0951c7</t>
        </is>
      </c>
    </row>
    <row r="99">
      <c r="A99" t="inlineStr">
        <is>
          <t>li-4368677992</t>
        </is>
      </c>
      <c r="B99" t="inlineStr">
        <is>
          <t>Data Scientist</t>
        </is>
      </c>
      <c r="C99" t="inlineStr">
        <is>
          <t>Guidehouse</t>
        </is>
      </c>
      <c r="D99" t="inlineStr">
        <is>
          <t>linkedin</t>
        </is>
      </c>
      <c r="E99">
        <f>HYPERLINK("https://www.linkedin.com/jobs/view/4368677992", "https://www.linkedin.com/jobs/view/4368677992")</f>
        <v/>
      </c>
      <c r="F99" t="inlineStr"/>
      <c r="G99" t="inlineStr">
        <is>
          <t>Arlington, VA</t>
        </is>
      </c>
      <c r="H99" t="inlineStr"/>
      <c r="I99" t="inlineStr">
        <is>
          <t>**Job Family**
 Data Science Consulting
**Travel Required**
 Up to 10%
**Clearance Required**
 Ability to Obtain Public Trust
**What You Will Do**
 Our consultants on the Defense \&amp; Security AI \&amp; Data team help clients maximize the value of their data and automate business processes. This high performing team works with clients to implement the full spectrum of data analytics and data science: from data engineering and pipeline development, to data visualization and business intelligence (BI) dashboarding, to predictive analytics leveraging machine learning (ML) and artificial intelligence (AI) models. Our services allow our clients to define their data strategy, enable mission\-critical insights and data\-driven decision making, reduce cost and complexity, increase trust, and improve operational effectiveness.
* Belong to a collaborative team dedicated to AI and data science.
* Focus on client services, while also supporting business development, internal firm initiatives, and ongoing professional development in data science, data analytics, and/or data engineering.
* Work as a data science and analytics professional in collaboration with cross\-functional teams.
* Continue career development in data science and analytics software, methods, and consulting.
* Operate successfully on remote projects as well as hybrid on\-site projects in the DC metro area.
**What You Will Need**
* US Citizenship and the ability to obtain and maintain a federal Public Trust clearance. Individuals with an active Public Trust clearance are preferred.
* B.S. or B.A. in computer science, engineering, mathematics, statistics, or a related quantitative/computational discipline.
* THREE (3\) or more years of relevant professional experience doing analysis OR TWO (2\) years of relevant professional experience doing data analysis with a relevant M.S./M.A. degree.
* Experience in Python and/or R.
* Expertise in BI software of choice (Tableau, Power BI).
* Experience leading data analytic activities from initial requirements gathering to successful solution delivery.
* Experience manipulating large data sets and using them to identify trends and reach meaningful conclusions to inform strategic business decisions.
* Ability to support on\-site and hybrid projects in the DC metro area
**What Would Be Nice To Have**
* Experience with geospatial analytic toolsets such as ArcGIS.
* Ability to clean, aggregate, organize data from multiple sources and transfer this information to data storage systems.
* Ability to design data modeling processes, create algorithms and predictive models, and perform custom analysis.
* Ability to define data requirements and ensure storage, availability, and coherence of electronically stored information to guarantee it meets the organization's needs.
* Experience with cloud\-based systems (AWS, Azure, GCP) and data platforms (Databricks, Snowflake).
* Experience with SQL for data querying and wrangling.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Experience working with public sector clients.
* Familiarity with federal contracting and procurement processes.
* Excellent verbal and written communication skills.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00">
      <c r="A100" t="inlineStr">
        <is>
          <t>li-4368293053</t>
        </is>
      </c>
      <c r="B100" t="inlineStr">
        <is>
          <t>Data Scientist | Clinical AI</t>
        </is>
      </c>
      <c r="C100" t="inlineStr">
        <is>
          <t>RemoteHunter</t>
        </is>
      </c>
      <c r="D100" t="inlineStr">
        <is>
          <t>linkedin</t>
        </is>
      </c>
      <c r="E100">
        <f>HYPERLINK("https://www.linkedin.com/jobs/view/4368293053", "https://www.linkedin.com/jobs/view/4368293053")</f>
        <v/>
      </c>
      <c r="F100" t="inlineStr"/>
      <c r="G100" t="inlineStr"/>
      <c r="H100" t="inlineStr"/>
      <c r="I100"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li-4368821970</t>
        </is>
      </c>
      <c r="B101" t="inlineStr">
        <is>
          <t>Sr. Data Scientist, Growth Data Science</t>
        </is>
      </c>
      <c r="C101" t="inlineStr">
        <is>
          <t>Mercury Insurance</t>
        </is>
      </c>
      <c r="D101" t="inlineStr">
        <is>
          <t>linkedin</t>
        </is>
      </c>
      <c r="E101">
        <f>HYPERLINK("https://www.linkedin.com/jobs/view/4368821970", "https://www.linkedin.com/jobs/view/4368821970")</f>
        <v/>
      </c>
      <c r="F101" t="inlineStr"/>
      <c r="G101" t="inlineStr">
        <is>
          <t>California, United States</t>
        </is>
      </c>
      <c r="H101" t="inlineStr"/>
      <c r="I101" t="inlineStr">
        <is>
          <t>**About The Role**
 We are looking for a n experienced
 **S r. Data Scientist** 
 to join our Growth Data Science team at Mercury Insurance . In this role, you will partner closely with our
 **Marketing, Sales, and Customer Experience** 
 organizations to identify growth opportunities, optimize acquisition and engagement strategies, and deliver scalable, data\-driven solutions. You will act as a thought leader— bring deep technical expertise , strong business intuition, and the ability to drive measurable business value through automated, domain\-specific AI solutions.
**Geo\-Salary Information**
**An in\-person interview may be required during the hiring process**
 State specific pay scales for this role are as follows:
 $94,458 to $179,048 (CA, NJ, NY, WA, HI, AK, MD, CT, RI, MA)
 $85,871 to $162,771 (NV, OR, AZ, CO, WY, TX, ND, MN, MO, IL, WI, FL, GA, MI, OH, VA, PA, DE, VT, NH, ME)
 $77,283 to $146,494 (UT, ID, MT, NM, SD, NE, KS, OK, IA, AR, LA, MS, AL, TN, KY, IN, SC, NC, WV)
 The expected base salary for this position will vary depending on a number of factors, including relevant experience, skills and location.
**Responsibilities**
**What You’ll Do**
 Work directly with Marketing, Sales, and CX leaders to diagnose business challenges, define analytical roadmaps, and drive growth strategies.
 Develop rigorous analyses, models, and frameworks to optimize customer acquisition, lifecycle engagement, and retention.
 Build scalable machine learning solutions (e.g., targeting, segmentation, uplift modeling, LTV prediction) that improve growth efficiency and ROI.
 Design and evaluate A/B tests and causal inference studies; partner with stakeholders to operationalize results.
 Translate complex data insights into clear, actionable recommendations that influence decision\-making at all levels of the organization.
 Collaborate with engineering teams to productionize models and analytics pipelines with high reliability and performance.
 Drive best practices in experimentation, measurement, and growth analytics across the company.
**Qualifications**
**What You Bring**
* 5 \+ years of experience in data science, machine learning, or growth analytics, with a track record of delivering business impact.
* BS in STEM majors is required . MS is preferred.
* P roficiency in SQL and Python, and experience working in modern data and ML ecosystems.
* Experiences in growth\-focused data science (e.g., paid marketing optimization, attribution, funnel diagnostics, experimentation, user segmentation).
* Expertise statistical methods, causal inference, and A/B testing at scale.
* Experience building and deploying production ML models.
* Experience in fine\-tuning  Generative AI (LLMs)  for domain\-specific applications is a plus.
* Solid communication skills—able to simplify complex concepts for non\-technical partners and good storytelling skills .
* Strong product and business intuition; comfortable partnering with senior\-level stakeholders.
* Experience in a consumer, fintech, SaaS, or marketplace environment is a plus.
**Physical Requirements**
**Why Join Us**
 Drive high\-visibility growth initiatives that shape the company’s trajectory.
 Work in a collaborative environment between Marketing, Sales, CX, Product, and Engineering.
 Amplify your impact by influencing strategy, improving tooling, and raising the bar for analytics and ML across the org.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$94,458\.00 \- USD $17,948\.00 /Yr.</t>
        </is>
      </c>
    </row>
    <row r="102">
      <c r="A102" t="inlineStr">
        <is>
          <t>li-4368829382</t>
        </is>
      </c>
      <c r="B102" t="inlineStr">
        <is>
          <t>Data Scientist with Generative AI</t>
        </is>
      </c>
      <c r="C102" t="inlineStr">
        <is>
          <t>Vimerse InfoTech Inc</t>
        </is>
      </c>
      <c r="D102" t="inlineStr">
        <is>
          <t>linkedin</t>
        </is>
      </c>
      <c r="E102">
        <f>HYPERLINK("https://www.linkedin.com/jobs/view/4368829382", "https://www.linkedin.com/jobs/view/4368829382")</f>
        <v/>
      </c>
      <c r="F102" t="inlineStr"/>
      <c r="G102" t="inlineStr"/>
      <c r="H102" t="inlineStr"/>
      <c r="I102" t="inlineStr">
        <is>
          <t>**Job Title: Data Scientist with Generative AI** 
**Location:** 
 Remote
 **(all over USA)** 
**Job Type:** 
 Full\-Time
**Required Data Scientist Qualifications:** 
* Bachelor’s Degree or foreign equivalent will also consider three years of progressive experience in the specialty in lieu of every year of education.
* At least 6 years of Information Technology experience
* At least 4 years of hands\-on data science with Machine Learning Experience
* At least 1 year of Generative AI Experience
* Experiences with Python or R
 Note:
 1\. Applications will only be accepted through the ATS link provided above. Profiles shared through other means will not be considered.
 2\. Prolegion does not charge any fee from candidates at any stage. If anyone approaches you for money in exchange for this opportunity, treat it as fraud and report it to us immediately.</t>
        </is>
      </c>
    </row>
    <row r="103">
      <c r="A103" t="inlineStr">
        <is>
          <t>li-4368279507</t>
        </is>
      </c>
      <c r="B103" t="inlineStr">
        <is>
          <t>Senior Data Scientist</t>
        </is>
      </c>
      <c r="C103" t="inlineStr">
        <is>
          <t>Swinerton</t>
        </is>
      </c>
      <c r="D103" t="inlineStr">
        <is>
          <t>linkedin</t>
        </is>
      </c>
      <c r="E103">
        <f>HYPERLINK("https://www.linkedin.com/jobs/view/4368279507", "https://www.linkedin.com/jobs/view/4368279507")</f>
        <v/>
      </c>
      <c r="F103">
        <f>HYPERLINK("https://swinerton.wd1.myworkdayjobs.com/Swinerton_External_Career/job/Concord-CA/Senior-Data-Scientist_J16717?source=LinkedIn&amp;urlHash=3NOe", "https://swinerton.wd1.myworkdayjobs.com/Swinerton_External_Career/job/Concord-CA/Senior-Data-Scientist_J16717?source=LinkedIn&amp;urlHash=3NOe")</f>
        <v/>
      </c>
      <c r="G103" t="inlineStr">
        <is>
          <t>San Diego, CA</t>
        </is>
      </c>
      <c r="H103" t="inlineStr"/>
      <c r="I103" t="inlineStr">
        <is>
          <t>**Compensation Range**
 $150,000\.00 \- $200,000\.00 Annual Salary
**Job Description Summary**
 We are seeking a Senior Data Scientist to design, develop, and deploy advanced analytics and AI solutions that address complex business challenges. In this role, you will collaborate with cross\-functional teams to identify opportunities and deliver scalable, production\-ready solutions \- including predictive models, agent\-based systems, and intelligent workflows \- to drive strategic business outcomes
**Job Description**
**Stakeholder collaboration \&amp; communication** 
 — Partner with cross‑functional teams to identify high‑impact opportunities for AI/ML, agentic automation, process optimization, and intelligent workflow orchestration; translate complex technical findings into clear, actionable insights for technical and non‑technical audiences; foster alignment and adoption
**Data acquisition, preparation, and quality assurance** 
 — Extract, clean, and transform structured and unstructured data from multiple sources; assess data quality, resolve inconsistencies, and perform imputations to ensure robust inputs for models and agents.
**Design, build, and deploy AI/ML models \&amp; agents** 
 — Develop statistical models and solutions using NLP, computer vision, generative AI, and agent frameworks; deploy scalable, interpretable models and AI agents into production environments.
**Multi** 
**‑** 
**agent orchestration for complex workflows** 
 — Design and coordinate multiple AI agents to collaborate across business processes and multi‑step tasks.
**Performance monitoring \&amp; continuous improvement** 
 — Evaluate and improve agent/model reliability, effectiveness, and alignment with evolving business objectives
**Pipeline reliability \&amp; preprocessing automation** 
 — Partner with data engineering to enhance data pipeline robustness and automate preprocessing workflows, enabling seamless integration with AI frameworks.
**Documentation, reproducibility, and versioning** 
 — Apply best practices to ensure data and model assets are well‑documented, reproducible, and properly versioned.
**Research \&amp; stay current on agentic AI** 
 — Track emerging paradigms and frameworks, evolving toward advanced autonomous reasoning and multi‑agent systems
**Cross\-functional collaboration \&amp; knowledge sharing** 
 — Support team learning and best practice adoption by sharing insights, mentoring, and contributing to collaborative problem\-solving
 Bachelor’s degree in a quantitative field such as Data Science, Computer Science, Statistics, or Mathematics required; Master’s degree preferred. Equivalent work experience will also be considered.
 7\+ years in data science, machine learning, or AI roles, with a track record of delivering production\-ready solutions
 Strong experience in data wrangling, feature engineering, and data normalization techniques.
 Skilled in parsing, transforming, preparing structured, semi\-structured, and unstructured data for analysis, modeling, and agent\-based workflows
 Proficiency in SQL and Python (including pandas, scikit\-learn, TensorFlow, PyTorch).
 Proficiency in cloud data platforms such as Databricks, Snowflake, or Redshift for processing and analytics.
 Experience with ML lifecycle tools and platforms for model tracking, deployment, and automation (e.g. MLflow, DataRobot).
 Experience with agent orchestration frameworks and development tools (e.g., LangChain, AutoGen, Semantic Kernel, Microsoft AI Foundry) is a plus.
 Excellent problem\-solving, critical thinking, and communication skills; Ability to work independently and collaboratively with cross\-functional teams.
**Construction Industry Experience Is Preferred But Not Required.**
 Proven ability to work independently in a remote or hybrid environment with minimal supervision, while adapting to shifting priorities and evolving business needs.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02/10/2026</t>
        </is>
      </c>
    </row>
    <row r="104">
      <c r="A104" t="inlineStr">
        <is>
          <t>li-4353180435</t>
        </is>
      </c>
      <c r="B104" t="inlineStr">
        <is>
          <t>Senior Data Scientist, Creators</t>
        </is>
      </c>
      <c r="C104" t="inlineStr">
        <is>
          <t>Suno</t>
        </is>
      </c>
      <c r="D104" t="inlineStr">
        <is>
          <t>linkedin</t>
        </is>
      </c>
      <c r="E104">
        <f>HYPERLINK("https://www.linkedin.com/jobs/view/4353180435", "https://www.linkedin.com/jobs/view/4353180435")</f>
        <v/>
      </c>
      <c r="F104">
        <f>HYPERLINK("https://jobs.ashbyhq.com/suno/5deb9cf7-3669-4c43-92ae-0b09e55d5773&amp;urlHash=P-19", "https://jobs.ashbyhq.com/suno/5deb9cf7-3669-4c43-92ae-0b09e55d5773&amp;urlHash=P-19")</f>
        <v/>
      </c>
      <c r="G104" t="inlineStr">
        <is>
          <t>New York, NY</t>
        </is>
      </c>
      <c r="H104" t="inlineStr"/>
      <c r="I104"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As our first Data Scientist focused on this area, you'll build the foundation for how we support and grow Suno's creator and artist ecosystem. Creators and artists are at the heart of Suno, and you'll be instrumental in understanding what makes them successful, how we can amplify their work, and how we build programs that help them thrive. You'll work closely with product, business, and music teams on everything from strategy to execution.
 Check out the Suno version of this role here!
**What You'll Do**
* Build comprehensive frameworks for understanding creator and artist success (engagement patterns, content trends) and design experiments to optimize creator programs and incentives
* Collaborate closely with product, business, and music functions to define, iterate on, and evaluate programs that support creators and artists
* Surface trending creators and content, helping define what discovery and recognition look like on Suno
* Contribute to building strong data foundations as part of our awesome data science team
**What You'll Need**
* 5\+ years experience in data science roles, ideally with experience in creator platforms or social products
* Advanced proficiency in SQL, Python, and statistical modeling
* Experience designing and running experiments, with ability to derive clear insights and make strategic recommendations
* Strategic thinking about creator economics and platform health, with excellent communication skills and experience working across product, partnerships, and business teams
* A self\-starter mentality with the ability to thrive in ambiguity, eagerness to wear multiple hats, and passion for continuous learning
**Bonus:** 
 Background in music industry, creator monetization, or artist/influencer partnerships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105">
      <c r="A105" t="inlineStr">
        <is>
          <t>li-4368677527</t>
        </is>
      </c>
      <c r="B105" t="inlineStr">
        <is>
          <t>Senior Data Scientist</t>
        </is>
      </c>
      <c r="C105" t="inlineStr">
        <is>
          <t>Fetch</t>
        </is>
      </c>
      <c r="D105" t="inlineStr">
        <is>
          <t>linkedin</t>
        </is>
      </c>
      <c r="E105">
        <f>HYPERLINK("https://www.linkedin.com/jobs/view/4368677527", "https://www.linkedin.com/jobs/view/4368677527")</f>
        <v/>
      </c>
      <c r="F105">
        <f>HYPERLINK("https://jobs.gem.com/fetch/7505100003?utm_source=GemJobBoardLink&amp;utm_medium=4037490003&amp;urlHash=kBGB", "https://jobs.gem.com/fetch/7505100003?utm_source=GemJobBoardLink&amp;utm_medium=4037490003&amp;urlHash=kBGB")</f>
        <v/>
      </c>
      <c r="G105" t="inlineStr"/>
      <c r="H105" t="inlineStr"/>
      <c r="I105"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**Meet Fetch Engineering**
 At Fetch, our engineering philosophy emphasizes innovation, adaptability, and informed decision\-making. Our engineers thrive in complex environments, making decisions based on critical thinking and data, even in uncertain situations. We value proactive problem\-solving and focus on driving impactful results while maintaining high technical standards. You will work alongside talented engineers who are dedicated to pushing the boundaries of technology and encouraging each other to excel. We understand that Fetch may not be the right fit for everyone, but if you're passionate about solving challenging problems and navigating intricate systems, Fetch could be a great place for you.
**About The Role**
 Fetch is at a major inflection point in leveraging data to drive business growth and innovation. With over $100B in item\-level purchase data from millions of monthly active users, we are uniquely positioned to turn raw consumer insights into actionable intelligence that powers every aspect of our product, operations, and monetization strategies.
 We are seeking a Senior Data Scientist to play a key role in developing and scaling Fetch’s data science capabilities. This role transcends traditional analytics as you will architect and operationalize production\-ready models and frameworks that directly influence Fetch’s product strategy, personalization systems, and business outcomes. As a Senior Data Scientist, you will partner cross\-functionally with Product, Engineering, Marketing, and Data Product teams to transform complex datasets into measurable business impact through experimentation, predictive modeling, and data\-driven decision\-making.
 Within your first year, you will lead multiple high\-impact initiatives such as designing predictive models for engagement and churn, optimizing personalization systems through experimentation and machine learning, and developing scalable frameworks that quantify the business impact of new product launches and feature iterations.
 This is a full\-time role that can be held from one of our US offices or remotely in the United States.
**What You’ll Do At Fetch**
**Advanced Analytics \&amp; Modeling**
* Design, build, and deploy predictive and causal models that power personalization, retention, and monetization strategies.
* Apply advanced statistical methods, including Bayesian inference, causal impact analysis, and hierarchical modeling, to guide decision\-making.
* Develop and operationalize experimentation and measurement frameworks that ensure accurate attribution and reproducibility across Fetch’s products.
**Business Impact \&amp; Experimentation**
* Quantify the impact of key business and product initiatives, translating complex model outputs into actionable insights.
* Design and analyze experiments that test hypotheses about user behavior, product features, and marketing initiatives.
* Establish metrics and analytical frameworks that measure Fetch’s progress toward strategic growth and retention goals.
**Collaboration \&amp; Influence**
* Partner closely with Product, Engineering, and Data Product teams to transform insights into scalable data products and intelligent systems.
* Communicate complex analyses through clear narratives and visualizations that drive executive understanding and action.
* Mentor and collaborate with peers to strengthen Fetch’s scientific rigor, data culture, and analytical storytelling capabilities.
**Technical Excellence**
* Leverage tools and technologies such as Python, SQL, Snowflake, dbt, Airflow, Spark, and AWS to build and scale robust data science solutions.
* Champion best practices in experimentation, model validation, reproducibility, and governance.
* Advance Fetch’s use of AI/ML tools for automation, documentation, and anomaly detection, emphasizing validation and responsible use.
**Minimum Requirements**
* 8\+ years of experience in data science, machine learning, or applied analytics with proven impact in product\-driven environments.
* Deep expertise in statistical modeling, experimental design, and causal inference.
* Strong proficiency in SQL and at least one programming language (Python preferred).
* Experience working with large\-scale data systems such as Snowflake, dbt, Airflow, or Spark.
* Proven ability to communicate complex technical insights to non\-technical stakeholders and drive strategic decision\-making.
* Bachelor’s degree in Statistics, Mathematics, Computer Science, Engineering, or a related quantitative field.
**Preferred Requirements**
* Advanced degree (Master’s or Ph.D.) in a quantitative discipline.
* Experience deploying ML models into production and managing model lifecycle and performance.
* Background in consumer technology, ad tech, or personalization systems.
* Experience building frameworks that improve experimentation velocity and decision quality.
* Familiarity with privacy\-preserving data modeling and compliance standards such as GDPR or CCPA.
* Mentorship experience or demonstrated leadership in scientific or analytical development.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106">
      <c r="A106" t="inlineStr">
        <is>
          <t>li-4368697092</t>
        </is>
      </c>
      <c r="B106" t="inlineStr">
        <is>
          <t>Senior Data Scientist</t>
        </is>
      </c>
      <c r="C106" t="inlineStr">
        <is>
          <t>Amgen</t>
        </is>
      </c>
      <c r="D106" t="inlineStr">
        <is>
          <t>linkedin</t>
        </is>
      </c>
      <c r="E106">
        <f>HYPERLINK("https://www.linkedin.com/jobs/view/4368697092", "https://www.linkedin.com/jobs/view/4368697092")</f>
        <v/>
      </c>
      <c r="F106" t="inlineStr"/>
      <c r="G106" t="inlineStr">
        <is>
          <t>Thousand Oaks, CA</t>
        </is>
      </c>
      <c r="H106" t="inlineStr"/>
      <c r="I106"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**Sr. Data Scientist**
**What you will do and what we expect of you**
 Let’s do this. Let’s change the world. In this vital role you will:
**Duties:** 
 Leading the development of data science, machine learning prototypes, proof of concepts and models for testing various omnichannel strategies; Leading measurement and tracking of omnichannel CX enablement initiatives; Extract, clean, pre\-process and analyze large\-scale structured and unstructured datasets to uncover insights that drive engagement and key Metrics; Crafting and deploying a framework to supervise the performance of various campaigns, and tactics at a granular level; Develop, Prototype, and deploy predictive models using ML, Deep Learning and Generative AI NLP techniques, architecting Data science frameworks for use cases such as Next Best Action Recommendation, and other recommender systems to optimize Omnichannel strategies that helps to serve patients; Measuring the impact of cross\-channel campaigns and the overall omnichannel program; Identifying business needs and proposing potential analytics approaches for solutions; Communicating analysis ideas, progress and results to leadership and business partners regarding omni channel; Utilize big data frameworks like Spark, SQL, Python for distributed computing and scalable data processing; and Work on Large Scale Data architectures and leverage AWS cloud platforms to build ETL pipelines for data science experiments. May telecommute.
**Requirements:** 
 Master’s degree in Information Systems, Data Science or related field \&amp; 2 years of experience involving the following:
* Campaign measurement, marketing analytics and resource optimization;
* Programming experience with Python, R, or SAS;
* Working with large datasets;
* Distributed computing tools including Spark;
* Data science relating to Biotechnology or Pharmaceutical industry; and
* Data Wrangling and analysis using python, R, or SQL.
**Contact:** 
 Interested candidates please apply via https://careers.amgen.com/en/search\-jobs and search for job \# R\-225152\.
 Job type: Full Time position. The annual salary range for this position in the U.S. is $137,855\.00 \- $168,574\.00 per year. Also, this position offers stock, retirement, medical, life and disability insurance and eligibility for an annual bonus or for sales roles, other incentive compensation. For more details visit 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107">
      <c r="A107" t="inlineStr">
        <is>
          <t>li-4368282325</t>
        </is>
      </c>
      <c r="B107" t="inlineStr">
        <is>
          <t>Senior Data Scientist</t>
        </is>
      </c>
      <c r="C107" t="inlineStr">
        <is>
          <t>Swinerton</t>
        </is>
      </c>
      <c r="D107" t="inlineStr">
        <is>
          <t>linkedin</t>
        </is>
      </c>
      <c r="E107">
        <f>HYPERLINK("https://www.linkedin.com/jobs/view/4368282325", "https://www.linkedin.com/jobs/view/4368282325")</f>
        <v/>
      </c>
      <c r="F107">
        <f>HYPERLINK("https://swinerton.wd1.myworkdayjobs.com/Swinerton_External_Career/job/Concord-CA/Senior-Data-Scientist_J16717?source=LinkedIn&amp;urlHash=3NOe", "https://swinerton.wd1.myworkdayjobs.com/Swinerton_External_Career/job/Concord-CA/Senior-Data-Scientist_J16717?source=LinkedIn&amp;urlHash=3NOe")</f>
        <v/>
      </c>
      <c r="G107" t="inlineStr">
        <is>
          <t>Arvada, CO</t>
        </is>
      </c>
      <c r="H107" t="inlineStr"/>
      <c r="I107" t="inlineStr">
        <is>
          <t>**Compensation Range**
 $150,000\.00 \- $200,000\.00 Annual Salary
**Job Description Summary**
 We are seeking a Senior Data Scientist to design, develop, and deploy advanced analytics and AI solutions that address complex business challenges. In this role, you will collaborate with cross\-functional teams to identify opportunities and deliver scalable, production\-ready solutions \- including predictive models, agent\-based systems, and intelligent workflows \- to drive strategic business outcomes
**Job Description**
**Stakeholder collaboration \&amp; communication** 
 — Partner with cross‑functional teams to identify high‑impact opportunities for AI/ML, agentic automation, process optimization, and intelligent workflow orchestration; translate complex technical findings into clear, actionable insights for technical and non‑technical audiences; foster alignment and adoption
**Data acquisition, preparation, and quality assurance** 
 — Extract, clean, and transform structured and unstructured data from multiple sources; assess data quality, resolve inconsistencies, and perform imputations to ensure robust inputs for models and agents.
**Design, build, and deploy AI/ML models \&amp; agents** 
 — Develop statistical models and solutions using NLP, computer vision, generative AI, and agent frameworks; deploy scalable, interpretable models and AI agents into production environments.
**Multi** 
**‑** 
**agent orchestration for complex workflows** 
 — Design and coordinate multiple AI agents to collaborate across business processes and multi‑step tasks.
**Performance monitoring \&amp; continuous improvement** 
 — Evaluate and improve agent/model reliability, effectiveness, and alignment with evolving business objectives
**Pipeline reliability \&amp; preprocessing automation** 
 — Partner with data engineering to enhance data pipeline robustness and automate preprocessing workflows, enabling seamless integration with AI frameworks.
**Documentation, reproducibility, and versioning** 
 — Apply best practices to ensure data and model assets are well‑documented, reproducible, and properly versioned.
**Research \&amp; stay current on agentic AI** 
 — Track emerging paradigms and frameworks, evolving toward advanced autonomous reasoning and multi‑agent systems
**Cross\-functional collaboration \&amp; knowledge sharing** 
 — Support team learning and best practice adoption by sharing insights, mentoring, and contributing to collaborative problem\-solving
 Bachelor’s degree in a quantitative field such as Data Science, Computer Science, Statistics, or Mathematics required; Master’s degree preferred. Equivalent work experience will also be considered.
 7\+ years in data science, machine learning, or AI roles, with a track record of delivering production\-ready solutions
 Strong experience in data wrangling, feature engineering, and data normalization techniques.
 Skilled in parsing, transforming, preparing structured, semi\-structured, and unstructured data for analysis, modeling, and agent\-based workflows
 Proficiency in SQL and Python (including pandas, scikit\-learn, TensorFlow, PyTorch).
 Proficiency in cloud data platforms such as Databricks, Snowflake, or Redshift for processing and analytics.
 Experience with ML lifecycle tools and platforms for model tracking, deployment, and automation (e.g. MLflow, DataRobot).
 Experience with agent orchestration frameworks and development tools (e.g., LangChain, AutoGen, Semantic Kernel, Microsoft AI Foundry) is a plus.
 Excellent problem\-solving, critical thinking, and communication skills; Ability to work independently and collaboratively with cross\-functional teams.
**Construction Industry Experience Is Preferred But Not Required.**
 Proven ability to work independently in a remote or hybrid environment with minimal supervision, while adapting to shifting priorities and evolving business needs.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02/10/2026</t>
        </is>
      </c>
    </row>
    <row r="108">
      <c r="A108" t="inlineStr">
        <is>
          <t>li-4368271075</t>
        </is>
      </c>
      <c r="B108" t="inlineStr">
        <is>
          <t>Senior Data Scientist (NLP and GenAI Specialist)</t>
        </is>
      </c>
      <c r="C108" t="inlineStr">
        <is>
          <t>Morgan Stanley</t>
        </is>
      </c>
      <c r="D108" t="inlineStr">
        <is>
          <t>linkedin</t>
        </is>
      </c>
      <c r="E108">
        <f>HYPERLINK("https://www.linkedin.com/jobs/view/4368271075", "https://www.linkedin.com/jobs/view/4368271075")</f>
        <v/>
      </c>
      <c r="F108">
        <f>HYPERLINK("https://morganstanley.eightfold.ai/careers/job/549795582662&amp;urlHash=B7tp", "https://morganstanley.eightfold.ai/careers/job/549795582662&amp;urlHash=B7tp")</f>
        <v/>
      </c>
      <c r="G108" t="inlineStr">
        <is>
          <t>Dallas, TX</t>
        </is>
      </c>
      <c r="H108" t="inlineStr"/>
      <c r="I108"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09">
      <c r="A109" t="inlineStr">
        <is>
          <t>li-4368679523</t>
        </is>
      </c>
      <c r="B109" t="inlineStr">
        <is>
          <t>Senior Staff Data Scientist</t>
        </is>
      </c>
      <c r="C109" t="inlineStr">
        <is>
          <t>Fetch</t>
        </is>
      </c>
      <c r="D109" t="inlineStr">
        <is>
          <t>linkedin</t>
        </is>
      </c>
      <c r="E109">
        <f>HYPERLINK("https://www.linkedin.com/jobs/view/4368679523", "https://www.linkedin.com/jobs/view/4368679523")</f>
        <v/>
      </c>
      <c r="F109" t="inlineStr"/>
      <c r="G109" t="inlineStr"/>
      <c r="H109" t="inlineStr"/>
      <c r="I109"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**Meet Fetch Engineering**
 At Fetch, we are passionate about solving challenging problems and embracing ambiguity. Our engineering philosophy promotes adaptability and innovation over rigid adherence to rules. Our engineers thrive in complex environments, making well\-informed decisions even in uncertain situations. We seek out the necessary information and focus on action and impact, while consistently upholding high technical standards. In this role, you will be a technical leader, shaping best practices to build world\-class, user\-facing technology. You will mentor fellow engineers, fostering technical growth and collaboration within the team. As a hands\-on leader, you will actively contribute to the codebase and deliver features alongside your team.
**About The Role**
 Fetch is at a critical inflection point in how data and science inform the company’s most important decisions. With millions of monthly active users, rich item\-level purchase data, and increasing investment in AI\-driven products like FetchGPT, Fetch has an opportunity to establish a rigorous, scalable measurement and causal reasoning foundation that powers pricing, incentives, growth, marketing investment, and financial planning.
 We are seeking a Staff Data Scientist to serve as the company\-wide scientific and measurement leader. This role goes beyond traditional analytics or domain ownership. You will define how Fetch measures value, reasons about causality, and translates evidence into executive decisions. You will own core measurement frameworks, architect semantic and metric foundations, and set the scientific quality bar across analytics, experimentation, and strategic modeling.
 Within your first year, you will define Fetch’s MAU × ARPU measurement operating system, establish canonical metrics and semantic standards powering FetchGPT and executive reporting, and deliver strategic models such as marketing mix, elasticity, and incentive sensitivity that directly inform leadership decisions.
 This is a full\-time role that can be held from one of our US offices or remotely in the United States.
**What You’ll Do At Fetch**
* Define and own Fetch’s company\-level measurement framework anchored in MAU × ARPU.
* Company Measurement and Causal Strategy.
* Establish decision frameworks for pricing, incentives, and value trade\-offs.
* Set standards for evidence quality, uncertainty, and confidence in decision\-making.
* Define the causal reasoning model used across product, growth, marketing, and finance.
* Own the scientific capability roadmap including elasticity, value curves, MMM, and forecasting.
**Semantic and Data Architecture**
* Architect the semantic mart and metric logic powering FetchGPT and scalable insights.
* Define canonical metric definitions and unify logic across experimentation platforms, dashboards, and diagnostics.
* Partner with Analytics Engineering and Data Platform to build foundational data assets.
* Establish BI standards and eliminate redundant or conflicting dashboards.
**Scientific Governance and Experimentation**
* Serve as the quality bar for high\-impact analytics and diagnostics.
* Review strategic analyses to ensure correct interpretation and mechanism alignment.
* Set scientific rules for experimentation and validate high\-risk tests such as pricing and incentives.
* Ensure observational and experimental results reconcile cleanly.
* Create templates and interpretation guides to standardize rigor.
**Strategic Modeling Ownership**
* Own cross\-company models that drive executive decisions, including marketing mix modeling, elasticity and incentive sensitivity, value expectation curves, strategic forecasting, and financial mechanism models supporting MAU × ARPU planning.
**Org\-Wide Scientific Leadership**
* Raise the scientific maturity of the data science and analytics organization.
* Design upskilling programs in statistics, causality, modeling, and storytelling.
* Author best\-practice modeling libraries and documentation.
* Serve as a technical anchor and thought partner for senior ICs across the org.
* Establish norms for rigorous, transparent, mechanism\-driven insights.
**Technical Excellence**
* Apply advanced statistical and causal methods to company\-level problems.
* Build scalable, production\-ready analytical frameworks in partnership with engineering.
* Champion best practices in experimentation design, model validation, and reproducibility.
* Leverage modern analytics tooling such as Python, SQL, Snowflake, dbt, and experimentation platforms.
**Minimum Qualifications**
* 8\+ years of experience in data science, economics, statistics, or applied research, including experience operating at Staff or Principal scope on company and/or org\-level problems.
* Deep expertise in causal inference, experimental design, and observational analysis, with demonstrated ownership of high\-stakes business decisions informed by causal evidence.
* Experience defining and owning company\-level measurement frameworks, canonical metrics, or strategic models used by senior leadership.
* Proven ability to influence and support executive decision\-making, including presenting trade\-offs, uncertainty, and recommendations that directly impact strategy.
* Exceptional written and verbal communication skills, with the ability to explain complex causal and modeling concepts to non\-technical senior audiences.
* Bachelor’s degree in a quantitative field.
**Preferred Qualifications**
* Advanced degree in a quantitative discipline.
* Hands\-on experience owning and maintaining strategic models such as marketing mix models, elasticity estimates, incentive sensitivity, or long\-range forecasts used in executive planning.
* Experience in large\-scale consumer products, marketplaces, ad\-supported platforms, or incentive\-driven systems with complex value trade\-offs.
* Experience defining semantic layers, metric governance, or data contracts at scale across multiple teams or functions.
* Demonstrated track record of org\-wide scientific leadership without direct people management, including setting standards, reviewing work, and raising the technical bar across teams.
**Compensation:** 
 At Fetch, we offer competitive compensation packages including base, equity, and benefits to the exceptional folks we hire. Discover our benefits and how our employees live rewarded at https://fetch.com/careers
 **.**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110">
      <c r="A110" t="inlineStr">
        <is>
          <t>li-4368278991</t>
        </is>
      </c>
      <c r="B110" t="inlineStr">
        <is>
          <t>Inventory Management Data Scientist</t>
        </is>
      </c>
      <c r="C110" t="inlineStr">
        <is>
          <t>Clark Associates</t>
        </is>
      </c>
      <c r="D110" t="inlineStr">
        <is>
          <t>linkedin</t>
        </is>
      </c>
      <c r="E110">
        <f>HYPERLINK("https://www.linkedin.com/jobs/view/4368278991", "https://www.linkedin.com/jobs/view/4368278991")</f>
        <v/>
      </c>
      <c r="F110" t="inlineStr"/>
      <c r="G110" t="inlineStr">
        <is>
          <t>Lancaster, PA</t>
        </is>
      </c>
      <c r="H110" t="inlineStr"/>
      <c r="I110" t="inlineStr">
        <is>
          <t>**Job Summary**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This role does not require a degree. We value relevant skills and experience and alignment with our core values above all else.
 Desired Traits \&amp; Skills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A rapidly growing, multi\-divisional company headquartered in Lancaster, Pennsylvania with services supporting all of Clark’s distribution methods in the food service industry.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111">
      <c r="A111" t="inlineStr">
        <is>
          <t>li-4368807621</t>
        </is>
      </c>
      <c r="B111" t="inlineStr">
        <is>
          <t>Sr Associate Data Scientist (Databricks Platform)</t>
        </is>
      </c>
      <c r="C111" t="inlineStr">
        <is>
          <t>McKesson</t>
        </is>
      </c>
      <c r="D111" t="inlineStr">
        <is>
          <t>linkedin</t>
        </is>
      </c>
      <c r="E111">
        <f>HYPERLINK("https://www.linkedin.com/jobs/view/4368807621", "https://www.linkedin.com/jobs/view/4368807621")</f>
        <v/>
      </c>
      <c r="F111" t="inlineStr"/>
      <c r="G111" t="inlineStr">
        <is>
          <t>Columbus, OH</t>
        </is>
      </c>
      <c r="H111" t="inlineStr"/>
      <c r="I11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Rx Savings Solutions (RxSS), part of McKesson's CoverMyMeds organization, offers an innovative, patented software system that educates and empowers consumers to make the best healthcare choices at the lowest cost. Founded and operated by a team of pharmacists and software engineers, we support a collaborative, cost\-saving solution for purchasing prescription drugs.
 We currently have an opportunity for a
 **Sr Associate** 
**Data Scientist** 
 to join our engineering team! The Sr Associate Data Scientist is a junior\-level position on our team that contributes to the development, deployment, and optimization of machine‑learning models and analytical solutions within the RxSS Data \&amp; AI ecosystem. This role leverages the Databricks platform— spanning Delta Lake, Unity Catalog, MLflow, and associated cloud services — to support model lifecycle activities, data engineering collaboration, and applied data science initiatives across the business. The Sr Associate Data Scientist is responsible for hands‑on model experimentation, feature engineering, and data preparation in partnership with Data Engineering, Product, and Analytics teams.
* Our ideal candidate will reside in the Columbus, OH or Overland Park, KS areas to support a hybrid work scenario, but we me may consider a well\-qualified, fully remote candidate.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**Key Responsibilities:**
**Machine Learning \&amp; Model Development**
* Build, train, evaluate, and optimize machine‑learning models using Spark MLlib, Python, and cloud‑based toolchains
* Perform exploratory data analysis (EDA), statistical profiling, and feature engineering on large\-scale datasets hosted in Databricks
* Implement and manage MLflow experiment tracking, model registry, versioning, and reproducibility workflows
* Contribute to model monitoring, performance tuning, drift detection, and continuous improvement.
**Databricks Cloud Engineering**
* Develop notebooks, jobs, and workflows within Databricks for data preparation, model training, and batch/streaming inference
* Utilize Unity Catalog for secure, governed data access, lineage, and metadata management
* Work with Delta Lake (bronze/silver/gold layers) for scalable feature pipelines supporting both training and production
* Collaborate with Engineering to migrate workloads to Databricks and support transformations, optimizations, and cost‑efficient compute usage.
**Data \&amp; Feature Engineering**
* Build reusable, production‑grade feature pipelines in PySpark and SQL
* Implement data validation, quality checks, and transformation logic consistent with enterprise guidelines
* Participate in design sessions for ingestion, medallion architecture workflows, and schema evolution
**Collaboration \&amp; Cross** 
**‑** 
**Functional Support**
* Partner with Data Engineering, Analytics, Product, and SMEs to translate business problems into data‑driven solutions
* Document model assumptions, data transformations, evaluation metrics, and deployment patterns
**Required Qualifications:**
* Bachelor’s degree in Data Science, Computer Science, Analytics, Math, Statistics, Engineering, or related field, or related experience
* Typically requires 2\+ years of experience in applied ML, data science, or advanced analytics
* Hands\-on experience with Python, PySpark, SQL, and Git\-based workflows
* Practical exposure to cloud\-based ML environments (preferably Databricks)
* Understanding of ML techniques such as regression, classification, clustering, time\-series forecasting, and embeddings
* Ability to work with large, complex datasets
**Preferred Qualifications:**
* Experience with Databricks MLflow, model serving, and workflow orchestration
* Familiarity with Delta Lake storage formats, feature engineering at scale, and medallion architecture patterns
* Experience deploying models into production environments with monitoring and observability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$84,500 \- $140,800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12">
      <c r="A112" t="inlineStr">
        <is>
          <t>li-4368266201</t>
        </is>
      </c>
      <c r="B112" t="inlineStr">
        <is>
          <t>Senior Data Scientist (NLP and GenAI Specialist)</t>
        </is>
      </c>
      <c r="C112" t="inlineStr">
        <is>
          <t>Morgan Stanley</t>
        </is>
      </c>
      <c r="D112" t="inlineStr">
        <is>
          <t>linkedin</t>
        </is>
      </c>
      <c r="E112">
        <f>HYPERLINK("https://www.linkedin.com/jobs/view/4368266201", "https://www.linkedin.com/jobs/view/4368266201")</f>
        <v/>
      </c>
      <c r="F112" t="inlineStr"/>
      <c r="G112" t="inlineStr">
        <is>
          <t>Richardson, TX</t>
        </is>
      </c>
      <c r="H112" t="inlineStr"/>
      <c r="I112"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13">
      <c r="A113" t="inlineStr">
        <is>
          <t>li-4368264271</t>
        </is>
      </c>
      <c r="B113" t="inlineStr">
        <is>
          <t>Senior Data Scientist (NLP and GenAI Specialist)</t>
        </is>
      </c>
      <c r="C113" t="inlineStr">
        <is>
          <t>Morgan Stanley</t>
        </is>
      </c>
      <c r="D113" t="inlineStr">
        <is>
          <t>linkedin</t>
        </is>
      </c>
      <c r="E113">
        <f>HYPERLINK("https://www.linkedin.com/jobs/view/4368264271", "https://www.linkedin.com/jobs/view/4368264271")</f>
        <v/>
      </c>
      <c r="F113">
        <f>HYPERLINK("https://morganstanley.eightfold.ai/careers/job/549795582662&amp;urlHash=B7tp", "https://morganstanley.eightfold.ai/careers/job/549795582662&amp;urlHash=B7tp")</f>
        <v/>
      </c>
      <c r="G113" t="inlineStr">
        <is>
          <t>Carrollton, TX</t>
        </is>
      </c>
      <c r="H113" t="inlineStr"/>
      <c r="I113"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14">
      <c r="A114" t="inlineStr">
        <is>
          <t>li-4368266765</t>
        </is>
      </c>
      <c r="B114" t="inlineStr">
        <is>
          <t>Senior Data Scientist</t>
        </is>
      </c>
      <c r="C114" t="inlineStr">
        <is>
          <t>Swinerton</t>
        </is>
      </c>
      <c r="D114" t="inlineStr">
        <is>
          <t>linkedin</t>
        </is>
      </c>
      <c r="E114">
        <f>HYPERLINK("https://www.linkedin.com/jobs/view/4368266765", "https://www.linkedin.com/jobs/view/4368266765")</f>
        <v/>
      </c>
      <c r="F114">
        <f>HYPERLINK("https://swinerton.wd1.myworkdayjobs.com/Swinerton_External_Career/job/Concord-CA/Senior-Data-Scientist_J16717?source=LinkedIn&amp;urlHash=3NOe", "https://swinerton.wd1.myworkdayjobs.com/Swinerton_External_Career/job/Concord-CA/Senior-Data-Scientist_J16717?source=LinkedIn&amp;urlHash=3NOe")</f>
        <v/>
      </c>
      <c r="G114" t="inlineStr">
        <is>
          <t>Sacramento, CA</t>
        </is>
      </c>
      <c r="H114" t="inlineStr"/>
      <c r="I114" t="inlineStr">
        <is>
          <t>**Compensation Range**
 $150,000\.00 \- $200,000\.00 Annual Salary
**Job Description Summary**
 We are seeking a Senior Data Scientist to design, develop, and deploy advanced analytics and AI solutions that address complex business challenges. In this role, you will collaborate with cross\-functional teams to identify opportunities and deliver scalable, production\-ready solutions \- including predictive models, agent\-based systems, and intelligent workflows \- to drive strategic business outcomes
**Job Description**
**Stakeholder collaboration \&amp; communication** 
 — Partner with cross‑functional teams to identify high‑impact opportunities for AI/ML, agentic automation, process optimization, and intelligent workflow orchestration; translate complex technical findings into clear, actionable insights for technical and non‑technical audiences; foster alignment and adoption
**Data acquisition, preparation, and quality assurance** 
 — Extract, clean, and transform structured and unstructured data from multiple sources; assess data quality, resolve inconsistencies, and perform imputations to ensure robust inputs for models and agents.
**Design, build, and deploy AI/ML models \&amp; agents** 
 — Develop statistical models and solutions using NLP, computer vision, generative AI, and agent frameworks; deploy scalable, interpretable models and AI agents into production environments.
**Multi** 
**‑** 
**agent orchestration for complex workflows** 
 — Design and coordinate multiple AI agents to collaborate across business processes and multi‑step tasks.
**Performance monitoring \&amp; continuous improvement** 
 — Evaluate and improve agent/model reliability, effectiveness, and alignment with evolving business objectives
**Pipeline reliability \&amp; preprocessing automation** 
 — Partner with data engineering to enhance data pipeline robustness and automate preprocessing workflows, enabling seamless integration with AI frameworks.
**Documentation, reproducibility, and versioning** 
 — Apply best practices to ensure data and model assets are well‑documented, reproducible, and properly versioned.
**Research \&amp; stay current on agentic AI** 
 — Track emerging paradigms and frameworks, evolving toward advanced autonomous reasoning and multi‑agent systems
**Cross\-functional collaboration \&amp; knowledge sharing** 
 — Support team learning and best practice adoption by sharing insights, mentoring, and contributing to collaborative problem\-solving
 Bachelor’s degree in a quantitative field such as Data Science, Computer Science, Statistics, or Mathematics required; Master’s degree preferred. Equivalent work experience will also be considered.
 7\+ years in data science, machine learning, or AI roles, with a track record of delivering production\-ready solutions
 Strong experience in data wrangling, feature engineering, and data normalization techniques.
 Skilled in parsing, transforming, preparing structured, semi\-structured, and unstructured data for analysis, modeling, and agent\-based workflows
 Proficiency in SQL and Python (including pandas, scikit\-learn, TensorFlow, PyTorch).
 Proficiency in cloud data platforms such as Databricks, Snowflake, or Redshift for processing and analytics.
 Experience with ML lifecycle tools and platforms for model tracking, deployment, and automation (e.g. MLflow, DataRobot).
 Experience with agent orchestration frameworks and development tools (e.g., LangChain, AutoGen, Semantic Kernel, Microsoft AI Foundry) is a plus.
 Excellent problem\-solving, critical thinking, and communication skills; Ability to work independently and collaboratively with cross\-functional teams.
**Construction Industry Experience Is Preferred But Not Required.**
 Proven ability to work independently in a remote or hybrid environment with minimal supervision, while adapting to shifting priorities and evolving business needs.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02/10/2026</t>
        </is>
      </c>
    </row>
    <row r="115">
      <c r="A115" t="inlineStr">
        <is>
          <t>li-4368271680</t>
        </is>
      </c>
      <c r="B115" t="inlineStr">
        <is>
          <t>Senior Data Scientist</t>
        </is>
      </c>
      <c r="C115" t="inlineStr">
        <is>
          <t>Swinerton</t>
        </is>
      </c>
      <c r="D115" t="inlineStr">
        <is>
          <t>linkedin</t>
        </is>
      </c>
      <c r="E115">
        <f>HYPERLINK("https://www.linkedin.com/jobs/view/4368271680", "https://www.linkedin.com/jobs/view/4368271680")</f>
        <v/>
      </c>
      <c r="F115" t="inlineStr"/>
      <c r="G115" t="inlineStr">
        <is>
          <t>Fairfield, CA</t>
        </is>
      </c>
      <c r="H115" t="inlineStr"/>
      <c r="I115" t="inlineStr">
        <is>
          <t>**Compensation Range**
 $150,000\.00 \- $200,000\.00 Annual Salary
**Job Description Summary**
 We are seeking a Senior Data Scientist to design, develop, and deploy advanced analytics and AI solutions that address complex business challenges. In this role, you will collaborate with cross\-functional teams to identify opportunities and deliver scalable, production\-ready solutions \- including predictive models, agent\-based systems, and intelligent workflows \- to drive strategic business outcomes
**Job Description**
**Stakeholder collaboration \&amp; communication** 
 — Partner with cross‑functional teams to identify high‑impact opportunities for AI/ML, agentic automation, process optimization, and intelligent workflow orchestration; translate complex technical findings into clear, actionable insights for technical and non‑technical audiences; foster alignment and adoption
**Data acquisition, preparation, and quality assurance** 
 — Extract, clean, and transform structured and unstructured data from multiple sources; assess data quality, resolve inconsistencies, and perform imputations to ensure robust inputs for models and agents.
**Design, build, and deploy AI/ML models \&amp; agents** 
 — Develop statistical models and solutions using NLP, computer vision, generative AI, and agent frameworks; deploy scalable, interpretable models and AI agents into production environments.
**Multi** 
**‑** 
**agent orchestration for complex workflows** 
 — Design and coordinate multiple AI agents to collaborate across business processes and multi‑step tasks.
**Performance monitoring \&amp; continuous improvement** 
 — Evaluate and improve agent/model reliability, effectiveness, and alignment with evolving business objectives
**Pipeline reliability \&amp; preprocessing automation** 
 — Partner with data engineering to enhance data pipeline robustness and automate preprocessing workflows, enabling seamless integration with AI frameworks.
**Documentation, reproducibility, and versioning** 
 — Apply best practices to ensure data and model assets are well‑documented, reproducible, and properly versioned.
**Research \&amp; stay current on agentic AI** 
 — Track emerging paradigms and frameworks, evolving toward advanced autonomous reasoning and multi‑agent systems
**Cross\-functional collaboration \&amp; knowledge sharing** 
 — Support team learning and best practice adoption by sharing insights, mentoring, and contributing to collaborative problem\-solving
 Bachelor’s degree in a quantitative field such as Data Science, Computer Science, Statistics, or Mathematics required; Master’s degree preferred. Equivalent work experience will also be considered.
 7\+ years in data science, machine learning, or AI roles, with a track record of delivering production\-ready solutions
 Strong experience in data wrangling, feature engineering, and data normalization techniques.
 Skilled in parsing, transforming, preparing structured, semi\-structured, and unstructured data for analysis, modeling, and agent\-based workflows
 Proficiency in SQL and Python (including pandas, scikit\-learn, TensorFlow, PyTorch).
 Proficiency in cloud data platforms such as Databricks, Snowflake, or Redshift for processing and analytics.
 Experience with ML lifecycle tools and platforms for model tracking, deployment, and automation (e.g. MLflow, DataRobot).
 Experience with agent orchestration frameworks and development tools (e.g., LangChain, AutoGen, Semantic Kernel, Microsoft AI Foundry) is a plus.
 Excellent problem\-solving, critical thinking, and communication skills; Ability to work independently and collaboratively with cross\-functional teams.
**Construction Industry Experience Is Preferred But Not Required.**
 Proven ability to work independently in a remote or hybrid environment with minimal supervision, while adapting to shifting priorities and evolving business needs.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02/10/2026</t>
        </is>
      </c>
    </row>
    <row r="116">
      <c r="A116" t="inlineStr">
        <is>
          <t>li-4368503004</t>
        </is>
      </c>
      <c r="B116" t="inlineStr">
        <is>
          <t>Senior Data Scientist, People</t>
        </is>
      </c>
      <c r="C116" t="inlineStr">
        <is>
          <t>RemoteHunter</t>
        </is>
      </c>
      <c r="D116" t="inlineStr">
        <is>
          <t>linkedin</t>
        </is>
      </c>
      <c r="E116">
        <f>HYPERLINK("https://www.linkedin.com/jobs/view/4368503004", "https://www.linkedin.com/jobs/view/4368503004")</f>
        <v/>
      </c>
      <c r="F116" t="inlineStr"/>
      <c r="G116" t="inlineStr"/>
      <c r="H116" t="inlineStr"/>
      <c r="I116" t="inlineStr">
        <is>
          <t>About the Opportunity:
 This organization provides a platform helping millions to manage and improve their homes through personalized guidance, AI tools, and a hiring experience connecting homeowners with local service businesses. The Senior Data Scientist, People role supports talent decisions by leveraging data, analytics, and AI to deliver insights and build scalable data products.
 Responsibilities:
 • Communicate clear, business\-relevant talent insights using data.
 • Apply AI to improve insight generation, decision support, and experimentation.
 • Design and maintain People data foundations, including pipelines and BigQuery models, collaborating with Data Engineering and HR Operations.
 • Develop scalable analytics products and tools such as Tableau dashboards and AI\-enabled solutions.
 • Collaborate with People Team and business leaders to identify and analyze high\-impact talent questions and provide actionable recommendations.
 • Manage end\-to\-end initiatives across People functions including Recruiting, Talent Management, and DEIB.
 • Promote a culture of data\-informed decision\-making across the People Team and organization.
 Requirements:
 • BA/BS degree in a quantitative field such as Economics, Statistics, or Psychology.
 • At least 4 years of experience, including 1 year in People Data Science or People Analytics.
 • Experience with managing data pipelines and data warehousing.
 • Strong written and verbal communication skills for diverse audiences including senior leadership.
 • Proficient in SQL for querying large datasets, Tableau, and familiar with statistical/programming languages such as R or Python.
 • Ability to work independently and collaborate effectively across teams.
 • Strong prioritization and project management skills.
 Compensation:
 • For candidates in San Francisco / Bay Area, San Jose, New York City, or Seattle metros, the expected salary range is $197,200 to $255,200\.
 • For candidates in Austin, TX; Washington DC metros; or in California, Massachusetts, New Jersey, or Washington states, the expected salary range is $140,400 to $177,700\.
 • For candidates in all other US locations, the expected salary range is $167,500 to $216,700\.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7">
      <c r="A117" t="inlineStr">
        <is>
          <t>li-4368269710</t>
        </is>
      </c>
      <c r="B117" t="inlineStr">
        <is>
          <t>Senior Data Scientist</t>
        </is>
      </c>
      <c r="C117" t="inlineStr">
        <is>
          <t>Swinerton</t>
        </is>
      </c>
      <c r="D117" t="inlineStr">
        <is>
          <t>linkedin</t>
        </is>
      </c>
      <c r="E117">
        <f>HYPERLINK("https://www.linkedin.com/jobs/view/4368269710", "https://www.linkedin.com/jobs/view/4368269710")</f>
        <v/>
      </c>
      <c r="F117" t="inlineStr"/>
      <c r="G117" t="inlineStr">
        <is>
          <t>Boise, ID</t>
        </is>
      </c>
      <c r="H117" t="inlineStr"/>
      <c r="I117" t="inlineStr">
        <is>
          <t>**Compensation Range**
 $150,000\.00 \- $200,000\.00 Annual Salary
**Job Description Summary**
 We are seeking a Senior Data Scientist to design, develop, and deploy advanced analytics and AI solutions that address complex business challenges. In this role, you will collaborate with cross\-functional teams to identify opportunities and deliver scalable, production\-ready solutions \- including predictive models, agent\-based systems, and intelligent workflows \- to drive strategic business outcomes
**Job Description**
**Stakeholder collaboration \&amp; communication** 
 — Partner with cross‑functional teams to identify high‑impact opportunities for AI/ML, agentic automation, process optimization, and intelligent workflow orchestration; translate complex technical findings into clear, actionable insights for technical and non‑technical audiences; foster alignment and adoption
**Data acquisition, preparation, and quality assurance** 
 — Extract, clean, and transform structured and unstructured data from multiple sources; assess data quality, resolve inconsistencies, and perform imputations to ensure robust inputs for models and agents.
**Design, build, and deploy AI/ML models \&amp; agents** 
 — Develop statistical models and solutions using NLP, computer vision, generative AI, and agent frameworks; deploy scalable, interpretable models and AI agents into production environments.
**Multi** 
**‑** 
**agent orchestration for complex workflows** 
 — Design and coordinate multiple AI agents to collaborate across business processes and multi‑step tasks.
**Performance monitoring \&amp; continuous improvement** 
 — Evaluate and improve agent/model reliability, effectiveness, and alignment with evolving business objectives
**Pipeline reliability \&amp; preprocessing automation** 
 — Partner with data engineering to enhance data pipeline robustness and automate preprocessing workflows, enabling seamless integration with AI frameworks.
**Documentation, reproducibility, and versioning** 
 — Apply best practices to ensure data and model assets are well‑documented, reproducible, and properly versioned.
**Research \&amp; stay current on agentic AI** 
 — Track emerging paradigms and frameworks, evolving toward advanced autonomous reasoning and multi‑agent systems
**Cross\-functional collaboration \&amp; knowledge sharing** 
 — Support team learning and best practice adoption by sharing insights, mentoring, and contributing to collaborative problem\-solving
 Bachelor’s degree in a quantitative field such as Data Science, Computer Science, Statistics, or Mathematics required; Master’s degree preferred. Equivalent work experience will also be considered.
 7\+ years in data science, machine learning, or AI roles, with a track record of delivering production\-ready solutions
 Strong experience in data wrangling, feature engineering, and data normalization techniques.
 Skilled in parsing, transforming, preparing structured, semi\-structured, and unstructured data for analysis, modeling, and agent\-based workflows
 Proficiency in SQL and Python (including pandas, scikit\-learn, TensorFlow, PyTorch).
 Proficiency in cloud data platforms such as Databricks, Snowflake, or Redshift for processing and analytics.
 Experience with ML lifecycle tools and platforms for model tracking, deployment, and automation (e.g. MLflow, DataRobot).
 Experience with agent orchestration frameworks and development tools (e.g., LangChain, AutoGen, Semantic Kernel, Microsoft AI Foundry) is a plus.
 Excellent problem\-solving, critical thinking, and communication skills; Ability to work independently and collaboratively with cross\-functional teams.
**Construction Industry Experience Is Preferred But Not Required.**
 Proven ability to work independently in a remote or hybrid environment with minimal supervision, while adapting to shifting priorities and evolving business needs.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02/10/2026</t>
        </is>
      </c>
    </row>
    <row r="118">
      <c r="A118" t="inlineStr">
        <is>
          <t>li-4361336061</t>
        </is>
      </c>
      <c r="B118" t="inlineStr">
        <is>
          <t>Principal Data Scientist, Agentic AI Professional Services</t>
        </is>
      </c>
      <c r="C118" t="inlineStr">
        <is>
          <t>Amazon Web Services (AWS)</t>
        </is>
      </c>
      <c r="D118" t="inlineStr">
        <is>
          <t>linkedin</t>
        </is>
      </c>
      <c r="E118">
        <f>HYPERLINK("https://www.linkedin.com/jobs/view/4361336061", "https://www.linkedin.com/jobs/view/4361336061")</f>
        <v/>
      </c>
      <c r="F118" t="inlineStr"/>
      <c r="G118" t="inlineStr">
        <is>
          <t>Seattle, WA</t>
        </is>
      </c>
      <c r="H118" t="inlineStr"/>
      <c r="I118" t="inlineStr">
        <is>
          <t>**Description**
 AWS is seeking an exceptional Principal Data Scientist to join our Agentic AI ProServe Experience (APEX) team. This role calls for an individual ready to tackle large\-scale agentic AI challenges and drive innovative ML/AI practices that transform professional services delivery and address real\-world customer needs.
 Reporting directly to the leader of APEX, this position is essential for revolutionizing AWS Professional Services' delivery capabilities through advanced agent\-based AI systems. In addition to building ProServe Agents, you will driving their adoption across the ProServe builder community, enabling transformative customer engagements and partner enablement through AWS tools and services such as Kiro, AWS Transform, Strands, Bedrock, and Agentcore.
 The ideal candidate will possess extensive experience in agentic AI systems, multi\-agent architectures, and complex data science environments, developing solutions that advance the state\-of\-the\-art in agent\-based professional services delivery. Proficiency with Machine Learning, Large Language Models, reinforcement learning, and advanced analytics techniques is essential, along with the ability to convey these technical concepts in simple terms to diverse stakeholders. The role demands both deep technical expertise and exceptional communication skills to drive adoption across the ProServe organization and partner ecosystem.
 Key job responsibilities
 Scientific Leadership
* Define and drive the scientific vision and roadmap for ProServe Agents and the agentic AI professional services portfolio
* Lead research and development initiatives to advance the state\-of\-the\-art in agent\-based AI systems for professional services workflows
* Collaborate with senior scientists across AWS to pioneer novel approaches to agent learning, reasoning, and interaction
* Publish innovative research at top\-tier conferences and influence the broader scientific community
* Evaluate emerging research and identify opportunities to integrate techniques into ProServe Agent architecture
 Technical Excellence
* Architect complex multi\-agent systems that can effectively understand, reason about, and execute professional services workflows at enterprise scale
* Lead the integration of Gen AI and ML\-based methods across ProServe delivery practices, spearheading AI\-driven agent development and adoption initiatives
* Establish rigorous evaluation frameworks and metrics for measuring agent effectiveness, safety, and business impact
* Develop production\-ready agentic solutions leveraging AWS tools including Kiro, AWS Transform, Strands, Bedrock, and Bedrock AgentCore
 Customer \&amp; Business Impact
* Translate complex technical concepts into clear business value propositions for ProServe builders, customers, and partners
* Lead high\-visibility technical delivery for strategic customers, demonstrating ProServe Agent capabilities
* Drive adoption of ProServe Agents across the AWS Professional Services builder community, transforming delivery methodologies
* Enable AWS partners on agentic delivery mechanisms and best practices
* Analyze complex enterprise problems and design AI agent solutions that deliver measurable business outcomes
* Collaborate effectively with ProServe delivery teams, product, engineering, and design teams to create and launch innovative agent\-based solutions
 Communicate complex agentic AI concepts clearly to diverse audiences across ProServe, customers, and partners
 Leadership \&amp; Mentorship
* Provide thought leadership and technical direction on agentic AI strategies and their applications in professional services
* Drive innovation by sharing new technical solutions and product ideas across AWS teams
* Mentor and guide the data science, ML engineering, and ProServe builder communities
* Foster collaboration with key stakeholders to enhance the AWS ProServe experience
**Basic Qualifications**
* Master's degree in Math, Statistics, Computer Science, or related Science field, or experience in data science, machine learning or data mining
* Experience building machine learning models or developing algorithms for business application
**Preferred Qualifications**
* 8\+ years of data scientist or similar role involving data extraction, analysis, statistical modeling and communication experience
* 4\+ years of practical machine learning experience
* 2\+ years of working with or evaluating AI systems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 Experience with one of the following areas: machine learning technologies, Reinforcement Learning, Deep Learning, Computer Vision, Natural Language Processing (NLP) or related applications
* Have publications at top\-tier peer\-reviewed conferences or journals
* Experience with AWS or cloud technologies
* Experience in technical leadership of development, testing, and implementation of large\-scale, complex technology projects
* Experience driving collaborative projects from conception to delivery, or experience in development or technical support
* Experience creating and delivering written and oral communications for technical and non\-technical audiences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\- 217,800\.00 \- 294,700\.00 USD annually
 USA, CA, San Diego \- 189,400\.00 \- 256,200\.00 USD annually
 USA, GA, Atlanta \- 189,400\.00 \- 256,200\.00 USD annually
 USA, MA, Boston \- 189,400\.00 \- 256,200\.00 USD annually
 USA, NY, New York \- 208,300\.00 \- 281,800\.00 USD annually
 USA, TX, Austin \- 189,400\.00 \- 256,200\.00 USD annually
 USA, TX, Dallas \- 189,400\.00 \- 256,200\.00 USD annually
 USA, VA, Arlington \- 189,400\.00 \- 256,200\.00 USD annually
 USA, WA, Seattle \- 189,400\.00 \- 256,200\.00 USD annually
**Company** 
 \- Amazon Web Services, Inc.
 Job ID: A3158056</t>
        </is>
      </c>
    </row>
    <row r="119">
      <c r="A119" t="inlineStr">
        <is>
          <t>li-4367519564</t>
        </is>
      </c>
      <c r="B119" t="inlineStr">
        <is>
          <t>Senior Data Scientist</t>
        </is>
      </c>
      <c r="C119" t="inlineStr">
        <is>
          <t>Jobs via Dice</t>
        </is>
      </c>
      <c r="D119" t="inlineStr">
        <is>
          <t>linkedin</t>
        </is>
      </c>
      <c r="E119">
        <f>HYPERLINK("https://www.linkedin.com/jobs/view/4367519564", "https://www.linkedin.com/jobs/view/4367519564")</f>
        <v/>
      </c>
      <c r="F119" t="inlineStr"/>
      <c r="G119" t="inlineStr">
        <is>
          <t>Redmond, WA</t>
        </is>
      </c>
      <c r="H119" t="inlineStr"/>
      <c r="I119" t="inlineStr">
        <is>
          <t>**Overview**
 Are you a customer\-obsessed, AI (Artificial Intelligence)\-curious problem\-solver who thrives in an inclusive, collaborative global team? The Azure Customer Experience Platform (CXP) team's mission is to transform Microsoft Cloud customers into fans. Through our deep engineering engagements with customers and teams across Microsoft, we analyze and amplify customer needs and drive the vision to improve Cloud quality, security, and reliability. Our culture of growth mindset and empowerment are central to who we are and how we work. In the new era of AI, this role within Azure CXP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an Applied Scientist II who can deliver on key initiatives for Security, Reliability and Quality through advanced AI solutions with a cross\-functional team of Product Managers, Designers, Engineers and Data Scientists. Every day, our customers stake their business and reputation on our cloud. You can help provide our customers with the world\-class cloud services they need to succeed.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Senior Data and Applied Scientist in our team, you will:
* Engage with product and business groups to drive impact of AI projects throughout the life cycle from idea creation through technology transfers, applied research, experimentation, implementation and finally to worldwide availability.
* Work with large\-scale computing frameworks, data analysis systems, and modeling environments to build and apply models to real products, and then verify effects through iterations.
* Perform rigorous experiments and evaluations to assess the quality and impact of your solutions and improve them based on data and customer feedback.
* Communicate technical findings and insights effectively.
* Collaborate with cross\-functional teams including researchers, applied scientists, engineers, product managers and designers to build tools and improve the end\-to\-end AI Quality of our production systems.
* Leveraging data from various sources and domains to design and implement innovative solutions that achieve rigorous metrics and address customer needs.
* Ensure compliance to Microsoft Responsible AI standards throughout the AI system lifecycle
* Stay abreast of the latest advancements in machine learning, information retrieval, and recommendation systems, and contribute to the company's intellectual property through patents and publications.
**Qualifications**
**Minimum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Atleast 6\+ months of experience implementing solutions with LLMs and GenerativeAI.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Qualifications:**
* 1\+ year(s) experience creating publications (e.g., patents, peer\-reviewed academic papers). Bachelor's Degree in Statistics, Econometrics, Computer Science, Electrical or Computer Engineering, or related field AND 7\+ years related experience (e.g., statistics, predictive analytics, research)
+ OR Master's Degree in Statistics, Econometrics, Computer Science, Electrical or Computer Engineering, or related field AND 5\+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in Python, PyTorch, TensorFlow, langchain, or other machine learning frameworks.
* Experience delivering AI product features \- Master's Degree in Mathematics, Analytics, Data Science, Engineering, Computer Science, Business, Economics or related field AND 6\+ years experience in data analysis and reporting, data science, business intelligence, or business and financial analysis
+ OR Bachelor's Degree in Statistics, Mathematics, Analytics, Data Science, Engineering, Computer Science, Business, Economics or related field AND 8\+ years experience in data analysis and reporting, data science, business intelligence, or business and financial analysis
+ OR equivalent experience.
**\#MSCareerEvents25 \#SHPE2025 \#AfroTech2025**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0">
      <c r="A120" t="inlineStr">
        <is>
          <t>li-4367514882</t>
        </is>
      </c>
      <c r="B120" t="inlineStr">
        <is>
          <t>Senior Data Scientist - Microsoft Advertising</t>
        </is>
      </c>
      <c r="C120" t="inlineStr">
        <is>
          <t>Jobs via Dice</t>
        </is>
      </c>
      <c r="D120" t="inlineStr">
        <is>
          <t>linkedin</t>
        </is>
      </c>
      <c r="E120">
        <f>HYPERLINK("https://www.linkedin.com/jobs/view/4367514882", "https://www.linkedin.com/jobs/view/4367514882")</f>
        <v/>
      </c>
      <c r="F120">
        <f>HYPERLINK("https://click.appcast.io/t/A7i51a4_sXcIaqn06W6_dVb4V7RwE3lwr-lNNbxziIw=&amp;urlHash=cz8H", "https://click.appcast.io/t/A7i51a4_sXcIaqn06W6_dVb4V7RwE3lwr-lNNbxziIw=&amp;urlHash=cz8H")</f>
        <v/>
      </c>
      <c r="G120" t="inlineStr">
        <is>
          <t>Redmond, WA</t>
        </is>
      </c>
      <c r="H120" t="inlineStr"/>
      <c r="I120" t="inlineStr">
        <is>
          <t>**Overview**
 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We are looking for a Senior Data Scientist who is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Measurement: Define, invent, and deliver metrics which accurately measure user and business value across various products and marketplace components.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with program management, engineers, and other areas of the business across our Consumer online business.
* Influence: engage with stakeholders to produce clear, compelling, and actionable insights and data\-science driven workflows that influence product and service improvements.
* Make independent decisions for the team and handle difficult tradeoffs.
* Translate strategy into plans that are clear and measurable, with progress shared out monthly to stakeholders.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5\+ years of experience in at least one of programming languages like Python/R/MATLAB/C\#/Java/C\+\+
* Comitted organizational, analytical, data science skills.
* Ability to solve problems that the world has not solved before.
* Experience with real world system building and data collection, including design, coding and evaluation.
* Experience with driving large collaboration across multiple teams.
* Experience with communicating with different audiences to provide insights.
* Demonstrated experience in applying statistics, experimentation and metrics to generate clear actionable insights.
 \#MicrosoftAI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1">
      <c r="A121" t="inlineStr">
        <is>
          <t>li-4361385669</t>
        </is>
      </c>
      <c r="B121" t="inlineStr">
        <is>
          <t>Principal Data Scientist, Agentic AI Professional Services</t>
        </is>
      </c>
      <c r="C121" t="inlineStr">
        <is>
          <t>Amazon Web Services (AWS)</t>
        </is>
      </c>
      <c r="D121" t="inlineStr">
        <is>
          <t>linkedin</t>
        </is>
      </c>
      <c r="E121">
        <f>HYPERLINK("https://www.linkedin.com/jobs/view/4361385669", "https://www.linkedin.com/jobs/view/4361385669")</f>
        <v/>
      </c>
      <c r="F121">
        <f>HYPERLINK("https://www.amazon.jobs/jobs/3158056/principal-data-scientist-agentic-ai-professional-services-?cmpid=SPLICX0248M&amp;utm_source=linkedin.com&amp;utm_campaign=cxro&amp;utm_medium=social_media&amp;utm_content=job_posting&amp;ss=paid&amp;urlHash=R6E9", "https://www.amazon.jobs/jobs/3158056/principal-data-scientist-agentic-ai-professional-services-?cmpid=SPLICX0248M&amp;utm_source=linkedin.com&amp;utm_campaign=cxro&amp;utm_medium=social_media&amp;utm_content=job_posting&amp;ss=paid&amp;urlHash=R6E9")</f>
        <v/>
      </c>
      <c r="G121" t="inlineStr">
        <is>
          <t>Atlanta, GA</t>
        </is>
      </c>
      <c r="H121" t="inlineStr"/>
      <c r="I121" t="inlineStr">
        <is>
          <t>**Description**
 AWS is seeking an exceptional Principal Data Scientist to join our Agentic AI ProServe Experience (APEX) team. This role calls for an individual ready to tackle large\-scale agentic AI challenges and drive innovative ML/AI practices that transform professional services delivery and address real\-world customer needs.
 Reporting directly to the leader of APEX, this position is essential for revolutionizing AWS Professional Services' delivery capabilities through advanced agent\-based AI systems. In addition to building ProServe Agents, you will driving their adoption across the ProServe builder community, enabling transformative customer engagements and partner enablement through AWS tools and services such as Kiro, AWS Transform, Strands, Bedrock, and Agentcore.
 The ideal candidate will possess extensive experience in agentic AI systems, multi\-agent architectures, and complex data science environments, developing solutions that advance the state\-of\-the\-art in agent\-based professional services delivery. Proficiency with Machine Learning, Large Language Models, reinforcement learning, and advanced analytics techniques is essential, along with the ability to convey these technical concepts in simple terms to diverse stakeholders. The role demands both deep technical expertise and exceptional communication skills to drive adoption across the ProServe organization and partner ecosystem.
 Key job responsibilities
 Scientific Leadership
* Define and drive the scientific vision and roadmap for ProServe Agents and the agentic AI professional services portfolio
* Lead research and development initiatives to advance the state\-of\-the\-art in agent\-based AI systems for professional services workflows
* Collaborate with senior scientists across AWS to pioneer novel approaches to agent learning, reasoning, and interaction
* Publish innovative research at top\-tier conferences and influence the broader scientific community
* Evaluate emerging research and identify opportunities to integrate techniques into ProServe Agent architecture
 Technical Excellence
* Architect complex multi\-agent systems that can effectively understand, reason about, and execute professional services workflows at enterprise scale
* Lead the integration of Gen AI and ML\-based methods across ProServe delivery practices, spearheading AI\-driven agent development and adoption initiatives
* Establish rigorous evaluation frameworks and metrics for measuring agent effectiveness, safety, and business impact
* Develop production\-ready agentic solutions leveraging AWS tools including Kiro, AWS Transform, Strands, Bedrock, and Bedrock AgentCore
 Customer \&amp; Business Impact
* Translate complex technical concepts into clear business value propositions for ProServe builders, customers, and partners
* Lead high\-visibility technical delivery for strategic customers, demonstrating ProServe Agent capabilities
* Drive adoption of ProServe Agents across the AWS Professional Services builder community, transforming delivery methodologies
* Enable AWS partners on agentic delivery mechanisms and best practices
* Analyze complex enterprise problems and design AI agent solutions that deliver measurable business outcomes
* Collaborate effectively with ProServe delivery teams, product, engineering, and design teams to create and launch innovative agent\-based solutions
 Communicate complex agentic AI concepts clearly to diverse audiences across ProServe, customers, and partners
 Leadership \&amp; Mentorship
* Provide thought leadership and technical direction on agentic AI strategies and their applications in professional services
* Drive innovation by sharing new technical solutions and product ideas across AWS teams
* Mentor and guide the data science, ML engineering, and ProServe builder communities
* Foster collaboration with key stakeholders to enhance the AWS ProServe experience
**Basic Qualifications**
* Master's degree in Math, Statistics, Computer Science, or related Science field, or experience in data science, machine learning or data mining
* Experience building machine learning models or developing algorithms for business application
**Preferred Qualifications**
* 8\+ years of data scientist or similar role involving data extraction, analysis, statistical modeling and communication experience
* 4\+ years of practical machine learning experience
* 2\+ years of working with or evaluating AI systems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 Experience with one of the following areas: machine learning technologies, Reinforcement Learning, Deep Learning, Computer Vision, Natural Language Processing (NLP) or related applications
* Have publications at top\-tier peer\-reviewed conferences or journals
* Experience with AWS or cloud technologies
* Experience in technical leadership of development, testing, and implementation of large\-scale, complex technology projects
* Experience driving collaborative projects from conception to delivery, or experience in development or technical support
* Experience creating and delivering written and oral communications for technical and non\-technical audiences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\- 217,800\.00 \- 294,700\.00 USD annually
 USA, CA, San Diego \- 189,400\.00 \- 256,200\.00 USD annually
 USA, GA, Atlanta \- 189,400\.00 \- 256,200\.00 USD annually
 USA, MA, Boston \- 189,400\.00 \- 256,200\.00 USD annually
 USA, NY, New York \- 208,300\.00 \- 281,800\.00 USD annually
 USA, TX, Austin \- 189,400\.00 \- 256,200\.00 USD annually
 USA, TX, Dallas \- 189,400\.00 \- 256,200\.00 USD annually
 USA, VA, Arlington \- 189,400\.00 \- 256,200\.00 USD annually
 USA, WA, Seattle \- 189,400\.00 \- 256,200\.00 USD annually
**Company** 
 \- Amazon Web Services, Inc.
 Job ID: A3158056</t>
        </is>
      </c>
    </row>
    <row r="122">
      <c r="A122" t="inlineStr">
        <is>
          <t>li-4367518625</t>
        </is>
      </c>
      <c r="B122" t="inlineStr">
        <is>
          <t>Senior Data Scientist</t>
        </is>
      </c>
      <c r="C122" t="inlineStr">
        <is>
          <t>Jobs via Dice</t>
        </is>
      </c>
      <c r="D122" t="inlineStr">
        <is>
          <t>linkedin</t>
        </is>
      </c>
      <c r="E122">
        <f>HYPERLINK("https://www.linkedin.com/jobs/view/4367518625", "https://www.linkedin.com/jobs/view/4367518625")</f>
        <v/>
      </c>
      <c r="F122" t="inlineStr"/>
      <c r="G122" t="inlineStr">
        <is>
          <t>Hazelwood, MO</t>
        </is>
      </c>
      <c r="H122" t="inlineStr"/>
      <c r="I122" t="inlineStr">
        <is>
          <t>**Company:**
 The Boeing Company
**Boeing Defense, Space \&amp; Security (BDS)** 
 is hiring a
 **Senior Data Scientist** 
 for a Proprietary Program in
 **Saint Louis, MO** 
 . We seek passionate, curious, and talented data scientists who want their job to have real\-world impacts by solving complex, challenging, and meaningful data science problems. As an Senior data scientist, you will play a crucial role in designing and leveraging digital data solutions in a distributed data system to maximize production and weapon system operational effectiveness. This position is onsite. The selected candidate will be required to perform work onsite at St Louis campus.
 Position Responsibilities:
* Collaborate with cross\-functional teams to identify and define data requirements, data collection methods, and data quality standards.
* Build systems that enable conducting data analysis and exploration to identify patterns, trends, and insights that drive decision\-making
* Provide technical leadership to team of data scientists
* Implement and deploy machine learning models, working closely with software engineering teams to integrate into customer environments.
* Collaborate with subject matter experts to understand engineering domain knowledge and incorporate it into data analysis and modeling efforts.
* Continuously evaluate and improve existing models and algorithms to enhance their accuracy, efficiency, and scalability.
* Ensure data security, privacy, and compliance with relevant regulations and policies throughout the data analysis lifecycle.
* Stay up\-to\-date with the latest advancements in data science, machine learning, and aerospace technologies to drive innovation and maintain a competitive edge.
* Communicate findings, insights, and recommendations to technical and non\-technical stakeholders through clear and concise reports, presentations, and visualizations.
* Mentor and provide guidance to junior data scientists
* Contribute to the development of best practices and standards for data science within the organization.
**This position is expected to be 100% onsite. The selected candidate will be required to work onsite at Hazelwood, MO.**
**Travel may be required up to 10% of the time; Domestically depending on business needs.**
**This position requires an active U.S. Secret Security Clearance (U.S. Citizenship Required). (A U.S. Security Clearance that has been active in the past 24 months is considered active)**
**Basic Qualifications (Required Skills/Experience):**
* Bachelor's degree from an accredited course of study in Mathematics, Data Science, Computer Science, Engineering, Physics or similar discipline
* 9 years of professional experience in data science, artificial intelligence, or machine learning
* Programming experience in one or more of the following: Python, Julia, R, C, C\+\+, C\#, Java.
* Experience leading technical teams or projects
**Preferred Qualifications (Desired Skills/Experience):**
* Advanced degree (Master's or Doctorate) in Data Science, Applied Statistics, Computer Science, Mathematics, or another similar technical background
* 3\+ years of experience in natural language processing
* 3\+ years of experience in SQL or NoSQL Database Languages
* Proficient with data visualization tools
* Proficient in deep learning frameworks such as PyTorch and TensorFlow
* Experience with generative AI models, including LLMs, for building knowledge\-driven solutions.
* Experience integrating models into customer environments, both on\-prem and in cloud environments
* Experience working in an agile software development team
* Experience with MLOps and MLOps tool stack such as ClearML or MLFlow
* Experience working in cloud computing environments such as Azure and AWS
**Typical Education \&amp; Experience:**
 Education/experience typically acquired through advanced technical education from an accredited course of study in engineering, engineering technology (includes manufacturing engineering technology), computer science, engineering data science, mathematics, physics or chemistry (e.g. Bachelor) and typically 9 or more years' related work experience or an equivalent combination of technical education and experience or non\-US equivalent qualifications. In the USA, ABET accreditation is the preferred, although not required, accreditation standard.
**Drug Free Workplace:**
 Boeing is a Drug Free Workplace where post offer applicants and employees are subject to testing for marijuana, cocaine, opioids, amphetamines, PCP, and alcohol when criteria is met as outlined in our policies.
**Work Shift:**
 This position will be for first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$133,450 \- $180,550
**Language Requirements:**
 Not Applicable
**Education:**
 Bachelor's Degree or Equivalent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23">
      <c r="A123" t="inlineStr">
        <is>
          <t>li-4367509969</t>
        </is>
      </c>
      <c r="B123" t="inlineStr">
        <is>
          <t>HR Data Engineer/Data Scientist</t>
        </is>
      </c>
      <c r="C123" t="inlineStr">
        <is>
          <t>Jobs via Dice</t>
        </is>
      </c>
      <c r="D123" t="inlineStr">
        <is>
          <t>linkedin</t>
        </is>
      </c>
      <c r="E123">
        <f>HYPERLINK("https://www.linkedin.com/jobs/view/4367509969", "https://www.linkedin.com/jobs/view/4367509969")</f>
        <v/>
      </c>
      <c r="F123" t="inlineStr"/>
      <c r="G123" t="inlineStr">
        <is>
          <t>Reston, VA</t>
        </is>
      </c>
      <c r="H123" t="inlineStr"/>
      <c r="I123" t="inlineStr">
        <is>
          <t>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124">
      <c r="A124" t="inlineStr">
        <is>
          <t>li-4368235818</t>
        </is>
      </c>
      <c r="B124" t="inlineStr">
        <is>
          <t>Senior Data Scientist</t>
        </is>
      </c>
      <c r="C124" t="inlineStr">
        <is>
          <t>Jobs via Dice</t>
        </is>
      </c>
      <c r="D124" t="inlineStr">
        <is>
          <t>linkedin</t>
        </is>
      </c>
      <c r="E124">
        <f>HYPERLINK("https://www.linkedin.com/jobs/view/4368235818", "https://www.linkedin.com/jobs/view/4368235818")</f>
        <v/>
      </c>
      <c r="F124">
        <f>HYPERLINK("https://click.appcast.io/t/6KqHZq5ZOvLlQ7iu0xG5TqEfBwXktiuqJJrmuSuDSY8=&amp;urlHash=MH8T", "https://click.appcast.io/t/6KqHZq5ZOvLlQ7iu0xG5TqEfBwXktiuqJJrmuSuDSY8=&amp;urlHash=MH8T")</f>
        <v/>
      </c>
      <c r="G124" t="inlineStr">
        <is>
          <t>Spring, TX</t>
        </is>
      </c>
      <c r="H124" t="inlineStr"/>
      <c r="I124"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2026-02-03T21:10:44Z</dcterms:created>
  <dcterms:modified xsi:type="dcterms:W3CDTF">2026-02-03T21:10:44Z</dcterms:modified>
</cp:coreProperties>
</file>