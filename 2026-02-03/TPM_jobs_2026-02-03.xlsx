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in-d6093b9158010bcb</t>
        </is>
      </c>
      <c r="B2" t="inlineStr">
        <is>
          <t>Program Manager (Caregiver/ Direct Support Professional) - Aurora</t>
        </is>
      </c>
      <c r="C2" t="inlineStr">
        <is>
          <t>AURORA COMMUNITY SERVICES</t>
        </is>
      </c>
      <c r="D2" t="inlineStr">
        <is>
          <t>indeed</t>
        </is>
      </c>
      <c r="E2" t="inlineStr"/>
      <c r="F2" t="inlineStr"/>
      <c r="G2" t="inlineStr">
        <is>
          <t>Aurora, CO, US</t>
        </is>
      </c>
      <c r="H2" s="2" t="n">
        <v>46056</v>
      </c>
      <c r="I2" t="inlineStr">
        <is>
          <t>**Your New Beginning Starts Here!**
**Employee\-Owned, Mission\-Driven**
Wage:$21/hr.
$1\.50/hr shift differential for weekend hours
Call for details 715\-835\-9202!
Paid Training
We’re more than a human services agency—we’re partners in transformation, walking alongside you on the journey to a fuller, richer life.
We are seeking passionate and committed individuals to work in our residential group homes supporting adults with cognitive and mental health disabilities live fuller, happier, and to empower independence.
For over 35 years, Aurora has been a leader in providing customized services that support individuals with disabilities, chronic mental illness, and traumatic brain injuries in residential settings. We value employees that are passionate about making people smile every day by empowering them to live as independently as possible.
**Duties/Responsibilities:**
* Seek out opportunities for community/social integration
* Help consumers plan and prepare their choices of fun events and outings
* Assisting with self care\- dressing, bathing or showering, brushing teeth, toileting, shaving
* Medication Administration
* Meal Preparation/Planning
* Transportation of consumers
* Follow individual service plans
* Other duties as assigned
**Leadership Responsibilities**
* Conduct thorough onsite training with new team members that demonstrates accurate procedures
* Guide staff to empower consumers and promote independence
* Provide productive feedback that aids in staff education and strengthens morale
* Professionally and effectively communicate through emails, documentation, reporting, and guardian/case management correspondence
* Enforce safety procedures and adherence to individual service plans
* Utilize problem resolution procedure to minimize conflict
* Help staff access stress management resources
* Perform other duties as assigned
**Essential Functions/Requirements:**
* 18 years of age
* Acceptable Background Character Verification
* Valid drivers license and acceptable driving record for consumer transport
* Ability to lift up to 50 lbs. Must be able to twist, turn, squat, bend, reach, pull, push from high/low position, raise arms above shoulder, walk, sit (chair and floor), climb stairs, and use hands and fingers
* Communicate basic English
* Basic reading, writing, and internet navigation skills
* Experience with adults with disabilities
**Benefits:**
* Option to get paid before payday
* Flexible scheduling around availability, and every other weekend off
* Opportunities for advancement in a growing, hire\-from\-within company
* Shift differential on weekends
* Employee discount \- Verizon and Dell
* Health Insurance
* Life Insurance
* Dental Insurance
* Vacation/Personal Hours
* Employee Stock Ownership
* 401\-K
* Employee Achievement Program
* Longevity Bonus for Part Time or Full Time Employees
* Casual dress (no uniforms), fun work atmosphere
* And more
If you are looking to make a difference, join the Aurora team! Aurora Community Services is proud to be an Employee Owned Company! An EOE/AA Employer
\#JobListings \#MentalHealthAwareness \#NewBeginning \#PersonalCare \#hiringnow \#hiring \#joinourteam \#careers \#jobs \#jobsearch \#programassistant \#Caregiver \#Caretaker \#DirectCareStaff \#PersonalCareWorker \#DirectSupportProfessional \#ResidentialCareProvider \#DayStaff \#NowHiring \#InHomeCare \#AdultCare \#Aide \#Caregiver</t>
        </is>
      </c>
    </row>
    <row r="3">
      <c r="A3" t="inlineStr">
        <is>
          <t>in-33d5e6b89a453186</t>
        </is>
      </c>
      <c r="B3" t="inlineStr">
        <is>
          <t>Senior Product Manager</t>
        </is>
      </c>
      <c r="C3" t="inlineStr">
        <is>
          <t>ClosingLock</t>
        </is>
      </c>
      <c r="D3" t="inlineStr">
        <is>
          <t>indeed</t>
        </is>
      </c>
      <c r="E3" t="inlineStr"/>
      <c r="F3" t="inlineStr"/>
      <c r="G3" t="inlineStr">
        <is>
          <t>Austin, TX, US</t>
        </is>
      </c>
      <c r="H3" s="2" t="n">
        <v>46056</v>
      </c>
      <c r="I3" t="inlineStr">
        <is>
          <t>#### **Company Overview**
Closinglock is modernizing the real estate world’s way of transferring information and funds to eliminate wire fraud and provide a secure, easy\-to\-use platform for title companies, law firms, and other financial services to protect themselves and their clients from wire fraud. We act in the long\-term best interests of our customers by understanding their needs and challenges. When our customers win, we win. To date, we have protected over $250B\+ in funds related to residential property transactions. Closinglock’s platform has been used by clients in all 50 states and across 42 countries.
Closinglock is headquartered in Austin, TX, with an office in downtown Austin. Today, the company has grown to 100\+ employees across product \&amp; engineering, sales, partnerships, customer success, marketing, and finance.
 **Mission**: Simplify the real estate closing experience for all parties
**Vision**: Provide a secure and efficient transfer of data and funds
The inherent value of what we offer with our fraud prevention platform and modern payment solution for real estate is protecting a homebuyer’s largest investment in their life.
We are rapidly expanding our team and are seeking exceptional talent. Our current team is comprised of top performers across the board, and we will continue to hire in this manner. We firmly believe that top performers want to work with other top performers. We have a lot of fun at work because we trust each other and respect each other's talents, abilities, and experiences. We are hyper\-focused on a shared vision, and our company's strength is based on the unparalleled quality of our team. There is no limit to what we can accomplish together!
Check out our**website**to learn more about our company.
We are looking for a highly skilled product manager in Austin to research, develop, and drive the roadmap for our various product lines. A successful candidate will have a proven track record for delivering quality technology solutions to the market that drive positive outcomes for the business. If you enjoy working with cross\-functional teams and want to have a meaningful impact at an early\-stage technology company, contact us!
**What you will do**
* Own the product vision and roadmap which involves identifying marketing opportunities, conducting user research, and defining the strategic direction for our product(s).
* Drive key results such as user conversion, product adoption, and delivery of new payment product offerings.
* Collaborate with cross\-functional teams (engineering, design, product marketing) to translate product vision into tangible features and functionality.
* Balance business objectives, user needs, and technical feasibility to prioritize features and ensure timely delivery.
* Champion user\-centric design principles to create intuitive and secure financial interfaces that exceed customer expectations.
* Track product performance using key metrics, analyze user behavior, and leverage data to inform product iterations and strategic decisions.
* Effectively communicate product vision, progress, and challenges to internal stakeholders and external partners.
**Job Requirements**
* 5\+ years of experience as a product manager in a startup environment.
* A proven track record of successfully launching and managing digital products.
* Strong analytical and data\-driven decision\-making skills.
* Excellent communication, collaboration, and presentation skills.
* Ability to prioritize, manage multiple tasks, and work independently.
* Enthusiasm for innovation and a passion for improving overall customer experience through technology.
**Bonus Points:**
* Experience working in a highly regulated environment.
* Experience delivering fintech or proptech products.
* Previous experience working in B2B SaaS companies
**Perks \&amp; Benefits**
At Closinglock, we invest in our employees and provide a full range of benefits and perks to help you grow and thrive. These benefits include:
* Competitive salary
* Equity compensation
* Medical, dental, vision, and life insurance
* Unlimited PTO
* 401(k) match
* Maternity/paternity leave
* Fully\-subsidized downtown parking
* Weekly lunch stipend
* Full access to onsite gym and locker rooms
* Monthly team get\-togethers (Lunches, social events, sports outings, etc)
Closinglock is an equal opportunity employer and we welcome everyone to our team. All qualified applicants will receive consideration for employment without regard to race, color, religion, sex, sexual orientation, gender identity, national origin, disability, or veteran status.</t>
        </is>
      </c>
    </row>
    <row r="4">
      <c r="A4" t="inlineStr">
        <is>
          <t>in-eb3a979f84e48070</t>
        </is>
      </c>
      <c r="B4" t="inlineStr">
        <is>
          <t>Principal Product Manager</t>
        </is>
      </c>
      <c r="C4" t="inlineStr">
        <is>
          <t>ClosingLock</t>
        </is>
      </c>
      <c r="D4" t="inlineStr">
        <is>
          <t>indeed</t>
        </is>
      </c>
      <c r="E4" t="inlineStr"/>
      <c r="F4" t="inlineStr"/>
      <c r="G4" t="inlineStr">
        <is>
          <t>Austin, TX, US</t>
        </is>
      </c>
      <c r="H4" s="2" t="n">
        <v>46056</v>
      </c>
      <c r="I4" t="inlineStr">
        <is>
          <t>#### **Company Overview**
Closinglock is modernizing the real estate world’s way of transferring information and funds to eliminate wire fraud and provide a secure, easy\-to\-use platform for title companies, law firms, and other financial services to protect themselves and their clients from wire fraud. We act in the long\-term best interests of our customers by understanding their problems. When our customers win, we win. To date, we have protected over $250B\+ in funds related to residential property transactions. Closinglock’s platform has been used by clients in all 50 states and across 42 countries.
Closinglock is headquartered in Austin, TX, with an office in downtown Austin. Today the company has grown to 90\+ employees across product \&amp; engineering, sales, partnerships, customer success, marketing, and finance.
**Mission**: Simplify the real estate closing experience for all parties
**Vision**: Provide a secure and efficient transfer of data and funds
The inherent value of what we offer with our fraud prevention platform and modern payment solution for real estate is protecting a homebuyer’s largest investment in their life.
We are rapidly growing our team and are looking for more incredible talent. Our current team is built of top performers from world\-class companies, and we will continue to hire that way. We firmly believe that top performers want to work with other top performers. We have a lot of fun at work because we trust each other and respect each other's talents, abilities, and experiences. We are hyper\-focused on a common vision, and our company strength is based on the unparalleled quality of our team. There is no limit to what we can accomplish together!
Check out our**website**to learn more about our company.
**About the Job**
-----------------
We are looking for a highly skilled product manager in Austin to research, develop, and drive the roadmap for our payments product line. A successful candidate will have a proven track record for delivering quality technology solutions to the market that drive positive outcomes for the business. If you enjoy working with cross\-functional teams and want to have a meaningful impact at an early\-stage technology company, contact us!
**What you will do**
--------------------
* Own the product vision and roadmap for Closinglock payments which involves identifying marketing opportunities, conducting user research, and defining the strategic direction for your product(s).
* Drive key results such as user conversion, product adoption, and delivery of new payment product offerings.
* Collaborate with cross\-functional teams (engineering, design, product marketing) to translate product vision into tangible features and functionality.
* Balance business objectives, user needs, and technical feasibility to prioritize features and ensure timely delivery.
* Champion user\-centric design principles to create intuitive and secure financial interfaces that exceed customer expectations.
* Ensure product compliance with relevant financial regulations and security standards.
* Track product performance using key metrics, analyze user behavior, and leverage data to inform product iterations and strategic decisions.
* Closely monitor the evolving Fintech landscape, identify emerging technologies and trends, and proactively adapt your product strategy.
* Effectively communicate product vision, progress, and challenges to internal stakeholders and external partners.
**Job Requirements**
* 6\+ years of experience as a product manager in a fast\-paced environment.
* A proven track record of successfully launching and managing digital products.
* A deep understanding of the Fintech industry, trends, and emerging technologies.
* Strong analytical and data\-driven decision\-making skills.
* Excellent communication, collaboration, and presentation skills.
* Ability to prioritize, manage multiple tasks, and work independently.
* Enthusiasm for innovation and a passion for improving overall customer experience through technology.
**Bonus Points:**
* Experience working in a highly regulated environment.
* Working within a tech startup environment is a strong plus
 **Perks \&amp; Benefits**
At Closinglock, we invest in our employees and provide a full range of benefits and perks to help you grow and thrive. These benefits include:
* Competitive salary
* Equity compensation
* Medical, dental, vision, and life insurance
* Unlimited PTO
* 401(k) match
* Maternity/paternity leave
* Fully\-subsidized downtown parking
* Weekly lunch stipend
* Full access to onsite gym and locker rooms
* Monthly team get\-togethers (Lunches, social events, sports outings, etc)
Closinglock is an equal opportunity employer and we welcome everyone to our team. All qualified applicants will receive consideration for employment without regard to race, color, religion, sex, sexual orientation, gender identity, national origin, disability, or veteran status.</t>
        </is>
      </c>
    </row>
    <row r="5">
      <c r="A5" t="inlineStr">
        <is>
          <t>in-e45d1084203aa626</t>
        </is>
      </c>
      <c r="B5" t="inlineStr">
        <is>
          <t>Program Manager – Credit Union Domain</t>
        </is>
      </c>
      <c r="C5" t="inlineStr">
        <is>
          <t>Rockwoods Inc</t>
        </is>
      </c>
      <c r="D5" t="inlineStr">
        <is>
          <t>indeed</t>
        </is>
      </c>
      <c r="E5" t="inlineStr"/>
      <c r="F5" t="inlineStr"/>
      <c r="G5" t="inlineStr">
        <is>
          <t>Newport News, VA, US</t>
        </is>
      </c>
      <c r="H5" s="2" t="n">
        <v>46056</v>
      </c>
      <c r="I5" t="inlineStr">
        <is>
          <t>Program Manager – Credit Union Domain (Multiple Openings)
Location: Virginia
Work Model: Preferably onsite at client location; hybrid acceptable (minimum 2 days/week onsite)
Company: Rockwoods Inc.
Rockwoods Inc. is hiring multiple Program Managers with strong experience in the Credit Union domain to support a major client in Virginia. We are looking for professionals with deep expertise in one or more of the following areas:
\- Retail Deposits
\- Mortgage \&amp; Consumer Lending
\- Small Business Banking
If you have a background in delivering complex banking or credit‑union initiatives and enjoy working in a client‑facing consulting environment, we’d love to connect.
About the Role
As a Program Manager deployed to our credit union client, you will lead end‑to‑end delivery of large, cross‑functional initiatives that enhance member experience, modernize platforms, and improve operational efficiency. You’ll work closely with business, operations, technology, and compliance teams to ensure successful execution across your domain.
Key Responsibilities
Program Delivery
\- Lead end‑to‑end delivery of domain‑specific initiatives (Deposits, Lending, or Small Business Banking)
\- Manage intake, feasibility assessments, dependency mapping, release planning, and operational readiness
\- Support modernization of core systems, digital channels, LOS platforms, or SMB onboarding tools
Stakeholder Management
\- Partner with business, operations, digital banking, underwriting, credit, treasury, and technology teams
\- Ensure alignment with credit‑union regulatory requirements (NCUA, Reg E, Reg CC, Reg DD, TRID, HMDA, ECOA, FCRA, RESPA, etc.)
Executive Reporting
\- Prepare and present program updates, risks, and mitigation strategies to credit‑union leadership and committees
Communication
\- Facilitate alignment across cross‑functional teams
\- Ensure transparency, timely issue resolution, and clear decision\-making
Tool Hygiene
\- Maintain accurate tracking of workstreams in Jira, Confluence, or client delivery tools
Risk \&amp; Issue Management
\- Identify and manage risks, blockers, and dependencies across systems and workstreams
Continuous Improvement
\- Champion process improvements, agile best practices, and enhancements to member journeys
Qualifications
\- 5\+ years of experience in product management, program delivery, or platform operations
\- Deep expertise in one or more of the following:
\- Retail Deposits
\- Mortgage \&amp; Consumer Lending
\- Small Business Banking
\- Strong understanding of credit‑union operations, regulatory frameworks, and member‑centric workflows
\- Experience working with cross‑functional teams in enterprise environments
\- Excellent communication and executive reporting skills
\- Consulting or client‑facing experience required
Job Types: Full\-time, Contract
Work Location: In person</t>
        </is>
      </c>
    </row>
    <row r="6">
      <c r="A6" t="inlineStr">
        <is>
          <t>in-eba54eaa7d703eea</t>
        </is>
      </c>
      <c r="B6" t="inlineStr">
        <is>
          <t>FMS Program Manager</t>
        </is>
      </c>
      <c r="C6" t="inlineStr">
        <is>
          <t>Applied Research Solutions</t>
        </is>
      </c>
      <c r="D6" t="inlineStr">
        <is>
          <t>indeed</t>
        </is>
      </c>
      <c r="E6" t="inlineStr"/>
      <c r="F6" t="inlineStr"/>
      <c r="G6" t="inlineStr">
        <is>
          <t>Bedford, MA, US</t>
        </is>
      </c>
      <c r="H6" s="2" t="n">
        <v>46056</v>
      </c>
      <c r="I6" t="inlineStr">
        <is>
          <t>ARS is seeking a FMS Program Manager providing support to the Air Force Life Cycle Management Center/PEO Digital Directorate (AFLCMC/HB). The Air Force Program Execution Office for PEO Digital (AFPEO/HB) has the collective Air Force Materiel Command (AFMC) mission responsibility to manage and execute the modernization, development, testing, production, fielding, and sustainment of the PEO Digital portfolio, which includes over 130 programs for the United States Air Force (USAF) and foreign allies. AFLCMC/PEO Digital Directorate is headquartered at Hanscom Air Force Base, MA with geographically separated operating units CONUS and OCONUS.
This position specifically supports the Foreign Military Sales (FMS) Japan AWACs program. AWACS experience preferred (Operational or PMO). Acquisition, proposal development and documentation experience necessary.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**Duties include, but not limited to:**
* **Acquisition and Program Support:** Provide program\-level acquisition support to Program Managers and Integrated Product Team Leads, guiding program execution to meet cost, schedule, and performance objectives. Ensure adherence to DoD directives and policies, including DoDI 5000\.02, DoDI 5000\.80, and DoDI 5000\.81\.
* **Contract Execution and Oversight:** Support contract execution through expert analysis and solutions, including reviewing acquisition documents, milestone decision briefings, and risk management plans. Prepare inputs for RFPs such as system specifications, SOWs, and CDRLs.
* **Program Health Analysis:** Evaluate program health, advise leadership on options to maintain objectives, and assist in planning acquisition strategies that align with DoD and Air Force policies.
* **Documentation and Reporting:** Develop and maintain acquisition reports (e.g., MAR, DAES, APB), prepare briefings, and ensure consistency across program deliverables. Utilize tools such as CCaR, IDECS, and EDA.
* **Risk Management:** Develop, maintain, and execute program risk management plans, facilitating risk identification, analysis, and mitigation while coordinating program risk boards and working groups.
* **Source Selection and Contract Administration:** Assist in developing source selection strategies, evaluation criteria, and RFP documentation. Provide recommendations for incentive clauses and evaluate contractor proposals.
* **Mission Planning and Operational Support:** Oversee Mission Planning Environment (MPE) systems to ensure they meet operational and testing requirements. Coordinate with stakeholders to align MPE capabilities with operational flight program schedules.
* **Lifecycle Logistics and Sustainment:** Provide critical support for lifecycle logistics, operational planning, and sustainment strategies, ensuring mission readiness and effective system integration.
* **Policy and Process Improvement:** Monitor DoD acquisition reforms and advise leadership on process improvements, cost avoidance strategies, and policy interpretations. Ensure compliance with updated regulations and directives.
* **Stakeholder Engagement:** Collaborate with division branch chiefs, program managers, and contractors to provide expert guidance, streamline integration, and address programmatic issues affecting overall performance.
* Other duties as assigned.
**Qualifications:**
**Citizenship: Must be a US citizen**
**Clearance: Must have an Active Secret Clearance**
**Minimum Required Qualifications**
**Education:** Bachelor’s degree in a professional engineering discipline from an ABET\-accredited program, and minimum of 12 years of experience in the respective technical/professional discipline, including at least 5 years supporting DoD programs
* **Proficiency in:**
* + Requirements development, production and deployment, and operations and support
	+ Architecture development and implementation
	+ Modeling and simulation, including Model\-Based Systems Engineering principles
	+ Verification and validation processes
	+ Technical data package development and sustainment
	+ Principles of configuration management
* **Experience with:**
* + Network architectures, embedded systems, and application deployment across various systems and hardware, including cloud deployment and virtualization
	+ DoD acquisition processes such as Technology Maturation, Risk Reduction, Engineering Manufacturing Development, and Production and Deployment activities
**Technical Knowledge:**
* Familiarity with Electronic Warfare and/or Air Combat operations, including live aircrew training, development of tactics, techniques, and procedures, and Range Infrastructure architectures and systems
**Preferred Qualifications**
**Education:** Master’s degree in a professional engineering discipline from an ABET\-accredited program
The expected annual salary range: $150K \- $163K. Salary is dependent upon the role, associated responsibilities, candidate's experience and qualifications to include education/training and key skills.
*All positions at Applied Research Solutions are subject to background investigations. Employment is contingent upon successful completion of a background investigation, including criminal history and identity check.*
*Must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*Must abide by the requirements of 41 CFR 60\-300\.5(a). This regulation prohibits discrimination against qualified protected veterans, and requires affirmative action by covered contractors and subcontractors to employ and advance in employment qualified protected veterans.*</t>
        </is>
      </c>
    </row>
    <row r="7">
      <c r="A7" t="inlineStr">
        <is>
          <t>in-8bf39b57831ce7b8</t>
        </is>
      </c>
      <c r="B7" t="inlineStr">
        <is>
          <t>Program Manager - Logistics</t>
        </is>
      </c>
      <c r="C7" t="inlineStr">
        <is>
          <t>Incoexco</t>
        </is>
      </c>
      <c r="D7" t="inlineStr">
        <is>
          <t>indeed</t>
        </is>
      </c>
      <c r="E7" t="inlineStr"/>
      <c r="F7" t="inlineStr"/>
      <c r="G7" t="inlineStr">
        <is>
          <t>San Jose, CA, US</t>
        </is>
      </c>
      <c r="H7" s="2" t="n">
        <v>46056</v>
      </c>
      <c r="I7" t="inlineStr">
        <is>
          <t>**Location: North Point, Rocklin, San Jose**  
**Mode of Work: Onsite**  
**Experience: 8\+ years**
**Requirements:**  
1\. Recent retail experience is a must.  
2\. Prefer candidates with deep experience in Logistics, Manufacturing, Final mile and related technologies  
3\. Strong Planning skills and not just technical experience in these areas
**Specific Responsibilities**  
Performs all of the senior project manager duties plus:• Using established project management methodology/tools, develops project plans for highly complex projects of strategic importance which include work plans, schedules, budgets, needed skills and resources, project scope and deliverable/responsibility matrices
* Performs variance analysis (including schedule, costs vs. budgets, resources and changes to scope). Makes trade\-offs with sponsor, as necessary
* Performs project risk assessment quantification, response planning and control
* Communicates risks to clients and/or IT management, project sponsors \&amp; vendors
* Develops and executes mitigation strategies
* Validates client and functional requirements for sponsor
* Determines the impact on current/existing technologies and communicates impact to clients, sponsor, IT management and vendor
* Makes recommendations on existing application products that could address client requirements
* Evaluates alternative operational efficiencies /business process change
* Makes presentations to IT management, sponsors, and/or vendors
* Accountable for pre and post implementation plans
* Provides work direction to project managers
* Works on complex issues where analysis of situations or data requires an in\-depth evaluation of variable factors
* Exercises strong judgment in selecting methods, techniques and evaluation criteria for obtaining results
* Orchestrates and recommends Program strategy
* Able to discern and clearly articulate how program decisions impact the big picture and vice versa
* Frequently interacts with customers, and/or functional peer group IC'S/managers, normally involving matters between functional areas or internal customers
* May interact with business leadership at all levels
* Networks with key contacts outside own area of expertise
* Coaches, mentors, and trains as appropriate
* Contributes to performance appraisals for team members
* Assists in conducting team building/development activities
* Receives limited instruction in determining methods and procedures on new assignments, and coordinates activities of other associates in group
Pay: $50\.00 \- $60\.00 per hour
Work Location: In person</t>
        </is>
      </c>
    </row>
    <row r="8">
      <c r="A8" t="inlineStr">
        <is>
          <t>in-c35e1e06ed920188</t>
        </is>
      </c>
      <c r="B8" t="inlineStr">
        <is>
          <t>Residential Program Manager for Group Home</t>
        </is>
      </c>
      <c r="C8" t="inlineStr">
        <is>
          <t>merciful mercy health group</t>
        </is>
      </c>
      <c r="D8" t="inlineStr">
        <is>
          <t>indeed</t>
        </is>
      </c>
      <c r="E8" t="inlineStr"/>
      <c r="F8" t="inlineStr"/>
      <c r="G8" t="inlineStr">
        <is>
          <t>Owings Mills, MD, US</t>
        </is>
      </c>
      <c r="H8" s="2" t="n">
        <v>46056</v>
      </c>
      <c r="I8" t="inlineStr">
        <is>
          <t>The Program Manager reports to the Program Director.  
**Duties Include:**  
1\. Works cooperatively with the participant, his/her family, friends, staff, advocates and/or guardians, and other programs as well as other agencies to assemble a team that is both optimal for the planning process as well as preferred by the participant.  
2\. Serves as the primary contact and is responsible for the flow of communication to house staff, management staff, other departments, other agencies, professionals and families; determines and communicates what information needs to be shared, when and to whom.  
3\. Completes all End of the Month paperwork as requested accurately and timely.  
4\. Responds timely to internal and external customers (e.g., families, other departments) to ensure service excellence.  
5\. Participates in the hiring of staff assigned to his/her home by giving recommendations.  
6\. Responsible for orienting and training of staff on the job in all aspects of their duties within required time frames.  
7\. Maintains costs within budget for the home(s) by reviewing expenditures and the use of resources.  
8\. Takes necessary action in emergency situations in accordance with agency policies and reports such incidents on appropriate forms.  
9\. Reviews and corrects staff’s time sheet printouts for accuracy and submits to the Program Manager or designee.  
10\. Weekly tracking/monitoring of LTSS exceptions for all EVV and Non\-EVV individuals.  
11\. Time sheet review and payroll management for all the staff.  
12\. Attend all individual PCP meetings as scheduled by the CCS.  
13\. Reconcile receipts for all the individuals and generate monthly Invoice (On or before the 1st of every month) for families or other departments to ensure timely payment.  
14\. Provide monthly feedback to the Management team after every monthly meeting with the house Manager/Program Coordinator.  
15\. Participate in individual intake/admission.  
16\. Creating new binders for individuals upon admission.</t>
        </is>
      </c>
    </row>
    <row r="9">
      <c r="A9" t="inlineStr">
        <is>
          <t>in-c6a901999335823d</t>
        </is>
      </c>
      <c r="B9" t="inlineStr">
        <is>
          <t>Product Owner</t>
        </is>
      </c>
      <c r="C9" t="inlineStr">
        <is>
          <t>Celink</t>
        </is>
      </c>
      <c r="D9" t="inlineStr">
        <is>
          <t>indeed</t>
        </is>
      </c>
      <c r="E9" t="inlineStr"/>
      <c r="F9" t="inlineStr"/>
      <c r="G9" t="inlineStr">
        <is>
          <t>Okemos, MI, US</t>
        </is>
      </c>
      <c r="H9" s="2" t="n">
        <v>46056</v>
      </c>
      <c r="I9" t="inlineStr">
        <is>
          <t>**Duties and responsibilities**
Product Owner responsibilities include:
* Oversee and develop data analyst staff to facilitate IT development
* Leverage Jira to review staff deliverables
* Visualize data, create dashboards and summary reports
* Independently propose/develop logic to address identified data variances
* Help develop tools to automate parts of the data validation process
* Take the lead of scrum teams as the Product Owner
* Provide vision and direction to the Agile development team and stakeholders throughout the project and create requirements
* Ensure that the team always has an adequate amount of prior prepared tasks to work on
* Plan and prioritize product feature backlog and development for the product
* Define product vision, roadmap and growth opportunities
* Assess value, develop cases, and prioritize stories, epics and themes to ensure work focuses on those with maximum value that are aligned with product strategy
* Provide backlog management, iteration planning, and elaboration of the user stories
* Work closely with Product Management to create and maintain a product backlog according to business value or ROI
* Lead the planning product release plans and set the expectation for delivery of new functionalities
* Provide an active role in mitigating impediments impacting successful team completion of Release/Sprint Goals
**Qualifications**
Qualifications include:
* Excellent analytical and critical thinking skills
* Strong excel skills with the ability to learn other analytic tools
* Strong knowledge of Microsoft Office applications
* Knowledge of Python is a plus
* Knowledge of reverse mortgage servicing
* Desire to learn and a keen eye for data problems
* Tenacity to problem\-solve using data and seeing the big\-picture business needs
* Attentive to details, methodical and rigorous. It *bothers* you if some data you own is incorrect
* MA in Computer Science, Engineering or similar relevant field
* In\-depth knowledge of Agile process and principles
* Outstanding communication, presentation and leadership skills
* Excellent organizational and time management skills
**Experience Requirements**
* 7\-year experience as a scrum master or software product owner or similar role
* 7\-year experience with loans and/or mortgages
* Proven work experience as data professional in development and/or analytics
* Applicable Technologies: Excel, PowerBI
**Education Requirements**
* Bachelor’s degree in Mathematics, Computer Science, Economics, or Statistics
**Working conditions**
* Fast\-paced rapid development cycles
* Self\-managed working hours outside of collaborative meeting schedules</t>
        </is>
      </c>
    </row>
    <row r="10">
      <c r="A10" t="inlineStr">
        <is>
          <t>in-7cf9e38af7e83998</t>
        </is>
      </c>
      <c r="B10" t="inlineStr">
        <is>
          <t>Senior Product Manager, AI</t>
        </is>
      </c>
      <c r="C10" t="inlineStr">
        <is>
          <t>AECOM</t>
        </is>
      </c>
      <c r="D10" t="inlineStr">
        <is>
          <t>indeed</t>
        </is>
      </c>
      <c r="E10" t="inlineStr"/>
      <c r="F10" t="inlineStr"/>
      <c r="G10" t="inlineStr">
        <is>
          <t>Dallas, TX, US</t>
        </is>
      </c>
      <c r="H10" s="2" t="n">
        <v>46056</v>
      </c>
      <c r="I10"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Senior Product Manager to own the product execution and delivery of AI and agentic capabilities embedded in core enterprise workflows.
This role focuses on translating process intelligence (how work actually happens), business demand, and architectural guidance into AI\-ready products that are adopted, trusted, and deliver measurable business value. You will own specific AI capability domains and work closely with engineering, architecture, data, and operations teams to ensure solutions operate reliably at scale.
This is a hands\-on product ownership role. It is not a technical architecture, data science, or program management position.
*This position will offer flexibility for hybrid work schedules to include both in\-office presence and telecommute/virtual work, to be based from either Houston or Dallas, TX.*
**Key Responsibilities**
* Own end\-to\-end product ownership for assigned AI capability domains, including backlog management, prioritization, and release planning
* Translate business needs and process insights into clear product requirements, user stories, acceptance criteria, and success metrics
* Implement AI product patterns, including human\-in\-the\-loop workflows, guardrails, evaluation criteria, and defined autonomy levels aligned with portfolio standards
* Partner with Architecture, Data, and Engineering to ensure product requirements align with platform capabilities, Responsible AI constraints, and operational realities
* Collaborate with Delivery and Deployment leaders to ensure AI capabilities are rollout\-ready, monitored, and continuously improved based on real\-world usage
* Track and report AI performance indicators such as adoption, correction rates, user feedback, and realized business value
* Incorporate user corrections, operational feedback, and observed behavior into backlog refinement and iteration cycles
* Identify opportunities for reuse, standardization, and capability extension across the broader AI portfolio
* Act as the primary day\-to\-day product interface for delivery teams, providing scope clarity, timely decisions, and execution focus
**Qualifications** **Minimum Qualifications**
* Bachelor's Degree plus at least 8 years of product management experience, including demonstrated ownership of AI\-enabled or decision\-automation outcomes, or demonstrated equivalent experience and education
* Proven experience owning and delivering complex, cross\-functional products or platforms from definition through adoption
* Strong ability to translate ambiguous business problems into actionable product plans and requirements
* Experience working closely with engineering, architecture, and operations teams in iterative delivery models
* Excellent communication skills with the ability to balance business priorities, AI constraints, and delivery realities
**Preferred Qualifications**
* Experience delivering AI\-enabled, automation, or decision\-support products in production environments
* Familiarity with agentic workflows, AI\-assisted user experiences, or enterprise automation tools from a product ownership perspective
* Exposure to human\-in\-the\-loop designs, evaluation metrics, or Responsible AI considerations
* Experience measuring AI success beyond delivery, including adoption, trust signals, correction rates, and business impact
* Track record driving behavior change and adoption for new capabilities in enterprise or regulated environments
* Experience operating in federated or matrixed product and delivery organizations
**Additional Information** **Additional Information**
* Relocation assistance is not available for this position
* Sponsorship for US work authorization is not available for this position, now or in the future.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1">
      <c r="A11" t="inlineStr">
        <is>
          <t>in-1292dac307f95f76</t>
        </is>
      </c>
      <c r="B11" t="inlineStr">
        <is>
          <t>Associate Product Manager</t>
        </is>
      </c>
      <c r="C11" t="inlineStr">
        <is>
          <t>Crayola LLC</t>
        </is>
      </c>
      <c r="D11" t="inlineStr">
        <is>
          <t>indeed</t>
        </is>
      </c>
      <c r="E11" t="inlineStr"/>
      <c r="F11" t="inlineStr"/>
      <c r="G11" t="inlineStr">
        <is>
          <t>Easton, PA, US</t>
        </is>
      </c>
      <c r="H11" s="2" t="n">
        <v>46056</v>
      </c>
      <c r="I11" t="inlineStr">
        <is>
          <t>**Associate Product Manager, Easton, PA**
**GENERAL SUMMARY:**
The Associate Product Manager is responsible for the support and business management of assigned platform product segment driven by collaboration and elaboration of the annual platform plan. Associate Product Manager provides support to implement short term and long term marketing plans, leading a cross\-functional team that innovates product and marketing plans to grow sustainability and profitability.
The Associate Product Manager contributes to the analysis and development of detailed tactical plans of the assigned platform’s overall global strategic plan; implements the marketing plans for the platform's assigned product segment(s)/franchise(s); assists in the planning, development and execution of the assigned product group’s marketing objectives, tactics, programs and budgets; participates in and manages cross\-functional teams to progress marketing projects to desired results and works with marketing peers and sales, operations and global teams to drive executional excellence.
**PRINCIPAL DUTIES \&amp; RESPONSIBILITIES:**
* Contributes thought leadership, analysis and detailed tactical plans to assigned global platform product segments and marketing plans.
* Recommends and executes programs and/or initiatives (i.e., new products, product changes/revisions, forecasts, pricing, packaging, advertising, activation, promotion, retail programs) to drive both the short and long term profitability and category share of all assigned businesses.
* Collects and analyzes relevant market \&amp; category data to influence marketing plan and Supply/Operations Planning reports, i.e. competitive product information (positioning, pricing, promotional programs, etc.), market share data.
* Conducts secondary research, analyzes syndicated data to support platform initiatives \&amp; recommendations; supports and participates in research projects to provide key learnings and strategic implications.
* Provides tactical execution of the global new product process and commercialization including product, packaging, research \&amp; activation to meet financial objectives to drive both the short and long\-term profitability and share position of all assigned businesses.
* Provides budget management support.
* Coordinates and manages cross\-functional team activities/collaboration.
* Provides support and information for key U.S. \&amp; International account programs, promotions.
**JOB SPECIFICATIONS:**
* 2\+ years marketing experience preferably in CPG, toy company or consumer marketing work
* Bachelor’s degree required in business field, preferably with a Marketing concentration. MBA preferred
* Strong demonstrated levels of accomplishments and business results
* Proficient in MS Office including Word, Excel, PowerPoint; Lotus Notes
* Good organizational skills with ability to manage several projects
* General business management skills
* Strong communication and presentation skills, with ability to lead cross\-functional team
* Strong business analytical skills, resourceful, results driven
* Innovative thinker
* Needs some supervision; self starter
**PHYSICAL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talk and hear. The employee is occasionally required to walk; use hands and fingers to operate, handle, or feel objects, tools, or controls; and reach with hands and arms. The employee must occasionally lift and/or move up to 25 pounds. Specific vision abilities required by this job include close vision and the ability to adjust focus.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**WHY CRAYOLA?**
* Kid Inspired Culture
* Free Admission to Crayola Experience for Employees
* Community Volunteerism Opportunities
* Annual Bonus Potential for all Full\-Time Employees
* Company Matched 401k \&amp; Employee Value Sharing Plan
* Comprehensive Healthcare Benefits for Eligible Employees
* Education Assistance Program
* Wellness Programs
* Employee Resource Groups
* Generous Product Discounts Onsite \&amp; Online
* Company Sponsored Employee Events
* Discounts on a wide variety of products and services – automotive, electronics, fitness, travel and entertainment
**Green is our favorite color!**  
Crayola cares about the environment and responsibly makes the products you love. Learn more about Crayola’s creative solutions for greener tomorrows: https://www.crayola.com/about\-us/sustainability
Crayola is committed to providing competitive market compensation. Our pay ranges are established using reliable market data and consider factors such as job responsibilities, industry benchmarks, and geographic location.
Individual starting pay is determined by a candidate’s skills, experience and qualifications. This role is eligible to participate in an annual incentive plan as per plan guidelines. For a full list of Crayola benefits, please visit https://www.crayola.com/company/employee\-benefits.
No phone calls please.  
**Search Firm Representatives \- Please Read Carefully:**  
Crayola LLC is not seeking assistance or accepting unsolicited resumes from search firms for this employment opportunity. Regardless of past practice, all resumes submitted by search firms to any employee at Crayola LLC via e\-mail, the Internet, or directly to hiring managers at Crayola LLC in any form without valid written search agreement in place for that position will be deemed the sole property of Crayola LLC, and no fee will be paid in the event the candidate is hired by Crayola LLC as a result of the referral or through other means.
Search firms are essential to the recruitment and staffing efforts at Crayola LLC, and we value the partnerships we have built with our vendors. For this reason, Crayola LLC has established and regularly maintains a preferred vendor list. Please note that even preferred vendors need to have a written search agreement signed by Human Resources at Crayola LLC in place for the specific position in order for a fee to be paid for any candidate referra</t>
        </is>
      </c>
    </row>
    <row r="12">
      <c r="A12" t="inlineStr">
        <is>
          <t>in-d9b7fa6d524e8161</t>
        </is>
      </c>
      <c r="B12" t="inlineStr">
        <is>
          <t>Program Manager, Curriculum and Content - Education</t>
        </is>
      </c>
      <c r="C12" t="inlineStr">
        <is>
          <t>Junior Achievement of Central Ohio</t>
        </is>
      </c>
      <c r="D12" t="inlineStr">
        <is>
          <t>indeed</t>
        </is>
      </c>
      <c r="E12" t="inlineStr"/>
      <c r="F12" t="inlineStr"/>
      <c r="G12" t="inlineStr">
        <is>
          <t>Columbus, OH, US</t>
        </is>
      </c>
      <c r="H12" s="2" t="n">
        <v>46056</v>
      </c>
      <c r="I12" t="inlineStr">
        <is>
          <t>**JA Program Manager, Curriculum and Content**
**About Junior Achievement of Central Ohio**  
At Junior Achievement of Central Ohio (JA), we imagine a future where each new generation is inspired and prepared to achieve personal success in their careers and lives. We bridge the gap between education and work for central Ohio K\-12 students by creating environments and experiences where students discover their potential, identify their talents and interests, and explore pathways for their future. Because of JA programming, central Ohio students are better prepared to achieve personal success – no matter the socio\-economic conditions from which they ascend.
**Impact (Job Summary)**  
Increases engagement with JA Curriculum and Content learning experiences through frequent outreach to educational partners. Assures program expansion and quality. Develops new relationships with education partners at various levels. Maintains excellent educator, volunteer, and internal team relations. Implements and coordinates daily operations of programs, including administrative program procedures. Facilitates educator info sessions and training in individual, small group, and large group settings. Oversees in\-person and/or virtual program events.
**Primary Responsibilities**
\* Responsible for successful implementation and expansion of assigned programs across JA of Central Ohio counties.  
\* Steward and strengthen existing educator relationships and collaborate with colleagues to develop new educator partnerships at the school administrator and teacher levels.  
\* Develop deep knowledge of JA USA curricula for areas of responsibility aligned with local priorities. Use this knowledge to evaluate program quality and fit for various learning scenarios and to recruit and train educators and volunteers.  
\* Use available technology platforms to provide timely and relevant educator resources and training.  
\* Collaborate closely with colleagues across organizational areas to ensure effective program implementation and reporting while ensuring a high\-quality JA experience for educators, students, and volunteers.  
\* Maintain accurate and timely records in shared database system to facilitate reporting of educator/volunteer/class information.  
\* Ensure educator and volunteer partners receive all necessary resources, including up\-to\-date program kits and access to all necessary online resources.  
\* Perform other duties and responsibilities as assigned
**You have the following experience (at a minimum):**
* Bachelor's Degree in Business, Communication, Education, or a related field
* At least two years of relevant experience in an educational setting
* Teaching experience preferred
* Database experience preferred
* Curriculum development is a plus
**You have the following attributes and interpersonal skills:**
* Excellent presentation skills for small and large group settings
* Oral and written communication skills
* Outstanding presence, self\-confidence, and enthusiasm, and comfort engaging with all levels of stakeholders
* Ability to prioritize and perform multiple tasks in a fast\-paced, changing environment
* Organized and detail\-oriented
**You have the following technical skills:**
* Proficiency in Microsoft Office applications, Zoom, and the Google Suite of applications,
including Google Sites
**Physical Requirements:**
* Stationary positioning: The ability to sit or stand at a desk for extended periods of time
* Computer use: Frequent, repetitive use of hands and fingers for typing, mouse usage, and
operating office machinery (copiers/scanners)
* Vision and communication: Ability to view a screen for long periods and communicate via phone or in person
* Mobility: Occasional walking within the office to meetings, printers, restrooms
* Light lifting: Moving items such as documents, kits, files, and personal items, usually weighing 15 pounds or less
**Why this opportunity is exciting for you!**
**• We offer a competitive compensation package and strong, evolving benefits program:**
o Accrual\-based PTO with new hires starting at 19 days per year
o 11 paid holidays \+ paid winter break closure
o Voluntary life insurance and long\-term disability
o Paid parental leave (for moms and dads)
o 401(k) \+ discretionary employer contribution
o Health insurance (100% employee\-only premium paid by the organization)
o Vision insurance
o Dental insurance
**Other things for you to know:**
* You must be able to successfully pass a criminal background check
* FLSA Status: Full\-time, salaried, exempt
* Location/Area: In office, Columbus, OH
* Compensation: $55\-60K
* Travel: Up to 25%, primarily within Central Ohio, but inclusive of 25 county area including
Southeast Ohio (2\.5 hour radius)
* Reports To: Senior Director, Curriculum and High School Engagement
* Direct Reports: N/A
Job Type: Full\-time
Pay: $55,000\.00 \- $60,000\.00 per year
Benefits:
* 401(k)
* Dental insurance
* Health insurance
* Paid time off
* Vision insurance
Application Question(s):
* How long have you worked in education?
* How many years of curriculum development experience do you have?
Work Location: In person</t>
        </is>
      </c>
    </row>
    <row r="13">
      <c r="A13" t="inlineStr">
        <is>
          <t>in-97fc897dee72960a</t>
        </is>
      </c>
      <c r="B13" t="inlineStr">
        <is>
          <t>Program Manager</t>
        </is>
      </c>
      <c r="C13" t="inlineStr">
        <is>
          <t>Adapt of Illinois</t>
        </is>
      </c>
      <c r="D13" t="inlineStr">
        <is>
          <t>indeed</t>
        </is>
      </c>
      <c r="E13" t="inlineStr"/>
      <c r="F13" t="inlineStr"/>
      <c r="G13" t="inlineStr">
        <is>
          <t>Alton, IL, US</t>
        </is>
      </c>
      <c r="H13" s="2" t="n">
        <v>46056</v>
      </c>
      <c r="I13" t="inlineStr">
        <is>
          <t>**Join Our Team as Program Manager at Adapt of Illinois – New Alton, IL Site!**
**Overview**
We are seeking an experienced and compassionate **Program Manager to lead the Adapt program within a single skilled nursing facility location.** The site\-based program serves adults with serious mental illness and delivers Medicaid\-reimbursed skills training and case management services grounded in a recovery\-oriented model. The Program Director leads a team of approximately 7 bachelor’s and master’s level clinicians who provide on\-site individual and group services. The Program Manager ensures clinical excellence, regulatory compliance, and strong collaboration with nursing facility leadership.
**What Makes This Role Unique**
* Lead a **small, tight\-knit clinical team** embedded within a supportive long\-term care setting.
* Shape service delivery and build a strong interdisciplinary partnership with nursing facility staff.
* Impactful leadership role focused on high\-quality clinical care—not just administration.
* Work within a stable environment where client needs, staff development, and program quality can be your primary focus.
**Key Responsibilities:**
* Provide clinical and operational leadership of the Adapt program within this nursing home setting.
* Supervise and support a team of clinicians delivering Medicaid mental health recovery services.
* Oversee day\-to\-day program operations including treatment planning, documentation, and quality assurance.
* Ensure compliance with Medicaid, agency policies, and clinical best practices.
* Serve as the on\-site clinical point person for the program and collaborates with nursing home administration to ensure continuity of services.
* Participate in an on\-call rotation shared with one Assistant Manager while maintaining ultimate clinical accountability for the site.
* Lead hiring, onboarding, training, supervision and professional development for site\-based program staff.
* Promote a recovery\-oriented, trauma\-informed care model.
* Monitor service delivery and use data to guide performance and quality improvement efforts.
* This position is typically scheduled for five 8‑hour days, Monday through Friday.
***What We’re Looking For:***
**Education \&amp; Licensure**
* Master’s degree in psychology, social work, counseling, or another human services field (required)
* Clinical licensure or license\-eligible (LCSW, LCPC, etc.) required.
**Experience \&amp; Skills**
* Minimum of **3 years of experience** in behavioral health, **leadership or supervisory experience is strongly preferred**.
* Demonstrated knowledge of **Medicaid mental health services**, including IM\+CANS, skills training, and case management.
* Experience in **long\-term care, integrated healthcare, or co\-located behavioral health settings** is highly desirable.
* Proven ability to lead with confidence, communicate effectively across disciplines, and manage crisis situations with professionalism and calm.
**Compensation**
**Salary Range:**  
**$75,000 – $85,000 annually**, commensurate with experience
**Comprehensive Benefits \&amp; Perks**
* 9 observed holidays
* Pro\-rated paid time off starting at 3 weeks per year, increasing with tenure
* Employee Assistance Program including free counseling and life coach sessions
* Employee discount program
* Employee referral bonus program
* Company\-sponsored trainings, including Crisis Prevention, CPR, and First Aid
* Three medical insurance plans available through Cigna
* Dental and vision insurance through Delta
* Health Savings Account with up to **$750 company matching contribution**
* Flexible Spending Account
* Employer\-paid life insurance
* Employer\-paid long\-term disability insurance
* Financial, legal, and healthcare support through New York Life
* 401(k) (Traditional or Roth) with **up to 4% employer match**
* Professional licensure reimbursement (if applicable)
* Professional development stipend
* Monthly Licensure Group for Managers working toward independent clinical licensure.
**Join Us and Lead Meaningful Change**
If you’re a licensed (or license eligible) clinician ready to take the next step in leadership and make a lasting impact within a long\-term care setting, we encourage you to apply.
**Adapt of Illinois is an Equal Opportunity Employer.**  
**No phone calls, please.**
Job Type: Full\-time
Pay: $75,000\.00 \- $85,000\.00 per year
Benefits:
* 401(k)
* 401(k) matching
* Dental insurance
* Employee assistance program
* Employee discount
* Flexible spending account
* Health insurance
* Health savings account
* Life insurance
* Paid time off
* Professional development assistance
* Referral program
* Vision insurance
Application Question(s):
* • Clinical licensure or license\-eligible (LCSW, LCPC, etc.) required
Education:
* Master's (Preferred)
License/Certification:
* Driver's License (Required)
Work Location: In person</t>
        </is>
      </c>
    </row>
    <row r="14">
      <c r="A14" t="inlineStr">
        <is>
          <t>in-40a4b2cfea9f23d7</t>
        </is>
      </c>
      <c r="B14" t="inlineStr">
        <is>
          <t>Senior Product Manager - Switchboards</t>
        </is>
      </c>
      <c r="C14" t="inlineStr">
        <is>
          <t>Faith Technologies Incorporated</t>
        </is>
      </c>
      <c r="D14" t="inlineStr">
        <is>
          <t>indeed</t>
        </is>
      </c>
      <c r="E14" t="inlineStr"/>
      <c r="F14" t="inlineStr"/>
      <c r="G14" t="inlineStr">
        <is>
          <t>US</t>
        </is>
      </c>
      <c r="H14" s="2" t="n">
        <v>46055</v>
      </c>
      <c r="I14" t="inlineStr">
        <is>
          <t>**You’ve discovered something special. A company that cares. Cares about leading the way in construction, engineering, manufacturing and renewable energy. Cares about redefining how energy is designed, applied and consumed. Cares about thoughtfully growing to meet market demands. And as “one of the Healthiest 100 Workplaces in America” is focused on the mind/body/soul of team members through our** **Culture of Care** **.**
The Senior Product Manager, Switchboards is a highly visible and critical role that is responsible for leading and collaborating across teams and leadership to drive growth and profitability by gathering and analyzing voice\-of\-the\-customer (VOC), developing a compelling product roadmap, and launching new offerings into the market by driving the Product Development Process (PDP). This role requires strong collaboration with Product Marketing, Sales, Engineering, Manufacturing and Service to execute the set product strategy and roadmaps. The ideal candidate brings strong business acumen, product development expertise, and the ability to potentially mentor and elevate product management talent while executing a robust product roadmap.
**MINIMUM REQUIREMENTS**
**Education:** Bachelor of Science in Engineering, Technology, Business, or Marketing. Advanced degree in Engineering, Technology or MBA highly preferred but not required.
**Experience:** 10\+ years of experience in product engineering, electrical/mechanical engineering, or product management of a manufactured, physical technical product.
* **Technical understanding of the electrical distribution, switchboards, and/or data center market.**
* Experience in leading products from Engineered\-to\-Order (ETO) to Configured\-to\-Order (CTO) highly preferred.
* Experience in leading cross\-functional teams.
* Must be able to speak, read, write, and interpret technical information.
Travel: Up to 20%
Work Schedule: This position works between the hours of 7 AM and 5 PM, Monday\- Friday. However, work may be performed at any time on any day of the week to meet business needs.  
**KEY RESPONSIBILITIES:**
* Lead the Product Development Process (PDP) from concept through launch, ensuring well\-defined product requirements, cross\-functional alignment, and on\-time delivery.
* Oversee creation and management of Product Requirements Documents (PRDs) to communicate features, requirements, and use cases to engineering and other stakeholders.
* Own and execute the product category strategy and roadmap within FTI’s strategic framework.
* Conduct VOC, market research, and competitive analysis to identify market needs, emerging trends, and opportunities for product innovation.
* Define product goals, business cases, and portfolio priorities for assigned product lines.
* Manage the full lifecycle of assigned products, including ideation, launch, cost optimization, and end\-of\-life planning.
* Partner with Product Marketing to define positioning, messaging, and launch plans for new offerings.
* Support the Sales organization with training, value proposition development, demos, and customer engagements.
* Analyze product performance, margins, VOC, and sales data to adjust roadmap priorities and go\-to\-market strategies.
* Monitor product line profitability and cost structure; collaborate with engineering, operations, and supply chain to drive margin improvement.
* Support pricing strategy and identify opportunities for revenue and market share growth.
* Track and report KPIs for the product category, ensuring transparency and alignment across the business.
* Serve as the category expert and internal advocate, ensuring decisions are grounded in data and customer insight.
* Represent the product category in internal reviews, project governance meetings, and customer interactions.
* Performs other related duties as required and assigned.
**About the Product Team**
Our Product Team sits at the intersection of innovation and execution, transforming ideas into real\-world products and solutions for Excellerate Products(tm), a division of Faith Technologies Incorporated (FTI). From early concept through full\-scale production, our engineers design Data Center power distribution products, Electric Vehicle charging skids, switchboards and more! With a strong focus on quality, manufacturability, and customer outcomes, we ensure every product is engineered to perform in the real world—safely, reliably, and at scale.
To learn more about our products and services, visit our website: Excellerate Products – Smarter Power Solutions – FTI .
The job description and responsibilities described are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\#LI\-Remote
**How Does FTI Give YOU the Chance to Thrive?**
If you’re energized by new challenges, FTI provides you with many opportunities. Joining FTI opens doors to redefine what’s possible for your future.
Once you’re a team member, you’re supported and provided with the knowledge and resources to achieve your career goals with FTI. You’re officially in the driver’s seat of your career, and FTI’s career development and continued education programs give you opportunities to position yourself for success.
FTI is a “merit to the core” organization. We recognize and reward top performers, offering competitive, merit\-based compensation, career path development and a flexible and robust benefits package.  
**Benefits are the Game\-Changer**
We provide industry\-leading benefits as an investment in the lives of team members and their families. You’re invited to review the full list of FTI benefits available to regular/full\-time team members. Start here. Grow here. Succeed here. If you’re ready to learn more about your career with FTI, apply today!
Faith Technologies, Inc. is an Equal Opportunity Employer – veterans/disabled.</t>
        </is>
      </c>
    </row>
    <row r="15">
      <c r="A15" t="inlineStr">
        <is>
          <t>in-554e6a7396d87955</t>
        </is>
      </c>
      <c r="B15" t="inlineStr">
        <is>
          <t>Product Manager, Fleet Portal</t>
        </is>
      </c>
      <c r="C15" t="inlineStr">
        <is>
          <t>Bridgestone Americas</t>
        </is>
      </c>
      <c r="D15" t="inlineStr">
        <is>
          <t>indeed</t>
        </is>
      </c>
      <c r="E15" t="inlineStr"/>
      <c r="F15" t="inlineStr"/>
      <c r="G15" t="inlineStr">
        <is>
          <t>Nashville, TN, US</t>
        </is>
      </c>
      <c r="H15" s="2" t="n">
        <v>46055</v>
      </c>
      <c r="I15" t="inlineStr">
        <is>
          <t>**Company Overview**
====================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**Job Category**
================
Sales, Marketing \&amp; Product Management**Position Summary**
====================
Product leader will drive Fleet Care Customer Portal initiatives, applying a digital layer to Bridgestone products and services to facilitate ease of use and support for internal, customer, and third\-party integrators. Aligned to the Digital Experience North Star, the fleet portal vision is designed to provide a seamlessly integrated and frictionless commercial fleet management experience.**Responsibilities**
====================
* Portal: Create an enterprise front\-end experience, seamless login (SSO) across all major Bridgestone and participating third\-party entities and platforms.
* Design and User Experience: collaborate with digital marketing teams to enable an enterprise “Bridgestone” experience.
* System Integration: Connect seamlessly with fleet dispatch systems, dealer POS, and procurement systems to streamline operations. API and webhook catalog, internal and third\-party integrations, including fleet management systems (FMS).
* Data and Insights: Render dashboards that facilitate data\-driven decision\-making and substantiate enterprise value creation across multiple platforms.
* Service Event Management: Render user interface and dashboard that facilitates real\-time service scheduling and reporting for routine and emergency tire services.
* Streamline billing processes, making it easier to reconcile and resolve invoices.
* Drive fleet service compliance and performance monitoring to support network SLAs.
Activities
* Leads product lifecycle activities, including vision, strategy, and roadmap.
* Serves as liaison between customers, business, technical and design teams, leading cross\-functional initiatives and managing task, blockers, and dependencies.
* Gathers stakeholder and customer needs and translates into clear product requirements and business cases.
* Manages Product Owner(s) and engagements with internal and external development partner (vendor management) to ensure timely and quality product delivery.
* Develops and maintains a curated product backlog that maximizes value and aligns with product vision, strategy, and internal and external customer needs.
* Responsible for driving items through development funnel and stage gate management, ensuring governance measures and control changes are adhered to in the delivery cycle.
* Escalates questions/concerns/delays to stakeholders for resolution.
* Tracks and manages implementations, change requests, and release schedules.
* Supports sales, customer success, and operation leads on customer initiatives, including discovery, delivery, and on\-boarding cycles.
* Communicates and updates stakeholders on product goals, backlog status, and release schedules.
**Minimum Qualifications**
==========================
* Undergraduate degree in business or related field; MBA Preferred.
* 10\+ Years of professional experience, with emphasis on Product Management / Project Management for software and / or subscription products.
* Experience with software solutions for automotive and/or commercial fleets a plus
* Experience leading product activities with onshore and offshore technical resources.
* People leader with demonstrated success leading complex cross\-functional teams, comprised of diverse internal and third\-party party groups.
* Proficient with financial analysis; able to drive a business case exercise in partnership with finance to drive investment decisions across innovation framework (stage gate).
* Exceptional communication skills; comfortable developing content and driving discussions and customer engagements with technical and business stakeholders.
* High\-energy, self\-directed, and collaborative.
* Ability to travel, as needed.
**At Bridgestone, you are Free to Be**
We believe people can only provide superior service and quality to others when they bring their whole self to work. We believe in championing all perspectives, individuals and teams because we understand the importance of seeing the world and our business through many different lenses. We are building a team as diverse as the world we serve. So, show us what you are made of, because who you are is what we need.
**What we offer**
=================
At Bridgestone, what really matters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compensation; we will provide you:
* A supportive and engaging onboarding experience to ensure a smooth transition into our team.
* The opportunity to develop and grow, through training and regular mentorship.
* Corporate Social Responsibility activities.
* A truly global, dynamic and challenging work environment.
* Agility and work/life effectiveness and your long\-term well\-being.
* A diverse and inclusive team.
*Bridgestone is proud to be an Equal Employment Opportunity employer. It is our policy to consider for employment all individuals regardless of age, color, national origin, citizenship status, physical or mental disability, race, religion, gender, sex, sexual orientation, gender identity and/or expression, genetic information, veteran status, or any other characteristic protected by federal, state or local law.*
**Employment Eligibility**
If hired, a Form I\-9 Employment Eligibility Verification must be completed at the start of employment. Temporary work authorization or the need for sponsorship may disqualify you from employment.</t>
        </is>
      </c>
    </row>
    <row r="16">
      <c r="A16" t="inlineStr">
        <is>
          <t>in-00c9e386786b5e78</t>
        </is>
      </c>
      <c r="B16" t="inlineStr">
        <is>
          <t>Product Stewardship Program Manager</t>
        </is>
      </c>
      <c r="C16" t="inlineStr">
        <is>
          <t>Align Technology</t>
        </is>
      </c>
      <c r="D16" t="inlineStr">
        <is>
          <t>indeed</t>
        </is>
      </c>
      <c r="E16" t="inlineStr"/>
      <c r="F16" t="inlineStr"/>
      <c r="G16" t="inlineStr">
        <is>
          <t>San Jose, CA, US</t>
        </is>
      </c>
      <c r="H16" s="2" t="n">
        <v>46055</v>
      </c>
      <c r="I16" t="inlineStr">
        <is>
          <t>### **Description**
We are looking hire a Product Stewardship Program Manager. This individual will reporting directly to the Director, EHS \&amp; Sustainability.### **Role expectations**
Regulatory Intelligence \&amp; Governance* Develop and maintain a proactive global regulatory monitoring process across chemical regulations, packaging, EPR, PFAS, sustainability standards, and emerging global requirements.
* Translate regulatory developments into clear business impacts, timelines, and action plans for product teams.
* Support development of policies, guidance, and governance frameworks for product compliance and stewardship programs.
Product Compliance \&amp; Risk Assessment* Evaluate materials, components, and product designs for compliance with regulations such as REACH, RoHS, TSCA, GHS/CLP, and global EPR laws.
* Conduct chemical hazard assessments, product sustainability risk reviews, and business impact analyses for new and existing products.
* Provide early\-stage guidance to R\&amp;D to ensure compliance and sustainability requirements are met before commercialization.
Supplier Engagement \&amp; Data Management* Lead processes for collecting, validating, and managing material, chemical, and sustainability data from suppliers while safeguarding confidential information.
* Establish supplier compliance procedures including documentation audits and verification of regulatory claims.
* Support development and management of internal databases and tools for product data, chemical disclosures, and regulatory documentation.
 Sustainability Integration* Partner with cross functional teams to support LCAs, EPDs, HPDs, restricted substance evaluations, packaging sustainability programs, and corporate sustainability reporting.
* Provide product\-level sustainability insights to support Align’s broader chemical compliance goals.
* Support the management of digital tools for regulatory monitoring, compliance management, and data automation.
* Leverage digital platforms including artificial intelligence to enhance overall product compliance posture.
* Manage external consultants and support relationships with trade associations, regulatory forums, and industry groups.
* Communicate compliance status and risks to leadership with clear, actionable insights.
### **What we're looking for**
* BS/MS in Environmental Science, Chemistry, Chemical Engineering, Toxicology, Law, or related field.
* 6\-10 years of relevant experience in environmental science, product stewardship, chemical regulatory compliance, sustainability compliance, or risk assessment.
* Strong knowledge of global regulatory frameworks (REACH, TSCA, RoHS, GHS/CLP, EPR, packaging regulation, etc.).
* Experience supporting sustainability programs (LCAs, EPDs, HPDs, RSL management, ISO standards).
* Proven ability to interpret regulatory requirements and apply them to product design and supply\-chain decisions.
* Strong communication skills with experience influencing cross\-functional stakeholders.
* Demonstrated ability to manage complex workloads and ambiguous problems using a risk\-based approach.
Complementary skills* Experience with compliance management systems or regulatory databases.
* Strong analytical, documentation, and data governance skills.
* Ability to work effectively within a large, multinational organization.
* Commercial awareness with the ability to balance compliance and business needs.
* Willingness to travel as needed.
### **Pay Transparency**
If provided, base salary or wage rate ranges are the range in which Align reasonably expects to set a candidate’s pay for the posted position. Actual placement depends on the individual skills and experience level of a candidate plus the total compensation and equity across team members. For other locations outside of the primary location, the base salary range will be adjusted geographically.
For Field Sales roles, the salary listed is the base pay only and does not include the applicable incentive compensation plan. A cost of living adjustment may be added to base pay for higher cost areas in the U.S.
Our internship hourly rates are a standard pay determined based on the position and your location, year in school, degree, and experience.  
**General Description of All Benefits**
We are pleased to provide a general description of the benefits Align offers to full\-time employees in this position.
Family Benefits. Align offers employees and their eligible dependents medical (with a Health Savings Account option for some plan offerings), dental, and vision in accordance with those plans. Align also offers to employees:* Discounts on Invisalign and Vivera to employees and their eligible dependents after 90 days of employment
* Back\-up Child/Elder Care and access to a caregiving concierge
* Family Forming Benefits – Available to Employees, and their spouse or domestic partner, covered under one of Align’s health plans
* Breast Milk Delivery and Lactation Support Services
* Employee Assistance Program
* Hinge Health Virtual Physical Therapy – Available to all employees and eligible dependents (age 18\+) enrolled in an Align medical Plan
Employee benefits. Align offers its employees:* Short\-term and long\-term disability insurance in accordance with those plans.
* Basic Life Insurance and Accidental Death and Dismemberment. Voluntary Supplemental Life Insurance for Employee, Spouse/Domestic Partner, and Child(ren) are available for purchase in accordance with those plans.
* Flexible Spending Accounts– Employees may be eligible to participate in a health care account (including a limited health FSA if enrolled in a HDHP), dependent care account, and a pre\-tax commuter benefit plan.
* 401k plan (with a discretionary Company match of 50% up to 6% of eligible earnings up to a maximum match of 3%.). Employer match vests after two years – 25% year one and 100% at year two. Align offers traditional, Roth, and after\-tax options.
* Employee Stock Purchase Program (Employees must work 20 hours or more and be employed on purchase date to be eligible).
* Paid vacation of up to 17 days during the first full year of employment (currently accrued at the rate of 5\.24 hours each pay\-period), which carries over to a maximum cap of 30 days. Annual paid vacation time accrual increases based on tenure. Both exempt and non\-exempt employees who work 32 hours or more per week receive prorated vacation accrual based on their regularly scheduled work hours and tenure.
* Sick time is accrued throughout the year at the rate of one hour for every thirty worked. Employees can carry over unused sick leave each year, up to a maximum balance of 80 hours.
* 11 Company\-designated paid holidays throughout the year.
* If employed for at least 12 consecutive months, Align will grant up to 6 weeks of paid Parental Leave. If employed for less than 12 consecutive months, Align will grant up to 4 weeks of paid Parental Leave. All parental leave must be completed within one year of the birth or placement of the child. Parental leave is in addition to any state and/or local parental leave benefits. Three days of paid bereavement leave. In some cases, due to travel the amount of paid leave may be extended to 5 paid days off. To the extent applicable state or local law offers more generous benefits, Align complies with any such law.
* Non\-exempt employees will receive full pay for up to 10 days of jury duty. Exempt employees will receive their full salary during any week they serve and perform any work. Other insurance such as legal, critical illness, voluntary accident, long\-term care, auto, home and pet insurance are available for purchase.
To the extent applicable state or local law offers more generous benefits, Align complies with any such law.###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 Employee\-exclusive discounts on Invisalign products.
* Learning opportunities through online learning resources and support for your individual development plans.
*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is>
      </c>
    </row>
    <row r="17">
      <c r="A17" t="inlineStr">
        <is>
          <t>in-c077a5c82efe0407</t>
        </is>
      </c>
      <c r="B17" t="inlineStr">
        <is>
          <t>Senior Product Manager, Emerging Products</t>
        </is>
      </c>
      <c r="C17" t="inlineStr">
        <is>
          <t>Jerry.AI</t>
        </is>
      </c>
      <c r="D17" t="inlineStr">
        <is>
          <t>indeed</t>
        </is>
      </c>
      <c r="E17" t="inlineStr"/>
      <c r="F17" t="inlineStr"/>
      <c r="G17" t="inlineStr">
        <is>
          <t>Boston, MA, US</t>
        </is>
      </c>
      <c r="H17" s="2" t="n">
        <v>46055</v>
      </c>
      <c r="I1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18">
      <c r="A18" t="inlineStr">
        <is>
          <t>in-d3a80ab8abaf8534</t>
        </is>
      </c>
      <c r="B18" t="inlineStr">
        <is>
          <t>Senior Product Manager, Emerging Products</t>
        </is>
      </c>
      <c r="C18" t="inlineStr">
        <is>
          <t>Jerry.AI</t>
        </is>
      </c>
      <c r="D18" t="inlineStr">
        <is>
          <t>indeed</t>
        </is>
      </c>
      <c r="E18" t="inlineStr"/>
      <c r="F18" t="inlineStr"/>
      <c r="G18" t="inlineStr">
        <is>
          <t>Palo Alto, CA, US</t>
        </is>
      </c>
      <c r="H18" s="2" t="n">
        <v>46055</v>
      </c>
      <c r="I1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19">
      <c r="A19" t="inlineStr">
        <is>
          <t>in-a57a188f1a3d9e2a</t>
        </is>
      </c>
      <c r="B19" t="inlineStr">
        <is>
          <t>Senior Product Manager, Emerging Products</t>
        </is>
      </c>
      <c r="C19" t="inlineStr">
        <is>
          <t>Jerry.AI</t>
        </is>
      </c>
      <c r="D19" t="inlineStr">
        <is>
          <t>indeed</t>
        </is>
      </c>
      <c r="E19" t="inlineStr"/>
      <c r="F19" t="inlineStr"/>
      <c r="G19" t="inlineStr">
        <is>
          <t>Chicago, IL, US</t>
        </is>
      </c>
      <c r="H19" s="2" t="n">
        <v>46055</v>
      </c>
      <c r="I1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20">
      <c r="A20" t="inlineStr">
        <is>
          <t>in-52df916631e7b22b</t>
        </is>
      </c>
      <c r="B20" t="inlineStr">
        <is>
          <t>Senior Product Manager, Emerging Products</t>
        </is>
      </c>
      <c r="C20" t="inlineStr">
        <is>
          <t>Jerry.AI</t>
        </is>
      </c>
      <c r="D20" t="inlineStr">
        <is>
          <t>indeed</t>
        </is>
      </c>
      <c r="E20" t="inlineStr"/>
      <c r="F20" t="inlineStr"/>
      <c r="G20" t="inlineStr">
        <is>
          <t>Los Angeles, CA, US</t>
        </is>
      </c>
      <c r="H20" s="2" t="n">
        <v>46055</v>
      </c>
      <c r="I2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21">
      <c r="A21" t="inlineStr">
        <is>
          <t>in-00af7e759ba320fb</t>
        </is>
      </c>
      <c r="B21" t="inlineStr">
        <is>
          <t>Senior Product Manager, Emerging Products</t>
        </is>
      </c>
      <c r="C21" t="inlineStr">
        <is>
          <t>Jerry.AI</t>
        </is>
      </c>
      <c r="D21" t="inlineStr">
        <is>
          <t>indeed</t>
        </is>
      </c>
      <c r="E21" t="inlineStr"/>
      <c r="F21" t="inlineStr"/>
      <c r="G21" t="inlineStr">
        <is>
          <t>New York, NY, US</t>
        </is>
      </c>
      <c r="H21" s="2" t="n">
        <v>46055</v>
      </c>
      <c r="I2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22">
      <c r="A22" t="inlineStr">
        <is>
          <t>in-e559ba3dfdc00bdc</t>
        </is>
      </c>
      <c r="B22" t="inlineStr">
        <is>
          <t>Sr. Quality Program Manager (Cardiac Electrophysiology)</t>
        </is>
      </c>
      <c r="C22" t="inlineStr">
        <is>
          <t>Medtronic</t>
        </is>
      </c>
      <c r="D22" t="inlineStr">
        <is>
          <t>indeed</t>
        </is>
      </c>
      <c r="E22" t="inlineStr"/>
      <c r="F22" t="inlineStr"/>
      <c r="G22" t="inlineStr">
        <is>
          <t>Mounds View, MN, US</t>
        </is>
      </c>
      <c r="H22" s="2" t="n">
        <v>46055</v>
      </c>
      <c r="I22" t="inlineStr">
        <is>
          <t>We anticipate the application window for this opening will close on \- 23 Feb 2026  
At Medtronic you can begin a life\-long career of exploration and innovation, while helping champion healthcare access and equity for all. You’ll lead with purpose, breaking down barriers to innovation in a more connected, compassionate world.
**A Day in the Life**
=====================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Join Medtronic as a Senior Quality Program Manager – Quality Core Team Member (QCTM) and be at the forefront of transforming lives through advanced medical technology. In this highly visible role, you will serve as the Quality Core Team Member for complex cardiac electrophysiology programs, working in close partnership with R\&amp;D, Systems Engineering, Manufacturing, Regulatory, Clinical, and Operations to drive the successful development, transfer, and sustainment of Affera products.
By blending technical quality expertise , program leadership , and a deep commitment to patient safety, regulatory compliance, and design excellence , you will play a critical role in ensuring robust design execution and high‑quality product delivery as Affera technology continues to scale globally.  
**Primary Responsibilities**
* Acts as the Quality Core Team Member (QCTM) and program‑level Quality lead for assigned product development programs, with accountability for quality strategy, execution, and outcomes across the full product lifecycle.
* Plans, directs, and oversees all Quality aspects of design and development , ensuring compliance with Medtronic policies, global regulatory requirements, and applicable quality system regulations.
* Leads and integrates Quality program planning , including design control strategy, design verification planning, risk management planning, design transfer readiness, and post‑market quality considerations.
* Provides Quality leadership for design verification and validation activities , including review and approval of test strategies, protocols, methods, execution readiness, and test results.
* Ensures robust test method development, qualification, and validation , partnering with engineering, manufacturing, and suppliers to establish reliable, reproducible, and compliant methods.
* Owns and drives product and process risk management activities , including hazard analysis, FMEAs, and risk/benefit assessments, ensuring alignment with system architecture, clinical intent, and real‑world use.
* Leads Quality oversight for design transfer , collaborating with manufacturing, supplier quality, operations, and regulatory partners to ensure product and process readiness for commercialization.
* Guides cross‑functional teams through phase gate reviews , design reviews, and key quality decision points, providing clear recommendations and risk‑based decision support.
* Monitors and ensures the integrity of design history file (DHF) documentation , traceability, and configuration management throughout the development lifecycle.
* Coordinates Quality activities with external suppliers, test labs, and consultants , ensuring timely delivery, compliance, and risk mitigation.
* Identifies gaps, risks, and improvement opportunities within Quality processes and program execution; drives corrective actions and continuous improvement initiatives.
* Is a mentor, leader or direct manager to earlier career QCTMs
* Other duties may be assigned
**Required Qualifications**
* Bachelor's degree and a minimum of 7 years of relevant experience
* OR an advanced degree with a minimum of 5 years of relevant experience
**Preferred Qualifications**
* Experience working with Class III medical devices .
* Broad knowledge of Quality systems and product development , with mastery in at least one technical or professional discipline and working knowledge across adjacent functions.
* Proven experience leading cross‑functional, matrixed teams on complex product development programs .
* Strong understanding of design controls, design verification and validation, risk management, test methods, and design transfer .
**\#LI\-MDT**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(USD):$168,800\.00 \- $253,200\.00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3">
      <c r="A23" t="inlineStr">
        <is>
          <t>in-83a7eec49046158f</t>
        </is>
      </c>
      <c r="B23" t="inlineStr">
        <is>
          <t>Client Program Manager</t>
        </is>
      </c>
      <c r="C23" t="inlineStr">
        <is>
          <t>Avetta</t>
        </is>
      </c>
      <c r="D23" t="inlineStr">
        <is>
          <t>indeed</t>
        </is>
      </c>
      <c r="E23" t="inlineStr"/>
      <c r="F23" t="inlineStr"/>
      <c r="G23" t="inlineStr">
        <is>
          <t>Remote, US</t>
        </is>
      </c>
      <c r="H23" s="2" t="n">
        <v>46055</v>
      </c>
      <c r="I23" t="inlineStr">
        <is>
          <t>**If residing within commutable distance to one of our offices, a hybrid schedule would be required (3 days in office, 2 days work from home). Those outside of commutable distance may be considered on a remote basis.**
SUMMARY:
Avetta's SaaS platform connects the world's leading organizations with qualified suppliers, contractors, and vendors. We bring unmatched visibility to companies through cloud\-based technology and human insights to improve supply chair risk and compliance. As a result, we foster sustainable growth for businesses and their supply chains globally. Our SaaS subscription software is used by 85k\+ active customers in over 100 countries.
The **Client Program Manager** will own strategic and key client accounts, combining program management expertise with client success leadership. This role ensures the delivery of large\-scale SaaS client programs while driving adoption, retention, and growth. Acting as both a trusted advisor and program leader, you will coordinate cross\-functional teams, manage complex initiatives, and maintain strong client relationships to maximize value and impact.
ESSENTIAL DUTIES AND RESPONSIBILITIES:
Program Management
* Develop, implement, and maintain program initiatives aligned with organizational objectives.
* Oversee multiple projects and teams within strategic client programs, ensuring goals are met or exceeded.
* Collaborate with sponsors and cross\-functional teams to define scope, deliverables, resources, timelines, and work plans.
* Monitor program performance, identify risks, and implement mitigation strategies.
* Provide detailed management reporting and status updates to stakeholders.
Client Success
* Serve as the primary voice for strategic clients, nurturing relationships and identifying additional stakeholders.
* Conduct regular Success Planning and QBR sessions to demonstrate value and define next steps.
* Act as a trusted advisor on product functionality, best practices, and program recommendations.
* Drive adoption and expansion of Avetta's platform through proactive engagement and training.
* Partner with Account Management, Implementation, and Professional Services to support growth and mitigate risk.
* Advocate for client needs internally, influencing process and product improvements.
* Collaborate closely with regional Client Success Managers on global complex initiatives to ensure regional execution and alignment success.
Leadership \&amp; Collaboration
* Mentor and guide team members on best practices and process improvements.
* Participate in special projects, NPIs, and cross\-functional initiatives to enhance efficiency and scalability.
* Use data\-driven insights to inform decisions and strategies.
PREFERRED QUALIFICATIONS:
* 8 years of combined program management and client success experience in a SaaS environment.
* Proven ability to manage multiple programs and major enterprise accounts concurrently.
* Strong communication, leadership, and organizational skills.
* Experience with Wrike, Jira, Confluence, SFDC, and CRM tools.
* Ability to travel minimum 10%.
IDEAL EDUCATION \&amp; TRAINING:
* Bachelor's degree in business or related field (MBA preferred).
* PMP certification or equivalent experience.
At Avetta, we are committed to salary transparency to ensure equitable hiring practices and promote trust. The salary range included in this job posting is based on internal and market data and the role's responsibilities. The final compensation offered to a candidate will be determined by several factors, including work location, job\-related skills, experience, and relevant education or training.
The salary range for this position is $90,000 \- $115,000 USD per year, with a potential bonus.
We also offer a comprehensive benefits package, which includes health, dental and vision insurance, 401(k), and PTO.
Avetta is an equal opportunity employer and values diversity. We encourage individuals from all backgrounds and experiences to apply.
To apply for the Client Program Managerposition, please submit your online application by March 31, 2026 PM PST.
\#LI\-REMOTE</t>
        </is>
      </c>
    </row>
    <row r="24">
      <c r="A24" t="inlineStr">
        <is>
          <t>in-de8e45fcfde1c3e7</t>
        </is>
      </c>
      <c r="B24" t="inlineStr">
        <is>
          <t>Senior Staff Product &amp; Program Manager, Autonomy Sensing</t>
        </is>
      </c>
      <c r="C24" t="inlineStr">
        <is>
          <t>Aurora Innovation</t>
        </is>
      </c>
      <c r="D24" t="inlineStr">
        <is>
          <t>indeed</t>
        </is>
      </c>
      <c r="E24" t="inlineStr"/>
      <c r="F24" t="inlineStr"/>
      <c r="G24" t="inlineStr">
        <is>
          <t>Mountain View, CA, US</t>
        </is>
      </c>
      <c r="H24" s="2" t="n">
        <v>46055</v>
      </c>
      <c r="I24"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Technical Product \&amp; Program manager who will work with our Autonomy Sensing team.
**In this role, you will**
* Lead large cross\-functional programs that are predominantly driven by Autonomy Sensing/Perception engineering scope. This includes programs to expand the Aurora Driver's Weather ODD and to expand Perception capabilities as the Aurora Driver operates on more advanced hardware kits and scales to new geographies.
* Deeply understand the company\-level roadmap and translate this into a Sensing/Perception technical roadmap with clear milestones and metrics.
* Deeply understand customer and business needs and use this understanding to prioritize work across the Sensing/Perception organization. Help facilitate tradeoff discussions based on awareness of engineering effort and product needs (ROI awareness).
* Own the overlap of technical roadmaps among partner teams within Autonomy Sensing including: Perception, Machine Learning Data Engine, and Sensor Simulation to define the required evolution of data sourcing, simulation, model training, and testing. Ensure this roadmap allows the team to deliver on company level goals.
* Provide strategic guidance on make/buy data decisions. Influence a strategy for real world sourcing versus simulation by exploring all available options and presenting possible solutions.
* Author PRDs to define product requirements for the Sensing/Perception team. Define new metrics and dashboards to improve how we measure and track execution. Own program schedules, program reviews, and executive communications.
* Identify key bottlenecks within Autonomy Sensing from both a staffing perspective as well as a process perspective. Propose solutions for eliminating bottlenecks and accelerating output.
* Serve as a thought leader in both the Product Management and Program Management space by providing best\-in\-class PM and TPM leadership, mentorship, and product/program execution.
* Understand technical implementation at the architectural level and propose technical alternatives when necessary; ask questions that clarify priorities and push the team to be effective.
**Required Qualifications**
* Minimum of 7 years experience as a Technical Program Manager, Technical Product Manager, Engineering Manager, or Engineer in an autonomous systems, robotics, machine learning, or software development environment.
* Bachelor's degree in Engineering, Computer Science, Math, Information Systems or a related area, or the equivalent in experience with evidence of exceptional ability preferred.
* A strong familiarity with robotics or computer vision systems and their architecture or broad background with ML or data systems.
* Solid technical aptitude and an ability to understand technical designs, software development lifecycle, challenges and risks; ability to work closely with engineers.
The base salary range for this position is $197K\-$285K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\#LI\-SP1
\#Director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25">
      <c r="A25" t="inlineStr">
        <is>
          <t>in-2ff63384019224f9</t>
        </is>
      </c>
      <c r="B25" t="inlineStr">
        <is>
          <t>Lead Product Manager- Data Platforms (P2507)</t>
        </is>
      </c>
      <c r="C25" t="inlineStr">
        <is>
          <t>84.51°</t>
        </is>
      </c>
      <c r="D25" t="inlineStr">
        <is>
          <t>indeed</t>
        </is>
      </c>
      <c r="E25" t="inlineStr"/>
      <c r="F25" t="inlineStr"/>
      <c r="G25" t="inlineStr">
        <is>
          <t>Chicago, IL, US</t>
        </is>
      </c>
      <c r="H25" s="2" t="n">
        <v>46055</v>
      </c>
      <c r="I25"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The Data Platform team at 84\.51° and Kroger is seeking a Lead Product Manager for Asynchronous File Movement product space. This role will lead the file movement strategy, aligning capabilities governing enterprise‑wide data movement that collectively moves hundreds of thousands of files each month across our data ecosystems at 84\.51˚ and Kroger.
The **Lead Product Manager** will own outcomes (not outputs) by defining the right problems, validating solutions with users, and delivering measurable value—balancing time‑to‑value, cost, reliability, security, compliance, and long‑term strategic impact to ensure product direction aligns with business priorities and cross‑organizational goals.
 **RESPONSIBILITIES****:**
* Shape long‑term product vision, connecting platform capabilities to broader business objectives while ensuring alignment across user needs and strategy is understood, supported, and executable.
* Maintains a 12\-month delivery roadmap that clearly articulates how the work progresses strategic outcomes and integrates business priorities, user research/needs, and cross functional dependencies.
* Translate business goals, user needs, and technical constraints into product requirements and acceptance criteria with clear definitions of done and crisp functional \&amp; nonfunctional requirements.
* Partner with the Data Program leadership, as well as engineering and data science leads, to plan quarters/cycles/sprints and ensure efficient, predictable delivery.
* Own, define, and evolve core data platform file movement capabilities, including:
	+ Fast, asynchronous data movement with smooth ingestion, built in observability and data quality checks.
	+ Asynchronous and self\-service file movement in and out of our four walls, between applications, data platforms, and cloud tenants across the 84\.51˚ and Kroger enterprise.
* Monitors leading and lagging indicators for product health: adoption/activation/engagement, reliability \&amp; operability.
* Tracks user sentiment via industry standard metrics (such as SUS or NPS); using insights to influence product strategy, vision, and priorities.
* Maintain a customer panel and map key stakeholders (architecture, governance, security/privacy, finance, operations, vendors).
* Build and maintain a strong cross functional communication plan ensuring alignment between users, Kroger, 84\.51°, vendors, and adjacent product teams.
* Maintain core product artifacts such as vision one‑pager; strategy brief; metrics tree/OKRs, operational readiness checklist (monitoring, alerts, runbooks, support model), etc.
* Analyze product usage and operational data to inform prioritization, measure value, and guide iteration
* Drive adoption across internal teams through documentation, enablement, demos, and feedback loops; remove friction points and champion best practice.
**Applicants for employment in the US must have work authorization that does not now or in the future require sponsorship of a visa for employment authorization in the United Stated and with the Kroger Family of Companies (i.e. H1\-B visa, F\-1 visa (OPT), TN visa or any other non\-immigrant status).**
**QUALIFICATIONS, SKILLS, AND EXPERIENCE****:**
* Professional experience leading product strategy for internal, enterprise\-level data platform capabilities.
* Professional experience managing highly technical development teams in an agile environment.
* Professional experience aligning and influencing cross\-functional teams across organizational boundaries to ensure seamless execution beyond your immediate scrum team.
* Capable of evangelizing product purpose, strategic impact, and customer value with executive\-ready narratives; user enablement; visible decision records, etc.
* Skilled in managing technical tradeoffs (scale, reliability, latency, data contracts, data quality, isolation, and FinOps/cost requirements) against long term plan and strategy.
* General technical acumen, able to efficiently converse with software engineers, data engineers, and, data scientists to understand their development processes.
* Skilled in managing end\-to\-end software product development.
* Skilled in problem solving, analytic thinking, and creativity.
* Skilled in planning, organization, and verbal/written business communication.
* Skilled in maintaining a positive leader persona in ambiguous and changing environments.
* Skilled in quickly flexing between technical and business stakeholder conversations, adapting to a variety of audiences.
* Demonstrated excellence as a teammate and leader.
* 4\-6 years relevant experience
* Education: Bachelor's degree or higher or equivalent professional experience.
\#LI\-EB1</t>
        </is>
      </c>
    </row>
    <row r="26">
      <c r="A26" t="inlineStr">
        <is>
          <t>in-bfbb439515295699</t>
        </is>
      </c>
      <c r="B26" t="inlineStr">
        <is>
          <t>Clinical Senior Living Program Manager (Nurse / Therapist)</t>
        </is>
      </c>
      <c r="C26" t="inlineStr">
        <is>
          <t>BAYADA Home Health Care</t>
        </is>
      </c>
      <c r="D26" t="inlineStr">
        <is>
          <t>indeed</t>
        </is>
      </c>
      <c r="E26" t="inlineStr"/>
      <c r="F26" t="inlineStr"/>
      <c r="G26" t="inlineStr">
        <is>
          <t>Salisbury, NC, US</t>
        </is>
      </c>
      <c r="H26" s="2" t="n">
        <v>46055</v>
      </c>
      <c r="I26" t="inlineStr">
        <is>
          <t>**BAYADA Senior Living Solutions**, a specialty offering of BAYADA Home Health Care, was created to address the unique needs of senior living communities, and their residents, in several significant ways. As the **Senior Living Program Manager**, you will be a dynamic influencer managing solutions for communities and their residents throughout our unique continuum of care in Senior Living***.***
Are you a solutions\-oriented, team\-focused **Registered Nurse, Licensed Practical Nurse or Therapist (Physical Therapist, Occupational Therapist, Speech Language Pathologist, Physical Therapy Assistant or Certified Occupational Therapy Assistant)?** Do you have a passion for relationship development and the ability to create alignment to common goals across multiple levels of management? Would you like to be viewed as a trusted advisor and senior living expert with the conviction to deliver an exceptional product to customers and clients? If so, the Senior Living Program Manager position may be the opportunity you have been searching for!
**Territory:** Davidson, Rowan, Iredell, and Catawba counties, NC
**Responsibilities:**
As the **Senior Living** **Program Manager,** you will be a key team member developing and implementing unique solutions to help the communities and residents we serve meet their goals. Additionally, you will exemplify our commitment to excellence by strategically treating patients and ensuring best practices are carried out by all team members to deliver on our differentiated offerings. Through the utilization of outcome driven data analytics, this role will analyze key metrics and develop plans to create customized programming and offerings for those we serve. Opportunities for advancement are in place with a career ladder to inspire professional growth.
**Qualifications:**
* Current NC licensure as a Registered Nurse, Licensed Practical Nurse, Physical Therapist, Occupational Therapist, Speech Language Pathologist, Physical Therapy Assistant or Certified Occupational Therapy Assistant
* Demonstrated business development experience strongly preferred
* Strong communication skills across multiple levels and multiple platforms
* Home Health and/ or Outpatient experience is desirable
BAYADA believes that our employees are our greatest asset:
* BAYADA offers a comprehensive benefits plan that includes the following: Paid holidays, vacation and sick leave, vision, dental and medical health plans, employer paid life insurance, 401k with company match, direct deposit and employee assistance program.
\#LIRX
 **As an accredited, regulated, certified, and licensed home health care provider, BAYADA complies with all state/local mandates.**
BAYADA is celebrating 50 years of compassion, excellence, and reliability. Learn more about our 50th anniversary celebration and how you can join in here.
BAYADA Home Health Care, Inc., and its associated entities and joint venture partners, are Equal Opportunity Employers. All employment decisions are made on a non\-discriminatory basis without regard to sex, race, color, age, disability, pregnancy or maternity, sexual orientation, gender identity, citizenship status, military status, or any other similarly protected status in accordance with federal, state and local laws. Hence, we strongly encourage applications from people with these identities or who are members of other marginalized communities.</t>
        </is>
      </c>
    </row>
    <row r="27">
      <c r="A27" t="inlineStr">
        <is>
          <t>in-90a3fe3a95dbda0d</t>
        </is>
      </c>
      <c r="B27" t="inlineStr">
        <is>
          <t>Senior Product Manager, Consumer Products</t>
        </is>
      </c>
      <c r="C27" t="inlineStr">
        <is>
          <t>Jerry.AI</t>
        </is>
      </c>
      <c r="D27" t="inlineStr">
        <is>
          <t>indeed</t>
        </is>
      </c>
      <c r="E27" t="inlineStr"/>
      <c r="F27" t="inlineStr"/>
      <c r="G27" t="inlineStr">
        <is>
          <t>New York, NY, US</t>
        </is>
      </c>
      <c r="H27" s="2" t="n">
        <v>46055</v>
      </c>
      <c r="I2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28">
      <c r="A28" t="inlineStr">
        <is>
          <t>in-c807a22115adeb24</t>
        </is>
      </c>
      <c r="B28" t="inlineStr">
        <is>
          <t>Senior Product Manager, Consumer Products</t>
        </is>
      </c>
      <c r="C28" t="inlineStr">
        <is>
          <t>Jerry.AI</t>
        </is>
      </c>
      <c r="D28" t="inlineStr">
        <is>
          <t>indeed</t>
        </is>
      </c>
      <c r="E28" t="inlineStr"/>
      <c r="F28" t="inlineStr"/>
      <c r="G28" t="inlineStr">
        <is>
          <t>Chicago, IL, US</t>
        </is>
      </c>
      <c r="H28" s="2" t="n">
        <v>46055</v>
      </c>
      <c r="I2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29">
      <c r="A29" t="inlineStr">
        <is>
          <t>in-488bf4306533280e</t>
        </is>
      </c>
      <c r="B29" t="inlineStr">
        <is>
          <t>Senior Product Manager, Consumer Products</t>
        </is>
      </c>
      <c r="C29" t="inlineStr">
        <is>
          <t>Jerry.AI</t>
        </is>
      </c>
      <c r="D29" t="inlineStr">
        <is>
          <t>indeed</t>
        </is>
      </c>
      <c r="E29" t="inlineStr"/>
      <c r="F29" t="inlineStr"/>
      <c r="G29" t="inlineStr">
        <is>
          <t>Palo Alto, CA, US</t>
        </is>
      </c>
      <c r="H29" s="2" t="n">
        <v>46055</v>
      </c>
      <c r="I2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30">
      <c r="A30" t="inlineStr">
        <is>
          <t>in-6c772d04f39ca74f</t>
        </is>
      </c>
      <c r="B30" t="inlineStr">
        <is>
          <t>Senior Product Manager, Consumer Products</t>
        </is>
      </c>
      <c r="C30" t="inlineStr">
        <is>
          <t>Jerry.AI</t>
        </is>
      </c>
      <c r="D30" t="inlineStr">
        <is>
          <t>indeed</t>
        </is>
      </c>
      <c r="E30" t="inlineStr"/>
      <c r="F30" t="inlineStr"/>
      <c r="G30" t="inlineStr">
        <is>
          <t>Boston, MA, US</t>
        </is>
      </c>
      <c r="H30" s="2" t="n">
        <v>46055</v>
      </c>
      <c r="I3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31">
      <c r="A31" t="inlineStr">
        <is>
          <t>in-f1e95cae20c9eb92</t>
        </is>
      </c>
      <c r="B31" t="inlineStr">
        <is>
          <t>Senior Product Manager, Consumer Products</t>
        </is>
      </c>
      <c r="C31" t="inlineStr">
        <is>
          <t>Jerry.AI</t>
        </is>
      </c>
      <c r="D31" t="inlineStr">
        <is>
          <t>indeed</t>
        </is>
      </c>
      <c r="E31" t="inlineStr"/>
      <c r="F31" t="inlineStr"/>
      <c r="G31" t="inlineStr">
        <is>
          <t>Los Angeles, CA, US</t>
        </is>
      </c>
      <c r="H31" s="2" t="n">
        <v>46055</v>
      </c>
      <c r="I3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32">
      <c r="A32" t="inlineStr">
        <is>
          <t>in-00856a1e3fb5c178</t>
        </is>
      </c>
      <c r="B32" t="inlineStr">
        <is>
          <t>Senior Product Manager, New Products</t>
        </is>
      </c>
      <c r="C32" t="inlineStr">
        <is>
          <t>Jerry.AI</t>
        </is>
      </c>
      <c r="D32" t="inlineStr">
        <is>
          <t>indeed</t>
        </is>
      </c>
      <c r="E32" t="inlineStr"/>
      <c r="F32" t="inlineStr"/>
      <c r="G32" t="inlineStr">
        <is>
          <t>New York, NY, US</t>
        </is>
      </c>
      <c r="H32" s="2" t="n">
        <v>46055</v>
      </c>
      <c r="I3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33">
      <c r="A33" t="inlineStr">
        <is>
          <t>in-f1272007f69b92bc</t>
        </is>
      </c>
      <c r="B33" t="inlineStr">
        <is>
          <t>Senior Product Manager, New Products</t>
        </is>
      </c>
      <c r="C33" t="inlineStr">
        <is>
          <t>Jerry.AI</t>
        </is>
      </c>
      <c r="D33" t="inlineStr">
        <is>
          <t>indeed</t>
        </is>
      </c>
      <c r="E33" t="inlineStr"/>
      <c r="F33" t="inlineStr"/>
      <c r="G33" t="inlineStr">
        <is>
          <t>Los Angeles, CA, US</t>
        </is>
      </c>
      <c r="H33" s="2" t="n">
        <v>46055</v>
      </c>
      <c r="I3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34">
      <c r="A34" t="inlineStr">
        <is>
          <t>in-bdba1b9a2d4f6140</t>
        </is>
      </c>
      <c r="B34" t="inlineStr">
        <is>
          <t>Senior Product Manager, New Products</t>
        </is>
      </c>
      <c r="C34" t="inlineStr">
        <is>
          <t>Jerry.AI</t>
        </is>
      </c>
      <c r="D34" t="inlineStr">
        <is>
          <t>indeed</t>
        </is>
      </c>
      <c r="E34" t="inlineStr"/>
      <c r="F34" t="inlineStr"/>
      <c r="G34" t="inlineStr">
        <is>
          <t>Boston, MA, US</t>
        </is>
      </c>
      <c r="H34" s="2" t="n">
        <v>46055</v>
      </c>
      <c r="I3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35">
      <c r="A35" t="inlineStr">
        <is>
          <t>in-e445cc3dea2bf3c1</t>
        </is>
      </c>
      <c r="B35" t="inlineStr">
        <is>
          <t>Senior Product Manager, New Products</t>
        </is>
      </c>
      <c r="C35" t="inlineStr">
        <is>
          <t>Jerry.AI</t>
        </is>
      </c>
      <c r="D35" t="inlineStr">
        <is>
          <t>indeed</t>
        </is>
      </c>
      <c r="E35" t="inlineStr"/>
      <c r="F35" t="inlineStr"/>
      <c r="G35" t="inlineStr">
        <is>
          <t>Palo Alto, CA, US</t>
        </is>
      </c>
      <c r="H35" s="2" t="n">
        <v>46055</v>
      </c>
      <c r="I3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36">
      <c r="A36" t="inlineStr">
        <is>
          <t>in-a20c2308629250e7</t>
        </is>
      </c>
      <c r="B36" t="inlineStr">
        <is>
          <t>Senior Product Manager, New Products</t>
        </is>
      </c>
      <c r="C36" t="inlineStr">
        <is>
          <t>Jerry.AI</t>
        </is>
      </c>
      <c r="D36" t="inlineStr">
        <is>
          <t>indeed</t>
        </is>
      </c>
      <c r="E36" t="inlineStr"/>
      <c r="F36" t="inlineStr"/>
      <c r="G36" t="inlineStr">
        <is>
          <t>Chicago, IL, US</t>
        </is>
      </c>
      <c r="H36" s="2" t="n">
        <v>46055</v>
      </c>
      <c r="I3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$150K \- $200K</t>
        </is>
      </c>
    </row>
    <row r="37">
      <c r="A37" t="inlineStr">
        <is>
          <t>in-3f0d1905871d9d8e</t>
        </is>
      </c>
      <c r="B37" t="inlineStr">
        <is>
          <t>Program Manager III Medical Equipment Planner</t>
        </is>
      </c>
      <c r="C37" t="inlineStr">
        <is>
          <t>Seattle Children's</t>
        </is>
      </c>
      <c r="D37" t="inlineStr">
        <is>
          <t>indeed</t>
        </is>
      </c>
      <c r="E37" t="inlineStr"/>
      <c r="F37" t="inlineStr"/>
      <c r="G37" t="inlineStr">
        <is>
          <t>Seattle, WA, US</t>
        </is>
      </c>
      <c r="H37" s="2" t="n">
        <v>46055</v>
      </c>
      <c r="I37" t="inlineStr">
        <is>
          <t>The Program Manager III – Medical Equipment Planner plays a key role within the Planning, Design, and Construction (PDC) team, overseeing the planning, budgeting, procurement, and installation of medical equipment for capital projects. This position ensures equipment needs are effectively coordinated with internal stakeholders, design teams, and vendors while maintaining compliance with standards and timelines. The role supports multiple active projects and is essential to avoiding delays, budget overruns, and procurement errors. Helps ensure consistent project delivery and improved operational efficiency.
The Program Manager III is responsible for management of a specific, highly complex program or group of highly complex programs in a specialty/functional area including scheduling and budgeting activities and works in collaboration with leaders to implement the program's objectives in support of identified goals and the continuous improvement process. Responsible for monitoring the program's effectiveness and mobilizing stakeholders in support of continuous improvement to the program. Leads interdepartmental activities ensuring ongoing effective program operation and/or implementation. Responsible for identifying strategic opportunities to enhance or expand the program, developing plans and presenting proposals to management. Manages the process of executing initiatives essential for the success of the program, including communication with all stakeholders, both internal and external. Oversees and leads teams in support of the program's objectives. This level has wide latitude for independent judgment and decision making in executing on the goals of the program.
Required Education/Experience:
* Bachelor’s Degree in business, health care or related field or equivalent combination of education and experience.
* Seven (7\) years experience in a lead role overseeing program/project management.
* Five (5\) years experience working on quality and process improvement projects with cross\-functional teams; including data collection, analysis and reporting.
* Proven record of leading large project teams through project completion, program planning, execution and status reporting.
* Demonstrated successful experience working with vendors, consultants and other purchased services.
* Knowledge of Lean concepts and methods.
* Experience representing program in management meetings with executive–level program stakeholders.
Required Credentials:
* NA.
Preferred:
* Masters in Health Administration, business, or health care\-related field.
* Project Management Professional (PMP) Certification.
* Awareness of current and emerging trends in project management technologies, techniques, issues and approaches.
* Experience working in public health, health care or social services.
**Compensation Range**
$118,174\.00 \- $177,262\.00 per year**Salary Information**
This compensation range was calculated based on full\-time employment (2080 hours worked per calendar year). Offers are determined by multiple factors including equity, skills, experience, and expertise, and may vary within the range provided.
**Disclaimer for Out of State Applicants**
This compensation range is specific to Seattle, positions located outside of Seattle may be compensated differently depending on various factors**.**
**Benefits Information**
Seattle Children’s offers a generous benefit package, including medical, dental, and vision plans, 403(b), life insurance, paid time off, tuition reimbursement, and more. Additional details on our benefits can be found on our website www.seattlechildrens.org/careers/benefits.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U.S. News \&amp; World Report consistently ranks Seattle Children’s among the nation’s best children’s hospitals. For more than a decade, Seattle Children’s has been nationally recognized in key specialty areas. We are honored to be one of the nation’s very best places to care for children and the top\-ranked pediatric hospital in Washington and the Pacific Northwest.
As a Magnet designated institution,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Seattle Children’s welcomes people of all experiences, backgrounds, and thoughts as this is what drives our spirit of inquiry and allows us to better connect with our patients and families. Our organization recruits, employs, trains, compensates, and promotes based on merit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Seattle Children’s is proud to be an Equal Opportunity Workplace and Affirmative Action Employer.</t>
        </is>
      </c>
    </row>
    <row r="38">
      <c r="A38" t="inlineStr">
        <is>
          <t>in-97e348a73299496d</t>
        </is>
      </c>
      <c r="B38" t="inlineStr">
        <is>
          <t>Staff Technical Program Manager (B2B)</t>
        </is>
      </c>
      <c r="C38" t="inlineStr">
        <is>
          <t>Okta</t>
        </is>
      </c>
      <c r="D38" t="inlineStr">
        <is>
          <t>indeed</t>
        </is>
      </c>
      <c r="E38" t="inlineStr"/>
      <c r="F38" t="inlineStr"/>
      <c r="G38" t="inlineStr">
        <is>
          <t>Washington, DC, US</t>
        </is>
      </c>
      <c r="H38" s="2" t="n">
        <v>46055</v>
      </c>
      <c r="I38"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We're looking for an experienced **Staff** **Technical program Manager (APM)** to support our **Authentication B2B** organization. In this role, you will drive execution and alignment across multiple teams, overseeing the delivery of critical features across Auth0\. This is a high\-impact, hands\-on role where you will **own delivery execution** across programs and ensure **predictability, risk mitigation, and outcome alignment** at scale.
The ideal candidate thrives in complex technical environments, can orchestrate cross\-team work with clarity and agility, and brings strong stakeholder management skills to help teams deliver consistent, high\-value outcomes.
**Key Responsibilities**
------------------------
* **Orchestrate the planning and execution** of B2B Authentication Programs across Engineering, including:
* Ensure **cross\-team coordination** for dependencies, timelines, and deliverables across Developer Integration engineering teams.
* Proactively **identify and help resolve risks, blockers, and communication gaps**; surface critical issues and drive alignment with engineering, TPMs, and PMs.
* Provide **clear and consistent program status updates** to partnering TPMs, PMs, and engineering leadership, focusing on delivery predictability, risks, and key milestones.
\#LI\- Remote
P15462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Okta is committed to complying with applicable data privacy and security laws and regulations. For more information, please see our Personnel and Job Candidate Privacy Notice at https://www.okta.com/legal/personnel\-policy/.</t>
        </is>
      </c>
    </row>
    <row r="39">
      <c r="A39" t="inlineStr">
        <is>
          <t>in-a0082c2d143aef13</t>
        </is>
      </c>
      <c r="B39" t="inlineStr">
        <is>
          <t>Staff Technical Program Manager (B2B)</t>
        </is>
      </c>
      <c r="C39" t="inlineStr">
        <is>
          <t>Okta</t>
        </is>
      </c>
      <c r="D39" t="inlineStr">
        <is>
          <t>indeed</t>
        </is>
      </c>
      <c r="E39" t="inlineStr"/>
      <c r="F39" t="inlineStr"/>
      <c r="G39" t="inlineStr">
        <is>
          <t>Bellevue, WA, US</t>
        </is>
      </c>
      <c r="H39" s="2" t="n">
        <v>46055</v>
      </c>
      <c r="I39"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We're looking for an experienced **Staff** **Technical program Manager (APM)** to support our **Authentication B2B** organization. In this role, you will drive execution and alignment across multiple teams, overseeing the delivery of critical features across Auth0\. This is a high\-impact, hands\-on role where you will **own delivery execution** across programs and ensure **predictability, risk mitigation, and outcome alignment** at scale.
The ideal candidate thrives in complex technical environments, can orchestrate cross\-team work with clarity and agility, and brings strong stakeholder management skills to help teams deliver consistent, high\-value outcomes.
**Key Responsibilities**
------------------------
* **Orchestrate the planning and execution** of B2B Authentication Programs across Engineering, including:
* Ensure **cross\-team coordination** for dependencies, timelines, and deliverables across Developer Integration engineering teams.
* Proactively **identify and help resolve risks, blockers, and communication gaps**; surface critical issues and drive alignment with engineering, TPMs, and PMs.
* Provide **clear and consistent program status updates** to partnering TPMs, PMs, and engineering leadership, focusing on delivery predictability, risks, and key milestones.
\#LI\- Remote
P15462
* Enable **value flow visibility** using delivery metrics (e.g., carryover, WIP, forecast accuracy); partner with engineering to drive continuous improvement.
* Facilitate or support **agile ceremonies,** including backlog refinement, sprint planning, retrospectives, and quarterly planning to improve delivery health and scope alignment.
Maintain strong working relationships with engineering leads, TPMs, and operational partners to ensure consistent delivery and platform health.  
* 
**Skills and Experience**
-------------------------
### **Minimum Qualifications**
* 7\+ years of experience in **technical program Management** or a similar role in software development.
* Proven ability to manage **complex technical programs** involving multiple teams and stakeholders.
Strong technical understanding of end\-to\-end development, including infrastructure automation (e.g., Terraform), and CI/CD processes. Identity Management experience preferred.  
* 
* Skilled in **cross\-functional communication**, risk escalation, and facilitating delivery alignment in agile environments.
* Proficient with tools such as **Jira, Confluence, delivery dashboards**, and metrics\-driven visibility.
### **Preferred Qualifications**
Strong knowledge of Agile Scrum principles and practices. Certification in Agile methodologies, like Certified Scrum Master (CSM) or Professional Scrum Master (PSM) preferred.  
* 
* Ability to analyze and interpret **delivery metrics** to guide teams toward more predictable and mature execution.
* Delivery of **high\-priority, customer\-facing programs** on schedule and with clear stakeholder alignment.
* **Improved predictability and reduced risk** across the Developer Integrations org.
* Increased **visibility into value flow**, enabling better planning, prioritization, and team alignment.
* Proactive communication that **prevents bottlenecks** and ensures **timely escalations** and **decision\-making**.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Okta is committed to complying with applicable data privacy and security laws and regulations. For more information, please see our Personnel and Job Candidate Privacy Notice at https://www.okta.com/legal/personnel\-policy/.</t>
        </is>
      </c>
    </row>
    <row r="40">
      <c r="A40" t="inlineStr">
        <is>
          <t>in-6e3c91a1314d1a11</t>
        </is>
      </c>
      <c r="B40" t="inlineStr">
        <is>
          <t>Professional Compliance Program Manager II</t>
        </is>
      </c>
      <c r="C40" t="inlineStr">
        <is>
          <t>Seattle Children's</t>
        </is>
      </c>
      <c r="D40" t="inlineStr">
        <is>
          <t>indeed</t>
        </is>
      </c>
      <c r="E40" t="inlineStr"/>
      <c r="F40" t="inlineStr"/>
      <c r="G40" t="inlineStr">
        <is>
          <t>Seattle, WA, US</t>
        </is>
      </c>
      <c r="H40" s="2" t="n">
        <v>46055</v>
      </c>
      <c r="I40" t="inlineStr">
        <is>
          <t>Under the direction of the Professional Compliance Officer (CO), this role will develop and oversee key elements of the professional compliance program for Seattle Children's employed and contracted providers, including the Seattle Children's Physician Network (SCPCN).  
The role involves designing, implementing, and managing the SC professional compliance program to ensure that SC providers submitting professional claims adhere to applicable laws, contractual obligations, internal policies, and ethical standards. This includes identifying and leading special compliance projects or investigations related to coding, billing, reimbursement, and other regulatory matters.  
The position contributes to the annual compliance work plan, advises the CO on billing and coding matters, and conducts research and analysis to support compliance decisions. This includes reviewing industry standards and facilitating consultations for policy development or process improvements.  
Key operational functions include managing all components of the SC professional compliance program, while personally performing some components, such as annual audit, ad hoc investigations, as directed by the CO.  
Additional duties include tracking resolutions, identifying trends in compliance issues, and participating in identification of solutions and system changes. The position also tracks OIG work plan issues and CMS billing compliance initiatives, advising the CO on their impact.  
The role may include presenting at board level meetings, large group training, and in interactions with the payer community. This position develops goals, plans, and metrics, ensuring effective communication and implementation of initiatives.  
Represent the Professional Compliance Officer as needed.  
SERIES CONCEPT:  
A program is a specialized area with specific complex components and discrete tasks which distinguish it from the main body of the organization. There is a defined plan to accomplish a particular objective with elements and scope that distinguish it from the usual scope and responsibilities of a department or functional area. The specialized tasks involve interpretation of policies, procedures and regulations, independent functioning and public contact. A program typically has a long\-term focus with an expectation that the plan/program will serve or impact on\-going needs or goals. The primary responsibilities and accountabilities are typically transferable from one program to another. The performance of administrative tasks are in support of the individual's performance specific to the program.
**This is a hybrid remote position and must be based in Washington state.**
 **Required Education and Experience**  
Bachelor's degree in a related field or equivalent combination of education and extensive work experience  
Five years’ experience in healthcare compliance or with progressive responsibility.  
Four years of experience in healthcare management or a supervisory role working with cross\-functional teams, including analysis and reporting to deliver improved outcomes  
Demonstrated experience leading projects, teams, and/or system improvements  
Expert understanding of Federal and State healthcare statutes, regulations, and requirements for Federal healthcare programs, particularly as they relate to professional fee billing, including Teaching Physician Guidelines.  
Experience preparing and presenting information to a variety of roles, including providers, managers, and senior leaders in small or large group settings.  
**Required Credentials**  
Current Coding and/or Medical Records Certification (acceptable credentials include CCS\-P, CPC)  
**Preferred**  
Certification in Health Care Compliance (CHC)
**Compensation Range**
$107,431\.00 \- $161,147\.00 per year**Salary Information**
This compensation range was calculated based on full\-time employment (2080 hours worked per calendar year). Offers are determined by multiple factors including equity, skills, experience, and expertise, and may vary within the range provided.
**Disclaimer for Out of State Applicants**
This compensation range is specific to Seattle, positions located outside of Seattle may be compensated differently depending on various factors**.**
**Benefits Information**
Seattle Children’s offers a generous benefit package, including medical, dental, and vision plans, 403(b), life insurance, paid time off, tuition reimbursement, and more. Additional details on our benefits can be found on our website www.seattlechildrens.org/careers/benefits.
**About Us**
**Hope. Care. Cure. These three simple words capture what we do at Seattle Children’s – to help every child live the healthiest and most fulfilling life possible. Are you ready to engage with a mission\-driven organization that is life\-changing to many, and touches the hearts of all? \#HOPECARECURE**
Our founding promise to the community is as valid today as it was over a century ago: we will care for all children in our region, regardless of the families’ ability to pay. Together, we deliver superior patient care, advance new discoveries and treatments through pediatric research, and serve as the pediatric and adolescent, academic medical center for Washington, Alaska, Montana and Idaho – the largest region of any children’s hospital in the country.  
U.S. News \&amp; World Report consistently ranks Seattle Children’s among the nation’s best children’s hospitals. For more than a decade, Seattle Children’s has been nationally recognized in key specialty areas. We are honored to be one of the nation’s very best places to care for children and the top\-ranked pediatric hospital in Washington and the Pacific Northwest.
As a Magnet designated institution, we recognize the importance of hiring and developing great talent to provide best\-in\-class care to the patients and families we serve. Our organizational DNA takes form in our core values: Compassion, Excellence, Integrity, Collaboration, Equity and Innovation. Whether it’s delivering frontline care to our patients in a kind and caring manner, practicing the highest standards of quality and safety, or being relentlessly curious as we work towards eradicating childhood diseases, these values are the fabric of our culture and community. The future starts here.
**Our Commitment**
Seattle Children’s welcomes people of all experiences, backgrounds, and thoughts as this is what drives our spirit of inquiry and allows us to better connect with our patients and families. Our organization recruits, employs, trains, compensates, and promotes based on merit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people who work at Seattle Children’s are members of a community that seeks to respect and celebrate all the qualities that make each of us unique. Each of us is empowered to be ourselves.
Seattle Children’s is proud to be an Equal Opportunity Workplace and Affirmative Action Employer.</t>
        </is>
      </c>
    </row>
    <row r="41">
      <c r="A41" t="inlineStr">
        <is>
          <t>in-90f863962c8cb556</t>
        </is>
      </c>
      <c r="B41" t="inlineStr">
        <is>
          <t>Senior Product Manager, Core Platform Services &amp; Firmware</t>
        </is>
      </c>
      <c r="C41" t="inlineStr">
        <is>
          <t>SimpliSafe</t>
        </is>
      </c>
      <c r="D41" t="inlineStr">
        <is>
          <t>indeed</t>
        </is>
      </c>
      <c r="E41" t="inlineStr"/>
      <c r="F41" t="inlineStr"/>
      <c r="G41" t="inlineStr">
        <is>
          <t>Boston, MA, US</t>
        </is>
      </c>
      <c r="H41" s="2" t="n">
        <v>46055</v>
      </c>
      <c r="I41" t="inlineStr">
        <is>
          <t>**About SimpliSafe**
We're a high\-tech home security company that's passionate about protecting the life you've built and our mission of keeping Every Home Secure. And we've created a culture here that cares just as deeply about the career you're building. Ours is a no ego culture of collaboration and innovation where those seeking their next challenge can find big opportunities and make a huge impact on the lives of all those who we protect. We don't just want you to work here. We want you to grow and thrive here.
We're embracing a hybrid work model that enables our teams to split their time between office and home. Hybrid for us means we expect our teams to come together in our state\-of\-the\-art office on two core days, typically Tuesday, Wednesday, or Thursday – working together in person and choosing where they work for the remainder of the week. We all benefit from flexibility and get to use the best of both worlds to get our work done.
**Why are we hiring?**
SimpliSafe is continuing to expand the capabilities of our connected security platform to support a growing ecosystem of devices, services, and customer experiences. We're looking for strong product managers to define and evolve the foundational platform capabilities that enable reliable, scalable, and intuitive end\-to\-end customer experiences.
We are hiring a **Senior Product Manager, Core Platform Services \&amp; Firmware** to own the foundational platform capabilities that every SimpliSafe experience depends on. This role defines and drives the roadmap across core cloud systems for device communication and alarm handling, on\-device firmware behavior, and the backend services that support monitoring, diagnostics, OTA updates, and long\-term system reliability.
**About the Role**
Core platform services and firmware form the foundation of every SimpliSafe device, experience, and operational workflow. As a Senior Product Manager in this role, you will define the strategy and roadmap for core platform capabilities, ensuring that backend and firmware investments translate into measurable improvements in reliability, scalability, and customer trust.
You will partner across Firmware, Backend, App, Monitoring, Hardware, and Customer Experience teams to anticipate downstream impacts, align interdependent roadmaps, and make platform decisions that remain reliable as the system scales.
**What You'll Do**
**Own Core Platform Strategy**
* Define and own the roadmap for core platform services and firmware capabilities.
* Establish clear outcomes and KPIs for platform reliability, performance, and system health.
**Lead Cross\-Stack Alignment**
* Partner closely with Firmware and Backend engineering teams to shape priorities and drive cohesive platform outcomes.
* Coordinate platform changes across App, Monitoring, Hardware, and Customer Experience teams to ensure holistic execution and delivery.
* Own end\-to\-end system behaviour across firmware, backend, and downstream experiences to ensure cohesive customer\-facing experiences.
**Use Data to Improve Reliability**
* Leverage telemetry, diagnostics, and customer insights to identify systemic issues and prioritize meaningful platform improvements.
* Partner with Data and Engineering teams to define, monitor, and evolve platform health metrics that reflect real\-world device behavior and customer impact.
* Ensure instrumentation across the platform enables rapid diagnosis, safe recovery, and continuous improvement across the device fleet.
**Advocate for the End\-to\-End Experience**
* Champion customer trust by ensuring platform decisions improve predictability and resilience.
* Think holistically about how low\-level system behavior impacts installation, day\-to\-day use, monitoring, and support experiences.
* Balance technical constraints, operational realities, and customer impact when making tradeoffs.
**What You Bring**
* 5–8\+ years of product management experience owning platform services, backend infrastructure, firmware\-dependent systems, or connected hardware ecosystems.
* Demonstrated ability to work effectively with firmware, embedded systems, and backend engineering teams.
* Proven track record of delivering platform or system\-level improvements that materially improved reliability, performance, or customer experience.
* Strong analytical mindset with experience using data and telemetry to prioritize work and measure outcomes.
* Clear communicator who can translate complex technical topics into customer and business impact.
* Comfort operating in ambiguity, making tradeoffs, and coordinating across teams with shared dependencies.
* Bachelor's degree in Engineering, Computer Science, or a related technical field preferred.
**Why This Role Matters**
This role determines the reliability and evolvability of SimpliSafe's core platform. By owning the services and firmware that every device and experience depends on, you enable teams across the company to innovate faster, operate more reliably, and deliver consistent, trustworthy customer experiences.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$121,300 to $177,900\.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t>
        </is>
      </c>
    </row>
    <row r="42">
      <c r="A42" t="inlineStr">
        <is>
          <t>in-d736e82f4fcaa0c4</t>
        </is>
      </c>
      <c r="B42" t="inlineStr">
        <is>
          <t>Principal Product Manager, Camera Platform &amp; Services</t>
        </is>
      </c>
      <c r="C42" t="inlineStr">
        <is>
          <t>SimpliSafe</t>
        </is>
      </c>
      <c r="D42" t="inlineStr">
        <is>
          <t>indeed</t>
        </is>
      </c>
      <c r="E42" t="inlineStr"/>
      <c r="F42" t="inlineStr"/>
      <c r="G42" t="inlineStr">
        <is>
          <t>Boston, MA, US</t>
        </is>
      </c>
      <c r="H42" s="2" t="n">
        <v>46055</v>
      </c>
      <c r="I42" t="inlineStr">
        <is>
          <t>**About SimpliSafe**
We're a high\-tech home security company that's passionate about protecting the life you've built and our mission of keeping Every Home Secure. And we've created a culture here that cares just as deeply about the career you're building. Ours is a no ego culture of collaboration and innovation where those seeking their next challenge can find big opportunities and make a huge impact on the lives of all those who we protect. We don't just want you to work here. We want you to grow and thrive here.
We're embracing a hybrid work model that enables our teams to split their time between office and home. Hybrid for us means we expect our teams to come together in our state\-of\-the\-art office on two core days, typically Tuesday, Wednesday, or Thursday – working together in person and choosing where they work for the remainder of the week. We all benefit from flexibility and get to use the best of both worlds to get our work done.
**Why are we hiring?**
SimpliSafe is continuing to expand the capabilities of our connected security platform to support a growing ecosystem of devices, services, and customer experiences. We're looking for strong product managers to define and evolve the foundational platform capabilities that enable reliable, scalable, and intuitive end\-to\-end customer experiences.
We are hiring a **Principal Product Manager, Camera Platform \&amp; Services** to own the platform capabilities that power our camera portfolio. This role defines and drives the roadmap across camera hardware enablement, firmware and OTA systems, and video and media pipelines–with a focus on on\-device intelligence–to deliver camera experiences that are reliable, performant, and scale as customer needs evolve.
**About the Role**
SimpliSafe cameras deliver customer experiences powered by end\-to\-end platforms spanning hardware, firmware, video services, and on\-device intelligence. Delivering consistent, high\-quality camera experiences in real\-world environments requires tight orchestration across these layers.
As a Principal Product Manager for Camera Platform \&amp; Services, you will define the strategy and roadmap for the platform capabilities that power SimpliSafe's camera portfolio. You will own the core systems that enable consistent device behavior, secure and scalable video processing and delivery, and reliable on\-device intelligence across products.
In this role, you will make platform decisions that balance reliability, performance, and long\-term flexibility that enable partner teams to build differentiated camera experiences on a stable, scalable foundation.
**What You'll Do**
**Own the Camera Platform Strategy**
* Own the roadmap and long\-term platform strategy across camera hardware, firmware and OTA systems, video and media services, and on\-device intelligence.
* Establish north\-star outcomes that anchor camera platform decisions around experience quality, reliability, performance, and customer trust.
**Define Device \&amp; Video Platform Standards**
* Establish durable platform requirements that set consistent expectations across the camera fleet.
* Define the vision and success criteria for video experiences to ensure predictable, high\-quality outcomes across camera products and use cases.
* Partner with Hardware, Firmware, and leadership to ensure video and media platform decisions (including on\-device versus cloud dependencies) align with long\-term platform goals, reduce complexity for feature teams, and enable safe system evolution.
**Lead Camera Platform Health \&amp; Evaluation**
* Define and own camera platform health metrics and success criteria, including reliability, performance, and experience quality, that reflect real\-world customer usage.
* Partner with engineering and data teams to ensure platform health signals can be effectively monitored and interpreted to rapidly detect and address issues.
* Ensure QA, rollout, and evaluation practices support safe platform evolution and predictable customer outcomes.
**Lead Cross\-Stack Execution**
* Partner closely with Firmware, Video/Media, Backend, and Edge/ML engineering teams to shape priorities and drive platform improvements.
* Define rollout strategies, compatibility requirements, and safety gates across device generations and firmware versions.
* Own end\-to\-end system behaviour across firmware, backend, and downstream experiences to ensure cohesive customer\-facing experiences.
**Enable Scalable Camera Capabilities**
* Influence platform\-level decisions about where functionality lives (on\-device vs. backend) to balance cost, latency, reliability, and experience quality.
* Define the platform capabilities and requirements, including intelligence\-driven capabilities, that enable new camera features to be delivered consistently across products.
* Ensure platform investments compound over time by advocating for reusable foundations rather than fragmented solutions.
**What You Bring**
* 8\+ years of product management experience working on camera systems, video platforms, embedded devices, or other platform\-oriented products.
* Strong systems\-level understanding of hardware, firmware, and video pipelines preferred.
* Experience defining platform capabilities and standards that enable multiple product and engineering teams to build consistently on shared infrastructure.
* Comfort partnering closely with ML and data teams on performance, latency, and deployment tradeoffs (no need to have trained your own models).
* Proven ability to align deeply technical teams around clear priorities and shared, measurable outcomes.
* Clear communicator who can bridge executive intent, engineering reality, and customer experience.
* Bonus experience with OTA platforms and on\-device or cloud\-based intelligence.
**Why This Role Matters**
This role determines how effectively SimpliSafe's camera platform scales as capabilities and expectations grow. By owning the camera, video, and on\-device intelligence foundations, you enable faster innovation, higher reliability, and consistent customer experiences — while keeping cost, operational complexity, and system risk in check.
If you want to build the platform that every SimpliSafe camera experience depends on — and ensure intelligence works reliably from device to cloud to customer — this role sits right at the center of it all.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$145,500 to $213,400 .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t>
        </is>
      </c>
    </row>
    <row r="43">
      <c r="A43" t="inlineStr">
        <is>
          <t>in-e9f73e669ad14c58</t>
        </is>
      </c>
      <c r="B43" t="inlineStr">
        <is>
          <t>Stroke Program Manager</t>
        </is>
      </c>
      <c r="C43" t="inlineStr">
        <is>
          <t>HCA Healthcare</t>
        </is>
      </c>
      <c r="D43" t="inlineStr">
        <is>
          <t>indeed</t>
        </is>
      </c>
      <c r="E43" t="inlineStr"/>
      <c r="F43" t="inlineStr"/>
      <c r="G43" t="inlineStr">
        <is>
          <t>Nashville, TN, US</t>
        </is>
      </c>
      <c r="H43" s="2" t="n">
        <v>46055</v>
      </c>
      <c r="I43" t="inlineStr">
        <is>
          <t>##### **Introduction**
Do you want to join an organization that invests in you as an Neuroscience (Stroke Program) Manager? At HCA Healthcare, you come first. HCA Healthcare has committed up to $300 million in programs to support our incredible team members over the course of three years.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Neuroscience Manager like you to be a part of our team.
##### **Job Summary and Qualifications**
The Manager, Neuroscience Services )Stroke Program Manager), provides support and leadership in establishing clinical goals and priorities, management of enterprise\-wide neuroscience clinical improvement initiatives, and deployment of services and technologies to enhance clinical operations. Assists in the development of strategies, implementation of tactics and creation of tools to advance the neuroscience clinical agenda. Assures alignment of evidence based clinical improvement, compliance, and growth strategies.
Will be considered the subject matter expert for stroke clinical workflow, national registries (e.g. AHA Get\-with\-the\-Guidelines), and certification/accreditation.
**Major Responsibilities:**
* Provides support to the neuroscience service line by developing clinical improvement tactics that align and support growth initiatives.
* Identify, investigate, evaluate and become proficient in new neuroscience technologies and technical disciplines that are of significance to HCA Healthcare and will support the mission and vision.
* Proactively identifies evidence\-based practices and processes for stoke care by leveraging best available evidence and research to define standards of care.
* Monitors stroke clinical performance with the ability to compare and analyze against national benchmarks.
* Coordinates virtual and onsite clinical improvement engagements.
* Creates tools and resources for facility and division leadership to further support safe and effective care delivery.
* Evaluates new neuroscience programs and level of care changes for assessment of readiness gaps and serves as a consultant for action planning (e.g. advancement to comprehensive stroke center)
* Supports strategic goals, establishes work priorities, and reports milestones to CSG leadership.
* Provides project planning, coordination assistance, and performs other duties as assigned.
* Provides project planning, coordination assistance, and performs other duties as assigned.
**Education \&amp; Experience:**
* Bachelor’s degree required
* 3\+ years in clinical neuroscience care including clinical application knowledge and implementation experience and experience leading multidisciplinary quality improvement teams. Experience in a comprehensive stroke center highly preferred.
* 5\+ years in clinical neuroscience/stroke care including: 2\+ years management and leadership experience, critical care or emergency department experience preferred, experience leading multidisciplinary quality improvement teams, strong communication and presentation skills, ability to work independently.
* Previous experience with stroke clinical performance improvement and change management processes. Understanding of facility\-based stroke manager/coordinator role and responsibilities.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Neuroscience Manager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44">
      <c r="A44" t="inlineStr">
        <is>
          <t>in-bee133faa35686ea</t>
        </is>
      </c>
      <c r="B44" t="inlineStr">
        <is>
          <t>Military Program Manager</t>
        </is>
      </c>
      <c r="C44" t="inlineStr">
        <is>
          <t>Cedar Hills Hospital</t>
        </is>
      </c>
      <c r="D44" t="inlineStr">
        <is>
          <t>indeed</t>
        </is>
      </c>
      <c r="E44" t="inlineStr"/>
      <c r="F44" t="inlineStr"/>
      <c r="G44" t="inlineStr">
        <is>
          <t>Portland, OR, US</t>
        </is>
      </c>
      <c r="H44" s="2" t="n">
        <v>46055</v>
      </c>
      <c r="I44" t="inlineStr">
        <is>
          <t>Responsibilities:
Cedar Hills Hospital is a 98\-bed behavioral health hospital and outpatient services program located in Portland, Oregon. We are part of Universal Health Services, a Fortune 500 healthcare organization with over 400 acute care and behavioral health locations in the U.S.
We are currently looking for a **Military Services Program Manager**to provide leadership for the Military Services Program, ensuring that the delivery of services meets the needs of the community, are in alignment with hospital goals and provide patients with high quality care.  
Duties include oversight for military services operations including clinical services, transportation coordination, intake and assessment, and utilization review. This position supports patients through their length of treatment by collaborating with multi\-disciplinary treatment teams, communicating and coordinating with referral sources, bases, patients transitioning into and out of the program and outside providers.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Qualifications:
* Military experience is required
* Master’s degree in social work, or related mental health field preferred, Bachelor Degree required
* Licensure in social work or a clinical related mental health field is preferred
* May be required to work occasional evenings and weekends and travel from time to time</t>
        </is>
      </c>
    </row>
    <row r="45">
      <c r="A45" t="inlineStr">
        <is>
          <t>in-d1fbb1e2a6ed0d1a</t>
        </is>
      </c>
      <c r="B45" t="inlineStr">
        <is>
          <t>Program Manager, Community Connections and Engagement</t>
        </is>
      </c>
      <c r="C45" t="inlineStr">
        <is>
          <t>The University of Michigan</t>
        </is>
      </c>
      <c r="D45" t="inlineStr">
        <is>
          <t>indeed</t>
        </is>
      </c>
      <c r="E45" t="inlineStr"/>
      <c r="F45" t="inlineStr"/>
      <c r="G45" t="inlineStr">
        <is>
          <t>Ann Arbor, MI, US</t>
        </is>
      </c>
      <c r="H45" s="2" t="n">
        <v>46055</v>
      </c>
      <c r="I45" t="inlineStr">
        <is>
          <t>**How to Apply**
----------------
A cover letter is required for consideration for this position and should be attached as the first page of your resume. The cover letter should address your specific interest in the position and outline skills and experience that directly relate to this position.
**Job Summary**
---------------
 **Unit Summary:**
Michigan Housing is an actively engaged unit within Student Life Auxiliary Services within the Division of Student Life. M Housing serves approximately 11,500 students; 9,100 undergraduate and 2,400 graduate and professional students and their families. Although first\-year students are not required to live on campus; historically 96\-98% of all new first\-year students choose to live on. Currently, the M Housing portfolio consists of 19 residential facilities that include traditional residence halls, apartments, and other living options located in communities on north and central campuses in Ann Arbor. In partnership with Michigan Dining, there are 9 dining halls and 9 retail operations embedded within the residence halls that serve approximately 4 million meals per year. Beginning Fall 2024, M Housing partnered with other units and departments within Student Life to support the residential experience for approximately 25 U\-M students on the Marygrove campus, located in Detroit. In Fall 2026, five new residence halls housing 2,300 undergraduate students and a new 822\-seat dining facility will open to continue M Housing's strong tradition of providing affordable housing options and services for U\-M students. In addition to supporting the academic mission of the University, M Housing creates and sustains diverse learning\-centered residential communities that ultimately enhance the residential experience and serve as a guide for their work in support of creating a sense of belonging for students.
**Position Summary:**
The Michigan Housing Community Connections and Engagement Department is vital in fostering vibrant and inclusive residential communities where students feel a strong sense of belonging. It achieves this through dynamic engagement and programming in residence halls, addressing residents' accommodation needs, facilitating connections to campus resources, and supporting students in navigating residential inclusive community concerns. By offering events, educational workshops, staff training sessions, and the You Belong Here campaign, the department strives to create a welcoming community where everyone can thrive.
The M Housing Community Connections and Engagement Department is dedicated to fostering an inclusive and welcoming environment for all residents. The Program Manager's role in creating an inclusive and welcoming environment is to manage and support residential climate support initiatives. They offer residents opportunities to engage and develop leadership skills within the undergraduate residential community through guidance of the multicultural councils and supervision of Diversity Peer Educators. Additionally, they collaborate with the team to effectively manage the daily triaging and tracking of residential inclusive community concerns and reports, and use restorative practices to mediate identity\-related conflicts.
This position reports directly to an Assistant Director, Community Connections and Engagement.
**Responsibilities\***
----------------------
Position Responsibilities (primary responsibilities and duties expected in this position totaling 100% allocation):
**Management of Residential Experience (40%)**
Lead the Diversity Peer Educator (DPE) program by:
* Supervising, mentoring, and empowering DPEs live\-in student staff dedicated to fostering belonging and throughout the residential community. Guide DPEs in the design and facilitation of educational workshops, courageous conversations, and signature programming that strengthen intercultural competence and uphold an inclusive campus climate.
* Overseeing Multicultural Councils, providing expert advice, leadership development, and ongoing support to student leaders as they create and implement programs celebrating identity, cultural heritage, and shared experience.
* Actively engaging with department and campus committees geared toward enhancing the residential experience, collaborating with campus partners to shape initiatives that promote a strong sense of belonging for all residents.
* Supporting all aspects of the residential experience that cultivate an inclusive, welcoming community including specifically for international and graduate students through:
* Partnering with student leaders and professional staff to plan and facilitate community\-building initiatives directly geared towards this population
* Overseeing programmatic and logistical components of residential events and engagement opportunities, ensuring accessibility and meaningful participation.
* Promoting opportunities for residents to connect, build relationships, and engage in dialogue in ways that foster connection, belonging, and individual growth.
**Residential Climate Support and Education (40%)**
* Support the M Housing residential climate work, by supporting residents when residential inclusive community concerns arise.
* Provide consultation to colleagues across M Housing (i.e. Residence Education, Marygrove, Housing Support and Community Responsibility) on residential inclusive community concerns.
* Directly mediate conflicts among residents and residential communities/floors, manage conflict resolution processes with residents, problem\-solving crisis intervention options to deliver for residents, and manage crisis management processes related to identity within the residential community using restorative practices.
* Determine educational needs based on crisis interventions and create and facilitate trainings, workshops, community circles, and roommate/resident conflicts based on those needs for both residents, student staff, and professional staff.
* Collaborate closely with Community Connections and Engagement and campus partners on creating and implementing educational programs that complement the M Housing You Belong Here campaign
* Develop and facilitate training sessions, workshops, and programs for students and staff that address residential inclusive community concerns.
* Develop digital content about the You Belong Here campaign and educational components for programming, partnerships, websites, social media platforms, and phone apps.
**Departmental Administration (20%)**
* Serve in on\-call rotation to manage residential inclusive community concerns remotely, by phone, or email.
* Daily triaging and tracking of residential inclusive community concern reports
* Support crisis intervention, conflict resolution, and providing resource and referral services to students of all identities utilizing a culturally competent framework.
* Work with the Community Connections and Engagement staff to assess the effectiveness of programs and interventions in residential communities and how it supports campus\-wide initiatives of belonging.
* Manage departmental communication including resident newsletters and social media and supervision of student staff who support this work
* Alongside Community Connections and Engagement staff create and coordinate programs and events sponsored by the department
* Provide support for administrative processes of the department, including serving as the primary back\-up support for health, disability, and religious observance accommodation
Other duties as assigned by M Housing and Community Connections and Engagement department leadership
**Required Qualifications\***
-----------------------------
* Bachelor's degree in related field
* Experience in student affairs and/or related educational services work
* Experience building inclusive and multicultural communities.
* Experience in mediation, conflict management, or restorative practices in resolving conflict
Work Authorization: Must be legally authorized to work in the United States without company sponsorship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
**Financial/Budgetary Responsibility:**
This position will work with students to support the administration of their student organization budget.
**Working Conditions:**
The job requires working evening and weekend hours and traveling to multiple M Housing locations on campus. The position is an onsite position and shares office coverage responsibilities.
Possibility for one (1\) day remote work a week following successful completion of probationary period.
**Physical Requirements:**
Be able to move and transport packages and boxes up to 25 lbs
**Direct Reports:**
Direct supervision over a number of Diversity Peer Educators and hourly student staff. Provides functional supervision of all Community Connections and Engagement student staff on addressing residential inclusive community concerns and supporting residents.
**The earliest start date for this position is April. If you are unable to begin until the end of May or early June, we can discuss your availability during the interview process.**
Salary may vary depending on qualifications, experience, and education of the selected candidate
This role may have reporting obligations under Title IX and Clery.
Authorization to work in the U.S. is a precondition of employment and applicants for this position will not be sponsored for work visas.
Selected candidates whose start date is 4/1/2026 or after, will not be eligible for the university FY26\-27 salary/merit plan unless otherwise notified.
Salary may vary depending on qualifications, experience, and education of the selected candidate.
Relocation will not be offered for this role.
\#studentlife
**Union Affiliation**
---------------------
This position is included in the bargaining unit represented by the University Staff United (USU), which represents bargaining unit members in all matters with respect to wages, benefits, hours and other terms and conditions of employment.
**Application Deadline**
------------------------
Job openings are posted for a minimum of seven calendar days. The review and selection process may begin as early as the eighth day after posting. This opening may be removed from posting boards and filled anytime after the minimum posting period has ended.
**U\-M EEO Statement**
----------------------
The University of Michigan is an equal employment opportunity employer.
### **Job Opening ID**
273612
### **Working Title**
Program Manager, Community Connections and Engagement
### **Job Title**
Student Affairs Program Mgr
### **Work Location**
Ann Arbor Campus
Ann Arbor, MI
### **Modes of Work**
Onsite
### **Full/Part Time**
Full\-Time
### **Regular/Temporary**
Regular
### **FLSA Status**
Exempt
### **Organizational Group**
Dsa Housing Services
### **Department**
Central Administration
### **Posting Begin/End Date**
2/03/2026 \- 3/10/2026
### **Salary**
$54,100\.00 \- $59,500\.00
### **Career Interest**
Academic \&amp; Student Services</t>
        </is>
      </c>
    </row>
    <row r="46">
      <c r="A46" t="inlineStr">
        <is>
          <t>in-8252b22052b99215</t>
        </is>
      </c>
      <c r="B46" t="inlineStr">
        <is>
          <t>Program Manager ISR/SOF</t>
        </is>
      </c>
      <c r="C46" t="inlineStr">
        <is>
          <t>Credence</t>
        </is>
      </c>
      <c r="D46" t="inlineStr">
        <is>
          <t>indeed</t>
        </is>
      </c>
      <c r="E46" t="inlineStr"/>
      <c r="F46" t="inlineStr"/>
      <c r="G46" t="inlineStr">
        <is>
          <t>Wpafb, OH, US</t>
        </is>
      </c>
      <c r="H46" s="2" t="n">
        <v>46055</v>
      </c>
      <c r="I46" t="inlineStr">
        <is>
          <t>**Overview**
At Credence, we support our clients’ mission\-critical needs, powered by technology. We provide cutting\-edge solutions, including AI/ML, enterprise modernization, and advanced intelligence capabilities, to the largest defense and health federal organizations. Through partnership and trust, we increase mission success for war\-fighters and secure our nation for a better future.
We are privately held, are repeatedly recognized as a top place to work, and have been on the Inc. 5000 Fastest Growing Private Companies list for the last 12 years. We practice servant leadership and believe that by focusing on the success of our clients, team members, and partners, we all achieve greater success.
Credence has an immediate need for a Program Manager who will be primarily responsible for supporting the Intelligence, Surveillance and Reconnaissance / Special Operation Forces (ISR/SOF) Directorate at Wright Patterson Air Force Base, OH.
The Air Force Program Executive Officer (PEO) for Intelligence, Surveillance, Reconnaissance (ISR) and Special Operations Forces (SOF) (AFPEO/WI) has the collective Air Force Materiel Command (AFMC) mission responsibility for equipping our war\-fighters to win the fight.
**Responsibilities include, but are not limited to the duties listed below**
* Apply knowledge and experience in acquisition program management philosophy policies and procedures to systems, subsystems, equipment procurement activities, post award project/program management tasks, and acquisition programs throughout their life cycles.
* Manage and organize resources and personnel needed to efficiently and effectively meet the objectives of each task, as well as explore new approaches as applicable within the performance of these tasks.
* Assign personnel to provide services as described below in execution of the SOF \&amp; PR Division acquisition management support requirements.
* Assist with developing integrated risk management plans and strategies.
* Assist with analyzing and preparing draft recommendations relating to weapon system contractor production changes for Government consideration.
* Assist with writing, reviewing, and editing program documentation with the goal of ensuring weapon system changes are accurately identified and recorded.
* Assist with reviewing Engineering Change Proposals (ECPs) and Contract Change Proposals (CCPs). The Contractor will participate in fact\-finding and support the Configuration Control Board (CCB) process.
* Assist with performing analysis of problems and issues confirmed by the Government as requiring additional support. Analysis of the problems and issues will include but not be limited to identification of potential impacts/risks to programs and mitigation/avoidance strategies.
* Provide support for strategic scheduling and planning documentation such as the Integrated Master Plan (IMP) and the Integrated Master Schedule (IMS) and will develop and coordinate a reporting framework for event\-based activities during the work efforts.
* Develop, analyze, and maintain a master integrated program schedule from concept exploration to fielding a system; employ networking software tools and capabilities to support lower tier schedule networking, network statusing, generation of network graphics, assignment of realistic durations and relationships to network elements; evaluate Contractor proposed schedules against Government schedules; assess Government program office schedules against schedule databases; conduct probabilistic and deterministic risk assessments on both weapon system contractor and Government schedules by performing a Schedule Risk Assessment (SRA) using Monte Carlo simulation based software; utilize various types of scheduling software; and integrate weapon system contractor and Government schedule data.
* Assist with the planning for program milestones and reviews.
* Perform analyses to support program strategy decisions and courses of action.
* Provide a program assessment for integration of documentation to ensure consistency with program strategy and consistency across all milestone documentation.
* Provide inputs, draft, coordinate (with the appropriate division and other Government agencies), adjudicate comments, and produce final versions of coordinated milestone documents and assessments.
* Develop and collect technical data and inputs for staff summary packages to support coordination and signature of all associated documents for milestone approval.
* Gather program information and conduct analyses as required by the program managers and leadership.
* Assist in the effort to improve internal management processes by recommending alternatives to management.
* Participate in process improvement activities as members of, or advisors to, Integrated Product Teams (IPTs) and Product/Process Improvement Working Groups (PIWGs).
* Assist in translating user requirements documents such as the Capability Development Document (CDD), Capability Production Document (CPD), and Concept of Operations (CONOPS) into weapon system contract Request for Proposal (RFP) documentation.
* Assist with developing and documenting recommended program management inputs for PWSs, Contract Data Requirement Lists (CDRLs), and other acquisition documentation for assigned programs.
* Assist with leading/support activities including but not limited to planning meetings/offsites, facilitating meetings/off sites, developing documents, and attending specialized meetings, as required. Support activities will include developing and disseminating the agenda and slides, opening, and setting up the conference room, recording and disseminating action items via electronic mail, and securing the room after the meeting.
* Provide advisory assistance and draft documentation support for efforts to include but not be limited to briefings, letters, and planning/coordination support for meetings.
* Assist with writing, coordinating, staffing, and maintaining program documentation, including but not limited to documentation regarding requirements, cost, schedule, performance, risk, impacts, and status of the program.
* Attend and support reviews, audits and working group meetings including but not limited to Program Management Reviews (PMRs), Preliminary Design Reviews (PDRs), Critical Design Reviews (CDRs), Technical Interchange Meetings (TIMs), Test Planning Working Groups (TPWGs), and Test Readiness Reviews (TRRs). Support duties may include computer set\-up, slide forwarding, documenting minutes/actions/decisions, and other duties as necessary.
* Assist with coordinating arrangements, agendas, and briefing materials and record/track program action items and suspense’s for events such as meetings, reviews, working groups, and audits. For these events, coordination should occur with functional managers, outside agencies, weapon system contractor personnel, and the program office customers.
* Assist with collecting and preparing materials for staff meetings and other programmatic meetings, as required by senior personnel.
* Provide assistance to the Government for assembling Contractor Performance Assessment Rating (CPAR) inputs for weapon system contracts.
* Apply knowledge, experience, and best business practices to provide DoD, USAF, and USSOCOM acquisition PM support, demonstrating a familiarity with USSOCOM Directive 70\-1 and current acquisition processes, policies and procedures as they pertain to programs up to and including ACAT 1D.
**Requirements**
* Must have at least an active secret clearance
* Master’s or Doctoral Degree in a related field and a minimum of ten (10\) years of experience in the respective technical / professional discipline being performed, at least five (5\) of which must be in the DoD
* OR, Bachelor’s Degree in a related field and a minimum of twelve (12\) years of experience in the respective technical/professional discipline being performed, five (5\) of which must be in the DoD
* OR, a minimum of fifteen (15\) years of directly related experience with proper certifications as described in the PWS labor category performance requirements, eight (8\) of which must be in the DoD.
* Proficiency in Microsoft (MS) Project
* Familiarity with the Comprehensive Cost and Reporting System (CCaRS), System Metric and Reporting Tool (SMART) and Air Force and SOF portals in order to conduct research/analyses and to prepare spreadsheets, briefings, figures, graphics, tables, forms, and papers
**Benefits**
* Health Care Plan (Medical, Dental \&amp; Vision)
* Retirement Plan (401k, IRA)
* Life Insurance (Basic, Voluntary \&amp; AD\&amp;D)
* Paid Time Off (Vacation, Sick \&amp; Public Holidays)
* Family Leave (Maternity, Paternity)
* Short Term \&amp; Long Term Disability
* Training \&amp; Development
***Please join us, as together we build a better world one mission at a time powered by Technology and its People!***
\#LI\-Onsite
\#Credence \#veteranemployment \#militaryspouse \#milspouse \#hireavet \#militaryveteran \#militaryfriendly \#transitioningmilitary \#veterans \#militarytransition \#militaryfamilies \#msep \#militarytocivilian \#military \#federalcontractingjobs \#defensecontracting \#defenseindustryjobs</t>
        </is>
      </c>
    </row>
    <row r="47">
      <c r="A47" t="inlineStr">
        <is>
          <t>in-f6948090b24b43f0</t>
        </is>
      </c>
      <c r="B47" t="inlineStr">
        <is>
          <t>Services Program Manager (Remote Based)</t>
        </is>
      </c>
      <c r="C47" t="inlineStr">
        <is>
          <t>Philips</t>
        </is>
      </c>
      <c r="D47" t="inlineStr">
        <is>
          <t>indeed</t>
        </is>
      </c>
      <c r="E47" t="inlineStr"/>
      <c r="F47" t="inlineStr"/>
      <c r="G47" t="inlineStr">
        <is>
          <t>Remote, US</t>
        </is>
      </c>
      <c r="H47" s="2" t="n">
        <v>46055</v>
      </c>
      <c r="I47" t="inlineStr">
        <is>
          <t>### **Job Title**
Services Program Manager (Remote Based)
### **Job Description**
**The Services Program Manager leads strategic, enterprise\-level service operations initiatives—authorizing major operational decisions, driving large\-scale process and efficiency improvements, aligning policies with executive leadership, overseeing scalable operational frameworks, and accelerating innovation by integrating emerging technologies while empowering senior team members to execute critical initiatives.**
-------------------------------------------------------------------------------------------------------------------------------------------------------------------------------------------------------------------------------------------------------------------------------------------------------------------------------------------------------------------------------------------------------------------------------------
**Your role:**
* Lead the strategic design and execution of enterprise‑level service operations initiatives, ensuring alignment with long‑term organizational objectives and driving transformative improvements across service delivery.
* Influence major operational decisions and resource allocations using data‑driven insights, ensuring operational changes support departmental strategy and organizational priorities.
* Champion large‑scale process improvement and innovation efforts by applying industry best practices, advanced methodologies, and emerging technologies to elevate service quality and operational efficiency.
* Partner with executive leaders and cross‑functional stakeholders to develop, implement, and continually refine scalable service operations frameworks, policies, and procedures aligned with business strategy and regulatory requirements.
* Drive organizational capability and talent development through succession planning, performance management, and strategic delegation of high‑impact initiatives, ensuring leadership readiness and operational excellence.
**You're the right fit if:**
* Minimum 5 years of experience with Bachelor's OR Minimum 3 years of experience with Master's in areas such as Service Delivery, Service Operations or equivalent.
* Demonstrated ability to work across clinical and non\-clinical environments. Experience partnering with senior leaders and program managers. Problem\-solving in complex, ambiguous environments and strategic thinking with execution focus
* Understanding of S\&amp;SD service delivery organization across multiple modalities and delivery verticals.
* You must be able to successfully perform the following minimum Physical, Cognitive and Environmental job requirements with or without accommodation for this Clinical position.
* You must be able to:
	+ Work in an office/home office and/or remote setting, as well as in a hospital/healthcare environment; adhere to requirements.
	+ Work flexible hours (based on business needs).
	+ Wear all required personal protective equipment.
	+ May be required to comply with vendor credentialing.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 field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 Discover our rich and exciting history.
* Learn more about our purpose.
* Learn more about our culture.
**Philips Transparency Details**
The annual pay range for this position in AZ, AR, IA, IO, KS, KY, LO, ME, MS, MO, MT, NE, NM, OK, SC, SD, TN, UT, VI, WV is $107,000 to $171,000\.
The annual pay for range for this position in AL, CO, DE, FL, GA, HI, IL, ID, MI, MN, NV, NH, NC, ND, OH, OR, PN, TX, VT, VA, WI, WY is $112,000 to $180,000\.
The annual pay for range for this position in AK, MD, NY, RI, WA is $118,000 to $189,000\.
The annual pay for range for this position in CA, CT, DC, MA, NJ is $126,000 to 201,000\.
This role also includes company fleet/car, training, and advancement opportunities. The actual base pay offered may vary depending on multiple factors including job\-related knowledge/skills, experience, business needs, geographical location, and internal equity.
In addition, other compensation such as an annual incentive plan,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48">
      <c r="A48" t="inlineStr">
        <is>
          <t>in-3a6f71a91f23d217</t>
        </is>
      </c>
      <c r="B48" t="inlineStr">
        <is>
          <t>Principal Product Manager, Growth</t>
        </is>
      </c>
      <c r="C48" t="inlineStr">
        <is>
          <t>Change.org</t>
        </is>
      </c>
      <c r="D48" t="inlineStr">
        <is>
          <t>indeed</t>
        </is>
      </c>
      <c r="E48" t="inlineStr"/>
      <c r="F48" t="inlineStr"/>
      <c r="G48" t="inlineStr">
        <is>
          <t>US</t>
        </is>
      </c>
      <c r="H48" s="2" t="n">
        <v>46055</v>
      </c>
      <c r="I48" t="inlineStr">
        <is>
          <t>Location
USA, Canada
Employment Type
Full time
Location Type
Remote
Department
Product
Overview
Application
Change.org is building the most trusted, accessible, and transparent election information platform in the United States, Change.vote. In our 2025 pilot, thousands of voters used the app to explore their ballots, with high engagement, strong satisfaction, and a meaningful increase in voter confidence. Our goal for 2026 is bold: scale Change.vote to millions of voters nationwide.
To help us get there, we’re hiring a **Principal Product Manager, Growth** to build the product\-led growth engine that powers national scale.
**The Role**
This is a pivotal role: you will own all **product\-led growth (PLG) mechanisms** for Change.vote, including user engagement, sharing optimization, and a GPT\-native experience that could become a major new entry point for voters.
You will own **onboarding and early\-journey personalization strategy** — designing progressive, low\-friction ways for voters to access value quickly, while unlocking deeper personalization over time to improve activation, trust, and downstream growth.
**What You’ll Do**
 **Own and scale PLG**
* Build sharing features, referral loops, and lightweight creation tools that drive organic reach.
* Test new PLG surfaces (e.g. ballot snippets, mini\-guides, personalized shareables).
* Lead product development for a GPT\-native Change.vote experience.
* Create product pathways that deepen engagement and increase return usage.
* Own onboarding and early\-journey personalization, designing progressive, low\-friction ways for voters to access immediate value while unlocking deeper personalization over time to improve activation, trust, and growth efficiency.
**Optimize activation \&amp; early engagement**
* Define hypotheses, test plans, and prioritization frameworks for growth.
* Systematically reduce drop\-off across critical steps in the user journey.
* Run fast, focused experiments to improve ballot views, depth of exploration, and share actions
**What We’re Looking For**
 **Must\-haves**
* 8\+ years PM experience, including significant time leading growth for B2C products.
* Proven success designing and scaling PLG loops (sharing, referrals, creation tools, viral mechanics).
* Deep experience with experimentation: A/B tests, funnel analysis, and statistically sound decision\-making.
* Strong cross\-functional leadership: ability to align Product, Marketing, Engineering, and Data around a single growth plan.
* Comfort in high\-ambiguity, fast\-moving environments where the right answer isn’t obvious.
* Demonstrated experience owning onboarding and early\-journey personalization, including progressive data capture, activation optimization, and improving conversion in trust\-sensitive products.
**Nice\-to\-haves**
* Experience with AI or GPT\-integrated consumer experiences.
* Background in civic tech, political technology, or trust\-sensitive consumer products.
* Familiarity with and interest in voting behavior or U.S. election dynamics.
**What Success Looks Like (First 12 Months)**
By the end of your first year:
* PLG is live, measurable, and contributing meaningfully to voter acquisition.
* GPT\-native experiences reliably bring high\-intent voters into the Change.vote ecosystem.
* Paid acquisition is operating with a clear strategy, strong experimentation velocity, and improving efficiency at scale.
* Product\-level improvements raise conversion and activation across multiple segments.
* Organic and semi\-organic distribution pathways are demonstrably scaling.
* Millions of voters use a smoother, more intuitive, more trustworthy experience during the 2026 midterms.
 **Interested? Great! Here's what you should know:**
This is a full time, remote role that may be based anywhere in the US.
Our compensation philosophy is based on pay equity. All of our salaries are determined before we launch a role – they are based on a predetermined salary scale, the level on that scale and the cost of labor for that location. The annual salary of a Principal PM is $212,000 in San Francisco and New York City, $201,500 in Austin, Boston, Chicago, Los Angeles, Seattle, and Washington D.C., and $180,000 in all other US locations.
Global benefits include unlimited PTO, a minimum of 18 weeks of paid parental leave, and a variety of mental \&amp; physical health perks.
**Our evaluation process is as follows:**
* Recruiter screen
* Hiring manager interview
* Written exercise \&amp; discussion (prescheduled and timeboxed)
* Video interviews with \~3 cross\-functional team members
* Reference checks
We actively encourage applicants from diverse backgrounds and perspectives to apply. At Change.org, we are dedicated to fostering a diverse and inclusive workplace. We invest in programs to support our diverse workforce, offer inclusive onboarding experiences and affinity groups, celebrate the heritage of our staff, provide training on working across differences, and maintain fair and transparent salary scales. All qualified applicants will receive consideration for employment without regard to race, color, national origin, disability, veteran status, sexual orientation, gender, or culture.
We are committed to providing reasonable accommodations throughout the recruitment process for candidates with disabilities. If you need assistance, or an accommodation, please let your recruiter know once you are contacted about a role.
We're committed to protecting your data. To learn more, please review our Change.org Job Applicant Privacy Policy.
We are legally required to conduct EEOC reporting. While this is required by the federal government, we recognize that it does not include all genders and ethnicities. We want you to know that Change.org celebrates all identities and we thank you for your participation.</t>
        </is>
      </c>
    </row>
    <row r="49">
      <c r="A49" t="inlineStr">
        <is>
          <t>in-3e2ce4a0797cef7b</t>
        </is>
      </c>
      <c r="B49" t="inlineStr">
        <is>
          <t>Leadership Development Program Manager</t>
        </is>
      </c>
      <c r="C49" t="inlineStr">
        <is>
          <t>DP World</t>
        </is>
      </c>
      <c r="D49" t="inlineStr">
        <is>
          <t>indeed</t>
        </is>
      </c>
      <c r="E49" t="inlineStr"/>
      <c r="F49" t="inlineStr"/>
      <c r="G49" t="inlineStr">
        <is>
          <t>Charlotte, NC, US</t>
        </is>
      </c>
      <c r="H49" s="2" t="n">
        <v>46055</v>
      </c>
      <c r="I49" t="inlineStr">
        <is>
          <t>We are the leading provider of worldwide smart end\-to\-end supply chain \&amp; logistics, enabling the flow of trade across the globe. Our comprehensive range of products and services covers every link of the integrated supply chain – from maritime and inland terminals to marine services and industrial parks as well as technology\-driven customer solutions.
The **Leadership Development Program Manager** will be responsible for designing, coordinating, promoting, and delivering high\-impact leadership development programs for the AMR Region to strengthen organizational capability, build leadership bench strength, and support the regional strategic talent agenda. This role will drive the successful execution of regional and global leadership programs, ensuring alignment with company culture, leadership frameworks, and business priorities.
The manager will partner closely with Talent and Development teams and external vendors to design and curate learning journeys, manage regional and global program logistics, coach and guide regional facilitators and evaluate program effectiveness across the AMR region.  
**KEY ACCOUNTABILITIES**
**PROGRAM DESIGN AND FACILITATION**
* Develop, refine, and localize leadership development programs aligned with organizational principles, competencies, and talent philosophy
* Facilitate leadership workshops, learning events, and capability\-building sessions for leaders at all levels
* Adapt content to regional needs while ensuring consistency with global standards.
Incorporate adult\-learning principles, experiential activities, simulations, and coaching techniques  
* 
**PROGRAM MANAGEMENT AND EXECUTION**
* Lead end\-to\-end coordination for leadership development programs both global and regional (virtual and in\-person)
* Oversee program logistics, scheduling, communications, facilitator assignments, materials, and evaluations
* Manage external vendors, facilitators, coaches, and partners to ensure seamless delivery
Monitor participant engagement and program compliance; address risks and escalate challenges when needed  
* 
**LEADERSHIP STRATEGY ALIGNMENT**
* Partner with HRBP for leadership training needs assessments, to identify and validate new scopes, target and skills for current leaders, understand capability needs, and provide strategic recommendations
* Support the rollout of programs such as Leading DPW Way, Managing the DPW World Way, and Working DP World Way across the region, ensuring activation and impact as expected
Responsible for the execution of the first\-time manager program activation in ARO and across BUs in the region, making sure activation occurs broadly  
* 
**MEASUREMENT AND CONTINUOUS IMPROVEMENT**
* Track program metrics, feedback, and outcomes (NPS, ROI, behavior change indicators)
* Use data insights to refine content, strengthen program impact, and support reporting to HRVPs and senior leadership
Benchmark against industry best practices and introduce innovation into leadership experiences  
* 
**LEADERSHIP CAPABILITY**
Lead the internal facilitators community and ensure capability uplift through Train\-the\-Trainer initiatives  
* 
**QUALIFICATIONS, EXPERIENCE \&amp; SKILLS**
* High School Diploma or GED; Bachelor’s degree preferred
* Advanced proficiency in MS Office Suite of programs
* Ability to work in a fast\-paced, dynamic environment and adapt to changing priorities
Values a diverse and inclusive work environment  
* 
***Please note*** *: This position* ***does not offer sponsorship*** *for employment visas. Applicants must be legally authorized to work in The United States without sponsorship now or in the future.*
**ABOUT DP WORLD**
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115,000 employees from 160 nationalities, spanning 78 countries on six continents,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What's more, we're reshaping the future by investing in innovation. From intelligent delivery systems to automated warehouse stacking, we’re at the cutting edge of disruptive technology, pushing the sector towards better ways to trade, minimizing disruptions from the factory floor to the customer’s door.
DP World is on a mission to transcend boundaries and bridge the gap between all nations and cultures – not just in what we do but also in how we behave.
We are dedicated to creating a culture where everyone feels respected, supported, and empowered to reach their full potential. We believe that embracing inclusion and diversity, drives innovation and growth and helps us connect people, businesses, and societies. Free minds and different perspectives are changing our world, and together we can change what’s possible.  
**WE MAKE TRADE FLOW**
**TO CHANGE WHAT'S POSSIBLE FOR EVERYONE.**
DP World is committed to the principles of Equal Employment Opportunity (EEO). We strongly believe that employing a diverse workforce is central to our success and we make recruiting decisions based on your experience and skills. We welcome applications from all members of society irrespective of age, gender, disability, race, religion or belief.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
\#LI\-JR1 \#LI\-Hybrid</t>
        </is>
      </c>
    </row>
    <row r="50">
      <c r="A50" t="inlineStr">
        <is>
          <t>in-3ec700ab9dbe2df9</t>
        </is>
      </c>
      <c r="B50" t="inlineStr">
        <is>
          <t>Therapy Program Manager-PT/PTA/OT/OTA or SLP</t>
        </is>
      </c>
      <c r="C50" t="inlineStr">
        <is>
          <t>Concept Rehab, Inc.</t>
        </is>
      </c>
      <c r="D50" t="inlineStr">
        <is>
          <t>indeed</t>
        </is>
      </c>
      <c r="E50" t="inlineStr"/>
      <c r="F50" t="inlineStr"/>
      <c r="G50" t="inlineStr">
        <is>
          <t>Shelbina, MO, US</t>
        </is>
      </c>
      <c r="H50" s="2" t="n">
        <v>46055</v>
      </c>
      <c r="I50" t="inlineStr">
        <is>
          <t>Description:
The Therapy Program Manager is responsible for the daily operations and direction of the assigned rehab program, including clinical responsibility, communication with customers and the rehab team. The Manager is responsible for program compliance and the effective and efficient delivery of clinical services. The TPM regularly promotes and engages in teamwork, collaboration and transparency among colleagues and pursues career development through professional organizations, networking, continuing education and training opportunities. This non\-exempt, full\-time position reports to the Director of Operations. The successful candidate operates independently, with integrity, and will be extremely organized with complete attention to detail. The candidate will be highly driven with strong management skills, follow\-through and a focus on owning the outcome, as well as an ability to concentrate on the most important objective at the current moment, with a high level of adaptability.
Requirements:
**Essential Functions of the Job**
* Responsible for day\-to\-day management of the therapy program (including but not limited to clinical programing, financial goals/objectives, action plans, assistance with performance reviews of therapists in the program, etc.) in collaboration with Director of Operations.
* Responsible for scheduling or facilitating daily staff coverage at the facility level.
* Responsible for accuracy of EOM process mid\-month and completing EOM and ongoing accuracy checks with month end accuracy check list. ?
* Responsible for assisting with facility orientation with new hires.
* Responsible for facility tours and assists with CRI interview process.
* Attend facility meetings including but not limited to the following: UR, Rehab, Falls, and QA
* Completes clinical duties as assigned by Director of Operations.
* Provides marketing assistance as needed.
* Manages resources / supplies for department with Director of Operations.
* Complete monthly audits with compliance, documentation, certification tracking, etc.
* Assist in Gathering ADR and chart review while communicating with Director of Operations and compliance.
* Coordinate administrative duty completion including filing, FOM data entry, therapy room maintenance, equipment calibration, etc. ? Provide weekly reports to Director of Operations.
* Consistently portray the mission, vision, core values, cornerstones and professional image of Concept Rehab, exercise good judgment in the performance of the job.
* Special projects and other duties as assigned.
**Core Competencies**
* Strong interpersonal skills.
* High emotional intelligence.
* Outstanding oral and written communications.
* Problem\-solving, analytical and critical evaluation skills.
* Technology skills.
* Cultural awareness.
* Ethical practice.
* Ability to exercise independent judgment and discretion.
* Clinical competency in own discipline.
* Maintain confidentiality.
**Required Qualifications**
* Hold a license to practice in the state(s) where services are being provided.
* Therapist or Therapy Assistant with experience as a clinician, previous Rehab Manager experience preferred.
* Preferably have a minimum of one year of experience working in long\-term care.
* Prior management experience preferred.</t>
        </is>
      </c>
    </row>
    <row r="51">
      <c r="A51" t="inlineStr">
        <is>
          <t>in-dded62140fa838e1</t>
        </is>
      </c>
      <c r="B51" t="inlineStr">
        <is>
          <t>Program Manager</t>
        </is>
      </c>
      <c r="C51" t="inlineStr">
        <is>
          <t>Shepherds House Ministries</t>
        </is>
      </c>
      <c r="D51" t="inlineStr">
        <is>
          <t>indeed</t>
        </is>
      </c>
      <c r="E51" t="inlineStr"/>
      <c r="F51" t="inlineStr"/>
      <c r="G51" t="inlineStr">
        <is>
          <t>Bend, OR, US</t>
        </is>
      </c>
      <c r="H51" s="2" t="n">
        <v>46054</v>
      </c>
      <c r="I51" t="inlineStr">
        <is>
          <t>**Location:** Bend, Oregon \- In Person
**Status:**Full\-Time
**Benefits:** Competitive Salary, 401(k), Health Insurance, Generous Paid Time Off
**Direct Reports:** House Monitor(s), Case Manager(s), Peer Support Specialist(s)
At Shepherd’s House Ministries, we believe in meeting people exactly where they are—with compassion, dignity, and grace. We offer food for the hungry, shelter for the homeless, and supportive programs for individuals facing life\-controlling challenges. Our mission is to break cycles of pain by healing hearts and transforming lives.
We create grace\-filled environments where every person is welcomed, valued, and encouraged to pursue meaningful life change at their own pace. Through supportive services, innovative programs, and a deeply caring team, we walk alongside each individual on their journey—reflecting the transformative love of God in all we do.
**This position has a BFOQ to be faith aligned.**
We are seeking a passionate and mission\-driven **Women and Children's Center \- Program Manager** to help expand the impact of Shepherd’s House Ministries at our **Women and Children's Center** location and advance this life\-changing work.
This position is responsible for providing a Christ\-centered, safe, structured, grace\-filled and transformational long\-term recovery program where residents grow, heal, and transform spiritually, emotionally, and relationally. Staff operate at high health and alignment, and all program systems, schedules, finances, and activities run with excellence, integrity, and accountability.
**Strategic Work Expectations:**
* Shall strive for and embody honesty, compassion, forgiveness, mercy, gentleness, hospitality of spirit, and the deep love of Jesus in word and deed, leading with humility, compassion, and self\-awareness.
* Will work towards having a teachable spirit and a willingness to learn.
* Collaborate in partnership with leadership, advisors and coworkers to contribute to and carry out the **Women and Children's Center** team’s strategy and goals.
**Job Duties:**
* Lead and model a Christ\-centered, faith\-based residential recovery program aligned with the organization’s mission.
* Provide spiritual leadership and oversight of recovery programming, curriculum, discipleship, and special events.
* Supervise, coach, and hold staff accountable through scheduling, performance management, and team leadership.
* Oversee resident care, safety, sobriety, crisis response, discipline, and restorative processes.
* Ensure program compliance, documentation, HIPAA standards, and accurate reporting.
* Manage facilities, operations, drug testing, logistics, and daily program schedules.
* Oversee budgets, expenditures, donations, and ethical financial stewardship.
* Collaborate with medical, mental health, churches, volunteers, and community partners.
* Represent the program with professionalism, humility, and grace.
* Pursue ongoing spiritual, professional, and leadership development.
* Compliance with SHM’s Employee Handbook and organizational policies.
* Attends all \-staff meetings and trainings
**Qualifications:**
**Education \&amp; Experience:**
* Bachelor’s in Ministry, Social Work, Counseling, Psychology, or related field preferred
* 3–5 years in recovery programming, residential care, or nonprofit leadership
* Experience in staff supervision required
* Experience in financial stewardship and budget oversight preferred
* Training in trauma\-informed care, recovery methods, biblical counseling, or similar methodologies strongly valued
**Spiritual \&amp; Professional Qualities:**
* Ability to remain flexible and adapt well.
* Work well in a team environment and be able to accept input as well as supervisory guidance.
* Able and willing to interact with shelter guests in a compassionate and respectful manner.
* Knowledgeable and empathetic to the needs of the poor and suffering.
* Able to maintain a positive, professional, Christ\-like manner with all donors, staff, guests, and volunteers.
**Working Conditions:**
* Ability to remain calm and responsive during crises or emotionally intense situations.
* Ability to work in a residential recovery environment and maintain effectiveness amid emotional or behavioral stressors.
* Ability to work a flexible schedule and travel locally as required for program needs.
**Physical Requirements:**
* Ability to stand, walk, and move throughout a residential facility for extended periods, including stairs and outdoor areas.
* Ability to sit for extended periods while performing administrative and supervisory duties.
* Ability to occasionally lift or move up to 35 pounds.
* Ability to bend, reach, stoop, kneel, and climb stairs as needed for facility oversight and resident support.
* Ability to use standard office equipment and technology, including computers and phones.
* Ability to communicate effectively, verbally and in writing, and to hear, see, and respond appropriately to people, alarms, and emergency situations.
*In accordance with the Americans with Disabilities Act (ADA), we will provide reasonable accommodations to qualified individuals with disabilities. To request an accommodation, please contact a member of the People Team.*
In compliance with federal law, all persons hired will be required to verify identity and eligibility to work in the United States and to complete the required employment eligibility verification form upon hire.
Shepherd’s House Ministries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Shepherd’s House Ministries is formed and filed as 501(c)(3\), as such there are certain positions under ministry privately funded programs that require faith alignment as a BFOQ.</t>
        </is>
      </c>
    </row>
    <row r="52">
      <c r="A52" t="inlineStr">
        <is>
          <t>in-6603201c11b20392</t>
        </is>
      </c>
      <c r="B52" t="inlineStr">
        <is>
          <t>Digital Program Manager</t>
        </is>
      </c>
      <c r="C52" t="inlineStr">
        <is>
          <t>State of Iowa</t>
        </is>
      </c>
      <c r="D52" t="inlineStr">
        <is>
          <t>indeed</t>
        </is>
      </c>
      <c r="E52" t="inlineStr"/>
      <c r="F52" t="inlineStr"/>
      <c r="G52" t="inlineStr">
        <is>
          <t>Des Moines, IA, US</t>
        </is>
      </c>
      <c r="H52" s="2" t="n">
        <v>46051</v>
      </c>
      <c r="I52" t="inlineStr">
        <is>
          <t>**Job Description**
-------------------
IPERS is looking for an innovative Digital Programs Manager (Management Analyst 3\) who will help us enhance and build our digital environments.
This role is all about strategically guiding IPERS’ transition to a more digital experience for members and employers. The successful candidate will be a big thinker who understands a realm of digital best practices and how they support effective customer service, communication and education. A team player is essential, as the employee will collaborate with various work groups to creatively solve customer service, communication and education challenges, using data to inform ideas.
General responsibilities include:
* **Shape IPERS’ digital experiences**: The employee will be at the forefront of planning, executing and optimizing IPERS’ digital assets, and will drive DX/UX initiatives to ensure members and employers enjoy seamless, accessible and user\-friendly interactions.
* **Lead website innovation**: Manage the CRMs that create IPERS’ Drupal internet and SharePoint intranet sites and the associated AI chat bot.
* **Streamline communications**: Manage forms, letters and digital documents to ensure effective and efficient communication.
* **Champion compliance \&amp; best practices**: Ensure all digital assets meet accessibility standards and industry\-leading best practices.
* **Be the digital expert**: This subject matter expert will understand, recommend, implement and manage technologies that strengthen IPERS' digital presence now and in the future, and will create the policies and procedures that direct IPERS’ use of each technology.
 **What We Offer:**
* Health, Dental, Life and Long\-Term Disability Insurance – Insurance begins on the first of the month following 30 days of employment. 2026 health and dental premiums can be found here.
* Paid time off – separate vacation and sick leave – accruals begin on day one.
* Paid holidays (nine per year)
* Flex Spending Accounts (medical and dependent care)
* Defined Benefit Retirement Plan (IPERS)
* Voluntary Retirement Plan (Retirement Investors Club)
Find out more: State of Iowa – Benefits at a Glance.
Unlock the complete value of State of Iowa benefits with the Total Compensation Calculator.
Finalists will be subject to a background check.
 **E\-Verify and Right to Work:**
The State of Iowa participates in E\-Verify, a federal program that helps employers confirm the employment eligibility of all newly hired employees. Within the required timeframe, new hires will be verified through the E\-Verify system to ensure authorization to work in the United States. The State of Iowa also complies with the federal **Right to Work** laws, which protect employees’ rights to work without being required to join a labor organization. For more information, please visit www.e\-verify.gov.
**Minimum Qualification Requirements**
--------------------------------------
Applicants must meet at least one of the following minimum requirements to qualify for positions in this job classification:
* Graduation from an accredited four\-year college or university with a degree in any field, and experience equal to three years of full\-time work in project management; management analysis; data science; business systems analysis; or professional\-level program administration, development, or operations.
* All of the following (a and b):
	+ Three years of full\-time work experience in project management; management analysis; data science; business systems analysis; or professional\-level program administration, development, or operations; and
	+ A total of four years of education and/or full\-time experience (as described in part a), where thirty semester hours of accredited college or university coursework in any field equals one year of full\-time experience.
* All of the following (a, b, and c):
	+ One year of full\-time work experience in project management; management analysis; data science; business systems analysis; or professional\-level program administration, development, or operations; and
	+ A total of four years of education and/or full\-time experience (as described in part a), where thirty semester hours of accredited college or university coursework in any field equals one year of full\-time experience; and
	+ A total of two years of graduate\-level education and/or full\-time experience (as described in part a), where twenty\-four semester hours of accredited graduate college or university coursework in business administration, industrial management, statistics, natural science, or a closely\-related field equals one year of full\-time experience.
* Current, continuous experience in the state executive branch that includes six months of full\-time work as a Management Analyst 2 or two and a half years as a Management Analyst 1\.  
For additional information, please click on this link to view the job description (Download PDF reader).</t>
        </is>
      </c>
    </row>
    <row r="53">
      <c r="A53" t="inlineStr">
        <is>
          <t>in-bca1beff7fc0fa61</t>
        </is>
      </c>
      <c r="B53" t="inlineStr">
        <is>
          <t>Advanced Technical Program Manager</t>
        </is>
      </c>
      <c r="C53" t="inlineStr">
        <is>
          <t>Zebra Technologies</t>
        </is>
      </c>
      <c r="D53" t="inlineStr">
        <is>
          <t>indeed</t>
        </is>
      </c>
      <c r="E53" t="inlineStr"/>
      <c r="F53" t="inlineStr"/>
      <c r="G53" t="inlineStr">
        <is>
          <t>Lincolnshire, IL, US</t>
        </is>
      </c>
      <c r="H53" s="2" t="n">
        <v>46050</v>
      </c>
      <c r="I53" t="inlineStr">
        <is>
          <t>**Remote Work: No**
 **Overview:**
At Zebra, we are a community of innovators who come together to create new ways of working. United by curiosity and a culture of caring, we develop smart solutions that anticipate our customer’s and partner’s needs and solve their challenges.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 – locally and globally.  
Come make an impact every day at Zebra.  
A functional leader that develops a team of program managers that also operates across all levels of the company and can drive strategic initiatives as well as product development in realizing our company’s vision. Technical and solutions manager of program management responsible for program managing agile cross functional team of Systems and SW Engineers, Test Engineers, Operations, etc. from initial concept to deployment. Meets complex program goals for product performance, quality goals, regulatory compliance requirements, cost, schedule, and development budget. Responsible for working with Product Management, Marketing and Customer Experience Designer (CxD) to define the product with a customer first mindset, solidify the business case, and author the product and experience specifications. Given our multitude of design and development partners, you will participate with negotiations involving Business Development and Legal.
 **Location\- \*\*\*Role is required to be onsite in Lincolnshire, IL office (Hybrid\- Minimum of** **4** **days in the office per week).**
 **Responsibilities:**  
* Functional leadership of program management teams with direct supervision of level 1, 2 and senior PM’s. Independently drives team growth and development plans and supports individual’s execution of development activities such as training, mentorships, and guiding growth opportunities for high potentials.
* Team leadership for scaled Agile cross\-functional innovation teams. Contribute to and promote the development of agile skillset and capabilities within Zebra. Execute multiple limited scope projects simultaneously or a large program with senior manager’s guidance utilizing modern project management methodologies to ensure maximum project effectiveness.
* Demonstrates the ability to see cross\-functional impacts of decisions and project plans and execution. Balances scope, schedule and budget considerations to adjust the project with minimal impact to the business. Understands the business objectives of the program and assumes personal accountability for success of the program against those objectives.
* Lead the program management for Enterprise Thermal Printers and Data Capture Imagers for new product development and lifecycle management, defining Firmware program structures and aligning cross\-program Firmware dependencies inclusive of structuring Firmware Joint Development Manufacturing (JDM) models.
* Organize and lead solution teams in projects. Can include leading scrum teams as a release train engineer (RTE)
* Drive execution of solutions inclusive of concept definition, requirements validation, architecture specification, and governance compliance to our Zebra Lifecycle Management framework.
* Ability to translate customer problems into solution requirements.
* Leads system integration planning, release management, and planning for demonstrations, proof of concepts, pilots, minimal viable products, and iterative feature delivery.
* Leads firmware and software development as part of a larger solution aligning to hardware milestones
* Leads creating cross functional workstreams and driving execution for sales enablement, development and deployment.
* Work closely with global partners, including Joint Development Manufacturing (JDM), to build the relationship, negotiate alongside business development \&amp; legal, and execute the solution.
* Independently building relationships and working across all relevant areas of the solution business including Sales, Services, IT, Finance, Marketing, Product, Engineering, and Support.
* Works independently with business professionals in defining proof of value and customer return on investment.
* Organizes and presents business, technical and program reviews/status to Senior Leadership using digital media, dashboards and JIRA agile project management tools.
* Independently executed program plans and budgets for multiple small and large projects. Recommend corrective actions and implement changes. Identify and mitigate risks; develop and implement risk mitigation plans. Owns ensuring alignment from key leaders of milestone achievement before moving the program forward.
* May lead multiple limited to moderate scope projects simultaneously or manage a larger program directly. Programs may be moderate to complex in nature or one large program with cross\-functional teams in numerous locations and time zones
* Recognized as an "expert" in the business function and processes in which the program is operating
* Motivate a project team to ensure solutions are reliable and of quality, in a highly collaborative fashion
* Demonstrates the ability to see cross\-functional impacts of decisions and project plans and execution. Balances scope, schedule and budget considerations to adjust the project with minimal impact to the business. Understands the business objectives of the program and assumes personal accountability for success of the program against those objectives.
* Expertise in RISK Management. Independently coordinates deliverables and project assets to assist the project team. Personally, anticipates and addresses obstacles or issues that are moderate to significant in severity and escalates complex issues to management for assistance. Independently engages additional resources as needed to address obstacles or delays. Adjusts the plan, per management guidelines, as delays or obstacles are experienced.
* Demonstrates advanced understanding of development processes and product launch scope and activities
* No supervision by management is expected in this position for complex or novel problems.
* Coach or act as escalation point for Senior Program Managers or grades below
* Supports early stage go to market activities and transition to marketing
* Develop and protect intellectual property; be well versed with IP fundamentals.
* Explore and understand competitive landscape in both product and business terms
* Define strategic initiatives to align the business to agile product development. Work closely with Portfolio Management to ensure strategic goals align and are represented in the innovation feature roadmap. Assist in the development of business plans, strategies and approaches to take advantage of business opportunities.
* Initiate strategic partnerships with technology companies (including startups) that are developing adjacent new cutting\-edge solution elements. Partner with Zebra Ventures to identify entities that are added value to Zebra’s business and solutions.
**Qualifications:** **Required Qualifications:**
* Bachelor's degree in Engineering, Computer Science or related technical field
* 8\+ years of engineering/Program management experience for customer facing products in fast paced environment including minimum 2 years as team lead /supervisor.
* Experience in firmware development in multiple Operating Systems with proficiencies in C, Python and Lua, with a focus on IOT
* Experience in improving/re\-writing firmware or software algorithms
* Experience designing GUI architecture and working alongside graphics designer
* Expertise managing technical regulatory requirements such as EU RED/CRA
* Expertise managing dependencies between mobile / desktop / cloud applications and firmware.
**Preferred Qualifications:**
* Master's degree preferred.
* Strong strategic leadership and analytical skills
* Excellent written and oral communication skills
* Solid critical thinking and questioning skills in technical and non\-technical discussions
* Experience in managing and gelling different methodologies (Kanban, Scrum, SAFe, Waterfall)
* Past responsibility for multiple significant delivered\-to\-market solutions in asset intelligence (Location Services, Machine Learning, Machine Vision, Artificial Intelligence).
* Experience leading large cross\-functional teams including Software/Firmware Engineering, Product Management, Product Owners, Systems Engineering, external contractors and JDM partners.
* Self\-motivated, results driven, manages risks, and thrives in an environment of uncertainty and continuous innovation. Able to drive definition and creation of solutions from skeleton use cases
* Experienced team builder, skilled at collaboration and managing resources; proven interpersonal skills
* Experience with software development best practices including Scaled Agile, TDD and Continuous Integration; a track record of applying these methodologies
* Experience working independently and as part of a team to solve difficult technical, quality, cost, and schedule challenges; well versed in risk management practices
* Experience using and promoting Artificial Intelligence tools to improve time to market, customer value, team productivity and efficiencies
**Location\- \*\*\*Role is required to be onsite in Lincolnshire, IL office (Hybrid\- Minimum of** **4** **days in the office per week).**
Come join our team!
Zebra is an equal opportunity employer. All qualified applicants will receive consideration for employment without regard to race, color, religion, sex, sexual orientation, gender identity, national origin, disability, protected veteran status, or any other basis prohibited by law. If you are an individual with a disability and need assistance in applying for a position, please contact us at workplace.accommodations@zebra.com
The EEO is the Law poster is available here: https://www.zebra.com/content/dam/zebra/compliance/eeoisthelawposter.pdf.
The EEO is the Law poster supplement is available here: https://www.zebra.com/content/dam/zebra/compliance/ginasupplement.pdf.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138800\.00 \- USD 208200\.00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  
Zebra Technologies leverages AI technology to evaluate job applications using objective, job\-relevant criteria. This approach enhances efficiency and promotes fairness in the hiring process. However, every decision regarding interviews and hiring is made by our dedicated team, because we believe people make the best decisions about people. For more on how we use technology in hiring and how we process applicant data, see our **Zebra Privacy Policy**.</t>
        </is>
      </c>
    </row>
    <row r="54">
      <c r="A54" t="inlineStr">
        <is>
          <t>in-c88e5dc046cc6d20</t>
        </is>
      </c>
      <c r="B54" t="inlineStr">
        <is>
          <t>Transportation Program Manager- Chicago ,IL</t>
        </is>
      </c>
      <c r="C54" t="inlineStr">
        <is>
          <t>HPH Transport</t>
        </is>
      </c>
      <c r="D54" t="inlineStr">
        <is>
          <t>indeed</t>
        </is>
      </c>
      <c r="E54" t="inlineStr"/>
      <c r="F54" t="inlineStr"/>
      <c r="G54" t="inlineStr">
        <is>
          <t>Des Plaines, IL, US</t>
        </is>
      </c>
      <c r="H54" s="2" t="n">
        <v>46025</v>
      </c>
      <c r="I54" t="inlineStr">
        <is>
          <t>Job Description
**District Manager** \- **$24/hour. Full Time.**
Responsible for operation of a small transportation program and van fleet . Responsibilities include driving as needed, training, payroll, scheduling, oversight of maintenance of vehicles, interviews, customer service and ensuring team of drivers is adhering to safety policies. Some local travel is required (within the state). This position has responsibility of the overall success of the transportation program within the district. The Manager works closely with HPH Senior leadership as well as leadership at our client locations. We are seeking hard working motivated individuals. Transportation experience is preferred. Candidate should have management/supervisory experience. Candidate should be technologically savvy. This is a Full Time Position with general hours of Monday to Friday 7am to 4pm.</t>
        </is>
      </c>
    </row>
    <row r="55">
      <c r="A55" t="inlineStr">
        <is>
          <t>in-94ccc2dc526e562b</t>
        </is>
      </c>
      <c r="B55" t="inlineStr">
        <is>
          <t>Sr. Supply Chain Product Manager, Amazon Custom Modules</t>
        </is>
      </c>
      <c r="C55" t="inlineStr">
        <is>
          <t>Amazon.com</t>
        </is>
      </c>
      <c r="D55" t="inlineStr">
        <is>
          <t>indeed</t>
        </is>
      </c>
      <c r="E55" t="inlineStr"/>
      <c r="F55" t="inlineStr"/>
      <c r="G55" t="inlineStr">
        <is>
          <t>Cupertino, CA, US</t>
        </is>
      </c>
      <c r="H55" s="2" t="n">
        <v>45935</v>
      </c>
      <c r="I5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in-28c493691f8fa6ce</t>
        </is>
      </c>
      <c r="B56" t="inlineStr">
        <is>
          <t>Sr. Product Manager Technical, Deal Tooling &amp; Insights, Strategic Customer Engagements</t>
        </is>
      </c>
      <c r="C56" t="inlineStr">
        <is>
          <t>Amazon Web Services</t>
        </is>
      </c>
      <c r="D56" t="inlineStr">
        <is>
          <t>indeed</t>
        </is>
      </c>
      <c r="E56" t="inlineStr"/>
      <c r="F56" t="inlineStr"/>
      <c r="G56" t="inlineStr">
        <is>
          <t>Seattle, WA, US</t>
        </is>
      </c>
      <c r="H56" s="2" t="n">
        <v>45994</v>
      </c>
      <c r="I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7">
      <c r="A57" t="inlineStr">
        <is>
          <t>in-370ac394c68bca77</t>
        </is>
      </c>
      <c r="B57" t="inlineStr">
        <is>
          <t>Sr. Product Manager Technical, Deal Tooling &amp; Insights, Strategic Customer Engagements</t>
        </is>
      </c>
      <c r="C57" t="inlineStr">
        <is>
          <t>Amazon Web Services</t>
        </is>
      </c>
      <c r="D57" t="inlineStr">
        <is>
          <t>indeed</t>
        </is>
      </c>
      <c r="E57" t="inlineStr"/>
      <c r="F57" t="inlineStr"/>
      <c r="G57" t="inlineStr">
        <is>
          <t>Arlington, VA, US</t>
        </is>
      </c>
      <c r="H57" s="2" t="n">
        <v>45994</v>
      </c>
      <c r="I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8">
      <c r="A58" t="inlineStr">
        <is>
          <t>in-50938ac445ffd447</t>
        </is>
      </c>
      <c r="B58" t="inlineStr">
        <is>
          <t>Sr. Product Manager Technical, Deal Tooling &amp; Insights, Strategic Customer Engagements</t>
        </is>
      </c>
      <c r="C58" t="inlineStr">
        <is>
          <t>Amazon Web Services</t>
        </is>
      </c>
      <c r="D58" t="inlineStr">
        <is>
          <t>indeed</t>
        </is>
      </c>
      <c r="E58" t="inlineStr"/>
      <c r="F58" t="inlineStr"/>
      <c r="G58" t="inlineStr">
        <is>
          <t>Dallas, TX, US</t>
        </is>
      </c>
      <c r="H58" s="2" t="n">
        <v>45994</v>
      </c>
      <c r="I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9">
      <c r="A59" t="inlineStr">
        <is>
          <t>in-e9d7050caf4e568e</t>
        </is>
      </c>
      <c r="B59" t="inlineStr">
        <is>
          <t>Sr. Product Manager Technical, Deal Tooling &amp; Insights, Strategic Customer Engagements</t>
        </is>
      </c>
      <c r="C59" t="inlineStr">
        <is>
          <t>Amazon Web Services</t>
        </is>
      </c>
      <c r="D59" t="inlineStr">
        <is>
          <t>indeed</t>
        </is>
      </c>
      <c r="E59" t="inlineStr"/>
      <c r="F59" t="inlineStr"/>
      <c r="G59" t="inlineStr">
        <is>
          <t>Austin, TX, US</t>
        </is>
      </c>
      <c r="H59" s="2" t="n">
        <v>45994</v>
      </c>
      <c r="I5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0">
      <c r="A60" t="inlineStr">
        <is>
          <t>in-b847a17a8546b8d2</t>
        </is>
      </c>
      <c r="B60" t="inlineStr">
        <is>
          <t>Sr. Product Manager Technical, Deal Tooling &amp; Insights, Strategic Customer Engagements</t>
        </is>
      </c>
      <c r="C60" t="inlineStr">
        <is>
          <t>Amazon Web Services</t>
        </is>
      </c>
      <c r="D60" t="inlineStr">
        <is>
          <t>indeed</t>
        </is>
      </c>
      <c r="E60" t="inlineStr"/>
      <c r="F60" t="inlineStr"/>
      <c r="G60" t="inlineStr">
        <is>
          <t>Herndon, VA, US</t>
        </is>
      </c>
      <c r="H60" s="2" t="n">
        <v>45994</v>
      </c>
      <c r="I6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1">
      <c r="A61" t="inlineStr">
        <is>
          <t>in-fee7b1c6300223f9</t>
        </is>
      </c>
      <c r="B61" t="inlineStr">
        <is>
          <t>Sr. Product Manager Technical, Deal Tooling &amp; Insights, Strategic Customer Engagements</t>
        </is>
      </c>
      <c r="C61" t="inlineStr">
        <is>
          <t>Amazon Web Services</t>
        </is>
      </c>
      <c r="D61" t="inlineStr">
        <is>
          <t>indeed</t>
        </is>
      </c>
      <c r="E61" t="inlineStr"/>
      <c r="F61" t="inlineStr"/>
      <c r="G61" t="inlineStr">
        <is>
          <t>New York, NY, US</t>
        </is>
      </c>
      <c r="H61" s="2" t="n">
        <v>45994</v>
      </c>
      <c r="I6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2">
      <c r="A62" t="inlineStr">
        <is>
          <t>in-3ea096ce1260739f</t>
        </is>
      </c>
      <c r="B62" t="inlineStr">
        <is>
          <t>Sr. Product Manager - Tech, WHS Data-Tech</t>
        </is>
      </c>
      <c r="C62" t="inlineStr">
        <is>
          <t>Amazon.com</t>
        </is>
      </c>
      <c r="D62" t="inlineStr">
        <is>
          <t>indeed</t>
        </is>
      </c>
      <c r="E62" t="inlineStr"/>
      <c r="F62" t="inlineStr"/>
      <c r="G62" t="inlineStr">
        <is>
          <t>Bellevue, WA, US</t>
        </is>
      </c>
      <c r="H62" s="2" t="n">
        <v>45836</v>
      </c>
      <c r="I6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3">
      <c r="A63" t="inlineStr">
        <is>
          <t>in-c6aac221db309e08</t>
        </is>
      </c>
      <c r="B63" t="inlineStr">
        <is>
          <t>Sr. Product Manager - Tech, WHS Data-Tech</t>
        </is>
      </c>
      <c r="C63" t="inlineStr">
        <is>
          <t>Amazon.com</t>
        </is>
      </c>
      <c r="D63" t="inlineStr">
        <is>
          <t>indeed</t>
        </is>
      </c>
      <c r="E63" t="inlineStr"/>
      <c r="F63" t="inlineStr"/>
      <c r="G63" t="inlineStr">
        <is>
          <t>Arlington, VA, US</t>
        </is>
      </c>
      <c r="H63" s="2" t="n">
        <v>45836</v>
      </c>
      <c r="I6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4">
      <c r="A64" t="inlineStr">
        <is>
          <t>in-6c3f18044f6dc1f2</t>
        </is>
      </c>
      <c r="B64" t="inlineStr">
        <is>
          <t>Sr. Product Manager - Tech, WHS Data-Tech</t>
        </is>
      </c>
      <c r="C64" t="inlineStr">
        <is>
          <t>Amazon.com</t>
        </is>
      </c>
      <c r="D64" t="inlineStr">
        <is>
          <t>indeed</t>
        </is>
      </c>
      <c r="E64" t="inlineStr"/>
      <c r="F64" t="inlineStr"/>
      <c r="G64" t="inlineStr">
        <is>
          <t>Nashville, TN, US</t>
        </is>
      </c>
      <c r="H64" s="2" t="n">
        <v>45836</v>
      </c>
      <c r="I6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5">
      <c r="A65" t="inlineStr">
        <is>
          <t>in-a6238782e5e03c8a</t>
        </is>
      </c>
      <c r="B65" t="inlineStr">
        <is>
          <t>Principal Product Manager - Tech, Recommender Systems, Prime Video Personalization &amp; Discovery</t>
        </is>
      </c>
      <c r="C65" t="inlineStr">
        <is>
          <t>Amazon.com</t>
        </is>
      </c>
      <c r="D65" t="inlineStr">
        <is>
          <t>indeed</t>
        </is>
      </c>
      <c r="E65" t="inlineStr"/>
      <c r="F65" t="inlineStr"/>
      <c r="G65" t="inlineStr">
        <is>
          <t>Washington, DC, US</t>
        </is>
      </c>
      <c r="H65" s="2" t="n">
        <v>45753</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in-9fb891c524d3bbb8</t>
        </is>
      </c>
      <c r="B66" t="inlineStr">
        <is>
          <t>Principal Product Manager - Tech, Recommender Systems, Prime Video Personalization &amp; Discovery</t>
        </is>
      </c>
      <c r="C66" t="inlineStr">
        <is>
          <t>Amazon.com</t>
        </is>
      </c>
      <c r="D66" t="inlineStr">
        <is>
          <t>indeed</t>
        </is>
      </c>
      <c r="E66" t="inlineStr"/>
      <c r="F66" t="inlineStr"/>
      <c r="G66" t="inlineStr">
        <is>
          <t>Seattle, WA, US</t>
        </is>
      </c>
      <c r="H66" s="2" t="n">
        <v>45753</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in-74353ba2e267d33d</t>
        </is>
      </c>
      <c r="B67" t="inlineStr">
        <is>
          <t>Principal Product Manager Technical, Creative X - RAPID</t>
        </is>
      </c>
      <c r="C67" t="inlineStr">
        <is>
          <t>Amazon.com</t>
        </is>
      </c>
      <c r="D67" t="inlineStr">
        <is>
          <t>indeed</t>
        </is>
      </c>
      <c r="E67" t="inlineStr"/>
      <c r="F67" t="inlineStr"/>
      <c r="G67" t="inlineStr">
        <is>
          <t>New York, NY, US</t>
        </is>
      </c>
      <c r="H67" s="2" t="n">
        <v>45939</v>
      </c>
      <c r="I67"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68">
      <c r="A68" t="inlineStr">
        <is>
          <t>in-38fd85d1be5c1b7f</t>
        </is>
      </c>
      <c r="B68" t="inlineStr">
        <is>
          <t>Principal Product Manager Technical, Creative X - RAPID</t>
        </is>
      </c>
      <c r="C68" t="inlineStr">
        <is>
          <t>Amazon.com</t>
        </is>
      </c>
      <c r="D68" t="inlineStr">
        <is>
          <t>indeed</t>
        </is>
      </c>
      <c r="E68" t="inlineStr"/>
      <c r="F68" t="inlineStr"/>
      <c r="G68" t="inlineStr">
        <is>
          <t>Seattle, WA, US</t>
        </is>
      </c>
      <c r="H68" s="2" t="n">
        <v>45939</v>
      </c>
      <c r="I68"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69">
      <c r="A69" t="inlineStr">
        <is>
          <t>in-36eb9a335a73f9fa</t>
        </is>
      </c>
      <c r="B69" t="inlineStr">
        <is>
          <t>Sr Product Manager, Token Solutions</t>
        </is>
      </c>
      <c r="C69" t="inlineStr">
        <is>
          <t>Visa</t>
        </is>
      </c>
      <c r="D69" t="inlineStr">
        <is>
          <t>indeed</t>
        </is>
      </c>
      <c r="E69">
        <f>HYPERLINK("https://www.indeed.com/viewjob?jk=36eb9a335a73f9fa", "https://www.indeed.com/viewjob?jk=36eb9a335a73f9fa")</f>
        <v/>
      </c>
      <c r="F69">
        <f>HYPERLINK("https://jobs.smartrecruiters.com/Visa/744000107147604-sr-product-manager-token-solutions", "https://jobs.smartrecruiters.com/Visa/744000107147604-sr-product-manager-token-solutions")</f>
        <v/>
      </c>
      <c r="G69" t="inlineStr">
        <is>
          <t>Foster City, CA, US</t>
        </is>
      </c>
      <c r="H69" s="3" t="n">
        <v>46056</v>
      </c>
      <c r="I69"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Want to build the future payment experience for Visa cardholders around the world?
Imagine being part of an agile team where your ideas transform the payment experience for millions of Visa cardholders globally. Visa Digital Platform team is looking for Product Managers to join our diverse team, to build new product capabilities and enhancing existing ones. Our platform capabilities will be used by merchants, PSPs and wallets to enable payment experience in their online and physical checkouts.
Essential Functions:
* Defining product and market requirements by understanding the needs of issuers and merchants/token requestors during token provisioning process.
* Establish detailed business requirements and specifications for existing and new services and products.
* Collaborate deeply with\-in product and other cross\-functional teams such as development, architecture, testing, integration, design etc.
* Analyze data to provide actionable insights and iterate product capabilities.
* Proactively identify gaps in the current product offering and lead the effort to develop solutions that drive business value.
* Track payment industry trends, standards and competitive offerings in the e\-commerce and mobile payments arena. Identify opportunities for new value\-added and differentiated features.
* Coordinate with the regional product teams and internal teams to ensure country/market and regulatory requirements are met, delivered, and tested for a successful launch.
* Participate in client facing discussions, provide feedback, learn, evaluate, and apply in defining product.
* Maintain in\-depth knowledge of services (APIs) offered by Digital Solutions Product team.
* Managing, grooming, planning and execution of a steady product backlog in a very fast paced agile environment.
* Perform triage on critical issues, escalating as necessary and communicating consistently and clearly with all concerned parties.
This is a hybrid position. Expectation of days in office will be confirmed by your hiring manager.
 **Qualifications**  
Basic Qualifications:  
8 or more years of relevant work experience with a Bachelor Degree or at least 5 years of experience with an Advanced Degree (e.g. Masters, MBA, JD, MD) or 2 years of work experience with a PhD  
Preferred Qualifications:  
9 or more years of relevant work experience with a Bachelor Degree or 7 or more relevant years of experience with an Advanced Degree (e.g. Masters, MBA, JD, MD) or 3 or more years of experience with a PhD  
E\-commerce and payment industry knowledge.  
Experience in driving product strategy and go to market.  
Client solutioning experience.  
Product experience that enables excellent user experiences, especially with services for e\-commerce or payment systems or financial systems.  
Experience demonstrating strong leadership, self\-motivation, accountability, and team player.  
Strong collaboration and communication skills with the ability to effectively work cross\-organizationally.  
Demonstrate strong customer centric mindset.  
Successful demonstration of product delivery in either or both Agile (e.g., scrum) and waterfall software development methodologies  
Ability to lead, drive consensus and deliver in a matrix organization with multiple stakeholders.  
Creativity and resourcefulness to overcome unexpected roadblocks.  
Proven track record of taking ownership and driving meaningful results.  
Ability to deliver initiatives from conception through completion.  
Superior analytical and problem\-solving skills to synthesize and communicate complex information effectively.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169,100\.00 to 270,800\.00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70">
      <c r="A70" t="inlineStr">
        <is>
          <t>in-555172bc80db619c</t>
        </is>
      </c>
      <c r="B70" t="inlineStr">
        <is>
          <t>Product Owner</t>
        </is>
      </c>
      <c r="C70" t="inlineStr">
        <is>
          <t>Risant Health</t>
        </is>
      </c>
      <c r="D70" t="inlineStr">
        <is>
          <t>indeed</t>
        </is>
      </c>
      <c r="E70">
        <f>HYPERLINK("https://www.indeed.com/viewjob?jk=555172bc80db619c", "https://www.indeed.com/viewjob?jk=555172bc80db619c")</f>
        <v/>
      </c>
      <c r="F70">
        <f>HYPERLINK("https://jobs.smartrecruiters.com/RisantHealth/3743990011496515-product-owner", "https://jobs.smartrecruiters.com/RisantHealth/3743990011496515-product-owner")</f>
        <v/>
      </c>
      <c r="G70" t="inlineStr">
        <is>
          <t>Washington, DC, US</t>
        </is>
      </c>
      <c r="H70" s="3" t="n">
        <v>46056</v>
      </c>
      <c r="I70" t="inlineStr">
        <is>
          <t>**Company Description**  
Risant Health, a nonprofit affiliate of Kaiser Foundation Hospitals, is transforming healthcare by accelerating the adoption of value\-based care across community health systems. Headquartered in the Washington, DC area, Risant Health partners with nonprofit, community\-based systems—starting with Geisinger—to expand access to care that prioritizes health outcomes and affordability.
Backed by nearly 80 years of Kaiser Permanente’s value\-based care expertise, Risant Health operates independently to support its portfolio of health systems with shared resources, strategic guidance, and operational support—while preserving their community roots.
 **Job Description**  
The VBP Product Owner at Risant Health leads the strategy and lifecycle management of the Value\-based Platform (VBP) solution portfolio, aligning closely with business and clinical leadership. This role ensures the delivery of solutions that meet customer, clinician, and consumer needs, drive key business outcomes, and position Risant Health as a leader in value\-based care in the U.S. health market.
The VBP Product Owner is responsible for translating customer, clinician, and consumer needs into actionable product requirements and guiding the development of high\-quality value\-based care solutions. This role collaborates with cross\-functional teams to manage product backlogs, define user stories, support sprint execution, and ensure successful product delivery. Reporting to the VBP Head of Product, the Product Owner plays a key role in aligning product development with strategic goals and enhancing user experience.
**Principal Duties and Responsibilities**
* Product Strategy \&amp; Roadmap: Shapes and communicates a clear product vision aligned with business goals and customer needs. Translates this vision into OKRs and a prioritized roadmap using frameworks like DVF, balancing stakeholder input, market trends, and technical feasibility.
* Backlog \&amp; Requirements Management: Owns and maintains the product backlog in collaboration with the Product Manager, defining user stories, acceptance criteria, and success metrics. Ensures clarity, prioritization, and alignment with business value using tools like Jira.
* Sprint Execution \&amp; Delivery: Leads sprint planning and execution by preparing stories, clarifying requirements, and supporting development and QA teams. Reviews completed work, gathers feedback, and ensures delivery aligns with goals and specifications.
* User Experience \&amp; Design: Partners with design teams to ensure intuitive, user\-centered experiences that meet the needs of clinicians, patients, and other users, while championing UX best practices throughout the development process.
* Stakeholder Collaboration: Acts as a liaison between cross\-functional teams (clinical, engineering, data, legal, etc.) and stakeholders, ensuring alignment, clear communication, and timely updates on product plans, milestones, and decisions.
* Performance Monitoring \&amp; Optimization: Analyzes product performance using data and insights to identify opportunities for improvement. Collaborates with analytics teams to track impact and make informed, data\-driven decisions.
* Go\-to\-Market Support: Contributes to go\-to\-market planning for new product launches and feature releases, ensuring alignment with organizational goals and effective communication of product value.
**Qualifications** **Required Qualifications: Education and Experience**
* Bachelor's Degree in Computer Science, Business Administration, Information Systems Management, Data Analytics, Engineering, Social Science, or related field
* OR four (4\) additional years directly related experience
* Five (5\) years as a Product Owner or similar role in Agile software development/ delivery environments.
* Five (5\) years working with agile teams, including familiarity with scrum ceremonies and agile best practices.
**Preferred Qualifications: Education and Experience**
* Certified Scrum Master (CSM)
* Certified Scrum Product Owner (CSPO)
* Professional Scrum Product Owner (PSPO)
* SAFe Product Owner / Product Manager (POPM)
* Experience leading and working with inter\-disciplinary teams and managing stakeholder relationships in a complex environment.
* Experience working within the healthcare multi\-payer/ multi\-provider environment is preferred.
**Preferred Qualifications: Technical Competencies**
Product Development \&amp; Strategy: Proven experience developing and executing product roadmaps with a focus on user experience and clinical outcomes. Skilled in drafting KPIs and applying prioritization frameworks to guide decision\-making.
Agile \&amp; Product Management Expertise: Deep understanding of Agile methodologies (Scrum, Kanban, SAFe) and product management best practices. Background in roles such as Product Analyst or Business Analyst, with hands\-on experience in user acceptance testing (UAT).
Tools \&amp; Platforms Proficiency: Proficient in product and project management tools such as Jira, Confluence, Figma, Mural, Miro, and TestFlight.
 **Additional Information** **Compensation and Benefits:** The projected base salary for this position ranges from $108,730 to $144,100 depending on experience and qualifications. This role is also eligible for incentive compensation and a comprehensive benefits package, including wellness programs, retirement savings, and relocation support as applicable.
**Join us!** If you are passionate about improving healthcare through innovative solutions and want to make a meaningful impact, we encourage you to apply. Risant Health is an equal opportunity employer committed to creating a diverse and inclusive workplace. We welcome applicants from all backgrounds and experiences. All your information will be kept confidential according to EEO guidelines.</t>
        </is>
      </c>
    </row>
    <row r="71">
      <c r="A71" t="inlineStr">
        <is>
          <t>in-962734a64dcd2553</t>
        </is>
      </c>
      <c r="B71" t="inlineStr">
        <is>
          <t>Product Manager</t>
        </is>
      </c>
      <c r="C71" t="inlineStr">
        <is>
          <t>Risant Health</t>
        </is>
      </c>
      <c r="D71" t="inlineStr">
        <is>
          <t>indeed</t>
        </is>
      </c>
      <c r="E71">
        <f>HYPERLINK("https://www.indeed.com/viewjob?jk=962734a64dcd2553", "https://www.indeed.com/viewjob?jk=962734a64dcd2553")</f>
        <v/>
      </c>
      <c r="F71">
        <f>HYPERLINK("https://jobs.smartrecruiters.com/RisantHealth/3743990011496085-product-manager", "https://jobs.smartrecruiters.com/RisantHealth/3743990011496085-product-manager")</f>
        <v/>
      </c>
      <c r="G71" t="inlineStr">
        <is>
          <t>Washington, DC, US</t>
        </is>
      </c>
      <c r="H71" s="3" t="n">
        <v>46056</v>
      </c>
      <c r="I71" t="inlineStr">
        <is>
          <t>**Company Description**  
Risant Health, a nonprofit affiliate of Kaiser Foundation Hospitals, is transforming healthcare by accelerating the adoption of value\-based care across community health systems. Headquartered in the Washington, DC area, Risant Health partners with nonprofit, community\-based systems—starting with Geisinger—to expand access to care that prioritizes health outcomes and affordability.
Backed by nearly 80 years of Kaiser Permanente’s value\-based care expertise, Risant Health operates independently to support its portfolio of health systems with shared resources, strategic guidance, and operational support—while preserving their community roots.
 **Job Description**  
The VBP Product Manager will support the development and execution of product strategies to drive business growth and meet a series of end\-user needs by working in tight collaboration with the appropriate clinical discipline team to ensure alignment with clinical requirements and best\-practices, right care models, and value\-based care outcomes.
The Product Manager will collaborate with inter\-disciplinary teams, including clinical, product, value realization, tech and engineering, program management, and data insights and analytics to define product requirements, prioritize features, and deliver the VBP solution to launch, assessing impact and continuing to build, enhance and innovate products based on key data insights.
 **Qualifications** **Principal Duties and Responsibilities**
* Product Strategy \&amp; Roadmap: Define and maintain a strategic product vision aligned with business goals, supported by market research and competitive analysis. Develop and manage a dynamic product roadmap with prioritized features, milestones, and timelines.
* Requirements \&amp; Development Oversight: Gather and document business, user, and compliance requirements, translating them into clear functional and technical specifications. Oversee agile product development to ensure timely, on\-budget delivery that meets specifications.
* Stakeholder \&amp; Team Collaboration: Foster strong relationships across clinical, technical, and leadership teams to ensure alignment and effective communication. Act as the central point for approvals, escalations, and cross\-functional coordination.
* Risk \&amp; Resource Management: Identify and mitigate development and adoption risks while managing resources to maintain focus on priorities without disruption.
* Performance Monitoring \&amp; Continuous Improvement: Track KPIs to assess product success and guide enhancements. Lead retrospectives and integrate feedback to drive ongoing product and process improvements.
**Required Qualifications:**
* Bachelor’s Degree in Computer Science, Business Administration, Information Systems, Data Analytics, Engineering, Social Science, or a related field, or equivalent experience
* OR four (4\) additional years of directly related experience
**Experience:**
* Seven (7\) years of experience in product management or related roles
**Required certifications or licensures**
* Certifications in product management or Agile methodologies (e.g., APM, PO/PM, SAFe)
**Preferred Technical Competencies**
* Product Strategy \&amp; Delivery: Demonstrated success in building and managing product roadmaps, prioritization frameworks, and delivering impactful products as a Product Analyst or Product Owner.
* Agile \&amp; Project Management Expertise: Strong understanding of Agile methodologies and best practices, with hands\-on proficiency in tools like Jira, Figma, Mural, Miro, and Confluence
**Preferred Education and Experience**
* Experienced in forming and guiding teams, setting clear agreements, KPIs, and goals to drive alignment and performance
* Experience collaborating with inter\-disciplinary teams and managing stakeholder relationships
* Passion for innovation and enhancing customer experiences, particularly in healthcare settings within multi\-payer and multi\-provider ecosystems
**Additional Information** **Compensation and Benefits:** The projected base salary for this position ranges from $127,500 \- $168,300 depending on experience and qualifications. This role is also eligible for incentive compensation and a comprehensive benefits package, including wellness programs, retirement savings, and relocation support as applicable.
**Join us!** If you are passionate about improving healthcare through innovative solutions and want to make a meaningful impact, we encourage you to apply. Risant Health is an equal opportunity employer committed to creating a diverse and inclusive workplace. We welcome applicants from all backgrounds and experiences. All your information will be kept confidential according to EEO guidelines.</t>
        </is>
      </c>
    </row>
    <row r="72">
      <c r="A72" t="inlineStr">
        <is>
          <t>in-f5fc8fc22f89a366</t>
        </is>
      </c>
      <c r="B72" t="inlineStr">
        <is>
          <t>Principal Product Manager (IT)</t>
        </is>
      </c>
      <c r="C72" t="inlineStr">
        <is>
          <t>Sekisui Diagnostics</t>
        </is>
      </c>
      <c r="D72" t="inlineStr">
        <is>
          <t>indeed</t>
        </is>
      </c>
      <c r="E72">
        <f>HYPERLINK("https://www.indeed.com/viewjob?jk=f5fc8fc22f89a366", "https://www.indeed.com/viewjob?jk=f5fc8fc22f89a366")</f>
        <v/>
      </c>
      <c r="F72">
        <f>HYPERLINK("https://recruiting.ultipro.com/SEK1001SEKI/JobBoard/3132baeb-d758-462b-b5aa-1f7ea00e6ae5/OpportunityDetail?opportunityId=bd16229a-ce5c-4e44-87d1-49c6afd795bb&amp;postingId=5a339471-3cf4-48a7-ad8f-23cdae6d9da5", "https://recruiting.ultipro.com/SEK1001SEKI/JobBoard/3132baeb-d758-462b-b5aa-1f7ea00e6ae5/OpportunityDetail?opportunityId=bd16229a-ce5c-4e44-87d1-49c6afd795bb&amp;postingId=5a339471-3cf4-48a7-ad8f-23cdae6d9da5")</f>
        <v/>
      </c>
      <c r="G72" t="inlineStr">
        <is>
          <t>San Diego, CA, US</t>
        </is>
      </c>
      <c r="H72" s="3" t="n">
        <v>46056</v>
      </c>
      <c r="I72" t="inlineStr">
        <is>
          <t>**About you:**
You are a high caliber individual who enjoys wearing many hats, thrives in a fast\-paced environment, and is adept at challenging the status quo. You have strong experience working confidently with essential enterprise applications, such as ERP, CRM, QMS, etc. and you have mastered partnerships with business leaders. Using a collaborative and consultative approach, you have improved business processes and realized positive strategic outcomes. You are comfortable being uncomfortable and challenge yourself and others around you to be their best. As a curious individual, you learn new things quickly and use your knowledge to the embitterment of business processes, your colleagues and yourself.
**To meet the demands of this role you will:**
* Clearly and strongly demonstrate your 10\+ years of extensive experience working with business stakeholders to achieve business outcomes, (preferably in the biopharma and/or medical device industry).
* Have a strong background with Dynamics 365, SQL, and/or Power BI
* Use a consultative problem\-solving approach along with your strong working knowledge of systems and business to fluently discuss challenges impacting stakeholders to drive change
* Adeptly work with and leverage external partners to understand opportunities and deliver meaningful business results
* Be a self\-directed, self\-starter who can independently work through ambiguity
Ideally this role will be based in San Diego with the expectation to be onsite 2\-3 days/week.
**SEKISUI offers a competitive compensation and benefits package**
The anticipated base salary for this position is $165,000 \- $190,000\. This role may also qualify for annual incentives and/or comprehensive benefits. The actual base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of the position.
**ABOUT US:**
At Sekisui Diagnostics, we help improve patient outcomes by doing what we've always done – focusing on innovating and developing highly accurate diagnostics tests, reagents and systems. Social and consumer needs for medical care have been diversifying in line with dramatic transformations in the global medical environment. We continue to embrace change and challenge new frontiers so that we can create unique, high\-quality products and services that will leave our customers truly satisfied. Our global capabilities allow us to meet the specific needs of our wide range of customers \- and customize solutions at both a regional and product level.
*As an equal opportunity employer, SEKISUI Diagnostics is committed to a diverse workforce. Employment decisions will be made without discrimination based on race, color, religion, national origin, gender, age, sexual orientation, physical or mental disability, genetic information or characteristic, gender identity and expression, veteran status, other non\-job\-related characteristics or other prohibited grounds specified in applicable country and local laws. It is also SEKISUI Diagnostics policy to comply with all applicable country and local laws respecting consideration of unemployment status in making hiring decisions.*
*SEKISUI Diagnostics is pleased to consider all qualified applicants for open roles and encourages candidates to apply online. Only those candidates who are selected for further consideration or interviews will be contacted by a member of the company’s internal recruiting team.*</t>
        </is>
      </c>
    </row>
    <row r="73">
      <c r="A73" t="inlineStr">
        <is>
          <t>in-7e41564c707ac1a8</t>
        </is>
      </c>
      <c r="B73" t="inlineStr">
        <is>
          <t>Program Manager - AFC GROUP HOME MANAGER - Bay Valley</t>
        </is>
      </c>
      <c r="C73" t="inlineStr"/>
      <c r="D73" t="inlineStr">
        <is>
          <t>indeed</t>
        </is>
      </c>
      <c r="E73">
        <f>HYPERLINK("https://www.indeed.com/viewjob?jk=7e41564c707ac1a8", "https://www.indeed.com/viewjob?jk=7e41564c707ac1a8")</f>
        <v/>
      </c>
      <c r="F73">
        <f>HYPERLINK("https://recruiting.ultipro.com/HOP1003HOPN/JobBoard/b3a1c5d7-6c5e-46f6-8478-cd649884f0ef/OpportunityDetail?opportunityId=9b3b40d1-48b3-429b-b10d-1ca8de0065f0&amp;postingId=31585713-eec3-40d3-8057-a7df1af7628c", "https://recruiting.ultipro.com/HOP1003HOPN/JobBoard/b3a1c5d7-6c5e-46f6-8478-cd649884f0ef/OpportunityDetail?opportunityId=9b3b40d1-48b3-429b-b10d-1ca8de0065f0&amp;postingId=31585713-eec3-40d3-8057-a7df1af7628c")</f>
        <v/>
      </c>
      <c r="G73" t="inlineStr">
        <is>
          <t>Bay City, MI, US</t>
        </is>
      </c>
      <c r="H73" s="3" t="n">
        <v>46056</v>
      </c>
      <c r="I73" t="inlineStr">
        <is>
          <t>The Program Manager is a key associate at Hope Network whose primary responsibilities include:
Oversight and overall management of one or more Hope Network Residential homes.
Hire, train, coach and mentor direct care workforce member so that person\-served receive care consistent with their personal plans and goals.
Responsible to ensure that facilities and residential services meet applicable licensing rules, accreditation standards, and contract/funder requirements.
Meet performance targets set by leadership team related to service provision, quality assurance, and fiscal viability.
Plan, organize, and direct service provision, protect the rights of persons served, develop and maintain budgets, allocate resources, and assess and document the progress of persons served in a timely manner.
**Why a Senior Case Manager at Hope…**
**Make a difference in people's lives, including your own.**
**Here are just some of the ways Hope Network invests in you for all that you do:**
* Starting Pay: **$17\.00 \- \+**
* Pay for Performance incentive program
* Medical, Dental, Vision begins on day one
* Career pathing and growth opportunities
* Flexible, hybrid work location
* Educational reimbursement
* Paid Training
* Generous paid time off
* Retirement savings plan with employer match
* Student Loan Forgiveness eligible employer
* Employee Assistance Program
**ESSENTIAL FUNCTIONS AND RESPONSIBILITIES:** This is not intended to be an exhaustive listing of job functions. This job description in no way states or implies that these are the only duties to be performed by this workforce member. The workforce member is required to follow any other instructions and to perform any other duties as assigned.
1\. Regular and predictable attendance is an essential requirement of this position.
2\. Manages the program in a manner consistent with Hope Network’s mission, policies, and compliance with standards established by Hope Network, our funders, CARF and all licensing and accreditation standards.
3\. On\-call twenty\-four hours each day, seven (7\) days each week and is able to respond when emergencies arise.
4\. Responsible for interviewing, orientating, training and recommended applicants for hire.
5\. Responsible for developing and retaining workforce member through performance reviews, discipline, development activities, formal and informal training in accordance with Hope Network’s Workforce member Manual.
6\. Responds to workforce member needs and questions.
7\. Be a role model for good morale and promote positive work relationships.
8\. Provides leadership to residential workforce member on clinical, workforce member and programmatic issues.
9\. Holds regular workforce member meetings and utilize communication log to ensure appropriate flow of information.
10\. Proactively work toward maintaining the highest level of care and quality for person\-served:
 a. Implement established procedures to address routine issues as well as crisis management.
 b. Reviews person\-served plans on a regular basis and provide on\-the\-job coaching to workforce member implementing the plan.
 c. Attend and advocate for person\-served at PCP meetings.
 d. Ensure that residential teams are properly trained and that opportunities are available for ongoing development through training and workforce member meetings
 e. Review all incident reports, sign off and forward to agency designee.
 f. Review IRs and corrective action with workforce member and/or provide training to prevent re\-occurrence.
11\. Provides leadership, support and direction to workforce member through:
 a. Communicating essential information to workforce member and soliciting feedback/input from workforce member.
 b. Responding/following up on all the concerns/questions of the workforce member.
 c. Chairing the monthly workforce member meeting in\-house. d. Participate in monthly management meeting and any other meetings deemed necessary.
 e. Promote and encourage workforce member participation and attendance for corporate functions.
 f. Participate and work as backup to support during times of crisis or lack of workforce member.
12\. Maintains workforce membering levels in accordance with program needs:
 a. Comprehends treatment plans of those served and ensures a workforce membering team to meet needs.
 b. Monitor and validate workforce member time clock/timesheet for processing.
 c. Track hours used in the program to ensure workforce member have sufficient hours based on their status and that overtime costs are kept to a minimum.
 d. Post schedule a minimum of two weeks in advance.
13\. Develops and maintains positive, working relationships with external funders, licensing and accreditation bodies, parents and guardians.
14\. Submits all paperwork/records pertaining to home(s) correctly and submitted in timely manner. This includes but is not limited to budgets, invoices, licensing and accreditation standards, recipient rights and corrective actions.
15\. Responsible for safety:
 a. Training, promoting and monitoring safety programs.
 b. Conducts fire, safety, and tornado drills according to requirements.
 c. Participates in scheduled safety meetings. d. Implementing emergency evacuation procedures.
16\. Fully responsible for all aspects of daily operations and maintenance of functions including, but not limited to: vehicle and home maintenance
17\. Ensures safe transportation services, vehicle maintenance and efficient use of workforce member and vehicle resources, as well as appropriate documentation.
18\. Must be able to communicate needs and concerns as a liaison between Hope Network and its contracting agencies.
19\. Completes monthly billing for processing and maintain petty cash funds according to standard policies and procedures
20\. Maintains program spending and track monthly Financial Reports to ensure accuracy and assure program compliance.
21\. Promotes full community inclusion of residents through a wide range of individual and small group community\-based activities.
22\. Maintains quality assurance protocols evidenced by: a. Facility records audit, physical facility audit, facility vehicle audit, resident chart audit, claims verification audit, and external audits. b. In\-service personnel around compliance requirements specific to service area and client related documentation.
23\. Performs any other function deemed appropriate and assigned by the supervisor.
**Educational / Talent Requirements:**
1\. Bachelor’s Degree in a related area or equivalent employment experience may be considered in lieu of a degree with a minimum of four (4\) years of fieldwork, preferably in management.
2\. Demonstrated ability to communicate in verbal and written formats to meet position requirements.
3\. Demonstrated ability to select, train, coach, and manage a diverse team and hold them accountable to internal and external standards.
4\. Ability to articulate and actively support the mission of the corporation to various audiences.
**Work Experience Requirements**:
1\. Prior employment experience in workforce member supervision and residential care preferred.
2\. Prior experience in a mental health or rehabilitation setting preferred.
3\. Ability to schedule/plan work in advance and set effective and realistic timelines to meet goals.
4\. Knowledge of or ability to learn, the use of technological advances.
5\. Maintain a valid motor vehicle operator license with driving records acceptable according to Hope Network policy.
6\. Ability to work independently with flexible hours including occasional nights, holidays or weekends to ensure highest level of care for persons served.</t>
        </is>
      </c>
    </row>
    <row r="74">
      <c r="A74" t="inlineStr">
        <is>
          <t>in-52eda9d1dc6bc862</t>
        </is>
      </c>
      <c r="B74" t="inlineStr">
        <is>
          <t>Product Manager</t>
        </is>
      </c>
      <c r="C74" t="inlineStr">
        <is>
          <t>Alpha Omega Integration</t>
        </is>
      </c>
      <c r="D74" t="inlineStr">
        <is>
          <t>indeed</t>
        </is>
      </c>
      <c r="E74">
        <f>HYPERLINK("https://www.indeed.com/viewjob?jk=52eda9d1dc6bc862", "https://www.indeed.com/viewjob?jk=52eda9d1dc6bc862")</f>
        <v/>
      </c>
      <c r="F74">
        <f>HYPERLINK("https://recruiting.ultipro.com/ALP1013APAO/JobBoard/4db1723d-a288-4922-9a21-754e6e1cf5c4/OpportunityDetail?opportunityId=eb1b7338-3882-4144-a181-413ff0b94b6b&amp;postingId=4995af86-21f5-4f64-8f34-2636005cd505", "https://recruiting.ultipro.com/ALP1013APAO/JobBoard/4db1723d-a288-4922-9a21-754e6e1cf5c4/OpportunityDetail?opportunityId=eb1b7338-3882-4144-a181-413ff0b94b6b&amp;postingId=4995af86-21f5-4f64-8f34-2636005cd505")</f>
        <v/>
      </c>
      <c r="G74" t="inlineStr">
        <is>
          <t>Vienna, VA, US</t>
        </is>
      </c>
      <c r="H74" s="3" t="n">
        <v>46056</v>
      </c>
      <c r="I74" t="inlineStr">
        <is>
          <t>**Job Title: Product Manager**  
**Clearance Required: DHS Public Trust EOD (Secret or above preferred)**  
**Work Location: Remote**
Alpha Omega is looking for experienced Product Managers to join our team. On the team, it is traditionally the responsibility of the product manager to be the voice of the business. In this case, the “business” is most likely RAIO. Due to the projects close relationship with colleagues at RAIO IDEA, product teams often have close collaboration with a representative(s) of the business. Therefore, the projects Product Managers are less needed to voice the needs of the business and more needed to balance the needs of the business, users, and technology. This balancing of business, user, and technology needs constitutes **whole product thinking**.
Product Managers are ultimately responsible for advocating for the product. They are more concerned about whether the team is building the right software to solve the right problem than if what they are building is “on schedule” or meeting requirements. Product Managers constantly ask themselves the question, “Is my team focusing on the most valuable thing for the product?”
**Key Responsibilities:**
* Owns product strategy; Creates and continuously updates an outcome\-oriented product roadmap that reflects current product priorities
* Acts as the main conduit of information between the product team and stakeholders; communicates how the product will or does deliver business and user value
* Manages stakeholder expectations
* Prioritize what the product team should focus on by balancing business, user, and product needs
* Identifies, evaluates, and implements mitigations to product risks
* Runs “Lean Experiments” to test product assumptions, with a bias towards running those experiments in user interviews or deployed software environments
* Participates in user research efforts; encourages human\-centered design thinking
* Writes small user stories with detailed acceptance criteria that engineers can implement into product features
* Advocates for frequent releases to production; supports continuous delivery by quickly conducting acceptance testing on user stories
* Measures success of features and product value by gathering metrics; values outcomes over outputs
**Role:** ***Facilitates Lean product delivery (******Build, Measure, Learn cycle******)***
* **Build**
* + Writes small user stories with detailed acceptance criteria that engineers can implement into product features
	+ Advocates for frequent releases to production; supports continuous delivery by quickly conducting acceptance testing on user stories
* **Measure**
* + Measures success of features and product value by gathering metrics; values outcomes over outputs
* **Learn**
* + Participates in user research efforts; encourages human\-centered design thinking
	+ Adjusts strategy, roadmap, and backlog based on learning from user research
* **Product strategy and roadmaps**
* + Owns product strategy; creates and continuously updates an outcome\-oriented product roadmap that reflects current product priorities
	+ Runs “\[Lean Experiments](https://www.shortform.com/blog/lean\-experimentation\-lean\-startup\-experiments/ to test product assumptions, with a bias towards running those experiments in user interviews or deployed software environments (as opposed to validating those assumptions only with stakeholders or in mock situations)
	+ Identifies, evaluates, and implements mitigations to product risks
* **Prioritization**
* + Prioritize what the product team should focus on by balancing business, user, and product needs and reassess product priorities frequently
* **Stakeholder management**
* + Acts as the main conduit of information between the product team and stakeholders; communicates how the product will or does deliver business and user value
	+ Manages stakeholder expectations
**Required Qualifications:**
* **Experience/Skills:**
* + 5 years’ experience as a Product Manager \&amp;/or Product Designer
	+ Can distinguish between questions for which they can find the answer, and those that require an expert
	+ Lean Mindset: Thinks in small, incremental changes to the product rather than major milestones
	+ Easily builds trust with product teams and stakeholders
	+ Can differentiate between stakeholder ideas, business requests, and legal/policy considerations; understands that “specifications” or “requirements” are not validated features
	+ Can understand complex business domains and policy, synthesizes that information quickly and identifies patterns
	+ Can translate technical considerations to a non\-technical audience
	+ Can identify when a product requires additional resources to achieve business goals and communicates those needs early to leadership
	+ Intellectually curious and open to learning
	+ Enjoys making sense of complex domains and wonky policy
	+ Flexible to changing priorities, especially those based on new policies or executive orders
	+ Forms strong opinions backed by research, but is open to changing those opinions with new evidence
	+ Works as a member of a balanced product team rather than as a team manager; enjoys working in a collaborative environment
**Preferred Experience/Skills:**
* Bachelor’s Degree
* Active or recent previous DHS experience highly desired
**Salary and Benefit Information:**
The likely salary range for this position is $120,000 \- $150,000\. This is not, however, a guarantee of compensation or salary. There are multiple factors that are considered in determining final pay for a position, including, but not limited to, relevant work experience, skills, certifications and competencies that align to the specified role, education and certifications as well as contract provisions regarding labor categories that are specific to the position and could fall outside of this range.
**Application Deadline:** April 24, 2026
Joining the Alpha Omega team entitles you to participate in all retirement benefits, plans of deferred compensation, health and insurance benefits, and other such benefits as set forth in the company’s policy and benefits manuals. See below, to name a few:
* PTO including paid parental, military, and bereavement leave
* Eleven (11\) paid Federal holidays, five of which are floating holidays (as designated by the company’s holiday schedule each year)
* Health and Dental Insurance (including 100% employer paid premiums for employee coverage under the HDHP health plan)
* Life Insurance, STD/LTD term disability coverage, with employer paid premiums
* 401 (k) plan with a match that is 100% vested after you complete two years of service
* FSA/DFSA/HSA flexible benefit plans
* Annual Tuition \&amp; Professional Development Reimbursement benefit
We regularly review our Total Rewards package to ensure our offerings are competitive and reflect what our employees have told us they value most.
**Culture and Values:**
Guided by our core values—Harmony, Engagement, Accountability, Resourcefulness, and Tenacity (HEART)— we foster a culture of innovation, collaboration, and continuous learning and are committed to delivering high\-impact solutions. We recognize and reward hard work.
Through our H.E.A.R.T. Awards Program, colleagues and managers can recognize each other for actions that exemplify these values. Recognized employees receive a detailed nomination highlighting their contributions, which is shared with their manager. Each quarter, select nominees have the opportunity to receive a monetary bonus as an extra thank\-you for their impact.
**Our Company:**
Alpha Omega is an award\-winning Federal IT solutions provider dedicated to delivering mission\-enabling technology and strategic solutions across the National Security, Federal Financial, Healthcare, and Space \&amp; Science domains. Since our founding in 2016, we have grown to over 800 employees nationwide with $230m in revenue. With the January 2025 acquisitions of SeKON and Macro Solutions, we have expanded our capabilities to further support our customers in digital modernization, artificial intelligence, and cybersecurity.
We are committed to supporting our agency partners as they transform their operations, delivering on our purpose to ensure the safety, security, and well\-being of future generations:
* **National Security** – Supporting agencies such as the Department of Homeland Security (DHS) and the Department of State.
* **Federal Financial** – We bring deep expertise in enterprise financial systems, supporting agencies like the Securities and Exchange Commission (SEC) and the Federal Deposit Insurance Corporation (FDIC).
* **Healthcare** – Our Health IT capabilities, enhance health outcomes for the warfighter via the Defense Health Agency (DHA) and support public health initiatives at the Centers for Disease Control and Prevention (CDC), National Institutes of Health (NIH), and the Substance Abuse and Mental Health Services Administration (SAMHSA).
* **Space \&amp; Science** – We leverage technology to advance agricultural sustainability, secure our nation’s food supply, and prepare for natural disasters, working with the National Oceanic and Atmospheric Administration (NOAA) and the United States Department of Agriculture (USDA).
Through strategic partnerships, intellectual property, and relentless drive for innovation, Alpha Omega is shaping the future of government technology. We are proud to be a Virginia Best Places to Work 8 times, an Inc. 5000 honoree 7 times, and a Washington Post Top Workplaces 4 times. Join us in driving transformation that secures the nation's future.
*Alpha Omega Integration, LLC (Alpha Omega) is an Equal Opportunity Employer. All qualified applicants will receive consideration for employment without regard to race, color, religion, sex, sexual orientation, gender identity, national origin, disability, or veteran status, or any other protected class.*
*\#LI\-Remote*
*\#LI\-SR*
*\#dice*</t>
        </is>
      </c>
    </row>
    <row r="75">
      <c r="A75" t="inlineStr">
        <is>
          <t>in-575bcb62b01982ba</t>
        </is>
      </c>
      <c r="B75" t="inlineStr">
        <is>
          <t>Deputy Program Manager</t>
        </is>
      </c>
      <c r="C75" t="inlineStr">
        <is>
          <t>SOSi</t>
        </is>
      </c>
      <c r="D75" t="inlineStr">
        <is>
          <t>indeed</t>
        </is>
      </c>
      <c r="E75">
        <f>HYPERLINK("https://www.indeed.com/viewjob?jk=575bcb62b01982ba", "https://www.indeed.com/viewjob?jk=575bcb62b01982ba")</f>
        <v/>
      </c>
      <c r="F75">
        <f>HYPERLINK("https://jobs.smartrecruiters.com/SOSi1/3743990011495815-deputy-program-manager", "https://jobs.smartrecruiters.com/SOSi1/3743990011495815-deputy-program-manager")</f>
        <v/>
      </c>
      <c r="G75" t="inlineStr">
        <is>
          <t>Tampa, FL, US</t>
        </is>
      </c>
      <c r="H75" s="3" t="n">
        <v>46056</v>
      </c>
      <c r="I75" t="inlineStr">
        <is>
          <t>**Company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 This position is contingent upon contract award \*\*\****
SOSi is seeking a Deputy Program Manager to assist with the oversight of a large intelligence services contract. This program supports the planning, execution, and coordination of intelligence analysis, operations, production, analytic support, and innovation in coordination with Government customers in Tampa, FL and OCONUS. The Deputy Program Manager will support the Senior Program Manager in overseeing all contractual and financial matters relating to daily operations of this effort, as delegated.
**Essential Job Duties**
* Assists the Senior Program Manager in the management of day\-to\-day program operations to ensure that schedules are met, resources are utilized effectively, reporting is accurate and timely, and proper relationships are established between customers and the contractor management team.
* As delegated, responsible for cost, schedule, performance and risk identification / mitigation on the program, including but not limited to staffing, systems, tools, equipment, software, facilities, subcontractors, travel, and other activities. Coordinates resolutions to production\-related problems.
* Consistently demonstrates in\-depth knowledge and understanding of the management skills required to meet mission requirements.
* As delegated, manages operations to ensure staffing levels meet / exceed Task Order requirements.
* Demonstrates ability to work independently with minimal oversight and direction.
* Assists in the review of deliverables for cogent arguments, tradecraft standards, and adequate support for conclusions; routinely assesses rigor of analytic products.
* Knowledgeable of and demonstrates ability to apply IC and DoD classification guidelines and procedures.
* Demonstrates proficiency using Microsoft Office tools.
* Demonstrates ability to recognize nuances and resolve contradictions and inconsistencies in information.
* As delegated, interacts with key Government (KO, COR, Task Leads) and corporate leaders.
**Qualifications**  
* Active in\-scope Top Secret clearance with SCI eligibility and polygraph.
* At least 3 years of experience managing Government programs of similar size, scope, and complexity.
**Preferred Qualifications**
* Minimum of 8 years of experience related to management of military intelligence programs, leading large complex projects or multidisciplinary teams, with at least a portion of the experience within the last 2 years.
* Bachelor’s Degree in a related area from a college or university accredited by an agency recognized by the US Department of Education.
* Active PMP certification.
* Experience working with the customer, either TDY or deployed.
**Additional Information** **Work Environment**
* Normal working conditions while in a CONUS office environment.
* Potential travel and TDY.
* Living and working conditions while TDY or deployed could be remote and uncomfortable, with long hours, exposure to weather, adverse conditions, and relocation on short notice.
**Working at SOSi**
All interested individuals will receive consideration and will not be discriminated against for any reason.</t>
        </is>
      </c>
    </row>
    <row r="76">
      <c r="A76" t="inlineStr">
        <is>
          <t>in-cfbc688a9410af14</t>
        </is>
      </c>
      <c r="B76" t="inlineStr">
        <is>
          <t>Program Manager - Assertive Community Treatment (ACT)</t>
        </is>
      </c>
      <c r="C76" t="inlineStr">
        <is>
          <t>Cornerstone Montgomery</t>
        </is>
      </c>
      <c r="D76" t="inlineStr">
        <is>
          <t>indeed</t>
        </is>
      </c>
      <c r="E76">
        <f>HYPERLINK("https://www.indeed.com/viewjob?jk=cfbc688a9410af14", "https://www.indeed.com/viewjob?jk=cfbc688a9410af14")</f>
        <v/>
      </c>
      <c r="F76">
        <f>HYPERLINK("http://www.indeed.com/job/program-manager-assertive-community-treatment-act-cfbc688a9410af14", "http://www.indeed.com/job/program-manager-assertive-community-treatment-act-cfbc688a9410af14")</f>
        <v/>
      </c>
      <c r="G76" t="inlineStr">
        <is>
          <t>Hughesville, MD, US</t>
        </is>
      </c>
      <c r="H76" s="3" t="n">
        <v>46056</v>
      </c>
      <c r="I76" t="inlineStr">
        <is>
          <t>**Cornerstone – Program Manager of Assertive Community Treatment (ACT)**
Cornerstone empowers people living with mental health and co\-occurring substance use disorders to live, work, and integrate successfully into the community. We envision that each person we serve will have a meaningful life of their choosing. As the largest outpatient behavioral health agency in Montgomery County, we offer years of evidence based treatment experience to our consumers and practical training to our staff. Our robust training program allows staff members to develop and grow in the position and provides the basis for upward mobility within the agency.
The ACT Program Manager provides supervision, clinical consultation and review, and is responsible for the overall management of the ACT team. This position delivers services to individuals who are diagnosed with severe mental illness and whose needs have not been met by more traditional service delivery approaches.
**Responsibilities of the Program Manager Assertive Community Treatment (ACT)**
* Assumes the leadership role within the program’s assigned team and in the daily monitoring of implementation of evidence\-based practices.
* Models evidence\-based practices and recovery to ensure team adherence and understanding to fidelity scales.
* Actively leads and oversees the activities of team staff members providing outreach, case management, social, vocational, education, physical well\-being, and residential services and programming and other services and supports provided by the treatment team.
* Meets required productivity targets and completes all documentation within assigned time frames. Monitors and coaches staff on meeting productivity measures.
* Complete psychosocial and diagnostic assessments and provide individual, family and peer group therapy
* Provide supportive therapy and substance abuse counseling, and assertive case management, to include appropriate assessment, planning, coordination, linkage, delivery and advocacy of services for all assigned clients
* Participate in the on\-call system for after\-hours emergencies
* Assure compliance with policies and procedures as well as legal, contractual, licensing, regulatory requirements and monitoring of the program budget
* May supervise students and conduct training(s) based on agency needs.
* Other duties as assigned
**Qualifications of the Program Manager Assertive Community Treatment (ACT)**
* Master’s degree in Social Work, LCSW\-C, LCPC or LGSW in the State of Maryland.
* Licensed RN with experience in mental health services. Additional relevant licenses accepted in lieu of Masters
* Three years experience providing mental health services and addictions counseling. Experience in individual, group and family therapy, case management and substance abuse treatment.
* Possession of a valid driver’s license and satisfactory driving record (as determined by HR) required. Must have access to a personal vehicle and be willing to use it for work purposes. May be required to transport clients in personal vehicle.
Cornerstone is an equal opportunity employer. All applicants will be considered for employment without attention to race, color, religion, sex, sexual orientation, gender identity, national origin, veteran, or disability status.
Military veterans strongly encouraged to apply
Job Type: Full\-time
Pay: $60,000\.00 \- $75,000\.00 per year
Benefits:
* 401(k) matching
* Dental insurance
* Employee assistance program
* Flexible spending account
* Health insurance
* Life insurance
* Paid time off
* Professional development assistance
* Referral program
* Retirement plan
* Tuition reimbursement
* Vision insurance
Application Question(s):
* Do you have Valid Licensure in the State of MD (LMSW/LCSW/LGPC/LCPC) Or licensed RN in the State of MD
License/Certification:
* Driver's License and vehicle that can be used for work. (Preferred)
Work Location: In person</t>
        </is>
      </c>
    </row>
    <row r="77">
      <c r="A77" t="inlineStr">
        <is>
          <t>in-a2f92ecb32e0e0d4</t>
        </is>
      </c>
      <c r="B77" t="inlineStr">
        <is>
          <t>Unmanned Systems Program Manager – USCG Robotics &amp; Autonomous Systems</t>
        </is>
      </c>
      <c r="C77" t="inlineStr">
        <is>
          <t>Arete Consulting LLC</t>
        </is>
      </c>
      <c r="D77" t="inlineStr">
        <is>
          <t>indeed</t>
        </is>
      </c>
      <c r="E77">
        <f>HYPERLINK("https://www.indeed.com/viewjob?jk=a2f92ecb32e0e0d4", "https://www.indeed.com/viewjob?jk=a2f92ecb32e0e0d4")</f>
        <v/>
      </c>
      <c r="F77">
        <f>HYPERLINK("http://www.indeed.com/job/unmanned-systems-program-manager-uscg-robotics-autonomous-systems-a2f92ecb32e0e0d4", "http://www.indeed.com/job/unmanned-systems-program-manager-uscg-robotics-autonomous-systems-a2f92ecb32e0e0d4")</f>
        <v/>
      </c>
      <c r="G77" t="inlineStr">
        <is>
          <t>Washington, DC, US</t>
        </is>
      </c>
      <c r="H77" s="3" t="n">
        <v>46056</v>
      </c>
      <c r="I77" t="inlineStr">
        <is>
          <t>**Unmanned Systems Program Manager – USCG Robotics \&amp; Autonomous Systems**
**Location:** On Site Washington, D.C. Clearance Required: Top Secret/SCI Employment **Type:** Full\-Time Travel: Occasional (within CONUS)
**Overview:**
Arete Consulting is seeking a **Senior Program Manager** to support the U.S. Coast Guard’s Robotics and Autonomous Systems (RAS) Program Executive Office. This is a unique opportunity to help **build a pioneering unmanned systems program from the ground up**, shaping the future of maritime, air, and subsurface operations.
**Responsibilities:**
· Provide acquisition and program management support to the Program Executive Office to include but not limited to developing, updating, and maintaining acquisition documents and processes.
· Execute and delegate subject matter taskings with or to a multi\-disciplinary team.
· Develop and deliver high\-impact presentations for DHS, Congressional, and GAO briefings.
· Coordinate and track program tasks using USCG systems (DCARS, TMS).
· Support budget submissions, risk analysis, and performance reporting.
· Assist in acquisition documentation and strategic planning.
**Qualifications:**
· U.S. Citizenship and active **TS/SCI clearance.**
· Experience with Unmanned Systems \&amp; Autonomous Systems
· 5\+ years of program management experience, preferably in federal or defense sectors.
· 5\+ years of government acquisition experience.
· Strong analytical, communication, and organizational skills.
· Proficiency in Microsoft Office Suite.
· Bachelor's degree
Job Type: Full\-time
Pay: $110,000\.00 \- $130,000\.00 per year
Benefits:
* 401(k)
* 401(k) matching
* Dental insurance
* Health insurance
* Life insurance
* Paid time off
* Professional development assistance
* Referral program
* Retirement plan
* Tuition reimbursement
* Vision insurance
Work Location: In person</t>
        </is>
      </c>
    </row>
    <row r="78">
      <c r="A78" t="inlineStr">
        <is>
          <t>in-e790a8e50bcb64f3</t>
        </is>
      </c>
      <c r="B78" t="inlineStr">
        <is>
          <t>Program Manager MSW (Bilingual Spanish/English)</t>
        </is>
      </c>
      <c r="C78" t="inlineStr">
        <is>
          <t>Northern California Family Center</t>
        </is>
      </c>
      <c r="D78" t="inlineStr">
        <is>
          <t>indeed</t>
        </is>
      </c>
      <c r="E78">
        <f>HYPERLINK("https://www.indeed.com/viewjob?jk=e790a8e50bcb64f3", "https://www.indeed.com/viewjob?jk=e790a8e50bcb64f3")</f>
        <v/>
      </c>
      <c r="F78">
        <f>HYPERLINK("http://www.indeed.com/job/program-manager-msw-bilingual-spanishenglish-e790a8e50bcb64f3", "http://www.indeed.com/job/program-manager-msw-bilingual-spanishenglish-e790a8e50bcb64f3")</f>
        <v/>
      </c>
      <c r="G78" t="inlineStr">
        <is>
          <t>Walnut Creek, CA, US</t>
        </is>
      </c>
      <c r="H78" s="3" t="n">
        <v>46056</v>
      </c>
      <c r="I78" t="inlineStr">
        <is>
          <t>**Program Manager MSW – Runaway (Bilingual Spanish/English)**
Northern California Family Center (NCFC) is seeking an experienced and mission‑driven Program Manager to lead social service and mental health programs supporting foster youth, adolescents in crisis, and families. The ideal candidate will possess a strong background in community organizing, with experience in crisis work with adolescents. We're looking for a strategic thinker who can effectively manage multiple groups while ensuring alignment with organizational goals.
**Responsibilities**
**Program Leadership \&amp; Operations**
* Oversee daily program operations, including staffing, scheduling, service delivery, and workflow optimization
* Ensure full compliance with county, state, and federal standards, including accurate documentation and reporting
* Monitor program performance, outcomes, service utilization, and quality improvement efforts
* Collaborate with finance and administration teams on audits, reimbursements, and contract compliance
**Team Supervision \&amp; Development**
* Supervise social workers, interns, and intake staff
* Provide coaching, evaluation, and ongoing professional development
* Coordinate with community\-based agencies to ensure stable housing, counseling access, and wraparound support
* Community Engagement \&amp; Direct Services
* Build and maintain strong relationships with referral partners, funders, and community organizations
* Ensure culturally and linguistically responsive services for Spanish\-speaking families
* Lead outreach and emergency service efforts
* Facilitate interagency and internal meetings
**Data, Reporting \&amp; System Utilization**
* Conduct requirements gathering for reporting
* Use HMIS, RHY\-HMIS, and NCFC databases
* Use data to track outcomes and support program development
**Qualifications**
* Master's degree in social work (MSW) or related field
* Active California social work license (LCSW preferred; ASW considered)
* Fluent bilingual Spanish/English proficiency (required)
* 35 years of experience in social services, behavioral health, or nonprofit program management
* Must be willing to learn program management with an increasing understanding of the crisis needs of adolescents experiencing emotional distress or are at risk of homelessness
* Familiarity with government‑funded or contract‑based programs
**Core Competencies**
* Strong knowledge of California social services standards
* Effective leadership, supervision, and performance management
* Excellent communication and documentation skills
* Trauma‑informed, culturally responsive practice
* Strong organizational and multitasking abilities
Job Type: Full\-time
Pay: $28\.00 per hour
Expected hours: 40 per week
Work Location: In person</t>
        </is>
      </c>
    </row>
    <row r="79">
      <c r="A79" t="inlineStr">
        <is>
          <t>in-d2aab239a1ac90e3</t>
        </is>
      </c>
      <c r="B79" t="inlineStr">
        <is>
          <t>Supported Living Program Manager</t>
        </is>
      </c>
      <c r="C79" t="inlineStr">
        <is>
          <t>Mission Vista</t>
        </is>
      </c>
      <c r="D79" t="inlineStr">
        <is>
          <t>indeed</t>
        </is>
      </c>
      <c r="E79">
        <f>HYPERLINK("https://www.indeed.com/viewjob?jk=d2aab239a1ac90e3", "https://www.indeed.com/viewjob?jk=d2aab239a1ac90e3")</f>
        <v/>
      </c>
      <c r="F79">
        <f>HYPERLINK("https://missionvista.isolvedhire.com/jobs/1697797-614503.html", "https://missionvista.isolvedhire.com/jobs/1697797-614503.html")</f>
        <v/>
      </c>
      <c r="G79" t="inlineStr">
        <is>
          <t>Wenatchee, WA, US</t>
        </is>
      </c>
      <c r="H79" s="3" t="n">
        <v>46056</v>
      </c>
      <c r="I79" t="inlineStr">
        <is>
          <t>Join Mission Vista as a Full\-Time Supported Living Program Manager and become an integral part of our vibrant community in Wenatchee, Washington. This exciting opportunity allows you to lead impactful programs that empower individuals in their journey to independent living. You will work onsite, fostering meaningful relationships with clients and staff alike, creating a supportive environment that reflects our core values of Empathy, Excellence, Integrity, and Safety. With a competitive pay range of $25 to $28 per hour, you'll be rewarded for your dedication and expertise in social services. This position offers a unique chance to make a profound difference in the lives of others while enhancing your professional skills.
You will be given great benefits such as Medical, Dental, Vision, 401(k), Life Insurance, Competitive Salary, and Paid Time Off. If you're passionate about helping individuals thrive and seeking a role where your contributions truly matter, we invite you to apply today.
### **MISSION VISTA: OUR STORY**
Mission Vista Mission Statement "Mission Vista is committed to creating an environment in which the individuals we support are treated with dignity and respect. We believe all people have the right to make life choices, reach for their dreams, and experience fully lived lives."
### **WHAT DOES A SUPPORTED LIVING PROGRAM MANAGER DO?**
As a Supported Living Program Manager at Mission Vista, you will oversee day\-to\-day operations, ensuring that our programs run smoothly and effectively. Your responsibilities will include coordinating and supervising staff, conducting regular training sessions, and providing support to ensure compliance with safety and regulatory standards. You will engage with clients daily, assessing their needs and developing personalized plans to aid in their journey toward independence. Additionally, you will facilitate regular meetings with team members to discuss progress, challenges, and best practices. Communication with families and external partners will be key to fostering a collaborative approach to client support.
You will be expected to manage documentation and reporting accurately, ensuring that all client records are up to date. Finally, you will be instrumental in creating a positive, inclusive atmosphere where both staff and clients feel valued and empowered.
### **WHAT MATTERS MOST**
To excel as a Supported Living Program Manager at Mission Vista, several key skills are essential. Strong leadership abilities are crucial for effectively managing and motivating staff while fostering a collaborative team environment. Excellent communication skills, both verbal and written, will enable you to connect with clients, families, and external partners, ensuring that everyone is informed and engaged in the support process. Empathy is a core value of our organization, and your ability to understand and relate to the experiences of clients will significantly enhance their journey toward independence. Organizational skills are vital for managing multiple programs, keeping accurate documentation, and ensuring compliance with regulations.
Additionally, problem\-solving skills will help you navigate challenges effectively, allowing you to adapt support plans to meet the evolving needs of clients. A commitment to maintaining safety and integrity in all aspects of your work will also contribute to your success in this role.
### **WILL YOU JOIN OUR TEAM?**
If this sounds like the right job for you, don't wait \- apply today to join our team. We look forward to hearing from you!</t>
        </is>
      </c>
    </row>
    <row r="80">
      <c r="A80" t="inlineStr">
        <is>
          <t>in-d6d5b0cb748dc901</t>
        </is>
      </c>
      <c r="B80" t="inlineStr">
        <is>
          <t>Product Owner</t>
        </is>
      </c>
      <c r="C80" t="inlineStr">
        <is>
          <t>Dassian Strategic Solutions</t>
        </is>
      </c>
      <c r="D80" t="inlineStr">
        <is>
          <t>indeed</t>
        </is>
      </c>
      <c r="E80">
        <f>HYPERLINK("https://www.indeed.com/viewjob?jk=d6d5b0cb748dc901", "https://www.indeed.com/viewjob?jk=d6d5b0cb748dc901")</f>
        <v/>
      </c>
      <c r="F80">
        <f>HYPERLINK("http://www.indeed.com/job/product-owner-d6d5b0cb748dc901", "http://www.indeed.com/job/product-owner-d6d5b0cb748dc901")</f>
        <v/>
      </c>
      <c r="G80" t="inlineStr">
        <is>
          <t>Scottsdale, AZ, US</t>
        </is>
      </c>
      <c r="H80" s="3" t="n">
        <v>46056</v>
      </c>
      <c r="I80" t="inlineStr">
        <is>
          <t>**About Us**  
Dassian is an SAP partner creating innovative software solutions that help our customers manage the industry specific complexities associated with delivering government contracts. We’re expanding our product team and looking for a skilled Product Owner / Business Analyst to help shape and deliver the next phase of our product roadmap.
**About the Role**  
As a Product Owner / Business Analyst, you will play a key role in defining, prioritizing, and delivering product enhancements that drive value for our customers and partners. You’ll work closely with the Product Portfolio Manager, Professional Services team, development teams, and external stakeholders to identify opportunities and translate them into actionable product plans.
This role is ideal for someone who enjoys connecting customer needs with technical delivery, thrives in a collaborative environment, and has a strong understanding of agile product management practices.
**Key Responsibilities**
· Collaborate with internal teams, external partners, and customers to identify and validate product roadmap opportunities.
· Work with the Product Portfolio Manager and business stakeholders to prioritize roadmap initiatives based on strategic value, effort, and impact.
· Support release planning by coordinating estimates, dependencies, and timelines with development and other delivery teams.
· Own and maintain the **product delivery backlog**, ensuring all epics, features, and user stories are clearly defined, estimated, and ready for sprint planning.
· Serve as the voice of the customer during sprint execution, ensuring that delivered functionality meets business and user expectations.
· Facilitate regular backlog refinement and sprint review sessions, capturing feedback and driving continuous improvement.
· Produce clear documentation and acceptance criteria that bridge the gap between business objectives and technical implementation.
· Monitor delivery progress and communicate status, risks, and changes to stakeholders.
**About You**
· Proven experience as a **Product Owner, Business Analyst,** or similar role within a software or technology company.
· Strong understanding of Agile/Scrum methodologies and backlog management tools (ideally Jira).
· Excellent communication, stakeholder management, and facilitation skills.
· Ability to balance strategic thinking with attention to detail.
· Experience collaborating with cross\-functional teams (e.g., development, professional services, support).
· A proactive, problem\-solving mindset with a passion for delivering value to customers.
**Desirable**
· Experience in US government contracting, particularly in A\&amp;D.
· Experience working with SAP software.
· Product management certification (e.g., CSPO, PSPO, or similar).
· Familiarity with UX design principles or data\-driven decision\-making.
**What We Offer**
· Competitive salary and benefits package.
· Opportunities for professional growth and certification.
A supportive, innovative environment where your ideas can shape the future of our product
Pay: $90,000\.00 \- $100,000\.00 per year
Benefits:
* 401(k)
* 401(k) matching
* Dental insurance
* Employee assistance program
* Flexible spending account
* Health insurance
* Health savings account
* Life insurance
* Paid time off
* Parental leave
* Professional development assistance
* Retirement plan
* Vision insurance
Work Location: Hybrid remote in Scottsdale, AZ 85258</t>
        </is>
      </c>
    </row>
    <row r="81">
      <c r="A81" t="inlineStr">
        <is>
          <t>in-a08f1353dbd0936b</t>
        </is>
      </c>
      <c r="B81" t="inlineStr">
        <is>
          <t>Web UX &amp; Performance Product Manager</t>
        </is>
      </c>
      <c r="C81" t="inlineStr">
        <is>
          <t>Storage Rentals of America</t>
        </is>
      </c>
      <c r="D81" t="inlineStr">
        <is>
          <t>indeed</t>
        </is>
      </c>
      <c r="E81">
        <f>HYPERLINK("https://www.indeed.com/viewjob?jk=a08f1353dbd0936b", "https://www.indeed.com/viewjob?jk=a08f1353dbd0936b")</f>
        <v/>
      </c>
      <c r="F81">
        <f>HYPERLINK("https://sroapropertymgm.rec.pro.ukg.net/SRO1500SROA/JobBoard/a663f3a9-e5f2-4ce5-979d-066d62ca4eeb/OpportunityDetail?opportunityId=a9a05898-7eca-4858-bb3f-8f263a714c9f&amp;postingId=e3c22e59-9b38-4164-8c2e-d05f1bed48f1", "https://sroapropertymgm.rec.pro.ukg.net/SRO1500SROA/JobBoard/a663f3a9-e5f2-4ce5-979d-066d62ca4eeb/OpportunityDetail?opportunityId=a9a05898-7eca-4858-bb3f-8f263a714c9f&amp;postingId=e3c22e59-9b38-4164-8c2e-d05f1bed48f1")</f>
        <v/>
      </c>
      <c r="G81" t="inlineStr">
        <is>
          <t>West Palm Beach, FL, US</t>
        </is>
      </c>
      <c r="H81" s="3" t="n">
        <v>46056</v>
      </c>
      <c r="I81" t="inlineStr">
        <is>
          <t>Become the newest member of our exciting team at SROA Capital as we redefine self\-storage!
At SROA, we offer a career and opportunity to grow. We strongly believe in growing our talent and promoting within. We are proud to be honored as one of the **TOP**
**WORKPLACES** of South Florida by the Sun Sentinel two years in a row.
SROA Capital is a vertically integrated private equity real estate and technology platform that has evolved into a global asset manager with a successful track record of providing risk adjusted returns to its partners through its focused strategy of investing in self\-storage. SROA is headquartered in West Palm Beach, FL and has invested, redeveloped, and developed self storage across the risk spectrum in major and secondary markets across the United States under the brand Storage Rentals of America and the UK under the brand Kangaroo Self Storage with approximately 900 employees globally.
The Product Owner, Website UX \&amp; Performance owns the intake, business requirements, prioritization, and delivery of all Marketing and Operations driven web enhancements across SROA Capital, Storage Rentals of America, and UK Kangaroo websites. This role serves as the central coordination across marketing, operational \&amp; UK stakeholders, and IT/technology teams to ensure clarity, alignment, and implementation of web initiatives.
Operating within the Marketing organization and reporting to the Director, Web \&amp; SEO, this role is accountable for tracking \&amp; managing website enhancement initiatives, enforcing intake processes \&amp; standards, defining clear business requirements, managing priorities, tracking development \&amp; UAT (user acceptance testing) progress, and coordinating delivery to support marketing \&amp; operational needs, user experience (UX) improvements, and SEO and sales conversion rate (CVR) performance.
**Duties \&amp; Responsibilities**
**Web Intake, Prioritization, and Delivery Ownership**
* Serve as the single point of intake for all Marketing and Operations related web enhancement requests using Monday.com, with IT delivery \&amp; implementation tracked through Jira.
* Design, enforce, and continuously improve request intake processes, ensuring requests include clear objectives, scope, UX/UI \&amp; feature/functional requirements, dependencies, and success criteria.
* Translate the business needs from the Marketing and Operations areas into well\-defined, prioritized, and executable work items in collaboration with Operations and IT/Technology PMO (Project Management Office) and Development teams. Clearly communicate business goals and requirements and manage requests through IT’s technical requirements review process (eg, Pre\-grooming and Grooming sessions), which will help produce accurate development and delivery estimates.
* Maintain and groom prioritized web enhancements aligned to Marketing roadmaps, Operational needs, stakeholder feedback, and business priorities.
* Facilitate trade\-off discussions when urgent or conflicting requests arise, making prioritization decisions transparent and aligned with business impact.
* Own delivery timelines and sequencing of work, proactively communicating risks, dependencies, and changes.
**Website Execution and Optimization**
* Oversee day\-to\-day execution of website updates and enhancements, ensuring content, design, and functionality meet performance, usability, and quality standards.
* Partner with IT PMO, developers, designers, and third\-party vendors to implement new features, resolve technical issues, improve site performance, and ensure successful delivery.
* Ensure mobile\-first, SEO\-friendly functionality, including page speed, navigation, and accessibility best practices.
* Support marketing campaigns, product launches, and content initiatives by coordinating timely and accurate web execution.
**Cross\-Functional and Stakeholder Collaboration**
* Act as the accountable owner of communication between Marketing teams, Operational business stakeholders, and IT PMO, Development \&amp; Delivery areas.
* Partner closely with Marketing and Operations to scope and plan web\-related work.
* Lead sprint planning, backlog refinement, standups, and retrospectives with development teams.
* Reduce rework and delivery friction by ensuring requirements are clear, expectations are aligned, and feedback loops are efficient.
* Manage relationships with third\-party vendors and developers, ensuring quality delivery and adherence to timelines.
**Digital Enhancements, Experimentation, and Tracking**
* Coordinate implementation of landing pages, lead capture forms, and other digital assets supporting marketing and investor engagement.
* Own intake and coordination for website experimentation efforts, including A/B tests and personalization initiatives, ensuring proper documentation and QA.
* Partner with analytics and marketing teams to validate tracking, tagging, and data integrity prior to launches.
* Identify UI and UX improvement opportunities based on feedback and performance data and collaborate with designers to enhance usability and engagement.
**Education, Enablement, and Continuous Improvement**
* Educate and guide marketing stakeholders on how to submit effective web requests and plan work within established processes.
* Improve visibility, predictability, and transparency of web delivery for marketing teams through clear communication and documentation.
* Contribute ideas for platform improvements and operational efficiencies within existing technical constraints.
* Support and mentor junior web or coordination roles, as applicable.
**Qualifications**
* Bachelor’s degree in marketing, business, or a related field equivalent practical experience.
* 5\-8 years of experience in website management, business requirements, product operations, digital delivery, or similar role.
* Demonstrated experience with leading cross\-functional teams and initiatives across Marketing, Operations, and IT development teams.
* Maturity and resiliency in managing and navigating competing priorities, goals, and conflicts across functional areas and team member interpersonal styles.
* Strong project management, organizational \&amp; problem\-solving skills with the ability to prioritize competing requests and manage deadlines in a fast\-paced environment.
* Proficiency with cross\-functional project team leadership and project management tools such as Jira, Monday.com, or Asana.
* Experience translating Marketing and Operational business needs into clear, actionable technical requirements.
* Strong communication \&amp; presentation skills to effectively share initiative status, issues and business results for different audiences and purposes.
* Familiarity with content management systems (CMS) and basic front\-end concepts (HTML, CSS, schema markup a plus, not required).
* Experience supporting Marketing campaigns, landing pages, and digital performance initiatives.
* Working knowledge of SEO best practices and UX principles.
* Familiarity with GA4, analytics platforms, or reporting tools such as Looker or PowerBI is a plus.
**SROA Offers:**
* Competitive pay with bonus potential
* UKG Wallet – on\-demand pay option
* 100% paid medical coverage options for employee\-only
* Dental and vision plans for optimal care
* Eight (8\) paid holidays
* Generous Paid Time Off (PTO), increasing with years of service
* Paid Maternity and Parental Leave for growing families
* 401(k) with substantial employer match and 100% immediate vesting
* Flexible Spending Accounts (FSA), Health Savings Accounts (HSA), and Dependent Care Flexible Spending Accounts (DCFSA) for tax\-advantaged savings
* GAP Insurance for added financial protection
* Employer\-paid Life Insurance and Short\-Term Disability coverage
* Long\-Term Disability (LTD) coverage for added peace of mind
* Pet insurance – because your pets are family too
* Storage Discounts to help you declutter and organize
* Access to Voluntary Benefits for personalized coverage
* Learning and development opportunities to maximize your potential and excel in your career
* A great culture that values collaboration, innovation, and inclusivity
**SROA is an Equal Opportunity employer and uses the federal government E\-Verify system to verify employment eligibility.**</t>
        </is>
      </c>
    </row>
    <row r="82">
      <c r="A82" t="inlineStr">
        <is>
          <t>in-3ec59cf40d10f919</t>
        </is>
      </c>
      <c r="B82" t="inlineStr">
        <is>
          <t>New Jersey Program Manager</t>
        </is>
      </c>
      <c r="C82" t="inlineStr">
        <is>
          <t>First Tee - Greater Philadelphia</t>
        </is>
      </c>
      <c r="D82" t="inlineStr">
        <is>
          <t>indeed</t>
        </is>
      </c>
      <c r="E82">
        <f>HYPERLINK("https://www.indeed.com/viewjob?jk=3ec59cf40d10f919", "https://www.indeed.com/viewjob?jk=3ec59cf40d10f919")</f>
        <v/>
      </c>
      <c r="F82">
        <f>HYPERLINK("http://www.indeed.com/job/new-jersey-program-manager-3ec59cf40d10f919", "http://www.indeed.com/job/new-jersey-program-manager-3ec59cf40d10f919")</f>
        <v/>
      </c>
      <c r="G82" t="inlineStr">
        <is>
          <t>Camden, NJ, US</t>
        </is>
      </c>
      <c r="H82" s="3" t="n">
        <v>46056</v>
      </c>
      <c r="I82" t="inlineStr">
        <is>
          <t>NJ Program Manager
**Mission Statement**
To impact the lives of young people by providing educational programs that build character, instill life­ enhancing values, and promote healthy choices through the game of golf.
**Reports to**
NJ Program Manager Reports to VP of Programming
**Employment Status**
Full time (salary \&amp; benefits)
**Job Summary**
The NJ Program Manager (NJPM) works with the VP of Programming to assist in providing leadership to First Tee programs and curriculum development at and surrounding areas of Camden, Burlington and Gloucester counties in New Jersey, including planning, promoting, progressing, and retaining students and coaches through The First Tee Program. The NJPM will also assist in being responsible for building relationships with coaches and golf course locations.
**Roles and Responsibilities**
* Coach First Tee program classes and administer First Tee Curriculum as needed
* Grow program enrollment for participants
* Oversee footprint of Burlington, Camden and Gloucester Counties
* Oversee part\-time coaches in NJ and help them deliver First Tee curriculum
* Expand location and class offerings
* Schedule/coordinate field trips at green grass facilities with community partnerships
* Establish Access 2 Golf Program in New Jersey
* Coordinate equipment needs for the programs
* Identify and recruit strategic program affiliate sites/locations within Chapter service area
* Must become proficient in the First Tee curriculum
* Develop programs and implement The First Tee Program curriculum as outlined in The First Tee guidelines
* Create and maintain relationships with program affiliate partners
* Develop retention and progression plan for participants
* Develop and adhering to the Program \&amp; Operating budget
* Report program metrics, operations data, and pertinent program data to the VP of Programming
* Encourage teen students to participate in\-network benefits and playing opportunities (AJGA, IJGA, PGA Junior Tour, GAP)
* Assist in managing all volunteers and golf professionals in the delivery of programs
* Recruit and train personnel to lead program classes
* Provide opportunities to engage parents in their child’s learning
* Must become proficient in Salesforce CRM as it relates to First Tee data
**Preferred Qualifications**
* Bachelor's Degree in the area of sports administration, business management, education, recreation, or related field
* Experience The First Tee Coach Program
* Demonstrate exceptional communication, fiscal management, and managerial skills
* Experience in identifying and managing program staff and volunteers
* Charismatic, personable, and motivational in working with youth and volunteers
* Able to travel to attend Academies, Coach Trainings, Regional and Network Meetings
**Compensation Package**
Program Manager­ level salary commensurate with experience, health and dental insurance, SIMPLE IRA, and paid holidays and vacation time.
Salary Range: $45,000 \- $60,000
Send resume and cover letter to Jake Norton at
Job Type: Full\-time
Pay: $45,000\.00 \- $60,000\.00 per year
Benefits:
* 401(k) matching
* Dental insurance
* Health insurance
* Paid time off
* Vision insurance
Schedule:
* 8 hour shift
* Monday to Friday
* Weekend availability
Application Question(s):
* Please list any experience with golf and/or the First Tee program (Please note experience and/or familiarity with golf in required).
Work Location: In person</t>
        </is>
      </c>
    </row>
    <row r="83">
      <c r="A83" t="inlineStr">
        <is>
          <t>in-3cc8c7395b9463cf</t>
        </is>
      </c>
      <c r="B83" t="inlineStr">
        <is>
          <t>Technical Program Manager</t>
        </is>
      </c>
      <c r="C83" t="inlineStr">
        <is>
          <t>Tech trove Solutions inc.</t>
        </is>
      </c>
      <c r="D83" t="inlineStr">
        <is>
          <t>indeed</t>
        </is>
      </c>
      <c r="E83">
        <f>HYPERLINK("https://www.indeed.com/viewjob?jk=3cc8c7395b9463cf", "https://www.indeed.com/viewjob?jk=3cc8c7395b9463cf")</f>
        <v/>
      </c>
      <c r="F83">
        <f>HYPERLINK("http://www.indeed.com/job/technical-program-manager-3cc8c7395b9463cf", "http://www.indeed.com/job/technical-program-manager-3cc8c7395b9463cf")</f>
        <v/>
      </c>
      <c r="G83" t="inlineStr">
        <is>
          <t>Atlanta, GA, US</t>
        </is>
      </c>
      <c r="H83" s="3" t="n">
        <v>46056</v>
      </c>
      <c r="I83" t="inlineStr">
        <is>
          <t>**Description:**
The Technical Program Manager is responsible for the development and ongoing management of one or more multi\-year programs. Manages Enterprise\-wide programs of $7 M \- $10M\+ size with multiple concurrent sub\-projects or equal complexity. In addition to all responsibilities of a project manager which include managing all aspects of a project including initiating, planning, executing, closing and controlling, and applying project management knowledge, skills, tools and techniques to project deliverables, processes, and systems.
**How you will make an impact:**
· Coaches and mentors project team members.
· Mentors other project managers around project management methodology.
· Determines project scope.
· Develops resource, risk, quality, cost, and scope management plans; develops training plans.
· Develops requirements documents.
· Develops project approval matrix.
· Identifies project team training and tool needs; defines, recommends and secures contractual agreements for technical services and products; coordinates requirements, schedules implementation and post\-implement plans, and develops service\-level agreements for vendor partners and global resources firms.
· Defines quality gates for each project methodology phase.
· Defines critical success factors.
· Establishes and manages the project warranty period.
**Minimum Requirements:**
· Requires an BA/BS degree in Information Technology, Computer Science or related field of study and a minimum of 10 years project management experience in broad\-based information systems, full life\-cycle application development and/or building enterprise applications and/or data warehouse planning and development with 3 years leading and directing project task(s); or any combination of education and experience, which would provide an equivalent background.
· Requires experience in creating an effective team environment, building strong relationships, negotiation, solving problems and issues, resolving conflicts, managing resources in a matrix environment and communicating effectively at all levels of an organization.
· Requires experience working with project management tools, documentation tools, and reporting tools required.
**Preferred Skills, Capabilities, and Experiences:**
· Strongly prefer project management certification within one year of job placement and prior to moving to next level.
· Experience working with portfolio management applications and Rational tools strongly preferred.
Job Type: Contract
Pay: $52\.47 \- $60\.00 per hour
Expected hours: 40 per week
Work Location: In person</t>
        </is>
      </c>
    </row>
    <row r="84">
      <c r="A84" t="inlineStr">
        <is>
          <t>in-2c9c4e66c4257c34</t>
        </is>
      </c>
      <c r="B84" t="inlineStr">
        <is>
          <t>Principal Program Manager</t>
        </is>
      </c>
      <c r="C84" t="inlineStr">
        <is>
          <t>J.D. Power</t>
        </is>
      </c>
      <c r="D84" t="inlineStr">
        <is>
          <t>indeed</t>
        </is>
      </c>
      <c r="E84">
        <f>HYPERLINK("https://www.indeed.com/viewjob?jk=2c9c4e66c4257c34", "https://www.indeed.com/viewjob?jk=2c9c4e66c4257c34")</f>
        <v/>
      </c>
      <c r="F84">
        <f>HYPERLINK("https://jdpa.wd501.myworkdayjobs.com/en-US/JDPower/job/Remote-USA/Principal-Program-Manager_R-100228", "https://jdpa.wd501.myworkdayjobs.com/en-US/JDPower/job/Remote-USA/Principal-Program-Manager_R-100228")</f>
        <v/>
      </c>
      <c r="G84" t="inlineStr">
        <is>
          <t>Remote, US</t>
        </is>
      </c>
      <c r="H84" s="3" t="n">
        <v>46055</v>
      </c>
      <c r="I84" t="inlineStr">
        <is>
          <t>**Job Description:**
**Title:** Principal Program Manager
**Location:** U.S. Remote
**Reports To:** Chief Transformation Officer
**Vacancy:** This is a new position
**About the Role**
We are seeking an experienced **Principal Program Manager** to lead our most complex and strategically important enterprise\-wide transformation initiatives. This is a senior\-level role that requires strategic thinking, excellent stakeholder management, and the ability to drive clarity and results in ambiguous, high\-stakes environments. This role will work closely with executives and senior leaders across the organization to translate strategic priorities into integrated programs, establish effective governance, and ensure our critical initiatives deliver measurable business value. You will be a trusted program leader who sets the standard for execution excellence while coaching others.
**The ideal candidate for this role is …**
The ideal candidate is an accomplished program leader who combines strategic perspective with strong execution discipline. You are a skilled influencer and relationship builder who can navigate organizational complexity and build alignment among senior stakeholders. You are results\-oriented, analytically rigorous, and bring a proven track record of delivering large\-scale transformation programs. You demonstrate executive presence, systems thinking, and the ability to mentor other program managers while driving operational excellence across multiple workstreams.
**What You’ll Be Doing in the Role**
* **Strategic Program Leadership** – Lead end\-to\-end planning and execution of complex, multi\-year transformation programs spanning brand evolution, technology integration, operating model changes, and organizational culture.
* **Senior Stakeholder Management** – Partner directly with VPs and C\-suite executives to frame decisions, facilitate alignment, and ensure executive steering committees have the insights needed to guide program direction.
* **Cross\-Portfolio Integration** – Drive coordination across Marketing, Strategy, Technology, Finance, HR, and Operations to manage interdependencies, resolve conflicts, and maintain momentum across interconnected workstreams.
* **Enterprise Systems Oversight** – Provide strategic oversight of major platform implementations (ERP, CRM, HCM, data systems), ensuring business requirements drive technology decisions and integration delivers expected capabilities.
* **Change Management Strategy** – Collaborate with HR and Communications leadership to design and execute comprehensive change strategies that drive adoption, build organizational capability, and ensure cultural alignment.
* **Executive Communication** – Develop strategic program roadmaps, integrated dashboards, value tracking frameworks, and executive\-ready materials that provide clear visibility into progress, risks, and critical decisions.
* **Risk \&amp; Issue Resolution** – Proactively identify program\-level risks, bottlenecks, and strategic dependencies; develop and implement mitigation strategies that protect business outcomes.
* **Program Standards \&amp; Mentorship** – Establish program management best practices, mentor program and project managers, and elevate the quality of program delivery across the organization.
**Qualifications/Experience \&amp; Education**
* **8\+ years** of program or project management experience, with demonstrated progression leading increasingly complex transformation initiatives such as M\&amp;A integration, enterprise reorganization, or large\-scale technology implementations.
* Proven success leading multi\-workstream programs that span business functions and require alignment across senior leadership teams.
* Strong executive presence with demonstrated ability to influence and collaborate effectively with VP and C\-suite stakeholders in complex organizations.
* Expertise in establishing program governance structures, integrated planning frameworks, and value realization tracking approaches.
* Advanced proficiency with program management tools (Smartsheet, Asana, Jira, MS Project) and visualization platforms (Miro, Lucidchart, Tableau, PowerPoint).
* Demonstrated experience creating strategic roadmaps, integrated dashboards, process maps, and executive presentation materials.
* Strong business acumen with ability to connect program activities to strategic objectives and financial outcomes.
* PMP, PgMP, or Agile certifications strongly preferred.
**Knowledge \&amp; Skills**
* Skilled at bringing structure to ambiguity and driving progress in fast\-paced, evolving environments
* Demonstrated ability to influence without authority and build consensus among senior cross\-functional stakeholders
* Proven success presenting to executives and creating materials that inform strategic decisions
* Experience with enterprise systems implementations and understanding of technology integration challenges (Salesforce, NetSuite, Workday, SAP, etc.)
* Financial literacy including budget management, business case development, and ROI analysis
* Experience mentoring program managers and establishing program management standards
This position has a starting salary range of $110,000 to $155,000 per year. This is the range we reasonably and in good faith expect to pay for the role at the time of posting. An employee’s pay within the range is determined by a number of factors, including relevant skills, education, qualifications, experience, performance, business or organizational needs, and geographic location.
**Company Mission**
J.D. Power is clear about what we do to ensure our success into the future. We unite industry leading data and insights with world\-class technology to solve our clients’ toughest challenges.
**Our Values**
We POWER Our Customer's Success
We are Innovative, Collaborative and Grounded in Data
We Make Things Easy
We Get It Done
We Start with Trust \&amp; Prove it Everyday
J.D. Power is committed to employing a diverse workforce. Qualified applicants will receive consideration without regard to race, color, religion, sex, national origin, age, sexual orientation, gender identity, gender expression, veteran status, or disability.
Should you require accommodations during the recruitment and selection process, please reach out to tarecruitment@jdpa.com.
J.D. Power does not disclose your personal data to unauthorized third parties. However, as a global corporation consisting of multiple affiliated companies in various countries, J.D. Power has international sites and J.D. Power uses resources located throughout the world. J.D. Power may from time to time also use third parties to act on J.D. Power’s behalf. You agree to the fact that to the extent necessary your personal data may be transferred and/or disclosed to any company within J.D. Power group of companies as well as to third parties acting on J.D. Power’s behalf, including also transfers to servers and databases outside the country where you provided J.D. Power with your personal data. Such transfers may include for example transfers and/or disclosures outside the European Economic Area and in the United States of America. If you are a California or United Kingdom resident, additional disclosures about the information we collect and how we use that information can be found by clicking here.
*To all recruitment agencies: J.D. Power does not accept unsolicited agency resumes and we are not responsible for any fees related to unsolicited resumes.*</t>
        </is>
      </c>
    </row>
    <row r="85">
      <c r="A85" t="inlineStr">
        <is>
          <t>in-3dbe3e93d99e3c40</t>
        </is>
      </c>
      <c r="B85" t="inlineStr">
        <is>
          <t>Senior Program Manager</t>
        </is>
      </c>
      <c r="C85" t="inlineStr">
        <is>
          <t>J.D. Power</t>
        </is>
      </c>
      <c r="D85" t="inlineStr">
        <is>
          <t>indeed</t>
        </is>
      </c>
      <c r="E85">
        <f>HYPERLINK("https://www.indeed.com/viewjob?jk=3dbe3e93d99e3c40", "https://www.indeed.com/viewjob?jk=3dbe3e93d99e3c40")</f>
        <v/>
      </c>
      <c r="F85">
        <f>HYPERLINK("https://jdpa.wd501.myworkdayjobs.com/en-US/JDPower/job/Remote-USA/Senior-Program-Manager_R-100230", "https://jdpa.wd501.myworkdayjobs.com/en-US/JDPower/job/Remote-USA/Senior-Program-Manager_R-100230")</f>
        <v/>
      </c>
      <c r="G85" t="inlineStr">
        <is>
          <t>Remote, US</t>
        </is>
      </c>
      <c r="H85" s="3" t="n">
        <v>46055</v>
      </c>
      <c r="I85" t="inlineStr">
        <is>
          <t>**Job Description:**
**Title:** Senior Program Manager
**Location:** U.S. Remote
**Reports To:** Chief Transformation Officer
**Vacancy:** This is a new position
**About the Role**
We are seeking a highly skilled Senior Program Manager – Transformation to drive our most critical enterprise\-wide change initiatives. This is a high\-impact, highly visible role that requires strategic thinking, flawless execution, and an ability to thrive in ambiguous, fast\-changing environments.
This role will work directly with senior executives and cross\-functional leaders to translate vision into actionable programs, ensure alignment across the business, and keep transformation workstreams on track, on budget, and deliver measurable results.
**The ideal candidate for this role is …**
The ideal candidate for this role is a proactive, resourceful, and highly organized professional who thrives in a fast\-paced, dynamic environment. You are a natural leader, influencer and relationship builder who communicates with clarity and passion. You are metric driven, tech\-savvy, detail\-oriented, and capable of managing multiple priorities with grace and efficiency. You bring a collaborative spirit, a high degree of emotional intelligence, and a commitment to excellence in every interaction.
**What You’ll Be Doing in the Role**
* Program Management Leadership – Oversee planning, execution, and governance for multiple transformation workstreams across brand, strategy, technology integration, and organizational culture.
* Cross\-Functional Coordination – Partner with Marketing, Strategy, Technology, HR, and Operations leaders to ensure milestones, dependencies, and deliverables are met.
* Systems Integration Oversight – Work closely with IT and business leaders on ERP, CRM, HCM, and related platform migrations to ensure a seamless transition.
* Change Management – Collaborate with HR and Communications to drive adoption, build cultural alignment, and mitigate resistance.
* Visualization \&amp; Communication – Develop clear program roadmaps, dashboards, process maps, and executive updates to provide visibility on progress, risks, and decisions needed.
* Risk \&amp; Issue Management – Proactively identify risks, roadblocks, and interdependencies; develop mitigation plans.
* Executive Engagement – Support steering committee meetings, prepare briefing materials, and synthesize complex updates into concise recommendations.
**Qualifications/Experience \&amp; Education**
* 5\+ years of program or project management experience, preferably in large\-scale transformation, M\&amp;A integration, or enterprise change initiatives.
* Proven success leading multi\-workstream programs spanning brand, technology, and organizational change.
* High EQ and exceptional interpersonal skills; proven ability to influence and collaborate across senior leadership.
* Strong organizational skills, with the ability to manage ambiguity and bring structure to unstructured environments.
* Expertise with project management tools (Smartsheet, Asana, Jira, or equivalent) and visualization tools (Miro, Lucidchart, PowerPoint).
* Demonstrated experience creating process maps, workstream dashboards, and executive\-ready materials.
* Strong business acumen with the ability to connect program objectives to strategic and operational outcomes.
* PMP, PgMP, or Agile certifications a plus.
**Knowledge \&amp; Skills**
* Comfortable working in ambiguity and fast\-paced environments with evolving priorities
* Demonstrated ability to influence without authority and manage cross\-functional stakeholders
* Proven success presenting insights to senior executives and creating executive\-ready materials
* Familiarity with enterprise systems (e.g., Salesforce, NetSuite, Workday, etc.) is a plus
This position has a starting salary range of $120,000 to $130,000 per year. This is the range we reasonably and in good faith expect to pay for the role at the time of posting. An employee’s pay within the range is determined by a number of factors, including relevant skills, education, qualifications, experience, performance, business or organizational needs, and geographic location.
**Company Mission**
J.D. Power is clear about what we do to ensure our success into the future. We unite industry leading data and insights with world\-class technology to solve our clients’ toughest challenges.
**Our Values**
We POWER Our Customer's Success
We are Innovative, Collaborative and Grounded in Data
We Make Things Easy
We Get It Done
We Start with Trust \&amp; Prove it Everyday
J.D. Power is committed to employing a diverse workforce. Qualified applicants will receive consideration without regard to race, color, religion, sex, national origin, age, sexual orientation, gender identity, gender expression, veteran status, or disability.
Should you require accommodations during the recruitment and selection process, please reach out to tarecruitment@jdpa.com.
J.D. Power does not disclose your personal data to unauthorized third parties. However, as a global corporation consisting of multiple affiliated companies in various countries, J.D. Power has international sites and J.D. Power uses resources located throughout the world. J.D. Power may from time to time also use third parties to act on J.D. Power’s behalf. You agree to the fact that to the extent necessary your personal data may be transferred and/or disclosed to any company within J.D. Power group of companies as well as to third parties acting on J.D. Power’s behalf, including also transfers to servers and databases outside the country where you provided J.D. Power with your personal data. Such transfers may include for example transfers and/or disclosures outside the European Economic Area and in the United States of America. If you are a California or United Kingdom resident, additional disclosures about the information we collect and how we use that information can be found by clicking here.
*To all recruitment agencies: J.D. Power does not accept unsolicited agency resumes and we are not responsible for any fees related to unsolicited resumes.*</t>
        </is>
      </c>
    </row>
    <row r="86">
      <c r="A86" t="inlineStr">
        <is>
          <t>in-5f59e4b148229d08</t>
        </is>
      </c>
      <c r="B86" t="inlineStr">
        <is>
          <t>Senior Program Manager IV</t>
        </is>
      </c>
      <c r="C86" t="inlineStr">
        <is>
          <t>IBSS Corp</t>
        </is>
      </c>
      <c r="D86" t="inlineStr">
        <is>
          <t>indeed</t>
        </is>
      </c>
      <c r="E86">
        <f>HYPERLINK("https://www.indeed.com/viewjob?jk=5f59e4b148229d08", "https://www.indeed.com/viewjob?jk=5f59e4b148229d08")</f>
        <v/>
      </c>
      <c r="F86">
        <f>HYPERLINK("https://www1.jobdiva.com/candidates/myjobs/openjob_outside.jsp?a=4ajdnwk8evzh26uk94l694tiat35w109ccfhjqx10ho9ba3cabmpvmaigtg1odwq&amp;SearchString=&amp;StatesString=&amp;source=indeed.com&amp;id=31821237&amp;compid=-1", "https://www1.jobdiva.com/candidates/myjobs/openjob_outside.jsp?a=4ajdnwk8evzh26uk94l694tiat35w109ccfhjqx10ho9ba3cabmpvmaigtg1odwq&amp;SearchString=&amp;StatesString=&amp;source=indeed.com&amp;id=31821237&amp;compid=-1")</f>
        <v/>
      </c>
      <c r="G86" t="inlineStr">
        <is>
          <t>Silver Spring, MD, US</t>
        </is>
      </c>
      <c r="H86" s="3" t="n">
        <v>46055</v>
      </c>
      <c r="I86" t="inlineStr">
        <is>
          <t>**Job Title:** Senior Program Manager IV  
**Location:** Silver Spring, MD (On Site)  
**Clearance Required:** Public Trust Eligible  
**Salary Range:** $120K\-$140K
**Application Deadline**: February 28, 2025  
**To apply,** please follow these steps:
* **Visit** https://ibsscorp.com/careers/ .
* **Select** the position you are interested in.
* **Review** the job details, then click **Apply Now.**
* **Complete** and submit your application.
**Description:**  
IBSS Corporation is seeking an experienced and strategic **Senior Program Manager** IV to lead efforts in support of the **Automated Surface Observing System (ASOS) Service Life Extension Program (SLEP)**. This key role provides programmatic leadership, business process guidance, technical oversight, and lifecycle management in close coordination with Government stakeholders. The Senior Program Manager will work across technical domains—systems engineering, deployment, telecom, and budgeting—to modernize and sustain ASOS nationwide. This position is contingent upon successful award of the contract.  
**Key Responsibilities:**  
**Program Leadership \&amp; Strategy**
* Serve as the lead contractor program interface with the Government ASOS Program Management Office (PMO).
* Support the modernization and evolution of ASOS systems in accordance with NOAA/NWS policies, directives, and life cycle processes.
* Provide expert\-level guidance in the planning, integration, testing, deployment, and sustainment of ASOS SLEP components.
**Business Process Development \&amp; Oversight**
* Develop and refine business process analysis and improvement plans to increase program efficiency and transparency.
* Lead efforts to define, track, and manage communications between production contractors and Government teams.
* Support the Government in managing warranty claims, system deployment logistics, and transition planning under the EIS contract vehicle.
**Technology Research \&amp; Risk Management**
* Perform market research and technology assessments to support acquisition decisions and combat component obsolescence.
* Conduct and support security planning and risk assessments to meet federal standards and ensure system integrity.
**Program Planning \&amp; Execution**
* Develop and maintain a resource\-loaded **Integrated Master Schedule (IMS)** to align activities across engineering, field deployment, and program reporting.
* Oversee program planning, procurement, budgeting, invoice reconciliation, and financial forecasting efforts.
* Provide administrative and strategic support for the preparation of status briefings, milestone reviews, and program documentation.
**Stakeholder Coordination**
* Work closely with engineers, analysts, deployment managers, and web developers to ensure integrated program delivery.
* Facilitate coordination between cross\-functional contractor teams and NOAA/NWS technical leads.
**Required Skills \&amp; Qualifications:**
* Bachelor's degree in Communications or Electronics Engineering
* 10 years related experience
* Demonstrated experience managing **large\-scale federal programs**, preferably in **meteorological** systems, **aviation**, or telecommunications
* Experience manager $10M\+ in Dollar value
* Experience managing a team of 10\+ direct reports
* Proven expertise in lifecycle planning, schedule and risk management, and systems integration
* Strong understanding of government acquisition and program management principles
* Excellent verbal and written communication skills; ability to lead cross\-disciplinary teams and present to senior stakeholders
* Proficient in Microsoft Project, Office Suite, and related scheduling and budgeting tools
* **Electrical and/or Mechanical Engineering or Computer Engineering background**.
* **Experience with hardware and software engineering principles, (understanding of how the scientific instruments and the data\-processing units integrate together and disseminate the data after processing).**
**Preferred Qualifications:**
* Master's degree in Engineering, Systems Management, or related field
* PMP certification
* Agile and Hybrid Project Management Framework Experience
* Familiarity with NOAA, FAA, or NWS systems and procedures
* Experience managing geographically dispersed deployments and multi\-vendor integration
**About IBSS Corp.**
Since 1992, IBSS, a woman\-owned small business, has provided transformational consulting services to the Federal defense, civilian, and commercial sectors. Our services include cybersecurity and enterprise information technology, environmental science and engineering (including oceans, coasts, climate, and weather), and professional management services.
Our approach is to serve our employees by investing in their growth and development. As a result, our employees bring greater capabilities and provide exceptional service to our clients. In addition to creating career development opportunities for our employees, IBSS is passionate about giving back to the community and serving the environment. We strive to leave something better behind for the next generation.
We measure our success by the positive impact we have on our employees, clients, partners, and the communities we serve. Our tagline, Powered by Excellence, is a recognition of the employees that make up IBSS and ensures we deliver results with quality, applying industry best practices and certifications.
IBSS offers a competitive benefits package that includes medical, dental, vision, and prescription drug coverage with a company\-paid deductible, paid time off, federal holidays, a matching 401K plan, tuition/professional development reimbursement, and Flex\-Spending (FSA)/Dependent Care Account (DCA) options.
IBSS is an affirmative action and equal opportunity employer. All qualified applicants will be considered for employment without regard to race, color, religion, sex, disability, age, sexual orientation, gender identity, national origin, veteran status, or genetic information. Click https://www.eeoc.gov/poster to see that the EEO is the law. Please direct any inquiries to the HR Department email at HR@ibsscorp.com.
If you require reasonable accommodation in completing this application, interviewing, completing any pre\-employment testing, or otherwise participating in the employee selection process, please direct your inquiries to the Talent Acquisition department at Recruiting@ibsscorp.com</t>
        </is>
      </c>
    </row>
    <row r="87">
      <c r="A87" t="inlineStr">
        <is>
          <t>in-0d9535479d426d32</t>
        </is>
      </c>
      <c r="B87" t="inlineStr">
        <is>
          <t>Senior Program Manager, GTO</t>
        </is>
      </c>
      <c r="C87" t="inlineStr">
        <is>
          <t>Johnson &amp; Johnson</t>
        </is>
      </c>
      <c r="D87" t="inlineStr">
        <is>
          <t>indeed</t>
        </is>
      </c>
      <c r="E87">
        <f>HYPERLINK("https://www.indeed.com/viewjob?jk=0d9535479d426d32", "https://www.indeed.com/viewjob?jk=0d9535479d426d32")</f>
        <v/>
      </c>
      <c r="F87">
        <f>HYPERLINK("https://www.careers.jnj.com/en/jobs/r-055273/senior-program-manager-gto/", "https://www.careers.jnj.com/en/jobs/r-055273/senior-program-manager-gto/")</f>
        <v/>
      </c>
      <c r="G87" t="inlineStr">
        <is>
          <t>Raritan, NJ, US</t>
        </is>
      </c>
      <c r="H87" s="3" t="n">
        <v>46055</v>
      </c>
      <c r="I8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Supply Chain Engineering**Job Sub Function:**
Project Engineering**Job Category:**
People Leader**All Job Posting Locations:**
Athens, Georgia, United States of America, Cincinnati, Ohio, United States of America, Cornelia, Georgia, United States of America, New Brunswick, New Jersey, United States of America, Raritan, New Jersey, United States of America**Job Description:**
Johnson \&amp; Johnson is recruiting a Senior Program Manager, Global Technical Operation to join our Ethicon team. This position can be located in Raritan, NJ / Cincinnati, OH / Athens, GA.
### **About MedTech**
Fueled by innovation at the intersection of biology and technology, we’re developing the next generation of smarter, less invasive, more personalized treatments.
Your unique talents will help patients on their journey to wellness. Learn more at https://www.jnj.com/medtech
Are you interested in joining a diverse and dynamic team that is helping improve patient care and drive innovation? Apply today.
**Purpose:**
The Senior Program Manager, Global Technical Operations serves as an expert within the technology community and leads program and/or portfolio initiatives for the organization. This role acts as the voice of supply chain during new product introduction for drug delivery devices. Applies analytics and reporting on an array of projects and creates data driven solutions for internal and external partners. Drives effective business decisions and communicates insights on organizational progress.
The role covers several aspects of Product management: NPI (new product introduction) and LCM (life cycle management)
### **Key Responsibilities:**
### **The scope of the role for NPI**
* Partnering with R\&amp;D, Quality, Commercial and Supply Chain teams to establish and implement the most effective strategy for the product manufacturing process
* Working closely with manufacturing site during process introduction and scale\-up phases
* Step in as technical lead of strategic and NPI programs
### **Scope of Responsibilities:**
* Build strong functional team, providing depth of knowledge and feedback and coaching to team members.
* Follow defined processes \&amp; procedures related to new product development and life cycle management to ensure compliance and meet business deliverables.
* Identify gaps in existing Processes' and drive improvement activities to close them.
* Define team's budget.
* Support programs/projects budget built.
* Lead Technical workstream in strategic and NPI programs.
* Establish foundation for knowledge transfer and repository.
### **The scope of role for LCM:**
* Responsible for process excellence via efficient design, ensuring continuous improvement in process, cost, quality and production.
* In the scope of this role, the manager will be allocating resources for process/design change related projects and supporting site engineering resolution of process related issues and non\-conformances.
* The manager will provide guidance to strategic decisions that affect the functional area of responsibility for LCM and NPI.
* Recruit, train and guide resources to improve total performance and productivity.
* Work with teams to ensure optimum levels of operability and maintainability.
* Establish process definitions for all the stages of project life cycle.
* Ensure that the project is performed with good quality and budget control. Evaluate process flows and provide recommendations. Optimize process systems for operational efficiency and cost savings. Plan organizational and technical strategies impacting budget, staffing, goals, and culture. Work with external teams to control manufacturing process of contract manufacturer plants, while managing base business and process changes.
### **Qualifications**
Education: Minimum of Bachelor’s degree and/or equivalent University degree required; focused degree in Engineering or Science related field preferred. Advanced degree or MBA preferred
### **Required:**
* A minimum of ten (10\) of relevant professional work experience
* Demonstrated experience in managing complex, multi\-functional projects with a focus on innovation and operational excellence.
* Strong knowledge of the medical devices industry, including regulatory requirements and industry trends.
* Project Management experience
* People management/leadership experience.
* Ability to develop program scope, develop people, manage technology, embrace financial goals and use customer\-focused decision making.
* Change management, project management, the ability to work effectively and drive alignment in a global environment through strong communication and empowerment.
* Strong communication and management influence skills.
* Experience leading cross\-functional teams.
* Experience leading medical device New Product Development teams.
* Experience in building business strategies and driving strategy implementation.
### **Preferred:**
* Medical Device, Pharmaceutical and/or Biologics experience or other regulated industry
* Combination Product experience
* Six Sigma/Process Excellence and/or Project Management/PMP/FPX certification
### **Other:**
* Position could be based in one of the following locations: Raritan NJ / Athens GA / Cincinnati OH
* May require up to 25% domestic and/or international travel to other locations and sites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
Agile Decision Making, Budget Management, Collaborating, Customer Centricity, Developing Others, Facilitation, Inclusive Leadership, Leadership, Lean Supply Chain Management, Non\-Conformance Reporting (NCR), Organizational Project Management, Project Engineering, Project Integration Management, Quality Assurance (QA), Regulatory Compliance, Science, Technology, Engineering, and Math (STEM) Application, Scientific Research, Stakeholder Engagement, Team Management**The anticipated base pay range for this position is :**
$122,000\.00 \- $212,750\.00
Additional Description for Pay Transparency:
Subject to the terms of their respective plans, employees are eligible to participate in the Company’s consolidated retirement plan (pension) and savings plan (401(k)).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  
For additional general information on Company benefits, please go to: \- https://www.careers.jnj.com/employee\-benefits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t>
        </is>
      </c>
    </row>
    <row r="88">
      <c r="A88" t="inlineStr">
        <is>
          <t>in-9f7a6972a4160cbb</t>
        </is>
      </c>
      <c r="B88" t="inlineStr">
        <is>
          <t>Program Manager II</t>
        </is>
      </c>
      <c r="C88" t="inlineStr">
        <is>
          <t>RHA Health Services</t>
        </is>
      </c>
      <c r="D88" t="inlineStr">
        <is>
          <t>indeed</t>
        </is>
      </c>
      <c r="E88">
        <f>HYPERLINK("https://www.indeed.com/viewjob?jk=9f7a6972a4160cbb", "https://www.indeed.com/viewjob?jk=9f7a6972a4160cbb")</f>
        <v/>
      </c>
      <c r="F88">
        <f>HYPERLINK("https://rhahealthservices.wd1.myworkdayjobs.com/1/job/Knoxville-TN/Program-Manager-II_R58480", "https://rhahealthservices.wd1.myworkdayjobs.com/1/job/Knoxville-TN/Program-Manager-II_R58480")</f>
        <v/>
      </c>
      <c r="G88" t="inlineStr">
        <is>
          <t>Knoxville, TN, US</t>
        </is>
      </c>
      <c r="H88" s="3" t="n">
        <v>46055</v>
      </c>
      <c r="I88" t="inlineStr">
        <is>
          <t>**We are hiring for:**
Program Manager II**Type:**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Supervises and coordinates activities of Direct Support employees and manages operations of 1\-3 facility/facilities providing Non\-ICF services. Leads and directs the work of Direct Support Associates and is responsible for the operations of the locations assigned to.**REPORTS TO:**
IDD Residential Team Leader or above.
**SUPERVISORY RESPONSIBILITIES:**
Supervises and coordinates activities of Direct Support employees
**DUTIES AND RESPONSIBILITIES:**
* Working closely with clinical and professional healthcare staff to maintain communication and provide feedback, standardizing procedures, and expediting the implementation of person\-centered plans
* Spending adequate amounts of time in the residential facility monitoring and providing feedback to staff on all three shifts in interactions and relationships with people supported, maintaining harmony between employees clients while serving as a positive role model
* Provides audits for medication administration.
* Resolving employee issues and conducting performance reviews
* Ensuring that employees meet training requirements and attend required events
* Monitoring select budget items and staying within guidelines
* Monitoring and providing feedback to employees during all three shifts in interactions and relationships with the people supported
* Providing after\-hours and on\-call coverage as part of the direct care rotation
**MINIMUM QUALIFICATIONS:**
* A high school diploma or equivalent
* One year of experience working with people with developmental disabilities.
* Flexible schedule and availability to provide on\-call coverage as needed
* Ability to lift between 20 and 50 lbs. and provide CPR after certification
* CPR, first aid, NCI and/or MedTech certification, a plus
* Must be at least 18 years of age
**PHYSICAL DEMANDS AND WORK ENVIRONMENT:**
* Regularly required to lift 30 lbs.
* Must be able to lift a minimum of 70 lbs.
* Must be able to pull a minimum of 50 lbs.
* Must be able to squat, kneel, crawl, crouch, climb, and stoop.
* Must be able to regularly use hands to finger, handle, or feel objects, tools, or controls.
* Required to regularly stand and walk.
* Must be able to demonstrate proficiency in CPR from the floor level requiring to work on hands, knees, bending, standing and lifting.
* Vision requirements include close vision, distance vision, and peripheral vision.
* Must be able to talk and hear.
RHA is an Equal Employment Opportunity Employer, prohibits discrimination based on the following protected categories: race, creed, color, national origin, nationality, ancestry, age, sex/gender, marital status, civil status, domestic partnership status, familial status, religion, affectional or sexual orientation, gender identity or expression, atypical hereditary cellular or blood trait, genetic information, liability for service in the Armed Forces of the United States, or disability.
**Pre\-employment screening:**
* Complete criminal background
* Name checked in the registries. (OIG exclusions database, Child Abuse Registry, and Offenders Against Individuals with Developmental Disabilities)
* Drug testing
* Education verification and other credentialing based on position requirements.
* Proof of employment history or references (if required)
* Positions that require driving Proof of driver's license, driver's insurance, and vehicle, IF required for providing transportation for individuals.
**We offer the following benefits to employees:**
* **Payactiv:** early access to the money you’ve earned from hours you’ve already worked, before payday!
* **Employee perks and discount program**: to help you save money!
* **Paid Time Off** (full\-time employees only)
* **Health/Insurance** (full\-time employees only)
* **401(k) retirement** **savings program**
* **Wellbeing Programs: Physical, Emotional and Financial**
* **Chronic Disease management programs** **for hypertension** **and diabetes** (for qualifying employees)
* **Training: Free CPR, first aid, and job\-specific training opportunities**
* contract/contingent workers and interns do not qualify for any of the above benefits
EEO Statement RHA is an equal opportunity employer. In addition, we provide reasonable accommodation to qualified employees who have protected disabilities to the extent required by applicable laws, regulations, and ordinances. If you are an individual with a disability and need a reasonable accommodation to participate in the application process, please contact our solutions center.
**About RHA:**
At RHA Health Services, we help individuals with intellectual and developmental disabilities, mental health and/or substance use needs live their best lives. Our mission is to provide a safe and healthy environment while creating opportunities for personal outcomes.
For over 30 years, the people we serve and support have remained at the very center of everything we do. RHA currently provides services in North Carolina, Georgia, Pennsylvania, Tennessee, and New Jersey.
If you are ready to make a difference in the lives of people we serve and support apply to join the team today.</t>
        </is>
      </c>
    </row>
    <row r="89">
      <c r="A89" t="inlineStr">
        <is>
          <t>in-8b07cd950470929e</t>
        </is>
      </c>
      <c r="B89" t="inlineStr">
        <is>
          <t>Staff Product Manager, Accountant Experiences</t>
        </is>
      </c>
      <c r="C89" t="inlineStr">
        <is>
          <t>Intuit</t>
        </is>
      </c>
      <c r="D89" t="inlineStr">
        <is>
          <t>indeed</t>
        </is>
      </c>
      <c r="E89">
        <f>HYPERLINK("https://www.indeed.com/viewjob?jk=8b07cd950470929e", "https://www.indeed.com/viewjob?jk=8b07cd950470929e")</f>
        <v/>
      </c>
      <c r="F89">
        <f>HYPERLINK("https://jobs.intuit.com/job/mountain-view/staff-product-manager-accountant-experiences/27595/91335606464", "https://jobs.intuit.com/job/mountain-view/staff-product-manager-accountant-experiences/27595/91335606464")</f>
        <v/>
      </c>
      <c r="G89" t="inlineStr">
        <is>
          <t>San Diego, CA, US</t>
        </is>
      </c>
      <c r="H89" s="3" t="n">
        <v>46055</v>
      </c>
      <c r="I89" t="inlineStr">
        <is>
          <t>Category Product Management
Location Mountain View, California; San Diego, California
Job ID 18972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We're seeking an experienced Staff Product Manager to lead core accountant experiences. This is a unique opportunity to shape the future of the accountant industry, driving innovation and growth for our most important partners and their customers.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8\+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90">
      <c r="A90" t="inlineStr">
        <is>
          <t>in-1e8cb72395b6a1a3</t>
        </is>
      </c>
      <c r="B90" t="inlineStr">
        <is>
          <t>Staff Program Manager, Trailering</t>
        </is>
      </c>
      <c r="C90" t="inlineStr">
        <is>
          <t>General Motors (GM)</t>
        </is>
      </c>
      <c r="D90" t="inlineStr">
        <is>
          <t>indeed</t>
        </is>
      </c>
      <c r="E90">
        <f>HYPERLINK("https://www.indeed.com/viewjob?jk=1e8cb72395b6a1a3", "https://www.indeed.com/viewjob?jk=1e8cb72395b6a1a3")</f>
        <v/>
      </c>
      <c r="F90">
        <f>HYPERLINK("https://generalmotors.wd5.myworkdayjobs.com/en-US/Careers_GM/job/Warren-Michigan-United-States-of-America/Staff-Program-Manager--Trailering_JR-202601552-1", "https://generalmotors.wd5.myworkdayjobs.com/en-US/Careers_GM/job/Warren-Michigan-United-States-of-America/Staff-Program-Manager--Trailering_JR-202601552-1")</f>
        <v/>
      </c>
      <c r="G90" t="inlineStr">
        <is>
          <t>Warren, MI, US</t>
        </is>
      </c>
      <c r="H90" s="3" t="n">
        <v>46055</v>
      </c>
      <c r="I90" t="inlineStr">
        <is>
          <t>**Job Description**
**Staff Program Manager, Trailering**
**Hybrid:** This role is categorized as hybrid. This means the successful candidate is expected to report to the Technical Innovation Center in Warren (MI) or Proving Ground in Milford (MI) three times per week, at minimum. This position can be located at either of these 2 locations.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Staff Program Manager for Trailering within our Infotainment \&amp; Connectivity PMO, you will play a critical role in orchestrating the delivery of complex Trailering features from chassis, in vehicle application, mobile \&amp; web. You will ensure seamless coordination across engineering, product, and design teams, driving operational excellence and enabling scalable processes that support GM’s vision for safe, reliable vehicles with a competitive trailering experience.
**What You’ll Do**
* Lead execution of complex, cross\-functional infotainment and connectivity programs, ensuring alignment on scope, resources, and timelines for the Trailering domain end to end.
* Develop and maintain operational plans, track milestones, and proactively manage risks to ensure on\-time delivery across all teams for trailering such as chassis, application, mobile \&amp; web.
* Coordinate across engineering, product management, and supply chain to support vehicle launch deliverables and resolve critical issues.
* Design and optimize operational workflows for software integration and vehicle interface systems, driving process efficiency.
* Facilitate change management and adoption of new tools, systems, and operational rhythms across teams.
* Lead recurring operational reviews, readiness checks, and launch alignment meetings; provide executive\-level reporting and dashboards.
* Forecast resource needs, monitor program risks, and ensure compliance with safety\-critical software development practices.
* Champion operational best practices and continuous improvement initiatives to scale processes and enhance program performance.
* Act as a trusted partner to leadership, providing insights on program status, dependencies, and strategic trade\-offs.
* Lead regular sync with program teams to ensure alignment on current tasks and future initiatives are understood.
* Travel will be required between Michigan and Markham locations (1\-2x per year)
**Your Skills \&amp; Abilities (Required Qualifications)**
* 7\+ years of experience in operations or program management roles in fast\-paced, technical environments
* 5\+ years leading complex software or systems programs with direct ownership of delivery execution across multiple functions
* Proven track record in aligning cross functional teams, including product, engineering, supply chain, and operations, toward shared outcomes
* Experience operating in matrixed organizations, with strong influence skills and executive presence
* Expertise in Agile and Waterfall methodologies; fluency with tools like JIRA, Confluence, and Smartsheet or similar platforms
* Exceptional organizational and communication skills, with the ability to present data\-driven insights to senior leadership
* Ability to operate effectively in high complexity product environments, particularly in automotive systems
**What will give you a competitive edge (Preferred Qualifications)**
* Bachelor's degree in Engineering, Systems, Operations, or related field; MBA or Master’s degree preferred
* Experience with IVI, Infotainment systems, or automotive interface software/hardware integration
* Background in technical program management in R\&amp;D, manufacturing, or automotive product development (Trailering background or experience a plus)
* Ability to scale operational systems and processes to support evolving technology roadmaps and launch targets
* Familiarity with systems engineering principles, validation cycles, and safety standards relevant to automotive domains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\#LI\-LL2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91">
      <c r="A91" t="inlineStr">
        <is>
          <t>in-135ef73c5e3d93da</t>
        </is>
      </c>
      <c r="B91" t="inlineStr">
        <is>
          <t>Senior Product Owner</t>
        </is>
      </c>
      <c r="C91" t="inlineStr">
        <is>
          <t>Blue Cross Blue Shield of Massachusetts</t>
        </is>
      </c>
      <c r="D91" t="inlineStr">
        <is>
          <t>indeed</t>
        </is>
      </c>
      <c r="E91">
        <f>HYPERLINK("https://www.indeed.com/viewjob?jk=135ef73c5e3d93da", "https://www.indeed.com/viewjob?jk=135ef73c5e3d93da")</f>
        <v/>
      </c>
      <c r="F91">
        <f>HYPERLINK("https://careers.bluecrossma.org/us/en/job/BCBSUSR08286EXTERNALENUS/Senior-Product-Owner?utm_source=indeed&amp;utm_medium=phenom-feeds", "https://careers.bluecrossma.org/us/en/job/BCBSUSR08286EXTERNALENUS/Senior-Product-Owner?utm_source=indeed&amp;utm_medium=phenom-feeds")</f>
        <v/>
      </c>
      <c r="G91" t="inlineStr">
        <is>
          <t>Boston, MA, US</t>
        </is>
      </c>
      <c r="H91" s="3" t="n">
        <v>46055</v>
      </c>
      <c r="I91" t="inlineStr">
        <is>
          <t>Ready to help us transform healthcare? Bring your true colors to blue.
What we need
The Senior Product Owner will be a member of Data Product Team managing various portfolio, operations, maintenance and enhancements (M\&amp;E), and internal projects. We are looking for someone with extensive experience collecting business requirements and grooming a technical backlog of work sufficient to support multiple developers and testers. The incumbent will also have experience managing product roadmaps supporting the intake and prioritization of requests from multiple stakeholders. As a Senior Product Owner with the Data Product Team, you will also have experience with SQL, data visualization, business intelligence, and\-or AWS cloud data tools and applications. This person will have experience using project management tools like Jira, Confluence, Miro, and MS Office.
This role is eligible for our Flex Persona for candidates local to our Boston, MA office.
Your Day to Day
Partner with Engineering, Testing, and Architecture teams to prioritize, decompose, groom, and schedule work items (epics and stories)
Partner with enterprise stakeholders to prioritize portfolio initiatives and maintain roadmaps driving the shared product vision
Attend or lead Agile Scrum and Kanban ceremonies including daily stand ups, sprint planning, sprint grooming, sprint retrospectives, sprint demo, and PI sessions
Manage communications between and within Values Stream, ET Shared Services, and Technical Delivery teams
Understand and manage upstream and downstream impacts associated with changes or enhancements to core data assets
Engage and activate technical and shared services teams to maintain momentum and support end to end development and implementation activities
Administer Enterprise Data Architecture aligning with your data domain including balance and control, audit, data dictionary, and data sharing activities
Maintain current knowledge of relevant healthcare and consumer technology trends, competitors, and market offerings
**We’re Looking for:**  
Experience implementing data solutions including ingestion, integration, master data management, transformation, storage, publication, security, and delivery activities
Deep knowledge of healthcare domains including (but not limited to) enrollment, account, claims, providers, products, digital, clinical, financial, and wellness data
Ability to estimate, inform, and negotiate expectations that meet enterprise partner and technical delivery needs
Leverages knowledge of structured query language (SQL) to query core data assets to understand data availability, completeness, formats, and hygiene
Experience working on Agile Scrum and Kanban teams to deliver ongoing and iterative value throughout the entire product lifecycle
Knowledge of Health Insurance Medical and Pharmacy Claims operations, adjudication, and data fields preferred
**What You Bring:**  
Minimum 5 years of progressively work experience with data and product management areas
Minimum 3 years of experience in working with data query tools (SQL, SAS, Cognos, Tableau)
Minimum 2 years of experience in working as product owner focused on healthcare industry
Minimum 2 years of experience with Jira and Confluence for product management
Certified Scrum Product owner (CSPO) or PMP certification highly desirable
Healthcare domain knowledge
Excellent verbal and written communication skills
**Minimum Education Requirements:**  
High school degree or equivalent required unless otherwise noted above
Location Boston, Hingham Time Type Full time
**Salary Range:** $111,150\.00 \- $135,850\.00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 How We Work " Page.</t>
        </is>
      </c>
    </row>
    <row r="92">
      <c r="A92" t="inlineStr">
        <is>
          <t>in-9dea570449d0f0f1</t>
        </is>
      </c>
      <c r="B92" t="inlineStr">
        <is>
          <t>Product Owner – Commercial Connect API</t>
        </is>
      </c>
      <c r="C92" t="inlineStr">
        <is>
          <t>Mastercard</t>
        </is>
      </c>
      <c r="D92" t="inlineStr">
        <is>
          <t>indeed</t>
        </is>
      </c>
      <c r="E92">
        <f>HYPERLINK("https://www.indeed.com/viewjob?jk=9dea570449d0f0f1", "https://www.indeed.com/viewjob?jk=9dea570449d0f0f1")</f>
        <v/>
      </c>
      <c r="F92">
        <f>HYPERLINK("https://click.appcast.io/t/8w3FlkEv8LrORm7vW_xpGgm1lQJlLiuyTbM0castIIU=", "https://click.appcast.io/t/8w3FlkEv8LrORm7vW_xpGgm1lQJlLiuyTbM0castIIU=")</f>
        <v/>
      </c>
      <c r="G92" t="inlineStr">
        <is>
          <t>Atlanta, GA, US</t>
        </is>
      </c>
      <c r="H92" s="3" t="n">
        <v>46055</v>
      </c>
      <c r="I9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Product Owner – Commercial Connect API
Role Overview  
The Commercial Connect API is a modern platform enabling unified access to Mastercard’s commercial payment capabilities, including virtual cards, payment flows, entity operations, controls, data attributes, and reporting.  
As a Product Owner, you will execute the product vision defined by senior leadership by converting strategy into detailed functional requirements and driving delivery with engineering. This role is central to ensuring clarity, consistency, and high quality execution across a broad and technically complex API surface.  
\_\_\_\_\_\_\_\_\_\_\_\_\_\_\_\_\_\_\_\_\_\_\_\_\_\_\_\_\_\_\_\_\_\_\_\_\_\_\_\_  
Key Responsibilities  
Product Execution \&amp; Requirements  
* Translate leadership’s product direction into structured Epics, user stories, acceptance criteria, and workflow definitions.
* Ensure requirements are complete, technically sound, and aligned to intended business outcomes.
* Keep the backlog healthy, prioritized, and ready for development at all times.
Engineering Collaboration  
* Work hand in hand with engineering to break down requirements, clarify edge cases, and support architectural feasibility.
* Participate in refinement, sprint planning, and delivery ceremonies to maintain alignment and unblock development.
* Validate delivered functionality through acceptance testing and close partnership with QA.
Cross Team Alignment \&amp; Communication  
* Coordinate with commercialization, program managers, integrators, and customer facing teams to support testing, onboarding, and release activities.
* Provide internal stakeholders and delivery partners with clear product explanations, workflows, and API behavior guidance.
* Ensure documentation, change notes, and reference materials reflect current product capabilities.
Quality, Risk \&amp; Release Support  
* Help ensure releases meet expected quality, performance, and reliability standards.
* Identify risks, surface dependencies early, and support mitigation planning.
* Assist in readiness for MTF and production releases, working with engineering and operations teams.
\_\_\_\_\_\_\_\_\_\_\_\_\_\_\_\_\_\_\_\_\_\_\_\_\_\_\_\_\_\_\_\_\_\_\_\_\_\_\_\_  
Qualifications  
* 3\+ years in product ownership, business analysis, or API\-focused product delivery.
* Ability to translate complex workflows into clear, testable requirements.
* Comfortable partnering deeply with engineering in Agile environments.
* Strong analytical thinking, written clarity, and stakeholder communication skills.
* Experience with APIs, data structures, or payments is a plus but not required.
\_\_\_\_\_\_\_\_\_\_\_\_\_\_\_\_\_\_\_\_\_\_\_\_\_\_\_\_\_\_\_\_\_\_\_\_\_\_\_\_  
Success Measures  
* Backlog quality and readiness enable predictable engineering delivery.
* Features meet acceptance criteria with minimal rework or ambiguity.
* Releases are stable, well tested, and aligned to intended product direction.
* Cross functional teams view the PO as a reliable, detail oriented execution partner.
* Execution consistently supports leadership’s broader roadmap.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Atlanta, Georgia: $104,000 \- $177,000 USD</t>
        </is>
      </c>
    </row>
    <row r="93">
      <c r="A93" t="inlineStr">
        <is>
          <t>in-71b845c7287f72e4</t>
        </is>
      </c>
      <c r="B93" t="inlineStr">
        <is>
          <t>program manager- Supply Chain Technology</t>
        </is>
      </c>
      <c r="C93" t="inlineStr">
        <is>
          <t>Starbucks</t>
        </is>
      </c>
      <c r="D93" t="inlineStr">
        <is>
          <t>indeed</t>
        </is>
      </c>
      <c r="E93">
        <f>HYPERLINK("https://www.indeed.com/viewjob?jk=71b845c7287f72e4", "https://www.indeed.com/viewjob?jk=71b845c7287f72e4")</f>
        <v/>
      </c>
      <c r="F93">
        <f>HYPERLINK("https://click.appcast.io/t/vZaT1adJAZF2zDdou5HOWL-VBPMxaxix0vgdQIZqbmo=", "https://click.appcast.io/t/vZaT1adJAZF2zDdou5HOWL-VBPMxaxix0vgdQIZqbmo=")</f>
        <v/>
      </c>
      <c r="G93" t="inlineStr">
        <is>
          <t>Seattle, WA, US</t>
        </is>
      </c>
      <c r="H93" s="3" t="n">
        <v>46055</v>
      </c>
      <c r="I93" t="inlineStr">
        <is>
          <t>**Now Brewing – program manager ST!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We’re hiring a program manager to drive a high\-impact technology initiatives that transforms Starbucks’ supply chain and retail operations through intelligent, scalable systems. This role is deeply embedded in engineering and product delivery, leading efforts to build transformational platforms in service of Source to Pay and Procure to Pay processes, and automate end to end capabilities to optimize spend visibility, cost management and vendor risk mitigation. You’ll work cross\-functionally with technology, operations, and supply chain teams to architect solutions that modernize our cloud infrastructure, streamline data flows, and deliver frictionless supplier, partner and customer experiences. If you thrive in complex systems, love solving enterprise\-scale challenges, and want to shape the future of supply chain tech at Starbucks, we want to hear from you.
**As a program manager, you will…**
* Lead end\-to\-end delivery of complex, cross\-functional technology programs—from roadmap planning through deployment—ensuring alignment across engineering, supply chain operations, and sourcing strategy.
* Apply expert\-level program and project lifecycle management practices to drive execution, manage risks, and deliver scalable solutions that modernize inventory, fulfillment, and financial systems.
* Navigate enterprise systems and vendor relationships by managing external partners, reviewing statements of work, and ensuring technical deliverables meet business goals.
* Communicate with clarity and influence across all levels, facilitating decision\-making, resolving ambiguity, and driving alignment between business and technology stakeholders.
**We’d love to hear from people with:**
* Experience leading the tactical execution of multi\-disciplinary technology initiatives, guiding programs from initial planning and scoping through delivery and operational handoff, while ensuring seamless coordination across engineering, supply chain, and retail functions.
Expert\-Level Program and Project Lifecycle Management* \-Proven ability to lead complex, multi\-phase programs from planning through execution, including risk management, financial management, change control, and delivery of enterprise\-scale solutions
Strong Leadership and Communication Skills* \-Ability to lead by example, navigate ambiguity, facilitate difficult conversations, and influence stakeholders across all levels—from individual contributors to VP\+.
Technical Fluency Across Enterprise Systems* \-Clear understanding of solution architecture, systems integration, data migration, and deployment processes—essential for managing technology\-driven initiatives.
Experience Managing External Vendors and Suppliers* \-Skilled in reviewing statements of work, negotiating change orders, and ensuring vendor deliverables align with program goals and timelines.
* Business Domain Knowledge in Sourcing and Procurement processes, Familiarity with direct and indirect sourcing processes and contract management practices is key to delivering solutions that meet operational needs and drive transformation.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t>
        </is>
      </c>
    </row>
    <row r="94">
      <c r="A94" t="inlineStr">
        <is>
          <t>in-39e3837d3d4fc601</t>
        </is>
      </c>
      <c r="B94" t="inlineStr">
        <is>
          <t>Associate Product Manager-Satellite Inflight Connectivity</t>
        </is>
      </c>
      <c r="C94" t="inlineStr">
        <is>
          <t>Gogo Business Aviation</t>
        </is>
      </c>
      <c r="D94" t="inlineStr">
        <is>
          <t>indeed</t>
        </is>
      </c>
      <c r="E94">
        <f>HYPERLINK("https://www.indeed.com/viewjob?jk=39e3837d3d4fc601", "https://www.indeed.com/viewjob?jk=39e3837d3d4fc601")</f>
        <v/>
      </c>
      <c r="F94">
        <f>HYPERLINK("https://gogo.wd503.myworkdayjobs.com/en-US/careers/job/Broomfield-CO-United-States/Associate-Product-Manager-Satellite-Inflight-Connectivity_R4061-2", "https://gogo.wd503.myworkdayjobs.com/en-US/careers/job/Broomfield-CO-United-States/Associate-Product-Manager-Satellite-Inflight-Connectivity_R4061-2")</f>
        <v/>
      </c>
      <c r="G94" t="inlineStr">
        <is>
          <t>Broomfield, CO, US</t>
        </is>
      </c>
      <c r="H94" s="3" t="n">
        <v>46055</v>
      </c>
      <c r="I94" t="inlineStr">
        <is>
          <t>We will be accepting applications through February 27, 2026 or until filled.
\- \- \-
The Gogo **Associate** **Product Manager – Satellite Inflight Connectivity** will play a key role in the continued development and evolution of satellite based in flight connectivity platform and service offerings. Through planning, execution and optimization of key metrics, the Product Manager will increase the market penetration and increase the revenue streams built on top of Gogo Business Aviation's market\-leading aviation products and network. You will work with sales, customers and third\-party partners to understand and represent the market opportunities and evangelize these needs to the development team and be the advocate for a high\-quality product management process.
This is an exciting position that will coordinate with fellow hardware and services product managers to provide a single, consolidated effort for all items that impact Gogo’s leading in\-flight connectivity products. Are you someone who can lay out product roadmaps and direct priorities for an organization with ease?
Then come on board the Gogo Product Management Team!
**How will you make a difference?**
* Develop and evangelize clear product vision, strategy, value proposition and roadmaps for in\-cabin network solutions in line with company strategy and market needs
* Manage overall product lifecycle from conception to obsolescence.
* Work with a cross functional team to define new product features, guide product design, development and integration.
* Manage strong relationships with key stakeholders including customers, aircraft manufacturers, channel partners and vendors to meet their expectations.
**Qualifications**
* Bachelor’s Degree in **engineering or aerospace or a related field.** MBA preferred
* 1\-3 years of relevant **product or program management** is preferred
**Required Skills, Experience and Talents**
* Strong communication and interpersonal skills
* Able to develop cohesive plans for products through analyzing data, gathering information from customers, sales and support staff, and reviewing available market data.
* Ability to develop trade\-studies and product analysis to determine the best path forward
**Preferred Skills, Experience and Talents**
* Industry knowledge of business aviation industry, including regulations, standards and best practices
* Understanding of Lean Problem Solving and Operational Excellence
* Knowledge of wireless technologies is a plus
* Demonstrated ability to understand and discuss technical concepts and manage trade\-offs
* Analytical and critical thinking skills
* Solid interpersonal skills, presentation skills, strong work ethic, and self\-motivated
* Effective in cross\-functional team environments
* Curious and energetic personality
**Equal Pay Disclosure(s)**
**Base Pay** :
88,000\.00 \- 110,000\.00 USD Annual
**Target Annual Short\-Term Incentive** :
Bonus Plan at 5% (% of Annualized Base Pay)
**Eligible for Incentive Stock Program** :
Yes
**Benefits** :
Gogo offers competitive benefits including medical, dental and vision coverage with plans that can fit each employee’s needs. We offer an immediate vesting 401k plan, paid time off and volunteer time off. Employees have the option to participate in an Employee Stock Purchase Plan. Visit the Careers page on our website for more information at www.gogoair.com/careers .
\- \- \-
Gogo is an Equal Opportunity and Affirmative Action employer, working in compliance with both federal and state laws. We are committed to the concept of Equal Employment opportunity.
Qualified candidates will be considered for employment regardless of race, color, religion, age, sex, national origin, marital status, medical condition, or disability.
The EEO is the law and is available **here** . Gogo participates in E\-Verify ( **English** and **Spanish** ). Right to Work Statement ( **English** and **Spanish** ).</t>
        </is>
      </c>
    </row>
    <row r="95">
      <c r="A95" t="inlineStr">
        <is>
          <t>in-053fb7ba5acd6258</t>
        </is>
      </c>
      <c r="B95" t="inlineStr">
        <is>
          <t>Senior Technical Program Manager - Insurance Systems</t>
        </is>
      </c>
      <c r="C95" t="inlineStr">
        <is>
          <t>Porch Group Media</t>
        </is>
      </c>
      <c r="D95" t="inlineStr">
        <is>
          <t>indeed</t>
        </is>
      </c>
      <c r="E95">
        <f>HYPERLINK("https://www.indeed.com/viewjob?jk=053fb7ba5acd6258", "https://www.indeed.com/viewjob?jk=053fb7ba5acd6258")</f>
        <v/>
      </c>
      <c r="F95">
        <f>HYPERLINK("https://porch.wd1.myworkdayjobs.com/en-US/careers/job/US-WA-Remote---Non-Seattle/Senior-Technical-Program-Manager---Insurance-Systems_JR100940", "https://porch.wd1.myworkdayjobs.com/en-US/careers/job/US-WA-Remote---Non-Seattle/Senior-Technical-Program-Manager---Insurance-Systems_JR100940")</f>
        <v/>
      </c>
      <c r="G95" t="inlineStr">
        <is>
          <t>Seattle, WA, US</t>
        </is>
      </c>
      <c r="H95" s="3" t="n">
        <v>46055</v>
      </c>
      <c r="I95" t="inlineStr">
        <is>
          <t>Porch Group is a leading vertical software and insurance platform and is positioned to be the best partner to help homebuyers move, maintain, and fully protect their homes. We offer differentiated products and services, with homeowners insurance at the center of this relationship. We differentiate and look to win in the massive and growing homeowners insurance opportunity by 1\) providing the best services for homebuyers, 2\) led by advantaged underwriting in insurance, 3\) to protect the whole home.
As a leader in the home services software\-as\-a\-service (“SaaS”) space, we’ve built deep relationships with approximately 30 thousand companies that are key to the home\-buying transaction, such as home inspectors, mortgage companies, and title companies.
In 2020, Porch Group rang the Nasdaq bell and began trading under the ticker symbol PRCH. We are looking to build a truly great company and are JUST GETTING STARTED.
Job Title: Senior Technical Program Manager \- Insurance Systems
Location: United States
Workplace Type: Remote
**Job Summary**
Porch is seeking a Technical Program Manager with strong technical and insurance expertise , combined with strategic leadership abilities, to oversee key Insurance initiatives from planning through deployment. The successful candidate will ensure timely and within\-budget delivery of programs that involve software products, engineering teams, and business stakeholders. This critical role requires adept management of ambiguity, development of actionable plans, stakeholder alignment, evaluation of technical solutions, and effective communication with senior leadership.
The ideal candidate will bring deep home insurance domain knowledge, exceptional communication and leadership skills, and a proven ability to manage cross\-functional technical programs from planning through execution.
**What You Will Do As A Senior Technical Program Manager**
* Strategic program planning including timelines, and success metrics for technical insurance initiatives.
* Develop program roadmaps and align initiatives with business strategy.
* Facilitate communication between engineering, product, design, and other teams. Ensure alignment of objectives , deliverables, technical dependencies , . and timely delivery.
* Possess deep understanding of relevant technologies. Guide teams in technical decision\-making, architecture, and problem\-solving.
* Anticipate potential obstacles, develop risk management plans, and implement corrective actions to keep programs on track.
* Serve as the primary point of contact for program status, updates, and escalations.
* Facilitate regular check\-ins and reporting to senior leadership and cross\-functional partners.
* Manage and communicate changes in project scope, priorities, and requirements. Ensure teams adapt effectively to evolving business needs.
* Ensure transparency and accountability across all workstreams.
* Partner with engineering leads to scope technical work, define dependencies, and manage resource allocation.
* Ensure deliverables meet business, technical, and compliance standards. Oversee testing, validation, and documentation processes.
* Understand system architecture and data flows to anticipate integration challenges and guide resolution.
* Apply knowledge of home insurance workflows, regulatory requirements, and policy administration systems to guide program decisions.
* Collaborate with underwriting, claims, and support teams to ensure technical solutions meet business needs.
* Evaluate and refine development processes, tools, and workflows to enhance efficiency, quality, and team satisfaction.
* Monitor KPIs and program metrics. Prepare status reports, dashboards, and post\-mortem analyses to drive continuous improvement.
* Implement best practices for documentation, communication, and change management.
**What You Will Bring As A Senior Technical Program Manager**
* 10\+ years of experience in technical program management, with at least four years in insurance .
* Strong understanding of home insurance systems, workflows, and regulatory considerations.
* Proven ability to lead cross\-functional teams and manage complex programs.
* Excellent written and verbal communication skills; able to synthesize technical and business information for diverse audiences.
* Highly organized with strong planning and prioritization skills.
* Experience with Agile methodologies and tools (e.g., JIRA, Confluence).
**Preferred Skills**
* E xperienc e manag ing programs that invo lve policy administration platforms.
* Experience with p olicy system migr ations, data migration, s ystem inte gra tions, configuration, and testing in insurance systems.
* Ability to manage vendor relationships and external dependencies.
* Bachelor’s degree in Computer Science , Engineering, or related field ( Master’s preferred).
* PMP, CSM, or equivalent certification.
**What You Will Get** **As** **A** **Porch Group Team Member**
Pay Range\* : $140,000 \- $180,000
*\*Please know your actual pay at Porch will reflect* *a number of* *factors among* *which are* *your work experience and skillsets,* *job\-related knowledge, alignment with market and our Porch employees, as well as your geographic location.*  
Additionally, you will be eligible to receive long\-term incentive awards, subject to program guidelines and approvals.  
Our benefits package will provide you with comprehensive coverage for your health, life, and financial wellbeing .
* Our traditional healthcare benefits include three (3\) Medical plan options, two (2\) Dental plan options, and a Vision plan from which to choose.
* Critical Illness, Hospital Indemnity and Accident plans are offered on a voluntary basis.
* We offer pre\-tax savings options including a partially employer funded Health Savings Account and employee Flexible Savings Accounts including healthcare, dependent care, and transportation savings options.
* We provide company paid Basic Life and AD\&amp;D, Short and Long\-Term Disability benefits . We also offer Voluntary Life and AD\&amp;D plans.
* Both traditional and Roth 401(k) plans are available with a discretionary employer match .
* Supportlinc is part of our employer paid wellbeing program and provides employees and their families access to on demand guided meditation and mindfulness exercises, mental health coaching, clinical care and online access to confidential resources including will preparation.
* LifeBalance is a free resource to employees and their families for year\-round discounts on things like gym memberships, travel, appliances, movies, pet insurance and more.
* Our wellness programs include flexible paid vacation, company\-paid holidays of typically nine per year, paid sick time, paid parental leave, identity theft program, travel assistance , and fitness and other discounts programs .
\#LI\-NH1
\#LI\-REMOTE
**What’s next?**
Submit your application and our Porch Group Talent Acquisition team will be reviewing your application shortly! If your resume gets us intrigued, we will look to connect with you for a chat to learn more about your background, and then possibly invite you to have virtual interviews. What's important to call out is that we want to make sure not only that you're the right person for us, but also that we're the right next step for you, so come prepared with all the questions you have!
Porch is committed to building an inclusive culture of belonging that not only embraces the diversity of our people but also reflects the diversity of the communities in which we work and the customers we serve. We know that the happiest and highest performing teams include people with diverse perspectives that encourage new ways of solving problems, so we strive to attract and develop talent from all backgrounds and create workplaces where everyone feels seen, heard and empowered to bring their full, authentic selves to work.
Porch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laws, regulations, and ordinances.
Porch Group is an E\-Verify employer. E\-Verify is a web\-based system that allows an employer to determine an employee's eligibility to work in the US using information reported on an employee's Form I\-9\. The E\-Verify system confirms eligibility with both the Social Security Administration (SSA) and Department of Homeland Security (DHS). For more information, please go to the USCIS E\-Verify website .</t>
        </is>
      </c>
    </row>
    <row r="96">
      <c r="A96" t="inlineStr">
        <is>
          <t>in-6ab3636c7fdb1f79</t>
        </is>
      </c>
      <c r="B96" t="inlineStr">
        <is>
          <t>Product Manager, Digital Banking</t>
        </is>
      </c>
      <c r="C96" t="inlineStr">
        <is>
          <t>First Command Financial Services</t>
        </is>
      </c>
      <c r="D96" t="inlineStr">
        <is>
          <t>indeed</t>
        </is>
      </c>
      <c r="E96">
        <f>HYPERLINK("https://www.indeed.com/viewjob?jk=6ab3636c7fdb1f79", "https://www.indeed.com/viewjob?jk=6ab3636c7fdb1f79")</f>
        <v/>
      </c>
      <c r="F96">
        <f>HYPERLINK("https://firstcommand.silkroad.com/epostings/?fuseaction=app.jobInfo&amp;version=3&amp;jobid=3303", "https://firstcommand.silkroad.com/epostings/?fuseaction=app.jobInfo&amp;version=3&amp;jobid=3303")</f>
        <v/>
      </c>
      <c r="G96" t="inlineStr">
        <is>
          <t>Fort Worth, TX, US</t>
        </is>
      </c>
      <c r="H96" s="3" t="n">
        <v>46055</v>
      </c>
      <c r="I96" t="inlineStr">
        <is>
          <t>**How will this role impact First Command?**
*The Product Manager for Digital Banking at First Command will drive the company’s strategic initiatives, aligning product offerings with measurable client and business outcomes. By defining an actionable product strategy and building relationships with business leaders, the Product Manager will integrate product and business strategies to deliver value.*
*To deliver value, the Product Manager will craft and present business cases for product epics, document requirements for product features, and communicate ideas through presentations and appropriate artifacts. Collaborating with functional leaders and subject matter experts, they will ensure timely, business\-ready product releases. Utilizing customer understanding and proven technologies, the Product Manager will identify and implement innovative solutions that meet client needs.*
*To measure success, the Product Manager will define and continuously monitor product and client experience metrics to ensure value capture. Supporting sales and marketing, they will ensure clear messaging and effective business\-building tactics, reinforcing First Command's position as the leader in financial services for our Nation’s military families and driving company growth.*
**What will you be doing?**
Product Vision And Strategy
* Define an actionable product strategy and roadmap prioritized by measurable client and business outcomes.
* Build and maintain relationships with First Command business leaders to align product strategy with business strategy.
* Collaborate with CX and UX teams to conduct qualitative and quantitative customer research to gather insight and understand personas and needs.
* Evaluate emerging technologies and relevant innovative propositions to identify new opportunities.
Proposition Development And Delivery
* Write and present the business case for digital products and related opportunities.
* Document product feature requirements and artifacts to support the product development process.
* Clearly communicate compelling ideas (using presentations, wireframes, prototypes, etc.) to a wide range of stakeholders.
* Collaborate with System and Solution Architect/Engineering to jointly sequence the Architectural Runway that will host new business functionality.
* Collaborate with First Command functional leaders (e.g. Training, Adoption, Change\-Management, Marketing, etc.) and subject matter experts to ensure features are released in a business\-ready and timely manner.
* Collaborate with Agile Release Trains (ARTs) and third\-parties (as applicable) to build the required features.
Product Management And Measurement
* Utilize an evidence\-based method for Product decision\-making including but not limited to opportunity prioritization and client understanding.
* Be accountable for capturing identified value propositions in the business case and product roadmap.
* Be accountable and responsible for product metrics, including commercial and noncommercial goals through continuous monitoring and measurement.
* Be accountable for client experience and satisfaction metrics through continuous monitoring and measurement.
* Provide support to sales and marketing to agree on business\-building tactics, activities, and targets and to ensure that value proposition and messaging are clear.
**What skills/qualifications do you need?**
**Education**
* Bachelor’s degree required (may consider experience in lieu of degree)
* Master’s degree preferred
**Work Experience**
* Consumer Banking and/or Commercial Banking experience, including an understanding of industry digital trends and technology stacks
* Experience with Banking Platforms such as Jack Henry’s Banno and Silverlake (preferred), Fiserv Architect, FIS Payments One, etc.
* Product management experience, including going through a full product lifecycle (from launch to maturity)
* Previous experience in technical product development is desirable
* Related technology background is desirable, particularly in the area of digital experience platforms and web and mobile technologies
* Agile and/or Scaled\-Agile (SAFe) experience
**Certifications**
The preferred candidate will have one or more certifications in the following areas:
* Product Management
* Agile and Scaled\-Agile (SAFe)
* Platform and Technology
* Process Improvement
* Financial Services
**Required Knowledge, Skills and Abilities**
Knowledge
* Relevant market and industry trends, including consumer, regulatory, legal, and technology
* Target personas and segments, overall market landscape
* Familiarity with digital technologies and industry tech stacks
* Company strategy, brand and value proposition
* Best practices and emerging trends related to innovation and go\-to\-market
* Agile development methods
* Ideation and opportunity identification methods
Skills
* Ability to conduct market, competitor, and customer research to gather insight, assess market opportunities, and make the case for investment
* Digital product strategy definition
* Digital product lifecycle management
* Ability to coordinate with digital product engineering and other functions for product development and delivery
* Communication, relationship\-building, and influencing skills
Abilities
* Deep curiosity about customers, technology, and industry trends
* Visionary and forward\-thinking, able to transfer a product vision into an outcome
* Strategic thinking
* Creative and innovative
* Exhibits analytical, rational, and logical thinking for optimal problem\-solving
* Empathetic to clients, advisors, and users
* Collaborative
* Detail\-oriented, well organized, efficient with time management
\#LI\-NC1
\#LI\-Hybrid</t>
        </is>
      </c>
    </row>
    <row r="97">
      <c r="A97" t="inlineStr">
        <is>
          <t>in-9c285e8eece5cf1e</t>
        </is>
      </c>
      <c r="B97" t="inlineStr">
        <is>
          <t>Program Manager</t>
        </is>
      </c>
      <c r="C97" t="inlineStr">
        <is>
          <t>General Dynamics Information Technology</t>
        </is>
      </c>
      <c r="D97" t="inlineStr">
        <is>
          <t>indeed</t>
        </is>
      </c>
      <c r="E97">
        <f>HYPERLINK("https://www.indeed.com/viewjob?jk=9c285e8eece5cf1e", "https://www.indeed.com/viewjob?jk=9c285e8eece5cf1e")</f>
        <v/>
      </c>
      <c r="F97">
        <f>HYPERLINK("https://www.gdit.com/careers/job/4c74abf53/program-manager", "https://www.gdit.com/careers/job/4c74abf53/program-manager")</f>
        <v/>
      </c>
      <c r="G97" t="inlineStr">
        <is>
          <t>IN, US</t>
        </is>
      </c>
      <c r="H97" s="3" t="n">
        <v>46055</v>
      </c>
      <c r="I97" t="inlineStr">
        <is>
          <t>Your Impact
Own your opportunity to work alongside federal civilian agencies. Make an impact by providing services that help the government ensure the well being of U.S. citizens.
Job Description
PROGRAM MANAGER  
Oversee complex programs that drive impactful mission outcomes for our customers as a Program Manager . Here, you’ll see the bigger picture on mission initiatives and where your program management career can go at GDIT.  
MEANINGFUL WORK AND PERSONAL IMPACT  
As a Program Manager, the work you’ll do at GDIT will be impactful to the mission of Internal Revenue Service, Information Technology Cybersecurity. You will play a crucial role in managing a multidisciplinary, ensuring all insider threat detection, investigation, and response activities are executed effectively and in alignment with agency policies.  
* Lead/Manage/Support oversee hiring and onboarding of staff with appropriate security clearances and skills, manage stakeholder engagement and ensure timely delivery of reports, metrics, and deliverables.
* Collaborate with IRS Counter Insider Threat PMO Leadership and contracting team to ensure mission success.
* Drive develop and maintainance of program plans, risk registers, and governance documentation, and serve as the primary point of contact.
* Utilize Program/Project management tools to track and document progress.
WHAT YOU’LL NEED TO SUCCEED  
Bring your program management expertise along with a drive for innovation to GDIT. The Program Manager must have:  
* Education: Bachelor’s degree in Business Administration, Project Management, Information Systems (with equivalent demonstrated experience in field) or Master’s (preferred)
* Experience: 10\-15\+ years of related experience
* Security clearance level: Moderate Background Investigation (MBI)
* US citizenship required
* Role requirements: Hiring, Onboarding, management, KPI tracking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program management at GDIT and you’ll find endless opportunities to grow alongside colleagues who share your passion for the mission and delivering results.
Work Requirements
Years of Experience
10 \+ years of related experience* may vary based on technical training, certification(s), *or* degree
Certification
Certified Information Systems Security Professional (CISSP) \| International Information System Security Certification Consortium (ISC2\) \- International Information System Security Certification Consortium (ISC2\)
Travel Required
None
Salary and Benefit Information
The likely salary range for this position is $153,000 \- $207,000\.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98">
      <c r="A98" t="inlineStr">
        <is>
          <t>in-c930276c9ac772bc</t>
        </is>
      </c>
      <c r="B98" t="inlineStr">
        <is>
          <t>Program Manager - Governor Mifflin School District</t>
        </is>
      </c>
      <c r="C98" t="inlineStr">
        <is>
          <t>Right at School</t>
        </is>
      </c>
      <c r="D98" t="inlineStr">
        <is>
          <t>indeed</t>
        </is>
      </c>
      <c r="E98">
        <f>HYPERLINK("https://www.indeed.com/viewjob?jk=c930276c9ac772bc", "https://www.indeed.com/viewjob?jk=c930276c9ac772bc")</f>
        <v/>
      </c>
      <c r="F98">
        <f>HYPERLINK("https://rightatschool.sensehq.cloud/careers/jobs?jobId=5706&amp;utm_source=Indeed&amp;utm_medium=JOB_PORTAL", "https://rightatschool.sensehq.cloud/careers/jobs?jobId=5706&amp;utm_source=Indeed&amp;utm_medium=JOB_PORTAL")</f>
        <v/>
      </c>
      <c r="G98" t="inlineStr">
        <is>
          <t>Mohnton, PA, US</t>
        </is>
      </c>
      <c r="H98" s="3" t="n">
        <v>46055</v>
      </c>
      <c r="I98"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**$20\.00\-$24\.00****(based on education and experience)**
 **Program Hours: This program offers childcare between the hours of 6:45 a.m. \- 6:00 p.m. EST, Monday \- Friday. During active programming time, employees may be scheduled to work up to 30\-40 hours per week based upon business needs.**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**Pennsylvania State Requirements:**
* Ability to meet state\-specific requirements;
* First Aid and CPR\-in\-person
* Cleared tuberculosis test
* BA or BS in early childhood, child development, special ed, elementary ed or the human services field \+ 1 year of experience
* **OR**
* BA or BS degree including 30 hrs in early childhood, child development, special ed, elementary ed or the human services field \+2 years experience
* **OR**
* AD in early childhood, child development, special ed, elementary ed or the human services field \+ 3 years of experience
* **OR**
* AD including 30 hrs in early childhood, child development, special ed, elementary ed or the human services field \+4 years of experience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99">
      <c r="A99" t="inlineStr">
        <is>
          <t>in-94ffc2ad0e7f578d</t>
        </is>
      </c>
      <c r="B99" t="inlineStr">
        <is>
          <t>Part Time Childcare Program Manager- Hazlet School district</t>
        </is>
      </c>
      <c r="C99" t="inlineStr">
        <is>
          <t>Right at School</t>
        </is>
      </c>
      <c r="D99" t="inlineStr">
        <is>
          <t>indeed</t>
        </is>
      </c>
      <c r="E99">
        <f>HYPERLINK("https://www.indeed.com/viewjob?jk=94ffc2ad0e7f578d", "https://www.indeed.com/viewjob?jk=94ffc2ad0e7f578d")</f>
        <v/>
      </c>
      <c r="F99">
        <f>HYPERLINK("https://rightatschool.sensehq.cloud/careers/jobs?jobId=5714&amp;utm_source=Indeed&amp;utm_medium=JOB_PORTAL", "https://rightatschool.sensehq.cloud/careers/jobs?jobId=5714&amp;utm_source=Indeed&amp;utm_medium=JOB_PORTAL")</f>
        <v/>
      </c>
      <c r="G99" t="inlineStr">
        <is>
          <t>Hazlet, NJ, US</t>
        </is>
      </c>
      <c r="H99" s="3" t="n">
        <v>46055</v>
      </c>
      <c r="I99"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 per hour*(based on education and experience)
 **Program Hours:** Monday\-Friday, 6:45 a.m.\-8:50 a.m. 3:00 p.m. \- 6:00 p.m.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**New Jersey State Requirements:**
* Ability to meet state\-specific requirements;
* First Aid and CPR\-in\-person
* Cleared tuberculosis test
* Short \&amp; Long Term Disability
**Requirements based on capacity:**
* High School Diploma or General Education Development (GED) Diploma
* AND
* 6 hours training (in child care) and 3 hours (in child program management)
* OR
* Certificate as a Recreation Technician from the National Recreation and Park Association (NRPA) **AND** 6 hours training (in child care) **AND** 3 hours (in child program management) **AND** 2 years experience
* OR
* Child Development Associate (CDA) Certificate; Group Teacher Approval; or 15 college credits in child development, education, recreation, psychology, health care, nursing or any other field related to child growth and development **AND** 6 hours training (in child care) **AND** 3 hours (in child program management) **AND** 2 years experience
* OR
* 15 college credits in areas not related to children **AND** 6 hours (in child care) **AND** 3 hours (in child program management) **AND** 3 years experience
* OR
* Associate's Degree in any field **AND** 6 hours (in child care) **AND** 3 hours (in child program management) **AND** 2 years experience
* OR
* Bachelor's Degree in a child related field; or Office of Licensing Head Teacher Approval **AND** 3 hours training (in child program management)
* **AND** 1 year experience
* OR
* Certificate as a Recreation Administrator, Recreation Supervisor or Recreation Professional **AND** 3 hours training (in child program management) **AND** 1 year experience
* OR
* Bachelor's Degree in an unrelated field **AND** 6 hours training (in child care) **AND** 3 hours (in child program management) **AND** 1 year experience
* OR
* School Age Program Supervisor endorsement from the New Jersey Registry for Childhood Professionals, Professional Impact New Jersey
* + **Training requirement must be completed within 9 months of being approved as Program Supervisor by the OOL**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00">
      <c r="A100" t="inlineStr">
        <is>
          <t>in-bfccf5a12b60e561</t>
        </is>
      </c>
      <c r="B100" t="inlineStr">
        <is>
          <t>Part Time Program Manager - Brookfield, IL</t>
        </is>
      </c>
      <c r="C100" t="inlineStr">
        <is>
          <t>Right at School</t>
        </is>
      </c>
      <c r="D100" t="inlineStr">
        <is>
          <t>indeed</t>
        </is>
      </c>
      <c r="E100">
        <f>HYPERLINK("https://www.indeed.com/viewjob?jk=bfccf5a12b60e561", "https://www.indeed.com/viewjob?jk=bfccf5a12b60e561")</f>
        <v/>
      </c>
      <c r="F100">
        <f>HYPERLINK("https://rightatschool.sensehq.cloud/careers/jobs?jobId=5711&amp;utm_source=Indeed&amp;utm_medium=JOB_PORTAL", "https://rightatschool.sensehq.cloud/careers/jobs?jobId=5711&amp;utm_source=Indeed&amp;utm_medium=JOB_PORTAL")</f>
        <v/>
      </c>
      <c r="G100" t="inlineStr">
        <is>
          <t>Brookfield, IL, US</t>
        </is>
      </c>
      <c r="H100" s="3" t="n">
        <v>46055</v>
      </c>
      <c r="I100" t="inlineStr">
        <is>
          <t>**Now Hiring for the 2025\-2026 School Year!**
==============================================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Brook Park Elementary School \- Brookfield, IL
 **Program Manager Pay Rate:** $21\-25/hour (based on education and experience)
 **Program Hours:** Monday\-Friday: 2:00PM\-6:00PM\*
* hours may vary slightly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**IL Requirements:**
* Ability to meet state\-specific requirements;
* First Aid and CPR\-in\-person
* Cleared tuberculosis test
* 18 years old or older
* High school diploma or equivalent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01">
      <c r="A101" t="inlineStr">
        <is>
          <t>in-4951fc715be60c7d</t>
        </is>
      </c>
      <c r="B101" t="inlineStr">
        <is>
          <t>Program Manager, Health Professions Simulation</t>
        </is>
      </c>
      <c r="C101" t="inlineStr">
        <is>
          <t>ThedaCare</t>
        </is>
      </c>
      <c r="D101" t="inlineStr">
        <is>
          <t>indeed</t>
        </is>
      </c>
      <c r="E101">
        <f>HYPERLINK("https://www.indeed.com/viewjob?jk=4951fc715be60c7d", "https://www.indeed.com/viewjob?jk=4951fc715be60c7d")</f>
        <v/>
      </c>
      <c r="F101">
        <f>HYPERLINK("https://careers.thedacare.org/us/en/job/26-25828/Program-Manager-Health-Professions-Simulation", "https://careers.thedacare.org/us/en/job/26-25828/Program-Manager-Health-Professions-Simulation")</f>
        <v/>
      </c>
      <c r="G101" t="inlineStr">
        <is>
          <t>Neenah, WI, US</t>
        </is>
      </c>
      <c r="H101" s="3" t="n">
        <v>46055</v>
      </c>
      <c r="I101" t="inlineStr">
        <is>
          <t>**Why ThedaCare?**
Living A Life Inspired!
Our new vision at ThedaCare is bold, ambitious, and ignited by a shared passion to provide outstanding care. We are inspired to reinvent health care by becoming a proactive partner in health, enriching the lives of all and creating value in everything we do. Each of us are called to take action in delivering higher standards of care, lower costs and a healthier future for our patients, our families, our communities and our world. 
At ThedaCare, our team members are empowered to be the catalyst of change through our values of compassion, excellence, leadership, innovation, and agility. A career means much more than excellent compensation and benefits. Our team members are supported by continued opportunities for learning and development, accessible and transparent leadership, and a commitment to work/life balance. If you’re interested in joining a health care system that is changing the face of care and well\-being in our community, we encourage you to explore a future with ThedaCare.
Benefits, with a whole\-person approach to wellness –
* Lifestyle Engagement
	+ e.g. health coaches, relaxation rooms, health focused apps (Wonder, Ripple), mental health support
* Access \&amp; Affordability
	+ e.g. minimal or zero copays, team member cost sharing premiums, daycare
About ThedaCare!
**Summary :**The Program Manager for Health Professions Simulation is responsible for the overall strategic planning, development, implementation, and evaluation of Froedtert ThedaCare’s health professions simulation program. This position will leverage a strong foundation in a health profession advanced education and simulation methodology to create and grow high\-fidelity, immersive learning experiences that improve patient outcomes, enhance professional development, and ensure compliance with accreditation standards. The role involves collaboration with interdisciplinary teams, clinical education, adjunct faculty, and leadership to integrate simulation\-based learning throughout the North Region of Froedtert ThedaCare**Job Description:**Job Responsibilities:
* Develop strategic key relationships to grow health professions simulation education. Promote the visibility, reputation, and interests of Froedtert ThedaCare, via events, publications, presentations, and other network activities. Ensure strategic goals for health professions simulation education are articulated and met
* Oversee the development and implementation of all health professions simulation program initiatives and implement strategies to expand and enhance those programs and services. Design, develop, implement, and evaluate curriculum, courses, scenarios, and other initiatives related to health professions simulation. Focus on engaging Team Members to optimize use of simulation as an important component of staff, trainee, and student learning experiences, such as in\-situ consultations and simulation learning events
* Facilitate the design, collection and reporting of health professions simulation utilization, engagement, and user experience data to inform simulation programming and faculty/staff development needs. Foster a culture of continuous improvement in educational programs focusing on quality and safety through research and outcomes analysis. Contribute to the development and management of a shared repository of faculty and learner resources that are easily accessible by faculty and learners
* Contribute to the development and implementation of a strategic plan for health professions simulation. Promote teamwork, communication, respect, diversity, excellence and collaboration to create a safe, non\-judgmental learning environment
* Lead the development, implementation, and evaluation of health professions simulation education programs to meet simulation\-related development needs of Team Members, as well as to outside organizations as needed. Provide simulation education consulting and mentoring services to Team Members and leaders, as well as to outside organizations as needed
* Liaise with departments and councils to provide simulation expertise and facilitate application of partner\-specific objectives into Froedtert ThedaCare health professions simulation programs and learner experiences
* Provide counsel regarding technical, business, and operational simulation education related impacts of simulation. Develop appropriate inventory controls and documentation for simulation supplies including disposable medical supplies, task trainers, and manikins. Ensure up\-to\-date technology and equipment
* Develop and implement policies and procedures for health professions simulation and incorporate Froedtert ThedaCare Guiding Principles into performance expectations
* Facilitate research activities related to health professions simulation and provide mentorship. Participate in professional development activities, including professional associations, attending conferences, workshops and webinars, and reviewing relevant literature
Qualifications:
**Education:** Master's degree is required, education concentration preferred
**Experience:** 
* Minimum of eight years of related experience, with a minimum of two years of experience in planning, developing, implementing, evaluating, and customizing health professions simulation\-based education
* Minimum of five years of professional experience in health professions education, with specific experience in clinical education
**Certification:** Certified Healthcare Simulation Educator (CHSE) certification is preferred. The ability to obtain certification within two years is required
**Technical Skills:** Proficiency with simulation technology and software, electronic health records (EHRs), learning management systems (LMS), and Microsoft Office Suite
**Key competencies**
* **Leadership:** Ability to lead complex projects, build collaborative relationships, and inspire others toward a shared vision
* **Communication:** Excellent written and verbal communication skills, with the ability to effectively present information to diverse audiences
* **Analytical Skills:** Strong ability to analyze simulation data, evaluate outcomes, and use evidence to drive program improvement
* **Organizational Skills:** Exceptional organizational and project management skills to manage multiple priorities and ensure a smooth, efficient operation
**Qualities:**
* Ability to support, advance and live our mission and evidence of such:
	+ Mission – Our reason for Being \- To advance the health of our communities through excellence and discovery, inspiring each person to live their unique best life
* Ability to support, advance and work toward our vision and evidence of such.
	+ Vision \- Who we Aspire to be \- To be your trusted partner, transforming health care for everyone every day
* Commitment to and evidence of demonstrating our guiding principles.
**Scheduled Weekly Hours:**40**Scheduled FTE:**1**Location:**ThedaCare Regional Medical Center \- Neenah \- Neenah,WisconsinOvertime Exempt:Yes**Worker Shift Details:**Days</t>
        </is>
      </c>
    </row>
    <row r="102">
      <c r="A102" t="inlineStr">
        <is>
          <t>in-7bc6847ccd825b2f</t>
        </is>
      </c>
      <c r="B102" t="inlineStr">
        <is>
          <t>Program Manager, Public Safety Outreach</t>
        </is>
      </c>
      <c r="C102" t="inlineStr">
        <is>
          <t>Waymo</t>
        </is>
      </c>
      <c r="D102" t="inlineStr">
        <is>
          <t>indeed</t>
        </is>
      </c>
      <c r="E102">
        <f>HYPERLINK("https://www.indeed.com/viewjob?jk=7bc6847ccd825b2f", "https://www.indeed.com/viewjob?jk=7bc6847ccd825b2f")</f>
        <v/>
      </c>
      <c r="F102">
        <f>HYPERLINK("https://careers.withwaymo.com/jobs/program-manager-public-safety-outreach-mountain-view-california-united-states-san-francisco-washington-district-of-columbia-phoenix-arizona-new-york-city-new-york", "https://careers.withwaymo.com/jobs/program-manager-public-safety-outreach-mountain-view-california-united-states-san-francisco-washington-district-of-columbia-phoenix-arizona-new-york-city-new-york")</f>
        <v/>
      </c>
      <c r="G102" t="inlineStr">
        <is>
          <t>Phoenix, AZ, US</t>
        </is>
      </c>
      <c r="H102" s="3" t="n">
        <v>46055</v>
      </c>
      <c r="I102" t="inlineStr">
        <is>
          <t>PHOENIX, ARIZONA, UNITED STATES. MOUNTAIN VIEW, CALIFORNIA, UNITED STATES. SAN FRANCISCO, CALIFORNIA, UNITED STATES. WASHINGTON, DISTRICT OF COLUMBIA, UNITED STATES. NEW YORK CITY, NEW YORK, UNITED STATES
FULL\-TIME
SAFETY
4195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Waymo Enterprise Resilience team ensures that Waymo is prepared to anticipate, navigate, respond to, and recover from complex operational challenges and real\-world incidents. Our team of experts focus on Incident Readiness and Business Continuity, developing the frameworks and response strategies that protect our people, our technology, and the communities where we operate.
The team designs and scales proactive outreach programs and technical training for First Responders and Public Safety officials, ensuring that the "Source of Truth" for autonomous vehicle interaction is clear, credible, and standardized. By bridging the gap between cutting\-edge technology and field\-level emergency response, the team builds the trust and operational protocols necessary to uphold the highest standards of safety in even the most complex environments.
*In hybrid role you will report into our Head of Resilience and Incident Management*.
**You will:**
* Drive the strategic vision and operational excellence of the Public Safety Outreach program, ensuring alignment with Waymo’s expansion goals.
* Manage and optimize a vendor\-based team of First Responder Ambassadors, overseeing their deployment and performance to ensure consistent, high\-impact engagement in all markets.
* Scale the certification and quality assurance process for the Ambassador program, ensuring that all outreach and training materials remain technically accurate and culturally resonant.
* Establish a data\-driven framework to measure training effectiveness, translating field engagement into metrics that demonstrate the program’s impact on market readiness and public trust.
* Oversee the strategic roadmap for industry event participation, directing the Ambassador team’s presence at national and regional conferences.
* Develop scalable program playbooks and internal policies that streamline how Waymo communicates with public safety officials, increasing efficiency as the company enters new jurisdictions.
**You have:**
* 10\+ years of experience in Public Safety or Emergency Management, with a proven track record in program oversight, strategic operations, or specialized training units.
* Extensive experience in vendor or people management, with the ability to lead external teams to deliver high\-stakes educational programs and outreach.
* Deep knowledge of US first responder and public safety protocols (ICS/NIMS) and the ability to design programmatic solutions that integrate AV technology into established emergency workflows.
* Exceptional communication skills with a focus on "translating" program success into compelling narratives and data for executive\-level internal stakeholders.
* Strong cultural competence within the Public Safety sector, ensuring that vendor\-led messaging is authentic, credible, and effective at building long\-term trust.
* A collaborative approach to risk management, partnering with Legal, Product, and Policy teams to ensure program compliance and operational safety.
**We prefer:**
* 5\+ years in a leadership role overseeing large\-scale training or outreach initiatives.
* Demonstrated experience scaling programs efficiently across diverse geographic landscapes and varying regulatory environments.
* Strong technical literacy regarding autonomous vehicle systems and their intersection with national roadway safety standards (e.g., NFPA, NHTSA, or SAE).
* A track record of developing metrics that prove the ROI of safety outreach, specifically in reducing operational friction in new markets.
* Advanced skills in identifying operational training gaps and pivoting program strategy based on real\-world feedback from the field.
* Experience working in a high\-growth technology environment where speed, efficiency, and scalability are critical to program success.
**Travel Requirements / On\-Call Component:**
* \~20% travel (Domestic \&amp; International)
* Willingness and ability to participate in a 24/7 on\-call rotation for incident management purposes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$190,000—$241,000 USD</t>
        </is>
      </c>
    </row>
    <row r="103">
      <c r="A103" t="inlineStr">
        <is>
          <t>in-d6b294deea97093e</t>
        </is>
      </c>
      <c r="B103" t="inlineStr">
        <is>
          <t>Behavioral Health Program Manager (Clinical Therapist Supervisor) (AAC)</t>
        </is>
      </c>
      <c r="C103" t="inlineStr">
        <is>
          <t>State of Kansas</t>
        </is>
      </c>
      <c r="D103" t="inlineStr">
        <is>
          <t>indeed</t>
        </is>
      </c>
      <c r="E103">
        <f>HYPERLINK("https://www.indeed.com/viewjob?jk=d6b294deea97093e", "https://www.indeed.com/viewjob?jk=d6b294deea97093e")</f>
        <v/>
      </c>
      <c r="F103">
        <f>HYPERLINK("https://jobs.sok.ks.gov/psc/sokhrprdcg/APPLICANT/HRMS/c/HRS_HRAM_FL.HRS_CG_SEARCH_FL.GBL?Page=HRS_APP_JBPST_FL&amp;Action=U&amp;FOCUS=Applicant&amp;SiteId=1&amp;JobOpeningId=219578&amp;PostingSeq=1", "https://jobs.sok.ks.gov/psc/sokhrprdcg/APPLICANT/HRMS/c/HRS_HRAM_FL.HRS_CG_SEARCH_FL.GBL?Page=HRS_APP_JBPST_FL&amp;Action=U&amp;FOCUS=Applicant&amp;SiteId=1&amp;JobOpeningId=219578&amp;PostingSeq=1")</f>
        <v/>
      </c>
      <c r="G103" t="inlineStr">
        <is>
          <t>KS, US</t>
        </is>
      </c>
      <c r="H103" s="3" t="n">
        <v>46055</v>
      </c>
      <c r="I103" t="inlineStr">
        <is>
          <t>**Important Recruitment Information for this vacancy**
======================================================
**Job Posting closes:** **Posted until filled**
-----------------------------------------------
**Agency Information:** **Osawatomie State Hospital**
=====================================================
**About the Position**
======================
**Who can apply:** **Anyone**
-----------------------------
**Classified/Unclassified Service:** **Unclassified**
-----------------------------------------------------
**Full\-Time/Part\-Time:** **Full\-time**
-----------------------------------------
**Regular/Temporary:** **Regular**
----------------------------------
**Work Schedule:** **M\-F, 8:00Am \- 4:30PM**
---------------------------------------------
**Eligible to Receive Benefits:** **Yes**
-----------------------------------------
**Veterans' Preference Eligible:** **Yes**
------------------------------------------
**Search Keywords:** **Behavioral Health Program Manager, Clinical Therapist Supervisor**
-----------------------------------------------------------------------------------------
**Compensation:** **$36\.30 \- $36\.67**
========================================
**TEMPORARY additional differential of $2\.50/hr for all hours worked.**
========================================================================
* *Salary can vary depending upon education, experience, or qualifications.*
**Employment Benefits**
=======================
### **Comprehensive medical, mental, dental, vision, and additional coverage**
### **Sick \&amp; Vacation leave**
### **Work\-Life Balance programs: parental leave, military leave, jury leave, funeral leave**
### **Paid State Holidays (designated by the Governor annually)**
### **Fitness Centers in select locations**
### **Employee discounts with the** **STAR Program**
### **Retirement and deferred compensation programs**
Visit the Employee Benefits page for more information…
*Osawatomie State Hospital is licensed by the State of Kansas to provide care and treatment for adults diagnosed with psychiatric disorders regardless of ability to pay. There are currently two hospitals on the Osawatomie campus in Miami county: Osawatomie State Hospital (OSH) and Adair Acute Care (AAC). Adair Acute Care are a 60\-bed facility, certified by the Centers for Medicare and Medicaid Services.*
*All employees are expected to work in a harmonious and cooperative fashion with other staff to provide efficient and effective customer service: to use free time as available to assist other staff in the completion of work assignments and perform other tasks as needed; to contribute to a positive work environment through a positive, helpful, courteous demeanor towards staff, customers and the general public; and to adhere to appropriate standards of conduct regarding the use of leave, reports to work on time and in the designated fashion.*
*The purpose of the Behavioral Health Program Manager position is to assist with management and supervision of Clinical Therapy staff members for a treatment program consisting of psychiatric patients in need of ongoing treatment for acute, severe \&amp; persistent mental illness. This position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
*The essential functions of this position may require physical strength to frequently push, pull, twist, bend, squat, walk, stand for extended periods of time, lift and/or restrain residents with or without assistance and respond to aggressive resident behavior with specific, trained techniques. Be able to observe and respond to residents in distress.*
*Osawatomie State Hospital Adair Acute Care is funded in part by the Centers for Medicare and Medicaid Services and is subject to requirements bestowed by Federal and State levels of government conditions of participation.*
**Position Summary \&amp; Responsibilities**
========================================
**Position Summary:**
---------------------
The Behavioral Health Program Manager will assist with management and supervision of Clinical Therapy staff members for a treatment program consisting of psychiatric patients in need of ongoing treatment for acute, severe \&amp; persistent mental illness. The incumbent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present/available. The incumbent also works with Human Resources to recruit, hire, train and retain staff.
**Job Responsibilities may include but are not limited to the following:**
--------------------------------------------------------------------------
* Takes responsibility for the structure and functioning of the clinical treatment program at AAC.
* Provides coaching and feedback related to documentation to team members. Engages in special projects as assigned to streamline documentation workflow and processes. Develops and provides training programs for staff to further professional development, improve therapeutic response on the unit, and increases staffs’ understanding of hospital policy and procedures.
* Takes main responsibility for the integrity of the treatment planning process, including supervision to the program treatment team, with particular emphasis for the clinical therapists, but including physicians, nurses, social workers, and others assigned or working within the program.
* Evaluates the work of staff in an ongoing manner and provides a written annual evaluation in conjunction with departmental supervisors. Assists with coordinating the staffing and work schedules for staff assigned to the program when Director of Clinical Therapy Services is not present.
* Provides staff training, both formal and informal, as needed in order to improve treatment services.
* Develops, implements, maintains, and evaluates treatment program with assistance and involvement from the rest of the team.
* Works with staff to establish and maintain a cohesive set of treatment offerings that are provided in a cooperative and collaborative atmosphere.
**Qualifications**
==================
**Minimum Qualifications****:**
-------------------------------
**License or temporary license to practice at the independent, clinical level as a Psychologist, Social Worker, Professional Counselor or Masters Level Psychologist.**
**Preferred Qualifications****:**
---------------------------------
**At least two years of experience managing or directing a program. At least five years of experience working in the behavioral health field with individuals experiencing severe and persistent mental illness or with an inpatient psychiatric population.**
**Recruiter Contact Information**
=================================
**Email****: OSH.HR@ks.gov**
----------------------------
**Phone****: (913\) 755\-7333**
-------------------------------
**Job Application Process**
===========================
### **First** **Sign in** **or register as a** **New User****.**
### **Complete or update your contact information** **on the Careers\&gt; My Contact Information page. \*This information is included on all your job applications.**
### **Upload required documents** **listed below for the Careers\&gt; My Job Applications page. \*This information is included on all your job applications.**
### **Start your** **draft job application****, upload other required documents, and** **Submit** **when it is complete.**
### **Manage your draft and submitted applications on the Careers\&gt; My Job Applications page.**
### **Check your email** **and** **My Job Notifications** **for written communications from the Recruiter.**
### **Email – sent to the Preferred email on the My Contact Information page**
### **Notifications – view the Careers\&gt; My Job Notifications page**
 ***Helpful Resources at*** *jobs.ks.gov****:*** *“How to Apply for a Job – Instructions” and “How to Search for a Job – Instructions"*
**Required Documents for this Application to be Complete**
==========================================================
**Upload these on the Careers \- My Job Applications page**
===========================================================
Transcripts
DD214 (if you are claiming Veteran’s Preference)
**Upload these on the Attachments step in your Job Application**
----------------------------------------------------------------
* 
***Helpful Resources at*** ***jobs.ks.gov******:*** ***“How, What, \&amp; Where do I Upload Documents”***
-----------------------------------------------------------------------------------------------------
**Kansas Tax Clearance Certificate:** A valid Kansas Tax Clearance Certificate is a condition of employment for all employees of the State of Kansas. Applicants (including non\-residents) who receive a formal job offer for a State job, are required to obtain a valid Tax Clearance within ten (10\) days of the job offer. A Tax Clearance can be obtained through the Kansas Department of Revenue who reviews individual accounts for compliance with Kansas Tax Law.
If you have a missing tax return(s) or you owe taxes to the State of Kansas, please know that the Kansas Department of Revenue will work with you. The Kansas Department of Revenue can set you up on a payment plan to receive a Tax Clearance so you can get a job working for the State of Kansas. The Kansas Department of Revenue can be contacted at 785\-296\-3199\. Kansas Department of Revenue \- Tax Clearance Frequently Asked Questions
**How to Claim Veterans Preference**
====================================
**Veterans' Preference Eligible (VPE):****Former military personnel or their spouse that have been verified as a "veteran"; under K.S.A. 73\-201 will receive an interview if they meet the minimum competency factors of the position. The veterans' preference laws do not guarantee the veteran a job. Positions are filled with the best qualified candidate as determine by the hiring manager.**
------------------------------------------------------------------------------------------------------------------------------------------------------------------------------------------------------------------------------------------------------------------------------------------------------------------------------------------------------------------------------------------------------
Learn more about claiming Veteran’s Preference
 **How to Claim Disability Hiring Preference**
Applicants that have physical, cognitive and/or mental disabilities may claim an employment preference when applying for positions. If they are qualified to meet the performance standards of the position, with or without a reasonable accommodation, they will receive an interview for the position. The preference does not guarantee an applicant the job, as positions are filled with the best qualified candidate as determined by the hiring manager.
Learn more about claiming Disability Hiring Preference
**PLEASE NOTE**: The documentation verifying a person's eligibility for use of this preference should ***not*** be sent along with other application materials to the hiring agency but should be sent directly to OPS. These documents should be scanned and emailed to Gustavo.Victoriano@ks.gov, or can be mailed/delivered in person to:
ATTN: Disability Hiring Preference Coordinator  
Office of Personnel Services  
Docking State Office Building  
915 SW Harrison Ave, Suite 260  
Topeka, KS 66612
**Equal Employment Opportunity**
================================
The State of Kansas is an Equal Opportunity Employer. All qualified persons will be considered for employment without regard to race, color, religion, sex, sexual orientation, gender identity, national origin, age, political affiliation, disability or any other factor unrelated to the essential functions of the job.
If you wish to identify yourself as a qualified person with a disability under the Americans with Disabilities Act and would like to request an accommodation, please address the request to the agency recruiter.</t>
        </is>
      </c>
    </row>
    <row r="104">
      <c r="A104" t="inlineStr">
        <is>
          <t>in-56c2ac3dec572174</t>
        </is>
      </c>
      <c r="B104" t="inlineStr">
        <is>
          <t>Program Manager, Health Professions Simulation</t>
        </is>
      </c>
      <c r="C104" t="inlineStr">
        <is>
          <t>ThedaCare</t>
        </is>
      </c>
      <c r="D104" t="inlineStr">
        <is>
          <t>indeed</t>
        </is>
      </c>
      <c r="E104">
        <f>HYPERLINK("https://www.indeed.com/viewjob?jk=56c2ac3dec572174", "https://www.indeed.com/viewjob?jk=56c2ac3dec572174")</f>
        <v/>
      </c>
      <c r="F104">
        <f>HYPERLINK("https://careers.thedacare.org/us/en/job/THEDUS2625828EXTERNALENUS/Program-Manager-Health-Professions-Simulation?utm_source=indeed&amp;utm_medium=phenom-feeds", "https://careers.thedacare.org/us/en/job/THEDUS2625828EXTERNALENUS/Program-Manager-Health-Professions-Simulation?utm_source=indeed&amp;utm_medium=phenom-feeds")</f>
        <v/>
      </c>
      <c r="G104" t="inlineStr">
        <is>
          <t>Neenah, WI, US</t>
        </is>
      </c>
      <c r="H104" s="3" t="n">
        <v>46055</v>
      </c>
      <c r="I104" t="inlineStr">
        <is>
          <t>**Why ThedaCare?**
Living A Life Inspired!
Our new vision at ThedaCare is bold, ambitious, and ignited by a shared passion to provide outstanding care. We are inspired to reinvent health care by becoming a proactive partner in health, enriching the lives of all and creating value in everything we do. Each of us are called to take action in delivering higher standards of care, lower costs and a healthier future for our patients, our families, our communities and our world.
At ThedaCare, our team members are empowered to be the catalyst of change through our values of compassion, excellence, leadership, innovation, and agility. A career means much more than excellent compensation and benefits. Our team members are supported by continued opportunities for learning and development, accessible and transparent leadership, and a commitment to work/life balance. If you’re interested in joining a health care system that is changing the face of care and well\-being in our community, we encourage you to explore a future with ThedaCare.
Benefits, with a whole\-person approach to wellness –
* Lifestyle Engagement
	+ e.g. health coaches, relaxation rooms, health focused apps (Wonder, Ripple), mental health support
* Access \&amp; Affordability
	+ e.g. minimal or zero copays, team member cost sharing premiums, daycare
About ThedaCare!
**Summary :**
-------------
The Program Manager for Health Professions Simulation is responsible for the overall strategic planning, development, implementation, and evaluation of Froedtert ThedaCare’s health professions simulation program. This position will leverage a strong foundation in a health profession advanced education and simulation methodology to create and grow high\-fidelity, immersive learning experiences that improve patient outcomes, enhance professional development, and ensure compliance with accreditation standards. The role involves collaboration with interdisciplinary teams, clinical education, adjunct faculty, and leadership to integrate simulation\-based learning throughout the North Region of Froedtert ThedaCare**Job Description:**
--------------------
Job Responsibilities:
* Develop strategic key relationships to grow health professions simulation education. Promote the visibility, reputation, and interests of Froedtert ThedaCare, via events, publications, presentations, and other network activities. Ensure strategic goals for health professions simulation education are articulated and met
* Oversee the development and implementation of all health professions simulation program initiatives and implement strategies to expand and enhance those programs and services. Design, develop, implement, and evaluate curriculum, courses, scenarios, and other initiatives related to health professions simulation. Focus on engaging Team Members to optimize use of simulation as an important component of staff, trainee, and student learning experiences, such as in\-situ consultations and simulation learning events
* Facilitate the design, collection and reporting of health professions simulation utilization, engagement, and user experience data to inform simulation programming and faculty/staff development needs. Foster a culture of continuous improvement in educational programs focusing on quality and safety through research and outcomes analysis. Contribute to the development and management of a shared repository of faculty and learner resources that are easily accessible by faculty and learners
* Contribute to the development and implementation of a strategic plan for health professions simulation. Promote teamwork, communication, respect, diversity, excellence and collaboration to create a safe, non\-judgmental learning environment
* Lead the development, implementation, and evaluation of health professions simulation education programs to meet simulation\-related development needs of Team Members, as well as to outside organizations as needed. Provide simulation education consulting and mentoring services to Team Members and leaders, as well as to outside organizations as needed
* Liaise with departments and councils to provide simulation expertise and facilitate application of partner\-specific objectives into Froedtert ThedaCare health professions simulation programs and learner experiences
* Provide counsel regarding technical, business, and operational simulation education related impacts of simulation. Develop appropriate inventory controls and documentation for simulation supplies including disposable medical supplies, task trainers, and manikins. Ensure up\-to\-date technology and equipment
* Develop and implement policies and procedures for health professions simulation and incorporate Froedtert ThedaCare Guiding Principles into performance expectations
* Facilitate research activities related to health professions simulation and provide mentorship. Participate in professional development activities, including professional associations, attending conferences, workshops and webinars, and reviewing relevant literature
Qualifications:
**Education:** Master's degree is required, education concentration preferred
**Experience:**
* Minimum of eight years of related experience, with a minimum of two years of experience in planning, developing, implementing, evaluating, and customizing health professions simulation\-based education
* Minimum of five years of professional experience in health professions education, with specific experience in clinical education
**Certification:** Certified Healthcare Simulation Educator (CHSE) certification is preferred. The ability to obtain certification within two years is required
**Technical Skills:** Proficiency with simulation technology and software, electronic health records (EHRs), learning management systems (LMS), and Microsoft Office Suite
**Key competencies**
* **Leadership:** Ability to lead complex projects, build collaborative relationships, and inspire others toward a shared vision
* **Communication:** Excellent written and verbal communication skills, with the ability to effectively present information to diverse audiences
* **Analytical Skills:** Strong ability to analyze simulation data, evaluate outcomes, and use evidence to drive program improvement
* **Organizational Skills:** Exceptional organizational and project management skills to manage multiple priorities and ensure a smooth, efficient operation
**Qualities:**
* Ability to support, advance and live our mission and evidence of such:
	+ Mission – Our reason for Being \- To advance the health of our communities through excellence and discovery, inspiring each person to live their unique best life
* Ability to support, advance and work toward our vision and evidence of such.
	+ Vision \- Who we Aspire to be \- To be your trusted partner, transforming health care for everyone every day
* Commitment to and evidence of demonstrating our guiding principles.
**Scheduled Weekly Hours:**
---------------------------
40**Scheduled FTE:**
------------------
1**Location:**
-------------
ThedaCare Regional Medical Center \- Neenah \- Neenah,Wisconsin**Overtime Exempt:**
--------------------
Yes**Worker Shift Details:**
-------------------------
Days</t>
        </is>
      </c>
    </row>
    <row r="105">
      <c r="A105" t="inlineStr">
        <is>
          <t>in-e7a7e6f720663535</t>
        </is>
      </c>
      <c r="B105" t="inlineStr">
        <is>
          <t>Regulatory Affairs Program Manager, Digital Health</t>
        </is>
      </c>
      <c r="C105" t="inlineStr">
        <is>
          <t>Olympus Corporation</t>
        </is>
      </c>
      <c r="D105" t="inlineStr">
        <is>
          <t>indeed</t>
        </is>
      </c>
      <c r="E105">
        <f>HYPERLINK("https://www.indeed.com/viewjob?jk=e7a7e6f720663535", "https://www.indeed.com/viewjob?jk=e7a7e6f720663535")</f>
        <v/>
      </c>
      <c r="F105">
        <f>HYPERLINK("https://careers.olympusamerica.com/job/Westborough-Regulatory-Affairs-Program-Manager%2C-Digital-Health-MA-01581/1340583900/?feedId=315900&amp;utm_source=Indeed&amp;utm_campaign=Olympus_Indeed", "https://careers.olympusamerica.com/job/Westborough-Regulatory-Affairs-Program-Manager%2C-Digital-Health-MA-01581/1340583900/?feedId=315900&amp;utm_source=Indeed&amp;utm_campaign=Olympus_Indeed")</f>
        <v/>
      </c>
      <c r="G105" t="inlineStr">
        <is>
          <t>Westborough, MA, US</t>
        </is>
      </c>
      <c r="H105" s="3" t="n">
        <v>46055</v>
      </c>
      <c r="I105" t="inlineStr">
        <is>
          <t>**Workplace Flexibility: Remote**
 ***For more than 100 years, Olympus has focused on making people’s lives healthier, safer and more fulfilling.***
Every day, we live by our philosophy, True to Life, by advancing medical technologies and elevating the standard of patient care so people everywhere can fulfill their desires, dreams, and lives.  
Our five Core Values empower us to achieve Our Purpose:
**Patient Focus, Integrity, Innovation, Impact and Empathy.**
Learn more about Life at Olympus: https://www.olympusamerica.com/careers.
**Job Description**
-------------------
This role is responsible for coordinating and managing regulatory activities across the Digital Unit (DU). The Digital Unit is a global, high\-growth area focused on how digital technologies can help transform current and future products.
This individual will play a key role in establishing and assessing regulatory strategies and requirements for digital health products and solutions, ensuring compliance with global medical device regulations. As part of a high\-growth, innovative team, this position oversees collaboration between internal Olympus Regulatory Affairs Teams and external vendors as needed and will work closely with the DU's development teams to drive digital transformation in the medical technology space. This role involves researching, recommending, and implementing regulatory best practices, contributing to both the strategic and operational functions of the Digital Unit.
**Job Duties**
--------------
* Develop and implement regulatory strategies for digital health solutions, including Artificial Intelligence (AI) exempt from the medical device classification, and connected technologies.
* Provide regulatory guidance, compliance risk assessment, and strategic input to digital product development and lifecycle management.
* Ensure that digital health products, services, and documentation comply with applicable global regulations (e.g., IEC 82340\-1, IEC 81001\-5\-1, GDPR, HIPAA, EU AI Act, Cybersecurity regulations, and relevant consumer protection laws).
* Support partnership initiatives to strengthen the Olympus Digital Health portfolio through well selected third party collaborations with third\-party providers, ensuring regulatory due diligence in vendor and technology selection.
* Oversee and support regulatory submissions and compliance filings where applicable (e.g., AI risk classification documentation, cybersecurity certifications, and voluntary compliance frameworks).
* Support responses to inquiries from regulatory authorities, auditors, or privacy/cybersecurity oversight bodies, and ensure appropriate documentation is maintained for inspections or audits.
* Monitor evolving regulatory landscapes across multiple regions (U.S., EU, Japan, other APAC markets), staying current on emerging standards and frameworks for AI, digital health software, cybersecurity, and data privacy, and translate these changes into actionable strategies.
* Assess the impact of regulatory changes on Olympus’ digital health initiatives and collaborate with development, privacy, and business stakeholders to adapt strategies and maintain compliance.
* Serve as a liaison between Olympus RA teams, digital product development teams, quality assurance, privacy, cybersecurity, and business units, fostering alignment across functions.
* Represent Olympus in relevant digital health and regulatory industry associations, contributing Olympus’ perspective and staying connected to external developments.
* Develop, implement, and maintain standard operating procedures (SOPs), compliance frameworks, and internal regulatory guidance specific to non\-medical device digital health initiatives.
* Design and deliver regular training programs to ensure employees understand and follow best practices in compliance, regulatory considerations, and ethical use of digital health technologies.
**Job Qualifications**
----------------------
**Required:**
* BS or comparable required.
* Minimum of 10 years’ experience in Regulatory Affairs, ideally within the medical device or digital health industries.
* Minimum of 3 years focused on software\-driven health technologies.
* Experience with regulatory compliance for digital health software not classified as medical devices, including AI\-enabled consumer health platforms, and connected technologies.
* Expertise in digital health regulatory affairs, with knowledge of relevant frameworks and guidance outside medical device pathways (e.g., IEC 82304\-1, IEC 81001\-5\-1, GDPR, HIPAA, EU AI Act, Cybersecurity regulations, and relevant consumer protection laws).
* Strong track record of leading regulatory strategy for digital health solutions in cross\-functional environments, including product development, data science, cybersecurity, and business leadership teams.
* Demonstrated knowledge of data protection, cybersecurity, and digital trust frameworks, including NIST Cybersecurity Framework, ISO/IEC 27001, and emerging AI ethics guidelines.
* Experience with digital product compliance documentation (e.g., data protection impact assessments, AI risk classification reports, cybersecurity certifications) and voluntary compliance schemes.
* Experience working in a global matrix environment and managing interactions with regulators, privacy authorities, and standards organizations.  
Skilled in working within regulated software development environments (Agile, DevOps) to ensure compliance requirements are integrated into sprint planning and delivery.
* Strong ability to align digital, business, and R\&amp;D leadership on global regulatory expectations, balancing compliance with innovation.
* Strong problem\-solving skills to ensure both compliance and agility in product development Mindset \&amp; Behaviours are upheld.
* Demonstrated ability to influence colleagues without direct managerial responsibility and build strong collaborative relationships within the organization.
* Excellent communication and stakeholder management skills to facilitate collaboration across teams and external partners.
* Strong project management skills with the ability to coordinate cross\-functional teams and manage multiple regulatory projects/initiatives.
* Passion to challenge the status quo and find new strategic directions – embraces change.
* Comfortable pushing back on multiple parties at the same time.
* Excellent writing and verbal skills.
* Travel on occasion, but not more than 10 %.
 **Preferred:**
* MS preferred.
* Strong understanding or hands\-on experience in software development and cloud technologies; experience with enterprise software and modern software engineering practices is desirable.
* Experience with 510(k), De Novo submissions, CE marking, and international regulatory pathways for Software as a Medical Device highly desirable.
**Why join Olympus?**
We offer a holistic employee experience supporting personal and professional well\-being through meaningful work, equitable offerings, and a connected culture.
**Equitable Offerings you can count on:**
* Competitive salaries, annual bonus and 401(k)\* with company match
* Comprehensive medical, dental, vision coverage effective on start date
* 24/7 Employee Assistance Program
* Free live and on\-demand Wellbeing Programs
* Generous Paid Vacation and Sick Time
* Paid Parental Leave and Adoption Assistance\*
* 12 Paid Holidays
* On\-Site Child Daycare, Café, Fitness Center\*\*
 **Connected Culture you can embrace:**
* Work\-life integrated culture that supports an employee centric mindset
* Offers onsite, hybrid and field work environments
* Paid volunteering and charitable donation/match programs
* Employee Resource Groups
* Dedicated Training Resources and Learning \&amp; Development Programs
* Paid Educational Assistance
* US Only
\*\*Center Valley, PA and Westborough, MA
 **Are you ready to be a part of our team?**
Learn more about our benefits and incentives: https://www.olympusamerica.com/careers/benefits\-perks.
The anticipated base pay range for this full\-time position is $104,061\.00 \- $145,685\.00 / year, plus potential for annual bonus (subject to plan eligibility and other requirements). This pay range represents the National Average of the range, and may vary depending on the location of the individual.
Olympus considers a variety of factors when determining actual compensation for this position, including level of experience, working location, and relevant education and certifications.
At Olympus, we are committed to Our Purpose of making people’s lives healthier, safer and more fulfilling. As a global medical technology company, we partner with healthcare professionals to provide best\-in\-class solutions and services for early detection, diagnosis and minimally invasive treatment, aiming to improve patient outcomes by elevating the standard of care in targeted disease states.
For more than 100 years, Olympus has pursued a goal of contributing to society by producing products designed with the purpose of delivering optimal outcomes for its customers around the world.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**You Belong at Olympus**
We are deeply committed to fostering a respectful, fair, and welcoming workplace for all individuals, perspectives, and lifestyles. We believe in fostering a non\-discriminatory, inclusive work environment where everyone feels a sense of belonging, in full compliance with legal standards. Empathy and unity are core to our company culture, empowering employees to contribute fully and flourish. We warmly encourage all who wish to bring their talents to Olympus to apply.
***Applicants Requesting Accommodations:*** Olympus is committed to the full inclusion of all qualified individuals. As part of this commitment, Olympus will ensure that persons with disabilities are provided reasonable accommodations for the hiring process. If reasonable accommodation is needed, please contact OCAAccommodations@olympus.com. If your disability impairs your ability to email, you may call our HR Compliance Manager at 1\-888\-Olympus (1\-888\-659\-6787\).
 **Let’s realize your potential, together.**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Massachusetts (US\-MA) \|\| Westborough \|\| Quality \&amp; Regulatory Affairs (QA/RA)</t>
        </is>
      </c>
    </row>
    <row r="106">
      <c r="A106" t="inlineStr">
        <is>
          <t>in-b4f9ca53b6af46da</t>
        </is>
      </c>
      <c r="B106" t="inlineStr">
        <is>
          <t>Product Manager - Customer Data and Gen AI</t>
        </is>
      </c>
      <c r="C106" t="inlineStr">
        <is>
          <t>Duke Energy</t>
        </is>
      </c>
      <c r="D106" t="inlineStr">
        <is>
          <t>indeed</t>
        </is>
      </c>
      <c r="E106">
        <f>HYPERLINK("https://www.indeed.com/viewjob?jk=b4f9ca53b6af46da", "https://www.indeed.com/viewjob?jk=b4f9ca53b6af46da")</f>
        <v/>
      </c>
      <c r="F106">
        <f>HYPERLINK("https://dukeenergy.wd1.myworkdayjobs.com/en-US/search/job/Charlotte-NC/Product-Manager---Customer-Data-and-Gen-AI_R38283", "https://dukeenergy.wd1.myworkdayjobs.com/en-US/search/job/Charlotte-NC/Product-Manager---Customer-Data-and-Gen-AI_R38283")</f>
        <v/>
      </c>
      <c r="G106" t="inlineStr">
        <is>
          <t>Charlotte, NC, US</t>
        </is>
      </c>
      <c r="H106" s="3" t="n">
        <v>46055</v>
      </c>
      <c r="I106" t="inlineStr">
        <is>
          <t>Important Application Submission Information
In order to ensure your application is successfully received before the job posting expires, please submit your application by 11:59 PM on Thursday, February 5, 2026
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Position Summary:
Directly responsible for multiple products within a portfolio and/or management responsibilities of Product Owners aligned to a specific value\-stream, workflow, customer journey or product family.  
Provides leadership and has accountability for successfully defining and delivering products that anticipate the needs of customers/workers/users, delivering results against P\&amp;L objectives.  
This position is highly involved in the funding management and budgeting processes for portfolio.  
Responsibilities:* May perform management duties related to the supervision of Product Owners and Product Analysts
* Lead the product planning process. Gathers input from users/customers/stakeholders to create long\-term strategy. Sets direction and priority.
* Performs stakeholder management, user/market segmentation, competitive analysis, product funding requests, release planning and business case realization (product P\&amp;L).
* Collaborate with the organization on vision, strategy, decisioning, tactical execution, and measurement systems
* Develop and implement new product introduction and roll\-out strategy, plans, and content with cross\-functional teams and leaders.
* Effectively communicate the value of the workflow/journey/family, and the products within it, to stakeholders
Required/Basic Qualifications* Bachelor’s degree
* In addition to required degree, six (6\) or more years related work experience
* In lieu of Bachelor’s degree(s) AND six (6\) or more years related work experience listed above, High School/GED AND ten (10\) or more years related work experience
Additional Preferred Qualifications* 7 or more years working in the utility industry
* Experience as a Senior or Lead Product Owner
* Agile Product Owner certification
* SAFe certification, preferably SAFE 6\.0\+
* Experience leading delivery of data lakes of massive scale on Cloud infrastructure
* Experience leading delivery of machine learning or AI models
* Experience leading and supporting customer\-facing digital technologies
* Experience leading integration of vendor technologies in SaaS and/or COTS models.
* Familiarity with Customer Technology PMO artifacts and expectations
* "Black Belt" Six Sigma certification
Working Conditions* Office environment mostly, often with research, analysis or engagement conducted in plants or field
Specific Requirements* Entrepreneurial with a strong inclination towards action, preferably with experience shipping software
* Ability to communicate complex and innovative concepts to a new product development team
* Clear passion for topics of technology products and an ability to identify possibilities to innovate
* Ability to be self\-directed and to proactively anticipate problems and seek opportunities
* Excellent communication skills including the ability to build relationships and effectively influence across all management and organizational levels
* Strong understanding of the SDLC process and the ability to work in an agile environment with bi\-weekly releases
* Ability to educate and communicate to leaders across the Company on effective use of digital tools
* Ability to quickly understand business, evaluate priorities and assess value of product features
* Ability to be self\-directed and to proactively anticipate problems and seek opportunities
* Two or more years’ experience with relevant new product or technology development experience working in a fast\-paced environment
* Experience operating in an environment driven by KPIs where you have the accountability to determine the best course of action to meet your goals
Travel Requirements
5\-15%
Relocation Assistance Provided (as applicable)
No
Represented/Union Position
No
Visa Sponsored Position
No
Please note that in order to be considered for this position, you must possess all of the basic/required qualifications.
Privacy
Do Not Sell My Personal Information (CA)
Terms of Use
Accessibility</t>
        </is>
      </c>
    </row>
    <row r="107">
      <c r="A107" t="inlineStr">
        <is>
          <t>in-e70237931d247810</t>
        </is>
      </c>
      <c r="B107" t="inlineStr">
        <is>
          <t>Lead Product Manager</t>
        </is>
      </c>
      <c r="C107" t="inlineStr">
        <is>
          <t>LiveRamp</t>
        </is>
      </c>
      <c r="D107" t="inlineStr">
        <is>
          <t>indeed</t>
        </is>
      </c>
      <c r="E107">
        <f>HYPERLINK("https://www.indeed.com/viewjob?jk=e70237931d247810", "https://www.indeed.com/viewjob?jk=e70237931d247810")</f>
        <v/>
      </c>
      <c r="F107">
        <f>HYPERLINK("https://liveramp.wd5.myworkdayjobs.com/en-US/LiveRampCareers/job/San-Francisco/Lead-Product-Manager_JR012001", "https://liveramp.wd5.myworkdayjobs.com/en-US/LiveRampCareers/job/San-Francisco/Lead-Product-Manager_JR012001")</f>
        <v/>
      </c>
      <c r="G107" t="inlineStr">
        <is>
          <t>San Francisco, CA, US</t>
        </is>
      </c>
      <c r="H107" s="3" t="n">
        <v>46055</v>
      </c>
      <c r="I107"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As the Lead Product Manager of Embedded Identity, you will act as a customer advocate for clients looking to maintain control over their data and leverage the LiveRamp Identity graph within their own cloud environment. Specifically, you will focus on our Embedded Identity products, powering use cases across a variety of environments including Snowflake, Databricks, AWS, Google Cloud, and Azure. Are you a self\-starter that welcomes challenges and has fun solving complex problems? Read on to learn more about joining us.
You will:* Own the prioritization and roadmap for Embedded Identity capabilities, balancing customer needs, business impact, and technical feasibility.
* Support broader Graph Access initiatives including match rate initiatives, participate in product led growth initiatives and advancing privacy and compliance.
* Partner closely with Engineering, Commercial, Legal, Support, and Operations teams to deliver scalable solutions that support existing customers and new use cases.
* Drive end\-to\-end execution across the Product Development Lifecycle (PDLC), managing dependencies, trade\-offs, and multiple initiatives in parallel.
* Leverage quantitative data, customer insights, and usage metrics to define success, inform decisions, and iterate on product outcomes.
* Engage directly with customers and internal stakeholders to understand problems, validate solutions, and clearly communicate roadmap direction.
* Proactively identify gaps or friction in the customer experience and work across teams to drive resolution and measurable improvement.
* Monitor competitive trends and market signals to identify opportunities for product enhancement and differentiation.
* Ensure all products adhere to LiveRamp’s data ethics principles and privacy and regulatory requirements.
Your team will:* Support you and collaborate with you on complex problems with you
* Provide all of the Tools and Training you need to understand our methodology and workflows
* Give guidance and timely feedback on questions that you have
* Offer you opportunities to build your skillset and provide plenty of growth opportunities
About you:* 2\-5\+ Years of experience in a Product Management role
* Experience in the online advertising vertical and understanding of industry.
* You love highly technical problems and diving in deep with Engineering on solutions.
* Full stack product developer: you can research, build, and defend business cases for new product development with little guidance
* Excellent written, presentation, and verbal communication skills.
* Great problem solver \- you thrive on finding creative solutions to poorly defined problems that impact customers.
* Customer obsessed \- you love working closely with customers to develop solutions and new products to solve their deepest challenges
* Experience with Agile software development
* Ready to work in a culture that values collaboration, dependability, positivity, and knowledge\-seeking above all else.
Preferred Skills:* Prior experience in Identity Resolution/digital targeting/digital measurement
* Technical proficiency with APIs and modern data stack capabilities
The approximate annual base compensation range is $141,000 to $208,000\. The actual offer, reflecting the total compensation package and benefits, will be determined by a number of factors including the applicant's experience, knowledge, skills, and abilities, geography, as well as internal equity among our team.  
\#LI\-AH1  
Benefits:*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We use automated decision systems (ADS) as part of our recruitment and hiring process. If you require an accommodation or believe that the use of an ADS may create a barrier to your application or participation in the hiring process due to a disability or other protected characteristic, please let us know. We are committed to providing reasonable accommodations and ensuring an equitable hiring experience for all candidates.  
California residents: Please see our California Personnel Privacy Policy for more information regarding how we collect, use, and disclose the personal information you provide during the job application process.  
To all recruitment agencies: LiveRamp does not accept agency resumes. Please do not forward resumes to our jobs alias, LiveRamp employees or any other company location. LiveRamp is not responsible for any fees related to unsolicited resumes.</t>
        </is>
      </c>
    </row>
    <row r="108">
      <c r="A108" t="inlineStr">
        <is>
          <t>in-5cbcb5a5b511cc2c</t>
        </is>
      </c>
      <c r="B108" t="inlineStr">
        <is>
          <t>Senior Product Manager, Data Catalog</t>
        </is>
      </c>
      <c r="C108" t="inlineStr">
        <is>
          <t>LiveRamp</t>
        </is>
      </c>
      <c r="D108" t="inlineStr">
        <is>
          <t>indeed</t>
        </is>
      </c>
      <c r="E108">
        <f>HYPERLINK("https://www.indeed.com/viewjob?jk=5cbcb5a5b511cc2c", "https://www.indeed.com/viewjob?jk=5cbcb5a5b511cc2c")</f>
        <v/>
      </c>
      <c r="F108">
        <f>HYPERLINK("https://liveramp.wd5.myworkdayjobs.com/en-US/LiveRampCareers/job/New-York/Senior-Product-Manager--Data-Catalog_JR012003", "https://liveramp.wd5.myworkdayjobs.com/en-US/LiveRampCareers/job/New-York/Senior-Product-Manager--Data-Catalog_JR012003")</f>
        <v/>
      </c>
      <c r="G108" t="inlineStr">
        <is>
          <t>New York, NY, US</t>
        </is>
      </c>
      <c r="H108" s="3" t="n">
        <v>46055</v>
      </c>
      <c r="I108"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We are looking for a Senior Product Manager to lead the strategy and execution of our Data Catalog capabilities. As a key leader within the Data Foundation team, you will be responsible for defining how data is observed, audited, and discovered across the LiveRamp ecosystem. You will drive the unification of our asset management experience, ensuring that internal teams and external customers have a seamless, consistent view of their data lineage, status, and ownership. This role is critical in unlocking self\-service validation, enabling data governance, and fueling our "Connect" platform with high\-quality metadata.
You will:* Drive Product Strategy: Lead the roadmap for Data Catalog and Asset Management, prioritizing initiatives that unify disparate asset experiences into a single, cohesive interface.
* Enhance Data Observability: Build tools that allow customers to "Observe, Audit, Discover, and Collaborate" on their 1st, 2nd, and 3rd party data. This includes delivering detailed insights into data patterns, usage trends, and lineage to reduce "stale" data.
* Manage Critical Migrations: Oversee complex migrations of legacy asset management systems and support key initiatives like segment\-first activation and insights to activations workflows, ensuring zero disruption to customer operations.
* Manage Technical Debt \&amp; Optimize for Scale: Proactively balance new feature development with critical technical debt management. This includes overseeing complex migrations from legacy portals (app.liveramp) to our modern Connect platform and finalizing SingleStore migrations. Ensure the catalog infrastructure can handle the scale of LiveRamp’s growing data ingestion and processing needs, aiming for high reliability and faster turnaround times.
* Enable Cross\-Platform Integration: Collaborate with Engineering and Design to support deep integrations with downstream activation, Universal Segment Builder, and clean room capabilities.
* Champion Data Governance: Define and implement metadata standards that support compliance across all regional jurisdictions (EU, US, etc.) and facilitate automated data governance.
* Lead Cross\-Functional Execution: Work closely with Engineering, UX, Technical Services, and Product Design to coordinate launches, manage dependencies, and drive adoption of new features through an excellent user experience.
* Deliver Technical Requirements: Write clear, concise technical requirements (PRDs) that address scale, performance, security, and extensibility, empowering engineers to build robust solutions.
Your team will:
The Data Catalog team is central to the Data Foundation Space. Your team builds the "registry" that powers LiveRamp's understanding of data. You will work to solve the problem of fragmented data views, where customers currently struggle to track data state across different applications. Your team’s work will directly impact the speed at which customers can activate data and the efficiency with which internal teams can support them.
About you:* Experience: 5\+ years of Product Management experience, preferably in data platforms, metadata management, or enterprise SaaS.
* Technical Fluency: Strong understanding of data lineage, metadata standards, and backend data infrastructure (SQL knowledge is a must). You possess deep technical credibility and can constructively challenge engineering decisions regarding complex system trade\-offs, APIs, and data pipelines.
* Foundation PM Mindset: You understand that your "customers" are often other Product Managers and internal teams. You excel at building extensible platforms rather than just point solutions.
* Strategic Thinker: Ability to balance immediate migration/technical debt challenges with a long\-term vision for a unified data fabric.
* Data Expert: You are an acknowledged expert on how data is used, discovered, and evaluated by customers. You understand data lineage, metadata standards, and the "gotchas" of complex data flows.
* Execution Focused: Proven track record of managing complex dependencies and delivering against strict timelines (e.g., quarterly planning cycles, cutlines).
* Collaborative Leader: Experience working with remote engineering teams and cross\-functional stakeholders (Design, PMM, FinOps) to drive alignment.
Bonus Points:* Experience with BigQuery or other cloud data warehouses.
* Familiarity with data model frameworks and compliance requirements (e.g., GDPR, CCPA).
* Experience managing products involving UI/UX migration (moving from legacy to modern apps).
* Background in ad\-tech or marketing\-tech data workflows (segmentation, activation, measurement).
The approximate annual base compensation range is $123,000 to $181,500\. The actual offer, reflecting the total compensation package and benefits, will be determined by a number of factors including the applicant's experience, knowledge, skills, and abilities, geography, as well as internal equity among our team.  
\#LI\-AH1  
Benefits:*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We use automated decision systems (ADS) as part of our recruitment and hiring process. If you require an accommodation or believe that the use of an ADS may create a barrier to your application or participation in the hiring process due to a disability or other protected characteristic, please let us know. We are committed to providing reasonable accommodations and ensuring an equitable hiring experience for all candidates.  
California residents: Please see our California Personnel Privacy Policy for more information regarding how we collect, use, and disclose the personal information you provide during the job application process.  
To all recruitment agencies: LiveRamp does not accept agency resumes. Please do not forward resumes to our jobs alias, LiveRamp employees or any other company location. LiveRamp is not responsible for any fees related to unsolicited resumes.</t>
        </is>
      </c>
    </row>
    <row r="109">
      <c r="A109" t="inlineStr">
        <is>
          <t>in-83ab6fff75f9a0d3</t>
        </is>
      </c>
      <c r="B109" t="inlineStr">
        <is>
          <t>Lead Information Assurance/Cyber Security Program Manager</t>
        </is>
      </c>
      <c r="C109" t="inlineStr">
        <is>
          <t>People, Technology &amp; Processes</t>
        </is>
      </c>
      <c r="D109" t="inlineStr">
        <is>
          <t>indeed</t>
        </is>
      </c>
      <c r="E109">
        <f>HYPERLINK("https://www.indeed.com/viewjob?jk=83ab6fff75f9a0d3", "https://www.indeed.com/viewjob?jk=83ab6fff75f9a0d3")</f>
        <v/>
      </c>
      <c r="F109">
        <f>HYPERLINK("https://www.paycomonline.net/v4/ats/web.php/jobs/ViewJobDetails?job=218983&amp;clientkey=F22E334739B721BD200B05E79DC87DE5&amp;source=Indeed", "https://www.paycomonline.net/v4/ats/web.php/jobs/ViewJobDetails?job=218983&amp;clientkey=F22E334739B721BD200B05E79DC87DE5&amp;source=Indeed")</f>
        <v/>
      </c>
      <c r="G109" t="inlineStr">
        <is>
          <t>San Antonio, TX, US</t>
        </is>
      </c>
      <c r="H109" s="3" t="n">
        <v>46055</v>
      </c>
      <c r="I109" t="inlineStr">
        <is>
          <t>**Position title**: Lead Information Assurance/Cyber Security Program Manager
**Location**: San Antonio, TX
**Clearance required**: TOP SECRET/SCI
**Responsibilities include (but are not limited to):**
* Oversee and manage the day\-to\-day cybersecurity/IA services for all systems and supported programs, including mission, RDT\&amp;E, and standalone infrastructure.
* Coordinate cybersecurity compliance activities, including Risk Management Framework (RMF), vulnerability management, TEMPEST, and incident reporting.
* Ensure all networked and non\-networked systems comply with the most current DoD, Air Force, and federal guidance, and maintain ongoing authority to operate.
* Report to both the Wing Cybersecurity Office and the AFLCMC/HNC CSO/ISSM, ensuring reporting accuracy and timeliness.
* Maintain documentation of compliance activities, vulnerability assessments, and mitigation actions.
* Serve as focal point for media control, accountability, and distribution for the organization.
* Lead efforts relating to cybersecurity training, certification compliance, and workforce readiness.
**Qualifications:**
* DoD 8140\.01 IAM Level II (or the most current DoD standard).
* Certified Information Systems Security Professional (CISSP) certification.
* Must maintain IAT Level II baseline certification.
* Possess and maintain Top Secret/SCI clearance and valid CI Polygraph, or obtain within 6 months of contract start.</t>
        </is>
      </c>
    </row>
    <row r="110">
      <c r="A110" t="inlineStr">
        <is>
          <t>in-ea77583a408a2640</t>
        </is>
      </c>
      <c r="B110" t="inlineStr">
        <is>
          <t>Fitness Program Manager</t>
        </is>
      </c>
      <c r="C110" t="inlineStr">
        <is>
          <t>HealthFitness</t>
        </is>
      </c>
      <c r="D110" t="inlineStr">
        <is>
          <t>indeed</t>
        </is>
      </c>
      <c r="E110">
        <f>HYPERLINK("https://www.indeed.com/viewjob?jk=ea77583a408a2640", "https://www.indeed.com/viewjob?jk=ea77583a408a2640")</f>
        <v/>
      </c>
      <c r="F110">
        <f>HYPERLINK("https://trustmark.wd1.myworkdayjobs.com/en-US/healthfitnesscareers/job/Tampa-FL/Fitness-Program-Manager_105060-1", "https://trustmark.wd1.myworkdayjobs.com/en-US/healthfitnesscareers/job/Tampa-FL/Fitness-Program-Manager_105060-1")</f>
        <v/>
      </c>
      <c r="G110" t="inlineStr">
        <is>
          <t>Tampa, FL, US</t>
        </is>
      </c>
      <c r="H110" s="3" t="n">
        <v>46055</v>
      </c>
      <c r="I110"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Join Our Team as a Fitness Program Manager!  
HealthFitness is thrilled to announce an exciting full\-time opportunity for an entry\-level Fitness Program Manager at our client’s newly renovated facility in Tampa, FL, just south from Tampa International Airport. Opening December 1st, this state\-of\-the\-art center will operate Monday–Friday, 5:00 AM–11:00 PM, giving you the flexibility to work an 8\-hour shift within these hours—with no weekends or holidays required!
If you’re passionate about fitness and ready to kickstart your career in a dynamic, supportive environment, this is your chance to make an impact.
Responsible for managing and directing all operational aspects of an on\-site fitness program ensuring the highest level of participation, results achievement, and customer satisfaction in the delivery of programs and services. Also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Key Accountabilities* Manages all program activities in accordance with HealthFitness operational, quality, safety, and service standards.
* Develops and implements the yearly strategic business plan to identify contract deliverables, program/ service offerings and initiatives, targeted outcomes, and marketing strategy to meet client objectives. Prepares and manages operating budget. Ensures expenditures are made in accordance with applicable policies and procedures.
* May leads regular individual and group staff meetings to ensure associates are informed about HealthFitness, client and program events, initiatives, and status.
* Ensures contract compliance. Manages client relationship to ensure that high customer satisfaction is maintained and HealthFitness value is reinforced.
* Directs the implementation of individual and group fitness programs, health education activities, motivational programs, and special events; coordinates marketing and communications to maximize program engagement, bringing in HealthFitness Corporate support as appropriate.
* Tracks participant and program data for measurement of individual and program goal achievement, outcomes, and results; creates outcomes focused management reports based on the identified business plan goals and objectives. Manages all record and data management activities at the worksite, ensuring the proper storage, retention, and confidentiality all data collected in accordance with HealthFitness requirements.
* Conducts informal safety checks daily and performs routine safety audits on a weekly, monthly, and quarterly basis in accordance with HealthFitness guidelines.
* Performs staff responsibilities as appropriate including floor supervision, fitness testing, exercise prescription, new member facility and equipment orientations, personal training, and group exercise class instruction. Verifies equipment is well maintained and operating properly; ensures locker rooms are clean and stocked, and coordinates prompt resolution to facility related issues.
* In conjunction with Director Program Management \&amp; Engagement, introduces new HealthFitness programs, products, and services to the client.
* Other duties as needed/assigned.
Minimum Requirements* Associate’s degree or higher in Exercise Science, Health Promotion, Kinesiology or related discipline or equivalent combination of education, current certifications, and experience.
* 2\+ years’ related industry experience.
* Current Adult CPR/AED/First Aid certifications from American Heart Association, American Red Cross, National Safety Institute, or American Safety \&amp; Health Institute required by start date. (Note: certification must have an in\-person component and not 100% online/OSHA compliant).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 Applicants must meet hiring requirements including but not limited to pre\-employment drug test.
* Industry recognized Group Exercise or Personal Training certification from ACE, AFAA/NASM, ACSM, NCCPT, NETA or other NCCA Accredited certification from an Industry recognized and HealthFitness approved agency.
* Prior Supervisory experience preferred.
Applicants must meet hiring requirements including but not limited to pre\-employment drug test. Compensation: $50,000/Year \- $54,000/Year.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111">
      <c r="A111" t="inlineStr">
        <is>
          <t>in-5faa8b350ca0237a</t>
        </is>
      </c>
      <c r="B111" t="inlineStr">
        <is>
          <t>Arte Publico Press Program Manager 2</t>
        </is>
      </c>
      <c r="C111" t="inlineStr">
        <is>
          <t>University of Houston</t>
        </is>
      </c>
      <c r="D111" t="inlineStr">
        <is>
          <t>indeed</t>
        </is>
      </c>
      <c r="E111">
        <f>HYPERLINK("https://www.indeed.com/viewjob?jk=5faa8b350ca0237a", "https://www.indeed.com/viewjob?jk=5faa8b350ca0237a")</f>
        <v/>
      </c>
      <c r="F111">
        <f>HYPERLINK("https://careers.uh.edu/jobs/arte-publico-press-program-manager-2-houston-texas-united-states", "https://careers.uh.edu/jobs/arte-publico-press-program-manager-2-houston-texas-united-states")</f>
        <v/>
      </c>
      <c r="G111" t="inlineStr">
        <is>
          <t>Houston, TX, US</t>
        </is>
      </c>
      <c r="H111" s="3" t="n">
        <v>46055</v>
      </c>
      <c r="I111" t="inlineStr">
        <is>
          <t>* 495642
* Full\-Time
* Arte Publico Press
**Add to favorites** **View favorites****Department**: Arte Publico Press **Salary**: 49,400 \- 56,200
**Description**:
Manages the day\-to\-day operations of a large university program or department, including the supervision of staff employees, student workers, programs or processes.
1\. Plans and develops procedures for administering a large or complex department or program.
2\. Manages fiscal activities, including procurement and budget analysis.
3\. Provides guidance to subordinate staff and evaluates performance.
4\. Prepares abstracts, research reports, funding proposals, operations and procedure manuals, and other written material and documentation.
5\. Creates and reviews reports of expenditures and activities.
6\. May administer grants and grant\-related related communications, scholarships and other operations.
7\. Develops, implements and maintains appropriate policies and procedures.
8\. May serve as property custodian for the department.
9\. Performs other job\-related duties as assigned.
The Project Manager is responsible for coordinating the day\-to\-day operations of the Puerto Rican Literature Project.This position manages project timelines, budgets, documentation, social media, and reporting; helps secure permissions and rights for archival and published materials; and coordinates communication among faculty, staff, students, and external partners. The Project Manager uses Asana to track tasks, workflows, and deliverables, ensuring project activities align with institutional policies and project requirements, and supports digital and archival workflows while monitoring project progress and outcomes.  
**Experience will be considered in lieu of education.**  
**Education will be considered in lieu of experience.**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Requires a minimum of one (1\) year of directly job\-related experience. Certification/Licensing: None.
All positions at the University of Houston\-System are security sensitive and will require a criminal history check.
The University of Houston System and its universities are Equal Opportunity Institutions. Everyone is encouraged to apply.</t>
        </is>
      </c>
    </row>
    <row r="112">
      <c r="A112" t="inlineStr">
        <is>
          <t>in-6210450cf5bbf8c1</t>
        </is>
      </c>
      <c r="B112" t="inlineStr">
        <is>
          <t>Campus-Based Program Manager - Barrington Elementary (Temporary, Full-Time)</t>
        </is>
      </c>
      <c r="C112" t="inlineStr">
        <is>
          <t>Communities In Schools</t>
        </is>
      </c>
      <c r="D112" t="inlineStr">
        <is>
          <t>indeed</t>
        </is>
      </c>
      <c r="E112">
        <f>HYPERLINK("https://www.indeed.com/viewjob?jk=6210450cf5bbf8c1", "https://www.indeed.com/viewjob?jk=6210450cf5bbf8c1")</f>
        <v/>
      </c>
      <c r="F112">
        <f>HYPERLINK("https://phh.tbe.taleo.net/phh01/ats/careers/v2/viewRequisition?org=CISAUSTIN&amp;cws=42&amp;rid=1279", "https://phh.tbe.taleo.net/phh01/ats/careers/v2/viewRequisition?org=CISAUSTIN&amp;cws=42&amp;rid=1279")</f>
        <v/>
      </c>
      <c r="G112" t="inlineStr">
        <is>
          <t>Austin, TX, US</t>
        </is>
      </c>
      <c r="H112" s="3" t="n">
        <v>46055</v>
      </c>
      <c r="I112" t="inlineStr">
        <is>
          <t>**Temporary, Full\-Time Campus\-Based Program Manager**
**Barrington Elementary School**
**Austin, Texas**
Are you passionate about working for an organization that serves to empower and uplift students through the education system by removing barriers and helping students realize their fullest potential? Our mission is to surround students with a community of support, empowering them to stay in school and achieve in life. We achieve our mission by hiring bright, creative, and innovative team members who demonstrate a passion for what they do.
**If this is you, are you All In For Kids?**
CIS of Central Texas is currently seeking a full\-time, **temporary** **Program Manager** to lead CIS services in **Barrington Elementary School in Austin, TX**. As the site\-based leader, the Program Manager regularly interfaces with school administrators and personnel and is responsible for integrating CIS programming with school\-wide activities to empower young people to set and meet goals, provide parent engagement and support, and help every student meet their full potential.
**This is a temporary, full\-time position scheduled from February 2026 through June 2026\.**
**The selected candidate may be considered for a temp\-to\-perm role within CIS of Central Texas–served school districts during the 2026–2027 school year.**
**Who we are:**
Rooted in community for over 40 years, Communities In Schools of Central Texas is a sophisticated 501(c)(3\) nonprofit organization in Austin, Texas. **Communities In Schools (CIS)** is a national organization that ensures every student has what they need to realize their full potential in school and beyond.
**Who you are:**
First and foremost, we are looking for amazing people who have diverse backgrounds and experiences, are inspired by our mission, and are highly motivated to change children's lives through education. You will be right at home here if you cultivate strong relationships and push yourself, your work, and the people around you to the next level.
**What we offer:**
The starting salary for this position is **$3,750/mo.**
**Some of our benefits \&amp; perks:**
* **Paid time off:** Holidays, accrue time off for vacation, sick and personal days
* **Financial stipends** for qualified staff::
	+ Spanish proficiency
	+ Active Texas Mental Health License (LMSW, LCSW, LMFT\-A, LPC, or LPC\-A)
	+ Supervisory roles
* **Comprehensive Health Coverage**: 100% employer\-paid employee medical plan available, plus family subsidies, dental, vision, life, disability insurance, and 403(b) retirement plan with employer match
* **Professional growth:** Ongoing development opportunities
* **Community\-centered culture** focused on impact, growth, and connection
 **What you’ll bring:**
* Elementary School\-level experience
* English/Spanish language proficiency \- highly preferred
* Experience with crisis intervention, assessments, referrals, individual and group counseling supportive guidance
* Experience managing individuals or teams
* Case Management experience preferred
* Bachelor’s degree in social work, counseling, psychology, human services, or related field **or** the equivalent of relevant experience and training.
* Experience providing individual supportive guidance and case management services
* Experience with group facilitation
* Demonstrated ability to build and maintain positive and productive relationships to effectively collaborate with CIS staff, school personnel and community partners
* Demonstrated cultural competence when engaging diverse audiences, including students and families, team members, school personnel, volunteers, and community partners
* Highly self\-motivated and able to work both autonomously and collaboratively
* Demonstrated ability to manage priorities in a dynamic environment
* Strong interpersonal skills with a focus on strength\-based leadership
* Experience working with parents/guardians and families
* Experience collaborating with community agencies
* Current CPR Certification, preferred
* Access to reliable transportation
**What you’ll do:**
* **Program Administration**
	+ **Program Design and Support** : You will conduct needs assessments and use these to inform program design and to help identify appropriate resources
	+ **Campus Management** : You will maintain positive relationships with campus personnel, market the program appropriately and establish the student referral processes
	+ **Data Management and Program Evaluation** : You will implement effective data management systems which will be used for evaluating program effectiveness and implementing efficient administrative systems on campus
* **Campus Team Management**
	+ **Hiring, Onboarding \&amp; Training**: You will coordinate the hiring of team members, provide orientation and training and establish goals and expectations for the team and individual team members
	+ **Professional Development:** You work with team members to develop a professional development plan
	+ **Team Supervision \&amp; Evaluatio**n: You will provide ongoing supervision and support to individual team members and conduct new staff reviews and annual evaluations
	+ **Leading Team Culture:** You will communicate relevant information including agency and school policies/procedures/practices to the team and promote and maintain agency culture/standards/systems
* **Student Services**
	+ **Counseling \&amp; Facilitation:** You will provide individual counseling to students, facilitate groups and practice crisis management as needed
	+ **Parental Engagement:** You will conduct outreach to parents and develop parental involvement as needed
	+ **Case Management:** You will perform case management and participate in the CIS team approach to service delivery
* **Campus and Community Relationships**
	+ **Represent CIS** : You will represent CIS at school and community meetings and events and make presentations where appropriate
	+ **Event Management**: You will organize and coordinate school and community events and advocate for the program. You will host “open houses” or other events for personnel/teachers/parents, and communicate information and activities using appropriate avenues
**Reporting structure:**
This position is supervised by a Program Director for Campus\-Based Services. This position may supervise AmeriCorps members, interns and/or volunteers.
**Worksite:** This position is designed to work full\-time at the school campus site and will follow campus work hours.Occasional work hours in the evening and occasional travel between the administrative office in Austin, Texas and the campus site may be required.
***Applications will be accepted until the positions are filled.***
**Communities In Schools of Central Texas is an equal\-opportunity employer.**</t>
        </is>
      </c>
    </row>
    <row r="113">
      <c r="A113" t="inlineStr">
        <is>
          <t>in-18acf75c5e2efe39</t>
        </is>
      </c>
      <c r="B113" t="inlineStr">
        <is>
          <t>Staff Product Manager, Accountant Experiences</t>
        </is>
      </c>
      <c r="C113" t="inlineStr">
        <is>
          <t>Intuit</t>
        </is>
      </c>
      <c r="D113" t="inlineStr">
        <is>
          <t>indeed</t>
        </is>
      </c>
      <c r="E113">
        <f>HYPERLINK("https://www.indeed.com/viewjob?jk=18acf75c5e2efe39", "https://www.indeed.com/viewjob?jk=18acf75c5e2efe39")</f>
        <v/>
      </c>
      <c r="F113">
        <f>HYPERLINK("https://dsp.prng.co/8BgGbab", "https://dsp.prng.co/8BgGbab")</f>
        <v/>
      </c>
      <c r="G113" t="inlineStr">
        <is>
          <t>Mountain View, CA, US</t>
        </is>
      </c>
      <c r="H113" s="3" t="n">
        <v>46055</v>
      </c>
      <c r="I113" t="inlineStr">
        <is>
          <t>**Overview**
------------
We're seeking an experienced Staff Product Manager to lead core accountant experiences. This is a unique opportunity to shape the future of the accountant industry, driving innovation and growth for our most important partners and their customers.
-------------------------------------------------------------------------------------------------------------------------------------------------------------------------------------------------------------------------------------------------------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8\+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14">
      <c r="A114" t="inlineStr">
        <is>
          <t>in-c33a54e16e602c94</t>
        </is>
      </c>
      <c r="B114" t="inlineStr">
        <is>
          <t>Staff Product Manager, Accountant Experiences</t>
        </is>
      </c>
      <c r="C114" t="inlineStr">
        <is>
          <t>Intuit</t>
        </is>
      </c>
      <c r="D114" t="inlineStr">
        <is>
          <t>indeed</t>
        </is>
      </c>
      <c r="E114">
        <f>HYPERLINK("https://www.indeed.com/viewjob?jk=c33a54e16e602c94", "https://www.indeed.com/viewjob?jk=c33a54e16e602c94")</f>
        <v/>
      </c>
      <c r="F114">
        <f>HYPERLINK("https://dsp.prng.co/XM5bTjb", "https://dsp.prng.co/XM5bTjb")</f>
        <v/>
      </c>
      <c r="G114" t="inlineStr">
        <is>
          <t>San Diego, CA, US</t>
        </is>
      </c>
      <c r="H114" s="3" t="n">
        <v>46055</v>
      </c>
      <c r="I114" t="inlineStr">
        <is>
          <t>**Overview**
------------
We're seeking an experienced Staff Product Manager to lead core accountant experiences. This is a unique opportunity to shape the future of the accountant industry, driving innovation and growth for our most important partners and their customers.
-------------------------------------------------------------------------------------------------------------------------------------------------------------------------------------------------------------------------------------------------------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8\+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15">
      <c r="A115" t="inlineStr">
        <is>
          <t>in-203a84e4cd9758ae</t>
        </is>
      </c>
      <c r="B115" t="inlineStr">
        <is>
          <t>Senior Content Product Owner</t>
        </is>
      </c>
      <c r="C115" t="inlineStr">
        <is>
          <t>Royal Caribbean Group</t>
        </is>
      </c>
      <c r="D115" t="inlineStr">
        <is>
          <t>indeed</t>
        </is>
      </c>
      <c r="E115">
        <f>HYPERLINK("https://www.indeed.com/viewjob?jk=203a84e4cd9758ae", "https://www.indeed.com/viewjob?jk=203a84e4cd9758ae")</f>
        <v/>
      </c>
      <c r="F115">
        <f>HYPERLINK("https://jobs.royalcaribbeangroup.com/job/Miami-Senior-Content-Product-Owner-FL-33132/1361532400/", "https://jobs.royalcaribbeangroup.com/job/Miami-Senior-Content-Product-Owner-FL-33132/1361532400/")</f>
        <v/>
      </c>
      <c r="G115" t="inlineStr">
        <is>
          <t>Miami, FL, US</t>
        </is>
      </c>
      <c r="H115" s="3" t="n">
        <v>46055</v>
      </c>
      <c r="I115" t="inlineStr">
        <is>
          <t>**Journey with us!** Combine your career goals and sense of adventure by joining our incredible team of employees at Royal Caribbean Group We are proud to offer a competitive compensation and benefits package and excellent career development opportunities each offering unique ways to explore the world
We are proud to be the vacation\-industry leader with global brands — including Royal Caribbean International Celebrity Cruises and Silversea Cruises — the most innovative fleet and private destinations and the best people Together we are dedicated to turning the vacation of a lifetime into a lifetime of vacations for our guests
**This position will be working onsite from Miami**
**Position Summary****:**
The Sr Content Product Owner is responsible for authoring and coordinating e\-commerce content for a seamless execution of all web strategies and product information on the web
This role will serve as the liaison between digital sales/marketing strategies stakeholder information international partners and Go to Market deployments announcements campaigns email communications as well as the web content implementation for CruisingPowercom Espresso and the suite of tools and applications powered by the website The Sr Content Product Owner will become the expert in the current TeamSite legacy content management solution and the new Adobe AEM applications and all page templates to ensure the best user experience for each content type
This person will be a cross\-functional partner for the Digital Team to ensure product information and messaging reflects the brands (Royal Caribbean International Celebrity Cruises and Silversea) goals accurate and clear product information and clean web user experience for trade partners and other website users In conjunction with the Product Owners the Sr Content Product Owner will manage the day\-to\-day authoring operations working with cross functional teams such as Sales Communications Call Center International Partners Marketing and Creative Partner teams Verifying authoring is accurate updating any errors and overseeing any obstacles or roadblocks to find a solution Furthermore this person will be the right\-hand to the Product Owners helping to organize and oversee content requests from stakeholders In addition they will collaborate with the Product Owners to fulfill content updates or add new pages to support digital strategies and Go to Market product launches This role is crucial to the team overall as they will be a strong support for ensuring the execution of all web content implementation support and maintenance of the web site
**Essential Duties and Responsibilities****:**
1 Execute content development for new and existing products applications corporate initiatives and marketing campaigns using Adobe Experience Manager (AEM) components and templates Includes the creation of landing pages using marketing core components to support marketing communications across brands and markets
2 Deep understanding of content strategy (messaging tone structure governance)
3 Experience with accessibility (WCAG) and inclusive design
4 Use content publishing systems to create and modify content to the site
5 Execute content audit changes to ensure content is accurate and up to date
6 Understand the site’s structure and assets for each of the products and tools on the web
7 Collaborate with Product Owners Launch and Marketing teams for all Go\-To\-Market deployments communications and campaigns to ensure channel plans are executed on schedule
8 Assist Web Product Owners in implementing Deployment Content across the web site and Espresso
9 Responsible for all content updates for North America and other international markets where applicable
10 Responsible for the set\-up litmus testing and deployment of B2B email Go\-To\-Market campaigns using Acoustic This individual will work with our creative partners (Big Day/Verb) on the design development and delivery of email campaigns Includes A/B testing tracking data analytics and reporting on the performance of all email campaigns
11 Ensure projects are launched on time and meet initial project requirements keeping teams and management notified of progress and any potential deviations from project schedules (deliverables milestone dates resources etc)
12 Understand and assist in managing online promotions announcements alerts notifications etc on a recurrent schedule
13 Assist Product Owners in implementing new products and application updates across the web site brands and markets
14 Arrange the review and final approval of content with Product Owners; document feedback and manage any updates
15 In conjunction with the Product Owners collaborate with IT Creative Partners (Verb and Big Day) UX and design teams to enhance and create new presentation for content and merchandising across the webs site
16 Analyze and propose recommendations for future opportunities in content and design
17 Defines and tracks content success metrics (engagement conversion task success) Uses analytics tools (ie Goggle Analytics Adobe Analytics etc)
18 Partner with analytics to understand customers’ needs in all product and content initiatives
19 Leverage market and customer data to develop and adjust content themes/topics and execute a plan to develop the assets that support these themes/topics
20 Conduct A/B testing to develop content recommendations and insights for future product efforts
21 Ability to translate business objectives into content strategy
22 Ability to actively participate in cross\-functional teams to define and implement content strategies
23 Proven experience as a Sr Product Owner in Agile/Scrum
24 Collaborate closely with designers developers content creators and marketers
25 Understanding of content lifecycle management (create\-publish\-optimize\-retire)
**Qualifications** **Knowledge** **and Skills****:**
* Bachelor’s degree in marketing or business
* 3\-4 years of professional experience with: managing content for one or more of the following: digital campaigns websites and landing pages emails mobile applications
* 2\+ years of experience working within a content management system
* Ability to be detail oriented and execute at a tactical level
* Ability to manage multiple brands work across markets and cross functional teams
* Well\-versed in content marketing best practices and passionate about elevating the game to be a leader in the space
* Strong interactive marketing experience and moderate technical background preferred
* Must be a highly organized self\-starter able to manage multiple concurrent work streams producing high quality deliverables while working with minimum supervision
* Web experience preferred
* Flexibility to changing priorities and able to work on several projects simultaneously
* Experience working in a content management system
* Knowledge of enterprise systems like Adobe Experience Manager WordPress Open Text Sanity preferred
* Understanding of content models metadata taxonomies and APIs
* Comfortable working with engineering on content\-related technical tradeoffs
* Awareness of performance security and scalability impacts on content
* Experience with copy writing and image/asset editing and selection
* Experience in developing content strategy vision framework and execute roadmap
* Must have the ability to prioritize and manage multiple responsibilities successfully
* Ability to work in a complex matrix environment where priorities change rapidly and tight deadlines exist is required
* Proactive and resourceful thinker proposing new ideas and thinking strategically about the tasks in front of them
* Knowledge of content governance models
* Experience working with legal regulatory or compliance constraints
* Understanding of content modeling components and templates
* Familiarity with headless CMS concepts (API driven content)
* Basic understanding of web technologies (HTML CSS performance basics)
* Must possess clear concise and professional verbal and written communication skills
* Ability to collaborate on strategies and craft tactical solutions to achieve strategic goals
* Creative ability detail\-oriented data\-driven and customer\-centric marketing professional skilled in content and audience engagement
* Strong computer skills including web applications Adobe Photoshop or other Photo \&amp; Design software tools MS Office and extensive knowledge of PowerPoint Excel and Word to create and deliver executive level presentations
**We know** **there's** **a lot to consider** As you go through the application process our recruiters will be glad to provide guidance and more relevant details to answer any additional questions Thank you again for your interest in Royal Caribbean Group We'll hope to see you onboard soon!
*No im**migration sp**onsorship is offered*
*Agency and Third\-Party Submissions: Please note this is a direct search by the Company and applications through agencies and other third parties will not be accepted nor will fees be paid for unsolicited resumes Any unsolicited resumes will be considered the Company's property*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
**Nearest Major Market:** Miami</t>
        </is>
      </c>
    </row>
    <row r="116">
      <c r="A116" t="inlineStr">
        <is>
          <t>in-dee6e6d26d8b82b9</t>
        </is>
      </c>
      <c r="B116" t="inlineStr">
        <is>
          <t>Business Program Manager</t>
        </is>
      </c>
      <c r="C116" t="inlineStr">
        <is>
          <t>University of Colorado</t>
        </is>
      </c>
      <c r="D116" t="inlineStr">
        <is>
          <t>indeed</t>
        </is>
      </c>
      <c r="E116">
        <f>HYPERLINK("https://www.indeed.com/viewjob?jk=dee6e6d26d8b82b9", "https://www.indeed.com/viewjob?jk=dee6e6d26d8b82b9")</f>
        <v/>
      </c>
      <c r="F116">
        <f>HYPERLINK("https://cu.taleo.net/careersection/2/jobdetail.ftl?job=477577", "https://cu.taleo.net/careersection/2/jobdetail.ftl?job=477577")</f>
        <v/>
      </c>
      <c r="G116" t="inlineStr">
        <is>
          <t>Aurora, CO, US</t>
        </is>
      </c>
      <c r="H116" s="3" t="n">
        <v>46055</v>
      </c>
      <c r="I116" t="inlineStr">
        <is>
          <t>University Staff
**Description** **University of Colorado Anschutz Campus**
**Colorado School of Public Health \| Community Epidemiology and Program Evaluation Group (CEPEG)**
**Business Program Manager**  
**Position \#:00844988 – Requisition \#:** **38885**
 **Job Summary:**
Join the Colorado School of Public Health as a Business Program Manager (Business Services Program Manager). The Business Program Manager is an integral member of the Community Epidemiology and Program Evaluation Group (CEPEG) team that plays a key role in the financial, budget, and strategic planning within CEPEG. This position will work closely with CEPEG leadership to oversee key center operations, including finance and procurement, grant support, and human resources.
The Business Program Manager will coordinate communication between many different entities, including the University of Colorado Cancer Center, Colorado School of Public Health, Office of Human Resources, Office of Grants and Contracts, and Finance and Procurement to ensure policy and procedures are followed.
Key Responsibilities:
* Liaise with CEPEG Director and Assistant Director to monitor center activities, new and existing projects, Scopes of Work, strategic planning, and other activities relevant to center operations and finance.
* Manage and procure supplies, equipment, and procurement card support for staff, including purchasing and inventorying equipment (hardware and software) and consumables, procurement card purchases, and reimbursements for mileage, travel, and transportation.
* Work with CEPEG leadership to draft and submit new grant and project budgets.
* Oversee the timely processing of grant applications, progress reports, carry forward requests, and other documents required by funding organizations.
* Track monthly billings by speedtype; reconcile with the university’s accounting system monthly and correct and/or adjust as necessary.
* Assist in staff recruitment, including creating and circulating job descriptions, providing administrative support for hiring Chairs and committees, reviewing resumes, interviewing candidates, etc.
* Maintain a working knowledge of university fiscal, personnel, and procurement policies, and serve as CEPEG’s central resource for policy questions.
* Develop and distribute communications across center teams regarding funding, staff issues, policy changes, process, personnel, growth, etc.
* This position will be offered as part\-time to full\-time (0\.75 – 1\.0 FTE). This position reports to the CEPEG Assistant Director.
 **Work Location:**
 **Why Join Us:**
Hybrid – This position is located on the CU Anschutz Campus in Aurora, CO and is expected to work on site three days per week.
The Colorado School of Public Health (ColoradoSPH) is a unique and collaborative graduate school that combines the collective expertise of three Colorado universities: the University of Colorado Anschutz Campus (CU Anschutz) in Aurora, Colorado State University (CSU) in Fort Collins, and the University of Northern Colorado (UNC) in Greeley, Colorado. The Colorado School of Public Health is the only accredited school of public health in the Rocky Mountain Region, attracting top tier faculty and students from across the country, and providing a vital contribution towards ensuring our region’s health and wellbeing. The school’s faculty, staff, and students work together to share knowledge and conduct innovative research and community service to actively address public health issues including chronic disease, access to healthcare, environmental threats, emerging infectious diseases, costly injuries, and more.
The Community Epidemiology \&amp; Program Evaluation Group (CEPEG) is a collection of multidisciplinary researchers at the Colorado School of Public Health who study attitudes, behaviors, and potential interventions related to public health, and provide a full range of survey research and evaluation services for public health programs.
**Why work for the University?**
We have AMAZING benefits and offer 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10/year
* Tuition Benefit: Employees have access to this benefit on all CU campuses
* ECO Pass: Reduced rate RTD Bus and light rail service
There are many additional perks \&amp; programs with the CU Advantage.
 **Qualifications:**
 **Minimum Qualifications**.
* A bachelor’s degree in business, business administration, finance, accounting, healthcare administration, public administration, information systems, or a directly related field from an accredited institution.
* **Substitution**: A combination of education and related technical/paraprofessional experience may be substituted for the bachelor’s degree on a year for year basis.
* 4\-6 years of professional experience in working in a business operation, budget, financial and/or grant management role.
**Preferred Qualifications**
* At least 2 years of experience with University of Colorado fiscal policies and procedures.
* At least 2 years of experience working with CU Data, Marketplace, and Concur.
* 3\-5 years of experience managing (\&gt;$1M) budgets and coordinating financial activities and post\-award grant administration.
**Conditions of Employment:**
* Please be advised that this position is not eligible now or in the future for visa sponsorship.
* This position will be offered as part\-time to full\-time (0\.75 – 1\.0 FTE).
 **Competencies/Knowledge, Skills \&amp; Abilities:**
* Able to build budget projections and apply financial analytics for a Research Center with complex funding.
* Demonstrated advanced proficiency in Microsoft Office programs such as Word, Excel, and Outlook; experience should include developing and setting\-up spreadsheets and databases for reporting and tracking purposes, and developing letters and complex correspondence.
* Understanding of basic accounting and finance best practices including budget preparation, analysis of financial data, and budget forecasting.
* Ability to plan, execute, monitor, and provide quality control for documents and final grant preparation, to ensure deadlines are met.
* Outstanding organizational skills and the ability to establish priorities and to coordinate multiple highly detailed projects simultaneously.
* Ability to problem solve, create innovative systems for organizing; and delegating work.
* Ability to communicate effectively, both in writing and orally.
* Ability to establish and maintain effective working relationships with employees at all levels throughout the institution.
* Demonstrated experience in fostering a community that values a wide range of backgrounds, experiences, and perspectives.
 **How to Apply:**
For full consideration, please submit the following documents:
* Curriculum Vitae / Resume
* A letter of interest describing relevant job experiences as they relate to listed job qualifications and interest in the position
* Three to five professional references including name, address, phone number (mobile number if appropriate), and email address
Questions should be directed to: Megan Freije, Megan.Freije@cuanschutz.edu
 **Screening of Applications Begins:**
Screening begins immediately and continues until **February 17, 2026\.**
 **Anticipated Salary Range:**
The starting target salary for this position has been established as **$72,617 \- $89,000 (1\.0 FTE).**
The above salary represents the University’s good faith and reasonable estimate of the range of possible compensation at the time of posting. This position may be eligible for overtime compensation depending on the level.
Total Compensation Calculator:
 **Equal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As the School of Public Health located within the University of Colorado on the Anschutz Campus, we are committed to developing and sustaining a faculty, staff, and student body that reflects a broad range of backgrounds and perspectives. We advocate for and actively lead efforts and activities to build a community that treats people with dignity, respect, and compassion among the school’s students, staff, faculty, and external community partners.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**Background Check Statement:**
The University of Colorado Denver \| Anschutz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**Application Materials Required****:** Cover Letter, Resume/CV, List of References  
**Job Category****:** Business Services
**Primary Location****:** Hybrid
**Department****:** U0001 \- Anschutz Med Campus or Denver \- 21424 \- CSPH\-CBH General Ops
**Schedule****:** Full\-time
**Posting Date****:** Feb 3, 2026
**Unposting Date****:** Feb 18, 2026, 12:59:00 AM
**Posting Contact Name****:** Megan Freije
**Posting Contact Email****:** Megan.Freije@cuanschutz.edu
**Position Number****:** 00844988</t>
        </is>
      </c>
    </row>
    <row r="117">
      <c r="A117" t="inlineStr">
        <is>
          <t>in-58784cf53f251151</t>
        </is>
      </c>
      <c r="B117" t="inlineStr">
        <is>
          <t>ASSOCIATE PRODUCT MANAGER</t>
        </is>
      </c>
      <c r="C117" t="inlineStr">
        <is>
          <t>JASCO PRODUCTS COMPANY LLC</t>
        </is>
      </c>
      <c r="D117" t="inlineStr">
        <is>
          <t>indeed</t>
        </is>
      </c>
      <c r="E117">
        <f>HYPERLINK("https://www.indeed.com/viewjob?jk=58784cf53f251151", "https://www.indeed.com/viewjob?jk=58784cf53f251151")</f>
        <v/>
      </c>
      <c r="F117">
        <f>HYPERLINK("https://www.paycomonline.net/v4/ats/web.php/jobs/ViewJobDetails?job=348382&amp;clientkey=5518C7B9E0960BA4751AF4365D78EB3D&amp;source=Indeed", "https://www.paycomonline.net/v4/ats/web.php/jobs/ViewJobDetails?job=348382&amp;clientkey=5518C7B9E0960BA4751AF4365D78EB3D&amp;source=Indeed")</f>
        <v/>
      </c>
      <c r="G117" t="inlineStr">
        <is>
          <t>Oklahoma City, OK, US</t>
        </is>
      </c>
      <c r="H117" s="3" t="n">
        <v>46055</v>
      </c>
      <c r="I117" t="inlineStr">
        <is>
          <t>Jasco is looking for a motivated **Associate Product Manager** to assist product managers in the development of new product introductions. Maintains and updates Time Marker document/process (project management). Coordinates with various departments to ensure project alignment. Assists Product Manager with daily correspondence to internal and external customers. Provides benchmarking relating to sku\-rationalization, product life\-cycle management, new product introductions and supply chain.
* Performs liaison role with regards to interaction with marketing, factory sourcing, engineering, supply chain, sales and category management.
* Communicates daily project updates to JATC (Jasco Asia Technology Center) and other various suppliers.
* Assists sales force, marketing department with regards to presentations/packaging/pricing requests.
* Assists with training and technical support to Sales Staff, Representatives, Customer Service, Marketing, and Purchasing.
* Participates in U.S. trade shows.
* Assists VP of Product Development on various projects.
Performs other related duties including but not limited to:
* Project management
* Assist Product Team to define strategic roadmap
* Engineering/Marketing/Sales/Customer Service/Supply Chain coordination
* Document preparation (qualification process)/QC inspection and Analysis
* RFQ (Request for Quote) submission
* Comparative analysis
* Pricing analysis
* Participate in the budgetary process
* Sales inquiry evaluation and process
* Review and report on performance indicators
* Identify current and future market opportunities
**Competencies:**
Action Oriented; Being Resilient; Communicates Effectively; Nimble Learning; Optimizes Work Processes; Resourcefulness; Self\-Development
* Bachelor's degree in marketing or business or in a related field and/or equivalent experience is preferred. A minimum of six months of previous experience in retail marketing is preferred.
* Ability to obtain knowledge of direct importing to include legal requirements, trafficking of product, production/cultural variances by country.
* Proficient in Microsoft Excel, Word and PowerPoint.
* Knowledge of the retail market, corporate buying/plan\-o\-gramming, and various display methods.
* Technical skills to check and evaluate medium technical products.
* Ability to work independently and be accountable for major projects.
* Ability to perform complex mathematical calculations including the application of scientific approach analysis methods, calculations of landed costs projected quote, and retail prices, percent to total sales calculations, profit margins, and container cube calculations.
* Ability to assist in writing strategy presentations, product evaluation/comparisons reports, product instructions, package/custom copy, and internal/external communications.
Jasco is an Equal Opportunity/Affirmative Action/E\-Verify Employer</t>
        </is>
      </c>
    </row>
    <row r="118">
      <c r="A118" t="inlineStr">
        <is>
          <t>in-1153a329fb5236e8</t>
        </is>
      </c>
      <c r="B118" t="inlineStr">
        <is>
          <t>Program Manager -Day Program</t>
        </is>
      </c>
      <c r="C118" t="inlineStr">
        <is>
          <t>AHRC Suffolk</t>
        </is>
      </c>
      <c r="D118" t="inlineStr">
        <is>
          <t>indeed</t>
        </is>
      </c>
      <c r="E118">
        <f>HYPERLINK("https://www.indeed.com/viewjob?jk=1153a329fb5236e8", "https://www.indeed.com/viewjob?jk=1153a329fb5236e8")</f>
        <v/>
      </c>
      <c r="F118">
        <f>HYPERLINK("https://apply.workable.com/j/18A94AD31F", "https://apply.workable.com/j/18A94AD31F")</f>
        <v/>
      </c>
      <c r="G118" t="inlineStr">
        <is>
          <t>Westhampton Beach, NY, US</t>
        </is>
      </c>
      <c r="H118" s="3" t="n">
        <v>46055</v>
      </c>
      <c r="I118" t="inlineStr">
        <is>
          <t>**GENERAL STATEMENT OF DUTIES:**
An employee in this class is responsible for assisting with the overall supervision and management of the assigned Adult Day Services Program. As requested, performs related work.
 **DISTINGUISHING FEATURES OF THE CLASS:**
Under the supervision of the Assistant Director, an employee in this class is a working supervisor who plans, supervises and participates in the operation of the day programs.
**ILLUSTRATIVE EXAMPLES OF WORK:**
* Assists with the recruitment, training, and evaluation of staff.
* Assists with monitoring quality of services and supervision of the program.
* Responsible for participating in program planning reviews for individuals as requested.
* Responsible for ensuring the appropriate implementation of goals and staff actions as indicated in Individual Habilitation Plans and Staff Action Plans.
* In conjunction with the program Leads, responsible for ensuring the appropriate implementation of daily activities.
* Responsible for ensuring the safety and well being of program individuals we support as well as ensuring the safeguarding of their rights.
* Ensures compliance with OPWDD regulations.
* Prepares reports and other informational materials as required.
* Reviews Medisked billing daily and rectifies errors.
* Maintains regular/ongoing communication with the Assistant Director regarding significant issues concerning individuals we support, staff and program.
* Provides cafeteria monitoring, bus duty monitoring and coverage of classrooms.
* Assists individuals we support who have toileting needs.
* Assists with transferring or lifting of individuals we support.
* Lifts and or transfers work materials and equipment.
* As required and with specialized training drives an Agency vehicle.
* Transports individuals we support using own or agency vehicle as needed.
* Universal precautions must be used at all times.
**Requirements**
**Role Requirements:** Bachelor's degree in a Human Services field and a minimum of two years of experience working with the developmentally disabled OR 5 years supervisory experience.
* Working knowledge of all Microsoft Office applications
* Must be able to display a high level of professionalism and discretion and understand the sensitive nature of confidential employee information with superior emotional intelligence.
* Valid NYS Drivers License
**Monday to Friday 8a\-3:30pm**
**SALARY 26\.73 HOUR PLUS LONGEVITY**
**Benefits**
* 401(k)
* Dental insurance
* Employee assistance program
* Flexible schedule
* Flexible spending account
* Health insurance
* Life insurance
* Paid time off
* Referral program
* Retirement plan
* Tuition reimbursement
* Vision insurance
Schedule:
* 7 hour shift
* Day shift
* Monday to Friday
* No weekends</t>
        </is>
      </c>
    </row>
    <row r="119">
      <c r="A119" t="inlineStr">
        <is>
          <t>in-9a22b1e65575590d</t>
        </is>
      </c>
      <c r="B119" t="inlineStr">
        <is>
          <t>Product Manager</t>
        </is>
      </c>
      <c r="C119" t="inlineStr">
        <is>
          <t>SustainableHR</t>
        </is>
      </c>
      <c r="D119" t="inlineStr">
        <is>
          <t>indeed</t>
        </is>
      </c>
      <c r="E119">
        <f>HYPERLINK("https://www.indeed.com/viewjob?jk=9a22b1e65575590d", "https://www.indeed.com/viewjob?jk=9a22b1e65575590d")</f>
        <v/>
      </c>
      <c r="F119">
        <f>HYPERLINK("https://sustainablehr.applicantstack.com/x/detail/a2qd6iexk7by/aaac", "https://sustainablehr.applicantstack.com/x/detail/a2qd6iexk7by/aaac")</f>
        <v/>
      </c>
      <c r="G119" t="inlineStr">
        <is>
          <t>Madison, WI, US</t>
        </is>
      </c>
      <c r="H119" s="3" t="n">
        <v>46055</v>
      </c>
      <c r="I119" t="inlineStr">
        <is>
          <t>**Department:** Employee Services
**FLSA Status:** Exempt
**Reports To:** Director of Employee Services
**Direct Reports:** Senior HRIS Analyst; Benefits \&amp; HRIS Analyst; Payroll \&amp; HRIS Analyst
Position Overview
The HCM Product Manager is responsible for the strategy, performance, and ongoing optimization of the organization's Human Capital Management (HCM) platform. This role ensures the system is secure, reliable, and effectively supports HR, payroll, benefits, and reporting needs across the organization.
This position partners closely with HR, Payroll, Benefits, and IT teams to leverage technology, data, and analytics to improve business outcomes, strengthen HR operations, and align HCM capabilities with overall organizational strategy.
Key Responsibilities
Leadership \&amp; Strategy
* Support and promote alignment with organizational values and service standards.
* Own the strategic direction and roadmap for the HCM platform.
* Deliver a reliable, efficient HCM environment with a strong focus on internal customer experience.
* Ensure compliance with data privacy, security, and governance requirements.
* Provide training, guidance, and best practices to drive effective system usage.
* Lead and support HRIS team members through clear goals, feedback, and performance management.
HCM Operations, Reporting \&amp; Governance
* Serve as the primary subject matter expert for the HCM platform.
* Oversee system access, security roles, and permissions.
* Manage vendor relationships with Dayforce and related consulting partners to ensure strong service delivery.
* Maintain system integrity, including data accuracy, reporting, backups, restores, and EDI file feeds.
* Lead structured change management efforts, documenting enhancements, testing outcomes, and configuration updates.
* Drive user adoption through training, communication, and ongoing support.
* Conduct regular audits of employee data to ensure accuracy and regulatory compliance.
Enhancements, Analytics \&amp; Collaboration
* Lead deployments of system updates and evaluate new features and enhancements.
* Act as project lead for system design initiatives, new applications, and service requests.
* Develop and deliver HR dashboards, metrics, and reports aligned with HR and business objectives.
* Adapt reporting and analytics as data structures and stakeholder needs evolve.
* Partner with IT on integrations, upgrades, testing, and documentation.
* Collaborate with HR, Payroll, and Benefits teams to ensure accurate and timely processing of employee data and payroll.
* Partner with IT to design and optimize the JIRA Service Management intake process for Dayforce\-related requests.
* Maintain process documentation and develop new procedures as needed.
* Perform impact analyses for proposed configuration changes and recommend deployment sequencing.
* Oversee support ticket prioritization and resolution.
* Stay current on HCM and HR analytics trends and best practices
.
Qualifications
Education \&amp; Experience
* Bachelor's degree in Human Resources, Business Administration, Information Systems, or a related field.
* 8–10 years of experience in HRIS administration, configuration, and reporting; Dayforce experience strongly preferred.
* Experience leading system implementations, enhancements, and change initiatives.
Knowledge, Skills \&amp; Abilities
* Strong analytical, problem\-solving, and project management skills with attention to detail.
* In\-depth knowledge of U.S. payroll, benefits, and HR reporting requirements, including EEOC and PPACA.
* Excellent communication skills with the ability to engage technical and non\-technical audiences.
* Strong understanding of HR processes and how they translate into HCM functionality.
* Proficiency in Power BI, Microsoft Office (especially Excel), and SQL.
* Ability to work independently and collaboratively in a fast\-paced environment.
* Strong prioritization and execution skills.
* Extensive experience with business requirements gathering and documentation.
* Proven troubleshooting and post\-production support experience.
* Hands\-on experience with Dayforce configuration, upgrades, testing, and support.
* Working knowledge of data privacy and security standards.
Working Conditions \&amp; Physical Requirements
* Hybrid work environment.
* Minimal physical effort required.
* Minimal exposure to physical risk.</t>
        </is>
      </c>
    </row>
    <row r="120">
      <c r="A120" t="inlineStr">
        <is>
          <t>in-78e804f6e959ff4d</t>
        </is>
      </c>
      <c r="B120" t="inlineStr">
        <is>
          <t>Technical Program Manager - Classified Programs</t>
        </is>
      </c>
      <c r="C120" t="inlineStr">
        <is>
          <t>Anduril</t>
        </is>
      </c>
      <c r="D120" t="inlineStr">
        <is>
          <t>indeed</t>
        </is>
      </c>
      <c r="E120">
        <f>HYPERLINK("https://www.indeed.com/viewjob?jk=78e804f6e959ff4d", "https://www.indeed.com/viewjob?jk=78e804f6e959ff4d")</f>
        <v/>
      </c>
      <c r="F120">
        <f>HYPERLINK("https://grnh.se/lgz1bdii7us", "https://grnh.se/lgz1bdii7us")</f>
        <v/>
      </c>
      <c r="G120" t="inlineStr">
        <is>
          <t>Washington, DC, US</t>
        </is>
      </c>
      <c r="H120" s="3" t="n">
        <v>46055</v>
      </c>
      <c r="I12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We're seeking a Technical Program Manager to gather and align requirements to business outcomes, lead Program delivery through accreditation leveraging outcome focused reporting. You will have the opportunity to work on net new programs, process improvement, and strategy. This role requires a unique blend of technical expertise, program management experience, customer focus, and an understanding of the defense sector. You will work closely with engineering, cyber\-assurance, support, and business stakeholders to deliver innovative solutions that meet the needs of our customers and partners.
### **ABOUT THE JOB**
**WHAT YOU'LL DO**
* Serve as primary liaison between technical teams and business stakeholders as the ultimate owner of a Program
* Program Management: Oversee the entire lifecycle of technical initiatives, from defining requirements, through final deployment and ATO. This includes creating detailed project plans, schedule and dependency tracking, and resource strategies.
* Stakeholder Communication: Effectively communicate within engineering teams via PM tools (e.g. JIRA, Confluence) to organize and ensure the teams understand how their work connects to higher level milestones. Generate reports and provide clear, concise status updates to all stakeholders, from technical teams to executive leadership, translating complex technical issues into non\-technical terms when necessary.
* Risk and Issue Management: Proactively identify potential technical and operational risks, develop mitigation plans, and drive the resolution of issues and impediments before they arise.
* Cross\-functional Leadership: Facilitate communication and collaboration among diverse teams ensuring everyone is aligned on goals and progress.
* Technical Expertise: Understand the architecture and positively influence engineering and support decisions
* Process Improvement: Define, implement, and refine program management processes and best practices to increase efficiency and execution quality.
**REQUIRED QUALIFICATIONS:**
* Exhibit a natural inclination for ownership, accountability, and action
* Excellent organizational, coordination, and multitasking capabilities to manage numerous concurrent projects.
* Exceptional verbal and written communication skills with the ability to translate technical details into meaningful business terms, milestones, and outcomes
* Ability to inspire and guide teams, build consensus, and influence without direct authority.
* Proven experience delivering complex solutions in highly regulated environments (e.g. DoD/IC environments)
* Proven experience delivering complex solutions in highly regulated environments (e.g. DoD/IC environments)
* Strong analytical and critical thinking skills to diagnose and resolve complex issues.
* 10 years experience in government programs, specifically in secure spaces.
* 7 years experience in Project or Program Management or other leadership roles.
* Willingness to travel
* Active U.S. Top Secret Clearance
* PMP, ITIL, Industry Agile certifications are a plus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21">
      <c r="A121" t="inlineStr">
        <is>
          <t>in-aed3ed08e38e55f4</t>
        </is>
      </c>
      <c r="B121" t="inlineStr">
        <is>
          <t>Training Program Manager, Autonomous Systems</t>
        </is>
      </c>
      <c r="C121" t="inlineStr">
        <is>
          <t>Anduril</t>
        </is>
      </c>
      <c r="D121" t="inlineStr">
        <is>
          <t>indeed</t>
        </is>
      </c>
      <c r="E121">
        <f>HYPERLINK("https://www.indeed.com/viewjob?jk=aed3ed08e38e55f4", "https://www.indeed.com/viewjob?jk=aed3ed08e38e55f4")</f>
        <v/>
      </c>
      <c r="F121">
        <f>HYPERLINK("https://grnh.se/8mk3x2hm7us", "https://grnh.se/8mk3x2hm7us")</f>
        <v/>
      </c>
      <c r="G121" t="inlineStr">
        <is>
          <t>Costa Mesa, CA, US</t>
        </is>
      </c>
      <c r="H121" s="3" t="n">
        <v>46055</v>
      </c>
      <c r="I12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ROLE**
As a Training Program Manager, you will manage all phases of training for a cornerstone program within our Air Dominance and Strike Division (ADS). ADS is one of Anduril's fastest growing, most technical complex divisions, and their remit is to develop and build collaborative combat aircraft, missiles, and the software that powers these autonomous weapons. The Training Program Manager is responsible for all developmental training tasks and will establish a vision for how to execute training on the program using standard principles, theories, concepts, and techniques. You must be able to work independently and will have responsibility to deliver training CDRLs while also working as part of a broader Integrated Product Support team. This roles requires a breadth of understanding of both military and commercial training, training technologies and approaches, experience working on government autonomous systems, and a deep appreciation for details.  
As the Training Program Manager, you will also create plans to resource and execute world\-class technical training instruction. You will serve as a subject matter expert on Anduril's approach to product training while driving results for your specific business line and products. We are a fast\-growing business and you will be expected to own responsibilities that have a significant impact on the business's trajectory. Anduril fosters a diverse, collaborative, culture with plenty of opportunities for ownership and professional growth.
#### **WHAT YOU'LL DO**
* Manage all phases of training from conceptualization through completion, including acquisition, planning, and managing technical performance to ensure quality, business, and financial objectives are attained.
* Implement and maintain training systems, standards, and data to ensure accurate and efficient operations across all of logistics management.
* Collaborate with cross\-functional teams, including engineering, quality, program management, logistics, and technical documentation to establish concepts, criteria, and efforts for product training, adoption, and execution.
* Lead and develop a high\-performing team, including recruitment, training, and performance management as needed.
* Influence and coordinate the preparation of proposals, business plans, proposal work statements and specifications, operating budgets, and financial terms / conditions of contract(s).
* Problem solve and remove obstacles for your team and internal and external partners. Use critical thinking to engage the right teams to help.
#### **REQUIRED QUALIFICATIONS**
* Minimum of 5 years' experience in DoD / government operations and/or training experience, ideally with autonomous systems.
* Demonstrated technical expertise and application of training management principles, concepts, and practice.
* Leadership skills, including organizing, planning, scheduling, and coordinating workstreams to meet established deadlines and milestones.
* Strong understanding of modern training technologies such as interactive models, augmented reality, and virtual reality, and how these are tied back into traditional learning frameworks.
* Strong ability to work cross\-functionally, including at a deeply technical level, in an unstructured environment; track record of success within startups preferred
* Strong bias to action oriented around outcomes, with ability to drive initiatives from inception to implementation. Willing and able to dive into tactical execution mode when needed to move the effort forward.
* Able to move extremely fast, and can lead people directly and via influence.
* Eligible to obtain and maintain a US Secret security clearance.
#### **PREFERRED QUALIFICATIONS**
* Formal education in engineering, science, or a related technical field.
* Experience working with, in and around Air Force or other military branch integrated Product Support operations, ideally also related to aircraft.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22">
      <c r="A122" t="inlineStr">
        <is>
          <t>in-1ca3878d636e29c1</t>
        </is>
      </c>
      <c r="B122" t="inlineStr">
        <is>
          <t>Program Manager - Cedar Fair</t>
        </is>
      </c>
      <c r="C122" t="inlineStr">
        <is>
          <t>accesso</t>
        </is>
      </c>
      <c r="D122" t="inlineStr">
        <is>
          <t>indeed</t>
        </is>
      </c>
      <c r="E122">
        <f>HYPERLINK("https://www.indeed.com/viewjob?jk=1ca3878d636e29c1", "https://www.indeed.com/viewjob?jk=1ca3878d636e29c1")</f>
        <v/>
      </c>
      <c r="F122">
        <f>HYPERLINK("https://grnh.se/dnqmz95o7us", "https://grnh.se/dnqmz95o7us")</f>
        <v/>
      </c>
      <c r="G122" t="inlineStr">
        <is>
          <t>Doswell, VA, US</t>
        </is>
      </c>
      <c r="H122" s="3" t="n">
        <v>46055</v>
      </c>
      <c r="I122" t="inlineStr">
        <is>
          <t>**Position Overview:**
Do you have a passion for working with people and thrive in a fun, dynamic environment? As a**Pr****ogram Manager,** you will be responsible for partnering with the client to support the day\-to\-day operations of the virtual queuing program. In this key role, you'll be right in the action, collaborating with park leadership, front\-line team members and the accesso corporate team to deliver seamless experiences for guests maximizing their time and fun, while also driving revenue through our premium services.
 As a member of our Client Operations team, you'll play a vital role in delivering the support our clients need to create memorable experiences. With strong interpersonal and problem\-solving skills , you'll provide hands\-on operational support and collaborate with peers on creative solutions to everyday challenges. We're looking for positive, self\-motivated individuals who thrive in a collaborative environment and enjoy making an impact!
* **Please note that this is a temporary position from March \- November.**
**Location:** This is an on\-site role at Kings Dominion in Doswell, VA.
**Reports to:** Senior Operations Manager
**Travel ✈️ Requirement:** up to 25%
**What you'll be working on:**
* Serve as a key liaison with Kings Dominion department managers and park partners, meeting regularly to coordinate operations, share updates, and enhance the guest experience.
* Lead and assist with training sessions on virtual queue systems, sales strategies, and operational best practices.
* Actively engage with guests, monitor and manage queues, and resolve operational issues in real time.
* Collaborate with the marketing team to drive in\-park revenue through creative promotional initiatives.
* Oversee and update digital content across the Queueing website and mobile app to ensure accurate, guest\-friendly information.
* Analyze metrics, guest feedback, and operational data to prepare reports, resolve technical issues, improve efficiency and the guest experience
* Collaborate with park leadership to support proper staffing and deliver seamless day\-to\-day operations.
* Provide hands\-on, first\-line technical support and manage hardware inventory.
* Support the rollout of system upgrades and new virtual queuing enhancements that elevate the guest experience.
* Take ownership of escalated guest concerns, including refunds and compensation, ensuring positive resolutions aligned with company policies.
* Perform other tasks and responsibilities as needed to support operations.
**What you bring to the role:**
* Minimum of two (2\) years of management experience in the amusement/theme park or operations management industry.
* Strong communication, leadership, and team management skills.
* Ability to manage technology systems and provide basic technical support as needed.
* Excellent problem\-solving abilities with a strong focus on guest service.
* Availability to work weekends and holidays is required; extended hours may be necessary based on operational demands.
* Must have reliable transportation and flexible scheduling. This role requires working on holidays, weekends and high\-volume days. Schedule varies to meet business and client needs.
* This role involves physical activity such as bending, lifting, climbing and walking, with the ability to stand or move for extended periods of time, and lift items up to 25 pounds .
* ️ **Bonus points if you have:**
* Theme park/attractions industry experience
* *If you don't have all the qualifications listed, don't worry! We understand everyone's career path is unique and still encourage you to apply if you feel this role is aligned with your career trajectory.*
### **LIFE at** ***accesso:***
At ***accesso***, we believe that fun is a fundamental part of the workday! From our tech to our passion for attractions, we infuse fun into everything we do, and our culture is no different. We've created a virtual environment with no shortage of connection – so share memes and high fives with teammates, or break up your day with virtual escape quests, "Online Office Olympics" and more! Work\-life balance is important here too, so you'll have flexibility in choosing the work setting and hours that fit your life best (so long as your work permits).
We believe that diversity is vital to innovation and that when we celebrate what makes each of us unique, we create a more inclusive environment where you can truly thrive. Our people are our most treasured asset, and we are proud to have such talented, passionate and tech\-savvy professionals on our team. We are dedicated to providing equal opportunities for all, and any hiring decisions will be assessed on qualifications, merit and business need. If there are any accommodations you may need throughout the hiring process, please feel free to email us at careers@accesso.com so that we can set you up for success. Learn more about Diversity \&amp; Inclusion at ***accesso***. You can review our candidate privacy statement here: Candidate Privacy Statement
### **ABOUT** ***accesso*****:**
Our team is on a mission to improve the guest experience with technology. We support some of the world's top attractions and leisure \&amp; entertainment venues by creating innovative technology solutions that enhance the guest journey from start to finish. Currently, **accesso®** employs over 500 team members around the globe , many of whom come from the industries we serve. From ticketing and eCommerce to virtual queuing and more, we understand firsthand what makes our clients and their guests smile, and we're constantly developing new solutions to enhance the guest experience while helping our clients streamline operations and drive revenue.</t>
        </is>
      </c>
    </row>
    <row r="123">
      <c r="A123" t="inlineStr">
        <is>
          <t>in-6211e96950db8592</t>
        </is>
      </c>
      <c r="B123" t="inlineStr">
        <is>
          <t>Senior Product Manager, Clinical Risk</t>
        </is>
      </c>
      <c r="C123" t="inlineStr">
        <is>
          <t>Rightway Healthcare, Inc</t>
        </is>
      </c>
      <c r="D123" t="inlineStr">
        <is>
          <t>indeed</t>
        </is>
      </c>
      <c r="E123">
        <f>HYPERLINK("https://www.indeed.com/viewjob?jk=6211e96950db8592", "https://www.indeed.com/viewjob?jk=6211e96950db8592")</f>
        <v/>
      </c>
      <c r="F123">
        <f>HYPERLINK("https://grnh.se/sp1i30lq3us", "https://grnh.se/sp1i30lq3us")</f>
        <v/>
      </c>
      <c r="G123" t="inlineStr">
        <is>
          <t>New York, NY, US</t>
        </is>
      </c>
      <c r="H123" s="3" t="n">
        <v>46055</v>
      </c>
      <c r="I123" t="inlineStr">
        <is>
          <t>**Location: Remote (EST/CST preferred), NYC area encouraged**
**About the Role**
------------------
We're seeking a strategic yet hands\-on Product Manager to create a wholly new set of products at Rightway: the tools that help us forecast, monitor, and mitigate PBM contractual guarantee risk.
Rightway's PBM business model includes contractual guarantees that an employer population will only spend X dollars on medications in a given year. When spend exceeds that level, Rightway may be responsible for paying back a portion of our PMPM fees. This role will build the internal products and data foundations that enable our teams to identify risk earlier, pinpoint the key drivers of overages, and equip clinical teams with actionable insights to intervene, improving member outcomes while reducing avoidable financial leakage.
In the first 6 months, you'll focus on building a monitoring and risk identification system that:
* identifies employer customers trending toward overages
* surfaces the members driving spend
* highlights clinically appropriate medication alternatives and intervention opportunities
You'll work closely with our Financial Risk team, partner with clinical outreach teams, and lead a cross\-functional squad that includes application engineers, data engineers, and analysts, with design support as needed.
**What You'll Do**
------------------
### **Product Strategy \&amp; Vision**
* Own the product vision and roadmap for Rightway's Clinical Risk \&amp; Engagement product suite, balancing near\-term delivery (monitoring \+ identification) with a longer\-term path to proactive and automated engagement.
* Define the end\-to\-end "risk to action" workflow across teams: forecast detect risk explain drivers prioritize opportunities enable outreach measure impact.
### **Build Risk Monitoring \+ Driver Identification (First 6 Months)**
* Build tools that reduce or replace manual analysis by enabling:
* + automated monitoring of employer populations against contractual guarantee thresholds
	+ trend detection using contract rules and claims\-based spend
	+ clear views into "what changed" and "why we're trending over"
* Create dashboard\-style experiences to identify and understand the members driving spend, enabling rapid drill\-down from customer cohort member.
### **Create Actionable Clinical Insights ("Chase Lists")**
* Partner with clinical teams to develop a high\-signal workflow that supports outreach and behavior change, including:
* + a prioritized, ranked "chase list" of members based on estimated intervention value
	+ member context (condition, medication usage) and clinically appropriate alternatives
	+ clear explanations that help clinical teams act confidently and consistently
* Ensure outputs are practical for real outreach operations (not just analytics), and iterate with fast feedback loops.
### **Data \+ Modeling Foundations**
* Partner with Data Engineering and Analytics teams to define the models and datasets that power these products, leveraging:
* + Rx claims, medical claims
	+ demographics (age, sex)
	+ member\-provided information (health profile submissions)
* Set standards for usability and trust: timeliness, data quality, explainability, and auditability (especially where contract rules and dollars are involved).
* Explore opportunities to incorporate AI/ML where it improves model quality and prioritization without sacrificing interpretability and reliability.
### **Execution \&amp; Delivery**
* Translate business needs into detailed requirements, user stories, acceptance criteria, and success metrics.
* Lead discovery with financial risk and clinical partners; align stakeholders around scope, sequencing, and tradeoffs.
* Manage a prioritized backlog across application engineering and data teams; ship iteratively and improve based on adoption and outcomes.
**Who You Are**
---------------
### **Required Experience**
* 3\+ years of product management experience delivering complex, cross\-functional products.
* Strong comfort working with data\-heavy systems (dashboards, internal tools, analytics products, forecasting/monitoring).
* Proven ability to turn ambiguous workflows into shipped software that changes how teams operate.
* Experience partnering closely with engineering, data engineering, and analysts to define models, instrumentation, and reliable reporting.
* Ability to communicate clearly with technical and non\-technical stakeholders and align them around measurable outcomes.
### **Preferred Experience**
* Experience bringing a product from 0 to 1, from the beginning of ideation through launch support.
* Experience in healthcare, PBM, claims analytics, or clinical data.
* Experience with financial risk products (forecasting, monitoring, guarantees, margin protection, unit economics).
* Exposure to AI/ML concepts (predictive modeling, ranking, propensity, explainability) and using them responsibly in production products.
### **Traits That Set You Apart**
* A systems thinker who can simplify complexity and build products people actually use.
* A pragmatic builder who delivers "thin slices," learns fast, and iterates toward a durable platform.
* An owner who takes accountability for outcomes, especially when the metric is dollars.
* A trusted partner who can bridge finance, clinical, and technical teams.
**SALARY (BEFORE COMMISSION POTENTIAL): $140,000 \- $160,000**
Offer amounts for both remote and in office roles are influenced by geographic location.
**CYBERSECURITY AWARENESS NOTICE**
In response to ongoing and industry\-wide fraudulent recruitment activities (i.e., job scams), Rightway wants to inform potential candidates that we will only contact them from the @rightwayhealthcare.com email domain. We will never ask for bank details or deposits of any kind as a condition of employment.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$205mm from investors including Khosla Ventures, Thrive Capital, and Tiger Global. We're headquartered in New York City, with satellite offices in Denver and Dallas.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following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Proudly an Equal Opportunity Employer that believes in strength in the diversity of thought processes, beliefs, background and education and fosters an inclusive culture where differences are celebrated to drive the best business decisions possible. We do not discriminate on any basis covered by appropriate law. All employment is decided on the consideration of merit, qualifications, need and performance.</t>
        </is>
      </c>
    </row>
    <row r="124">
      <c r="A124" t="inlineStr">
        <is>
          <t>in-0e208c7c0df63b65</t>
        </is>
      </c>
      <c r="B124" t="inlineStr">
        <is>
          <t>Product Manager II</t>
        </is>
      </c>
      <c r="C124" t="inlineStr">
        <is>
          <t>Alarm.com</t>
        </is>
      </c>
      <c r="D124" t="inlineStr">
        <is>
          <t>indeed</t>
        </is>
      </c>
      <c r="E124">
        <f>HYPERLINK("https://www.indeed.com/viewjob?jk=0e208c7c0df63b65", "https://www.indeed.com/viewjob?jk=0e208c7c0df63b65")</f>
        <v/>
      </c>
      <c r="F124">
        <f>HYPERLINK("https://grnh.se/dmd7c46k2us", "https://grnh.se/dmd7c46k2us")</f>
        <v/>
      </c>
      <c r="G124" t="inlineStr">
        <is>
          <t>Tysons, VA, US</t>
        </is>
      </c>
      <c r="H124" s="3" t="n">
        <v>46055</v>
      </c>
      <c r="I124" t="inlineStr">
        <is>
          <t>Alarm.com is seeking an experienced and technically strong Senior Embedded Firmware Engineer to join our Device Engineering team. This role is ideal for a senior‑level engineer who thrives in hands‑on development while providing technical leadership across embedded platforms, third‑party device integrations, and firmware architecture modernization efforts.
As a Staff Engineer, you will own and evolve embedded firmware architectures running on resource‑constrained devices, with deep involvement in RTOS‑based systems such as Zephyr. You will be an individual contributor leading complex integrations with security panels, sensors, and third‑party devices, set technical direction for firmware platforms, and partner closely with Software Engineering, Quality Engineering, Product, and Project Management to deliver scalable, reliable, and secure products. You will also play a key role in advancing firmware automation and CI/CD pipelines across the organization.
**What You'll Do**
* Lead the design, development, and long‑term maintenance of embedded firmware for connected security and IoT devices as an individual contributor.
* Own and evolve firmware architectures based on modern RTOS platforms (e.g., FreeRTOS, Zephyr), including task design, memory management, synchronization, and system reliability
* Drive complex integrations with third‑party devices such as security panels, sensors, and peripheral modules, setting best practices and technical standards
* Design and review device drivers, communication stacks, and application‑level firmware with an emphasis on scalability, performance, and maintainability
* Act as a technical leader and mentor for junior and mid‑level firmware engineers through design reviews, code reviews, and hands‑on guidance
* Partner closely with Software Engineering, Quality Engineering, Product, and Project Management to shape requirements, assess technical tradeoffs, and deliver features predictably
* Lead root‑cause analysis for complex system issues that span hardware, firmware, cloud, and mobile components
* Drive improvements to firmware automation, test infrastructure, and CI/CD pipelines, including build systems, automated testing, and hardware‑in‑the‑loop validation
* Champion firmware quality, security, documentation, and engineering best practices across the device organization
* Other duties as assigned
**What You Bring**
* 7\-8 years of professional experience developing embedded firmware in C/C\+\+ for production systems
* Deep, hands‑on experience designing and shipping RTOS‑based embedded systems (FreeRTOS, Zephyr, or equivalent)
* Strong understanding of embedded system architecture, including task scheduling, concurrency, memory management, timing constraints, and fault handling
* Extensive experience integrating third‑party hardware and vendor SDKs using common interfaces (UART, SPI, I2C, GPIO, etc.)
* Proven ability to debug complex issues using hardware and software tools (JTAG/SWD, logic analyzers, oscilloscopes, tracing, logging)
* Demonstrated ability to responsibly and effectively leverage AI‑assisted development tools to accelerate firmware design, debugging, documentation, and test development, while ensuring correctness, security, and maintainability through rigorous review and validation.
* Experience working across cross‑functional teams and influencing technical decisions beyond your immediate team
* Strong communication skills and the ability to provide technical leadership without formal people management responsibilities
**Nice to Have**
* Experience leading firmware platform migrations or major architectural refactors
* Familiarity with embedded security concepts such as secure boot, firmware updates, key management, and device lifecycle management
* Experience with common communication protocols. Wireless technology familiarity is a plus (cellular, Wi\-Fi, Bluetooth, Z\-Wave, Zigbee, etc).
* Experience designing or maintaining embedded firmware CI/CD pipelines, automation frameworks, or hardware‑in‑the‑loop systems
* Experience collaborating on hardware design, including schematic reviews, bring\-up and low\-power design is a plus.
* Exposure to low‑power design considerations for embedded or IoT devices
* Experience working in Agile or iterative product development environments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**Community and Camaraderie:** One of our core values is to 'Keep It Fun,' which to us means fostering a strong sense of community. Our culture is built on collaboration and connection, where we celebrate our successes and believe that a positive, engaging environment is key to doing our best work.
* **Alarm.com** **values working together and collaborating in person. Our employees work from the office** **4 days a week****.**
**COMPANY INFO**
Alarm.com is the leading platform for intelligently connected properties. Millions of homeowners and businesses rely on Alarm.com's technology to secure, monitor, and manage their environments from anywhere. Our comprehensive suite of solutions—including security, video surveillance, access control, active shooter detection, intelligent automation, energy management, and wellness—is delivered exclusively through a trusted network of thousands of professional service providers and commercial integrators across North America and worldwide. Alarm.com's common stock is traded on Nasdaq under the ticker symbol ALRM. Alarm.com delivers serious security for serious people.
For more information, please visit www.alarm.com.
**COMPANY BENEFITS**
Our total rewards package is designed to support you holistically—in your health, your finances, and your life outside of work. The package includes medical plans with company subsidies, a Health Savings Account (HSA) with a company contribution, and a 401(k) with an employer match. We encourage a healthy work\-life balance with paid vacation that increases with tenure, paid holidays, wellness time, and paid maternity and bonding leave. To complete the package, we also provide company\-paid disability and life insurance, all within a collaborative and casual work environment.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please email your company information and standard agreement to RecruitingPartnerships@Alarm.com.</t>
        </is>
      </c>
    </row>
    <row r="125">
      <c r="A125" t="inlineStr">
        <is>
          <t>in-7b504f6c9dd7a56a</t>
        </is>
      </c>
      <c r="B125" t="inlineStr">
        <is>
          <t>Senior Product Manager, Offsite Ads</t>
        </is>
      </c>
      <c r="C125" t="inlineStr">
        <is>
          <t>Lyft</t>
        </is>
      </c>
      <c r="D125" t="inlineStr">
        <is>
          <t>indeed</t>
        </is>
      </c>
      <c r="E125">
        <f>HYPERLINK("https://www.indeed.com/viewjob?jk=7b504f6c9dd7a56a", "https://www.indeed.com/viewjob?jk=7b504f6c9dd7a56a")</f>
        <v/>
      </c>
      <c r="F125">
        <f>HYPERLINK("https://grnh.se/3uvci2zm2us", "https://grnh.se/3uvci2zm2us")</f>
        <v/>
      </c>
      <c r="G125" t="inlineStr">
        <is>
          <t>New York, NY, US</t>
        </is>
      </c>
      <c r="H125" s="3" t="n">
        <v>46055</v>
      </c>
      <c r="I125" t="inlineStr">
        <is>
          <t>At Lyft, our purpose is to serve and connect. We aim to achieve this by cultivating a work environment where all team members belong and have the opportunity to thrive.
Lyft Ads is building the world's largest mobility advertising network, connecting brands with millions of consumers throughout their transportation journeys. Our mission is to help brands reach riders during key moments of their journey — before, during, and after a ride — by delivering meaningful, contextually relevant ad experiences. This role focuses on the "before" and "after" of that ride journey.
Lyft is embarking on a new growth phase: using our rich first\-party data to expand advertising reach beyond our own inventory. As Senior Product Manager for Offsite Ads, you will lead the 0\-to\-1 development of integrations and platform capabilities that enable advertisers to reach Lyft riders on third\-party channels (websites, apps, connected TV, social platforms). This role offers a unique opportunity to get in on the ground floor of net\-new programmatic advertising business, validate a new monetization model, and accelerate growth for our already rapidly growing Ads business.
**Responsibilities:**
---------------------
* Understand Lyft's strategic and competitive position in ads, and use it to develop a compelling vision and roadmap for off\-platform advertising.
* Drive development of new partnerships, including integrations with demand\-side platform(s), supply\-side platforms, social platforms, and other technologies to enable Lyft audiences to be seamlessly reached across other sites and channels.
* Lead and align cross\-functional partners and teams: engineers, data scientists, marketers, sellers, legal counsel, and operations partners to drive a shared vision.
* Communicate clear roadmaps, priorities, experiments and decisions across a wide spectrum of audiences, from partner teams to the executive level.
**Experience:**
---------------
* 5\+ years of product management experience with demonstrated success in ambiguous, fast\-paced environments.
* Ad tech and programmatic ads expertise, including hands\-on experience with demand\-side platforms, ad exchanges, audience extension, and clean rooms.
* Strong technical acumen. You're comfortable discussing architecture, APIs, data pipelines, and identity models with engineering, data scientists, and partners.
* Excellent judgment and thoughtfulness about the dynamics of the digital ad ecosystem and Lyft's position within it.
* Natural ability to make things happen around you. You manage project ambiguity, complexity and interdependencies in an organized and structured way. Be able to define and analyze metrics that inform the success of products.
* Strong communication skills and intuition for communication strategy at every level — within teams, within the org, to customers, and to other audiences.
Detail oriented with superior organizational skills * \- balancing multiple projects, deadlines, and requests should be second nature to you.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26">
      <c r="A126" t="inlineStr">
        <is>
          <t>in-cc211eb88121a30f</t>
        </is>
      </c>
      <c r="B126" t="inlineStr">
        <is>
          <t>Senior Program Manager - FLRAA</t>
        </is>
      </c>
      <c r="C126" t="inlineStr">
        <is>
          <t>GE Aerospace</t>
        </is>
      </c>
      <c r="D126" t="inlineStr">
        <is>
          <t>indeed</t>
        </is>
      </c>
      <c r="E126">
        <f>HYPERLINK("https://www.indeed.com/viewjob?jk=cc211eb88121a30f", "https://www.indeed.com/viewjob?jk=cc211eb88121a30f")</f>
        <v/>
      </c>
      <c r="F126">
        <f>HYPERLINK("https://careers.geaerospace.com/global/en/job/R5027637/Senior-Program-Manager-FLRAA?utm_source=indeed&amp;utm_medium=phenom-feeds", "https://careers.geaerospace.com/global/en/job/R5027637/Senior-Program-Manager-FLRAA?utm_source=indeed&amp;utm_medium=phenom-feeds")</f>
        <v/>
      </c>
      <c r="G126" t="inlineStr">
        <is>
          <t>Clearwater, FL, US</t>
        </is>
      </c>
      <c r="H126" s="3" t="n">
        <v>46055</v>
      </c>
      <c r="I126" t="inlineStr">
        <is>
          <t>**Job Description Summary**
===========================
GE Aerospace is seeking a highly motivated and experienced Program Manager to join our FLRAA program team. The Program Manager will be responsible for overseeing the planning, execution, and delivery of program scope that feeds into the overall FLRAA program, ensuring alignment with GE Aerospace's strategic objectives and customer requirements.
This role requires strong leadership, communication, and project management skills to drive program success.  
Location: Grand Rapids, MI or Clearwater, FL  
This position offers a blend of onsite and hybrid work arrangements, requiring a presence in the office for 3\-4 days each week. An extensive corporate relocation package is available for eligible candidates.**Job Description**
===================
**Roles \&amp; Responsibilities**
* Own FLRAA NXP program in the development and execution of program plans, schedules, and budgets.
* Ensure program objectives are met in accordance with GE Aerospace's Safety, Quality, Delivery, and Cost (SQDC) priorities.
* Coordinate cross\-functional teams, including engineering, manufacturing, sourcing, supply chain, and quality, to achieve program milestones and deliverables.
* Monitor program performance and implement corrective actions as needed to address any deviations from the plan.
* Communicate program status, risks, and issues to senior management and stakeholders, providing regular updates and reports.
* Foster a culture of continuous improvement and operational excellence within the program team.
* Ensure compliance with all regulatory and contractual requirements.
* Manage customer relationships and serve as the primary point of contact for program\-related matters.
* Identify and mitigate program risks, developing contingency plans as necessary.
* Support the development and implementation of lean principles and practices within the program.
**Required Qualifications**
* Bachelor's degree from an accredited university or college (Technical Degrees preferred).
* Minimum of 8 years of experience as a Program Manager, Project Manager, Product Manager or Engineering Manager
* Ability and willingness to travel frequently to both customer and internal locations.
* T**his position requires U.S. citizenship status.**
**Desired Characteristics**
* Minimum of 8 years of experience as a Program Manager, Project Manager, Product Manager or Engineering Manager preferably within the aerospace or defense industry.
* Background in avionics systems integration, hardware, software development.
* Deep domain expertise in life cycle development for high design assurance programs as a Product Manager or Engineering.
* Proven track record of successfully managing complex programs from inception to completion.
* Strong understanding of project management methodologies and tools.
* Excellent leadership, communication, and interpersonal skills.
* Ability to work effectively in a fast\-paced, dynamic environment.
* Independent, self\-starter that can proactively manage a variety of external and internal stakeholders and achieve business growth
* Strong problem\-solving and decision\-making abilities.
* PMP or equivalent project management certification is a plus.
* Knowledge of lean principles and practices is highly desirable.
**Some of our competitive benefits package includes:**
* Medical, dental, and vision insurance that begins on the first day of employment
* Permissive time off policy for newly hired employees
* Generous 401(k) plan
* Tuition Reimbursement
* Life insurance and disability coverage
* And more!
The base pay range for this position is $146,000\.00 \- $195,000\.00\.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03/31/26\.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\#LI\-KS1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No</t>
        </is>
      </c>
    </row>
    <row r="127">
      <c r="A127" t="inlineStr">
        <is>
          <t>in-cc6be5508b901cae</t>
        </is>
      </c>
      <c r="B127" t="inlineStr">
        <is>
          <t>Senior Product Manager - MetaMask (Engagement)</t>
        </is>
      </c>
      <c r="C127" t="inlineStr">
        <is>
          <t>ConsenSys</t>
        </is>
      </c>
      <c r="D127" t="inlineStr">
        <is>
          <t>indeed</t>
        </is>
      </c>
      <c r="E127">
        <f>HYPERLINK("https://www.indeed.com/viewjob?jk=cc6be5508b901cae", "https://www.indeed.com/viewjob?jk=cc6be5508b901cae")</f>
        <v/>
      </c>
      <c r="F127">
        <f>HYPERLINK("https://grnh.se/8wypwy4o1us", "https://grnh.se/8wypwy4o1us")</f>
        <v/>
      </c>
      <c r="G127" t="inlineStr">
        <is>
          <t>New York, NY, US</t>
        </is>
      </c>
      <c r="H127" s="3" t="n">
        <v>46055</v>
      </c>
      <c r="I127"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**the Engagement Team**
Engagement is a critical part of how users experience the product over time. In this role, you'll shape the systems that determine when, why, and how we communicate with users — and help transform engagement into a durable, scalable capability that supports growth without compromising trust.
We're looking for a Senior Product Manager – Engagement to own and evolve the systems that help users stay informed, engaged, and coming back to the product over time.
This role sits at the intersection of product, growth, and lifecycle communication. You'll be responsible for the tooling and experiences that power automated, timely, and relevant messages across the user journey — from onboarding and activation to ongoing engagement and re\-engagement with the full suite of MetaMask products (swaps, perps trading, prediction markets, and more).
Your mission is to turn engagement tooling into a reliable, scalable capability that empowers teams across the company to launch high\-quality campaigns, experiments, and product moments with speed, confidence, and clear impact.
This is a hands\-on, senior individual contributor role with end\-to\-end ownership over a critical growth surface.
**What you'll do**
* Own the product vision and roadmap for engagement tooling, including automated messaging, lifecycle communication, and self\-serve infrastructure.
* Define and improve how teams create, manage, target, test, and measure engagement across channels.
* Partner closely with Design, Engineering, Data, and Marketing to build systems that are flexible, reliable, and easy to use.
* Enable high\-quality launches and experiments by making engagement tooling faster, safer, and more predictable.
* Balance user trust and experience with business goals, ensuring messages are relevant, timely, and useful.
* Establish clear success metrics (e.g. activation, retention, re\-engagement, conversion) and use data to guide prioritization.
* Identify gaps, friction, and scalability limits in existing tooling and drive meaningful improvements.
* Communicate product strategy, tradeoffs, and progress clearly to stakeholders across product, marketing, and leadership.
**Would be great if you brought this to the role**
* 5\+ years of product management experience, ideally in consumer, fintech, or platform\-style products.
* Proven ability to own and ship end\-to\-end product experiences with meaningful user and business impact.
* Strong product judgment and user empathy, especially around notifications, messaging, and engagement surfaces.
* Comfort working with data, experiments, and metrics to evaluate product effectiveness.
* Mastery of systems thinking, able to connect complex components to create a robust platform.
* Able to work in a matrixed, cross\-functional environment with multiple stakeholders.
* Excellent written and verbal communication skills.
**Bonus points if you have**
* Experience in growth marketing, lifecycle marketing, or marketing automation.
* Familiarity with tools or systems for segmentation, targeting, experimentation, or campaign orchestration.
* Experience building internal tools or platforms used by multiple teams.
* Background in highly regulated or trust\-sensitive product environments.
* Curiosity about web3, financial products, or emerging consumer platforms.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128">
      <c r="A128" t="inlineStr">
        <is>
          <t>in-e786f368b08a391b</t>
        </is>
      </c>
      <c r="B128" t="inlineStr">
        <is>
          <t>Product Manager</t>
        </is>
      </c>
      <c r="C128" t="inlineStr">
        <is>
          <t>FanDuel</t>
        </is>
      </c>
      <c r="D128" t="inlineStr">
        <is>
          <t>indeed</t>
        </is>
      </c>
      <c r="E128">
        <f>HYPERLINK("https://www.indeed.com/viewjob?jk=e786f368b08a391b", "https://www.indeed.com/viewjob?jk=e786f368b08a391b")</f>
        <v/>
      </c>
      <c r="F128">
        <f>HYPERLINK("https://grnh.se/8ts1r6611us", "https://grnh.se/8ts1r6611us")</f>
        <v/>
      </c>
      <c r="G128" t="inlineStr">
        <is>
          <t>Atlanta, GA, US</t>
        </is>
      </c>
      <c r="H128" s="3" t="n">
        <v>46055</v>
      </c>
      <c r="I128" t="inlineStr">
        <is>
          <t>**THE POSITION**  
Our roster has an opening with your name on it.
The Product Manager is responsible for the planning and execution of successful product initiatives. This includes understanding and prioritizing product and customer needs, defining product goals, and working closely with engineering, product owners, and business stakeholders to bring solutions to market. The Product Manager monitors product performance through market analysis, a deep understanding of customer needs, and objective data analysis and reporting.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Inform, shape, and drive execution of specific Core product initiatives
* Establish and maintain domain expertise on the product, market, and competitors
* Assess product opportunities and contribute meaningfully to ideation and prioritization for new initiatives and products
* Ensure transparency and alignment with organizational stakeholders
* Collaborate with engineering, product owners, marketing and operational functions to ensure successful product deliveries and launches
* Identify, prioritize, and execute post\-launch optimizations and improvements
* Track and report objectively on product performance, including an understanding of related incidents
* Be the "Canadian Champion" – always ensuring our Canadian customer preferences are considered and their requirements met
**THE STATS**  
What we're looking for in our next teammate
* Bachelor's degree preferred
* Minimum 3\+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$101,000 \- $138,600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29">
      <c r="A129" t="inlineStr">
        <is>
          <t>in-1035031497e01cc6</t>
        </is>
      </c>
      <c r="B129" t="inlineStr">
        <is>
          <t>Product Manager</t>
        </is>
      </c>
      <c r="C129" t="inlineStr">
        <is>
          <t>Eurotrol</t>
        </is>
      </c>
      <c r="D129" t="inlineStr">
        <is>
          <t>indeed</t>
        </is>
      </c>
      <c r="E129">
        <f>HYPERLINK("https://www.indeed.com/viewjob?jk=1035031497e01cc6", "https://www.indeed.com/viewjob?jk=1035031497e01cc6")</f>
        <v/>
      </c>
      <c r="F129">
        <f>HYPERLINK("https://www.eurotrol.com/en/jobs/product-manager/", "https://www.eurotrol.com/en/jobs/product-manager/")</f>
        <v/>
      </c>
      <c r="G129" t="inlineStr">
        <is>
          <t>Elizabethtown, KY, US</t>
        </is>
      </c>
      <c r="H129" s="3" t="n">
        <v>46055</v>
      </c>
      <c r="I129" t="inlineStr">
        <is>
          <t>Elizabethtown KY  
USA
Sales and Marketing
Full\-time
**For laboratory professionals ready to shape the future, not just run tests**
You’ve spent years in the lab.
You understand quality control, point\-of\-care testing (POCT) workflows, and the real\-world pressure faced by clinicians every day.
Now imagine using that expertise to influence products, guide teams, and directly impact how POCT is done across the U.S.
If you’re an experienced Medical Laboratory Scientist with POCT insight, this role was written for you.
**Why this role stands out**
This is not a behind\-the\-desk product role.  
You’ll be the bridge between laboratories, customers, OEM and Proficiency testing (PT) partners, and product development, translating real clinical needs into better solutions.
At Eurotrol, your voice matters. Your experience shapes direction. And your work is visible.
**What you’ll do**
As Product Manager, you will:
* Lead, train, and support our Product Specialist and Customer Support teams
* Engage with laboratory professionals nationwide to understand evolving POCT needs
* Build strategic relationships with OEMs and Proficiency Testing organizations
* Partner closely with Product Development to optimize and expand the product portfolio
* Drive market research, product positioning, and promotional strategy
* Represent Eurotrol at conferences, customer visits, and industry events
* Act as a trusted expert, internally and externally, for POCT quality control
**Who you are**
You’re likely coming from a role such as POC Coordinator, Lab Manager, Technical Supervisor, or MLS, and you bring:
* Hands\-on experience in medical laboratory and POCT environments
* A proactive, ambitious, self\-starting mindset
* Strong organizational skills and the ability to prioritize independently
* Clear, confident communication, both written and spoken
* Experience training, teaching, or coaching lab professionals
* Curiosity, adaptability, and a fast learning curve
* Prior exposure to product management, marketing, or IVD industry roles is an advantage but not required
**How you’ll work**
* Home\-based role within the U.S.
* Regular travel for team meetings, trade shows, and customer visits
* Must live within reasonable distance of a major airport
* All required office equipment provided
* Reliable high\-speed internet and a quiet work environment required
* Valid driver’s license and willingness to travel by car when needed
* Reports directly to the President of Eurotrol
* Availability during normal U.S. business hours for leadership responsibilities
**Why Eurotrol**
We’re a global leader in quality control solutions for clinical and point\-of\-care diagnostics, but more importantly, we’re a team that values expertise, independence, and collaboration.
Learn more about who we are and what we build at www.eurotrol.com.
**Ready to make your move?**
Send your resume and a brief motivation explaining why this role fits your experience and ambition to:
hr\-usa@eurotrol.com
If you’ve been waiting for the right opportunity to step beyond the bench and shape the field, this is it.</t>
        </is>
      </c>
    </row>
    <row r="130">
      <c r="A130" t="inlineStr">
        <is>
          <t>in-5e7a1bb24f7c6aa8</t>
        </is>
      </c>
      <c r="B130" t="inlineStr">
        <is>
          <t>Senior Software Product Manager</t>
        </is>
      </c>
      <c r="C130" t="inlineStr">
        <is>
          <t>Western Governors University</t>
        </is>
      </c>
      <c r="D130" t="inlineStr">
        <is>
          <t>indeed</t>
        </is>
      </c>
      <c r="E130">
        <f>HYPERLINK("https://www.indeed.com/viewjob?jk=5e7a1bb24f7c6aa8", "https://www.indeed.com/viewjob?jk=5e7a1bb24f7c6aa8")</f>
        <v/>
      </c>
      <c r="F130">
        <f>HYPERLINK("https://wgu.wd5.myworkdayjobs.com/en-US/External/job/Salt-Lake-City-Office/Senior-Software-Product-Manager_JR-024257", "https://wgu.wd5.myworkdayjobs.com/en-US/External/job/Salt-Lake-City-Office/Senior-Software-Product-Manager_JR-024257")</f>
        <v/>
      </c>
      <c r="G130" t="inlineStr">
        <is>
          <t>Salt Lake City, UT, US</t>
        </is>
      </c>
      <c r="H130" s="3" t="n">
        <v>46055</v>
      </c>
      <c r="I130"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410
Pay Range: $140,200\.00 \- $217,200\.00
Job Description
The Senior Software Product Manager position at WGU is an individual contributor role for experienced product individuals who are passionate about delighting users while delivering value to the business. You will collaborate with a cross\-functional team and product peers to develop strategic product roadmaps that ensure a holistic end\-to\-end user experience. You will build business cases, articulate strategy, and evangelize the product vision to stakeholders and cross\-functional team members. You will measure and report on the efficacy of your initiatives and develop action plans accordingly. You will make hard, high\-stakes trade\-offs between features, choosing those that are most likely to ensure that both business goals and user needs are met.
We look for candidates who can demonstrate a history of delivering outcomes through a partnership with design, engineering and the business. Someone who, as an excellent storyteller, can represent the interests of the users they serve and influence teams to generate the outcomes that resolve their most pressing problems. We look for candidates who are collaborative by nature, empathetic to users, and are most likely to garner the trust of the stakeholders they serve.
Job Duties* Works closely with cross functional team of stakeholders, end\-users, engineers, UX designers, and product leaders to understand the problems to solve, inform the product vision, and define requirements.
* Works toward creating shared outcomes with multiple teams to deliver impact for customers.
* Defines product release strategies, ensuring the readiness of the various business partners.
* Becomes the expert of their product, demonstrating mastery of the current platform including success metrics, product health, leading and lagging indicators, and enterprise data, with an understanding of gaps that inform their near\-term product roadmap and contribute to long\-term strategy.
* Creates, manages, and regularly presents a strategic roadmap to both stakeholders and delivery teams.
* Manages expectations by understanding when initiatives are at risk and proactively communicates with stakeholders.
* Participates and presents in planning activities within their scope of work.
* Gathers feedback about the product capabilities needed using interviews, conducting focus groups, instrumenting surveys, partnering with UX on usability sessions, reviewing online communities and working with internal tech teams.
* Participates in and sometimes leads the RFI and RFP vendor selection process.
* Ensures product quality by testing software features to ensure they satisfy the acceptance criteria and works with stakeholders and end users to coordinate user acceptance testing activities.
* Builds mentorship relationships and initiates guidance of less senior Product Managers.
* Effectively uses data and insights provided by researchers and analysts to distill clarity from ambiguity and guide decisions regarding outcome selection and prioritization.
* Provides strategic direction to less senior product managers who lead delivery on Scrum teams.
* Acts as Product Lead on one or more projects.
* Understands and can communicate the impact of their product on the platform and overall business.
* Makes priority decisions that reflect an understanding of business goals, market demand, and user needs.
* Constantly evaluates the impact of trade\-off decisions to ensure we are delivering the greatest value to users.
* Clearly articulates their product’s strategy and communicates why we are focusing on certain areas and not on others.
* Crafts business cases, ROI analyses, epics, stories, and manages prioritization across large projects and small/medium programs.
* Performs other job\-related duties as assigned.
KSAs* Understands the landscape of problems and quickly zeros in on the best strategy to achieve business outcomes
* Excels at storytelling
* Demonstrates expertise in a variety of product discovery techniques
* Ability to redirect conversation to problems to be solved and outcomes to be accomplished before jumping to solutions
* Ability to look beyond the obvious and doesn’t stop at the first solution proposed
* Ability to make choices about priorities that clearly demonstrates an understanding of the business goals, market demand, and user needs
* Ability to assess product health and use data to inform prioritization decisions, to ensure product quality, and service levels, and meet defined goals and success metrics
* Effectively copes with change and can shift gears comfortably
* Excellent presentation, written, and verbal communication skills
* Strong passion for exploring and understanding customer needs
* Leadership instincts with a positive team building approach
Minimum Qualifications* Bachelor's Degree
* 7 years of experience as a Software Product Manager or Product Owner
* Professional Product Certification (e.g., Certified Scrum Product Owner (CSPO), Pragmatic Marketing)
* Experience working in agile environments
* Equivalent relevant experience performing the essential functions of this job may substitute for education degree requirements. Generally, equivalent relevant experience is defined as 1 year of experience for 1 year of education and is the discretion of the hiring manager.
Preferred Qualifications* Master's Degree
* Experience in Education Technology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131">
      <c r="A131" t="inlineStr">
        <is>
          <t>in-f9de15d572cbede1</t>
        </is>
      </c>
      <c r="B131" t="inlineStr">
        <is>
          <t>Production Program Manager</t>
        </is>
      </c>
      <c r="C131" t="inlineStr">
        <is>
          <t>Elevate Aircraft Seating</t>
        </is>
      </c>
      <c r="D131" t="inlineStr">
        <is>
          <t>indeed</t>
        </is>
      </c>
      <c r="E131">
        <f>HYPERLINK("https://www.indeed.com/viewjob?jk=f9de15d572cbede1", "https://www.indeed.com/viewjob?jk=f9de15d572cbede1")</f>
        <v/>
      </c>
      <c r="F131">
        <f>HYPERLINK("https://elevateseats.hrmdirect.com/employment/view.php?req=3611877&amp;jbsrc=1014&amp;location=1f9fb9dc-3148-4216-313e-1a0257aa2698", "https://elevateseats.hrmdirect.com/employment/view.php?req=3611877&amp;jbsrc=1014&amp;location=1f9fb9dc-3148-4216-313e-1a0257aa2698")</f>
        <v/>
      </c>
      <c r="G131" t="inlineStr">
        <is>
          <t>Huntington Beach, CA, US</t>
        </is>
      </c>
      <c r="H131" s="3" t="n">
        <v>46035</v>
      </c>
      <c r="I131" t="inlineStr">
        <is>
          <t>Since 2018, Elevate Aircraft Seating has been enhancing the passenger experience through innovative aircraft seat design and manufacturing. With locations in California, Washington, and Germany we are guided by creativity, collaboration, and a shared commitment to quality.
We are looking for a skilled Production Program Manager to join our team in Huntington Beach, CA. This is an on\-site position based in Huntington Beach, CA. We value teamwork, inclusivity, and continuous professional development, and we offer competitive benefits along with opportunities for growth.
**JOB SUMMARY**
The Production Program Manager owns cost, schedule, quality, and delivery performance for products in serial production. This role manages day\-to\-day execution, serves as the primary customer contact, and ensures on\-time delivery through close coordination with manufacturing, supply chain, quality, purchasing, and engineering. The position identifies production risks, drives corrective actions, and resolves issues impacting customer commitments and operational performance.
**SUMMARY OF JOB DUTIES** \- **Essential Functions****(Other duties and projects may be assigned or requested.)**
*Reasonable accommodations may be made to enable individuals with disabilities to perform the essential functions*
* Own overall program performance for cost, schedule, quality, and delivery in serial production.
* Serve as the primary customer interface for production status, delivery commitments, schedule changes, and production\-related issues.
* Execute day\-to\-day operational control of assigned production programs to ensure on\-time delivery.
* Resolve manufacturing, supply chain, quality, and engineering issues through active escalation and cross\-functional coordination.
* Manage technical and quality issues to maintain delivery commitments and reduce operational risk.
* Plan production execution using schedules, milestones, and recovery actions aligned to manufacturing requirements.
* Monitor manufacturing, procurement, and production support activities against plan.
* Oversee procurement and manufacturing execution to ensure alignment with delivery and cost commitments.
* Control program scope and changes impacting cost, schedule, quality, or delivery through disciplined change management.
* Assess production, supply chain, quality, and delivery risks and implement mitigation and recovery plans.
* Coordinate matrixed resources across manufacturing, supply chain, quality, and engineering.
* Define team roles, responsibilities, and accountabilities in a matrixed production environment.
* Manage supplier performance and procurement progress to support on\-time production.
* Control production and procurement costs to support overall program financial performance.
* Communicate production status, risks, and recovery plans clearly and proactively with customers and internal stakeholders.
* Maintain customer confidence through consistent, transparent execution and follow\-through.
* Maintain a safe, secure and legal work environment, adhering to all Company policies and procedures.
* Contribute to team effort by accomplishing related results as needed.
* Protect the confidentiality of the Company’s information and products.
* Perform other duties and projects as assigned or requested.
**GENERAL QUALIFICATIONS – Education, Knowledge, and Experience**
**Education:**
* Bachelor’s degree in Operations Management, Supply Chain, or related field required; equivalent combination of education and relevant experience will be considered.
**Experience:**
* Minimum of 8 years of relevant program management experience in a manufacturing or production environment.
* Demonstrated experience managing programs in serial or sustaining production strongly preferred.
* Aerospace manufacturing experience preferred.
**Skills:**
* Excellent oral and written communication skills, with strong customer\-facing experience in a production environment.
* Strong operational mindset with the ability to manage fast\-moving, ambiguous production issues and competing priorities.
* Ability to maintain customer confidence through clear, proactive, and transparent communication, particularly during schedule or quality challenges.
* Strong risk management skills, including the ability to identify, escalate, and mitigate production, supply chain, quality, and delivery risks.
* Proficiency in MS Project or similar scheduling tools, with experience managing production schedules and delivery milestones.
* Ability to effectively interface with all levels of the organization, including manufacturing, supply chain, quality, engineering (production support), and executive leadership, and drive alignment under tight timelines.
**Preferred Skills/Experience:**
* Experience in aerospace or other regulated manufacturing environments preferred.
**Other:**
* Extended or irregular hours may be required.
* Must be authorized to work in the United States.
* Adient Aerospace is an “at\-will” employer; employment is at the mutual consent of both the employee and the employer, and may be terminated at will for any reason, with or without cause, at any time during employment with the Company.
* As business conditions warrant a change in the operating necessities of the Company, all employees are expected to react productively, handle other essential tasks assigned now or in the future.
* Tasks may vary slightly based on products produced at a division.
**CERTIFICATES AND LICENSES**
* PMP certification or equivalent program management certification preferred.
**SUPERVISION PROVIDED TO THE POSITION**
* Direction is provided in terms of desired outcomes, timelines, and budget constraints.
* Performance is evaluated based on achievement of organizational objectives and schedule commitments.
**LEADERSHIP RESPONSIBILITY**
* Supports coordination to ensure alignment with organizational goals, operating policies, and budget guidelines, and monitors and reports team performance to the CEO.
**PROBLEM SOLVING**
* Develop and provide solutions to complex problems based on established precedents and are consistent with organization objectives.
**LANGUAGE SKILLS**
* Ability to communicate effectively in English, both verbally and in writing.
**COMPENSATION \&amp; BENEFITS**  
*Elevate Aircraft Seating offers competitive wages and benefits to recognize employees for their work. The base pay offered will vary depending on job\-related knowledge, skills, location, experience and take into account internal equity.*
**Salary Range Transparency:** $100,000 \- $140,000 annually
**Featured Benefits:**
* Up to 10% bonus potential (for bonus eligible positions)
* Generous 401(K) matching with immediate eligibility and vesting
* 3 weeks of Paid Time Off
* 12 paid holidays
* Affordable health care plans for yourself and your family
* And so much more!
**Other Perks:**
* On\-site gym
* Free electric car charging stations
* Potential for growth within organization
* Supportive workplace environment with a team\-oriented culture</t>
        </is>
      </c>
    </row>
    <row r="132">
      <c r="A132" t="inlineStr">
        <is>
          <t>in-c0b59904a8d83f1c</t>
        </is>
      </c>
      <c r="B132" t="inlineStr">
        <is>
          <t>FASTC Program Manager</t>
        </is>
      </c>
      <c r="C132" t="inlineStr">
        <is>
          <t>Bering Straits Native Corporation</t>
        </is>
      </c>
      <c r="D132" t="inlineStr">
        <is>
          <t>indeed</t>
        </is>
      </c>
      <c r="E132">
        <f>HYPERLINK("https://www.indeed.com/viewjob?jk=c0b59904a8d83f1c", "https://www.indeed.com/viewjob?jk=c0b59904a8d83f1c")</f>
        <v/>
      </c>
      <c r="F132">
        <f>HYPERLINK("https://beringstraits.rec.pro.ukg.net/BER1502BSNC/JobBoard/ac286e4d-e260-46ff-8aa0-b5e4a2fdfebf/OpportunityDetail?opportunityId=37ac5adc-1e08-4bb4-a7b7-651de5eaff86&amp;postingId=3feea1df-90eb-48cb-9439-3639bd16d7a2", "https://beringstraits.rec.pro.ukg.net/BER1502BSNC/JobBoard/ac286e4d-e260-46ff-8aa0-b5e4a2fdfebf/OpportunityDetail?opportunityId=37ac5adc-1e08-4bb4-a7b7-651de5eaff86&amp;postingId=3feea1df-90eb-48cb-9439-3639bd16d7a2")</f>
        <v/>
      </c>
      <c r="G132" t="inlineStr">
        <is>
          <t>Blackstone, VA, US</t>
        </is>
      </c>
      <c r="H132" s="3" t="n">
        <v>45923</v>
      </c>
      <c r="I132" t="inlineStr">
        <is>
          <t>**SUMMARY**
Bering Straits Professional Services, a company within the BSNC family, is currently seeking a qualified Program Manager for FASTC at Blackstone, Virginia. The FASTC PM will oversee and ensure delivery of all performance under the contract and subordinate task orders. The PM will be responsible to the CO, COR, and GTMs for performance and delivery. PMs will directly supervise and oversee all site managers, and ensure quality recruiting, hiring, personnel management, training, and support of all personnel/positions. Place of performance will be FASTC, with frequent onsite presence at SA\-11, SA\-7, and other USG facilities.
*Applicants will be contacted via phone or email within ten (10\) business days of submittal.*
**ESSENTIAL DUTIES \&amp; RESPONSIBILITIES**
*The Essential Duties and Responsibilities are intended to present a descriptive list of the range of duties performed for this position and are not intended to reflect all duties performed within the job. Other duties may be assigned.*
* Serve as focal point for all Contractor functions that pertain to performance under the contract and subordinate task orders.
* Interact on a daily/weekly basis with the CO, COR, and GTMs to ensure performance across all contract tasks.
* Supervise, oversee, and direct ongoing strategy to mitigate risk and maintain continuity of operations in accordance with the requirements specified in the contract and task orders.
* Advise and assist regarding the technical scope of the contract.
* Accomplish human resource objectives by overseeing and ensuring effective recruiting, selecting, orienting, developing, counseling, and disciplining employees.
* Plan, establish, and review compensation actions, enforce policies and procedures.
* Ensure timely and accurate reporting, provision of qualified personnel for each task order, and timely and accurate implementation of the requirements of the contract sow and subordinate task order requirements.
* Ensure all aspects of planning, scheduling, organizing, managing, and assessing performance of all personnel under this contract.
* Ensure professional development training as required for personnel.
* Oversees on\-time delivery of requirements, invoicing, and other fiscal management functions.
* Review, assess, manage, and correct any behavior by Contractor personnel that would reflect poorly on the Department of State.
**QUALIFICATIONS \- EXPERIENCE, EDUCATION AND CERTIFICATION**
*To perform this job successfully, an individual must be able to satisfactorily perform each essential duty. The requirements listed below are representative of the knowledge, skill and/or ability required. Reasonable accommodations may be made to enable individuals with disabilities to perform the essential functions.*
**Required (Minimum Necessary) Qualifications**
* U.S. Citizen.
* Bachelor’s degree in a business, management, or security related field.
* Must have at least 30 years of professional experience.
* Must have at least 15 years of experience managing large government programs.
* Must have at least five (5\) years of experience as a PM as a Contractor responsible for meeting contract requirements.
* Must have at least 15 years of leadership/supervisory experience.
* Must possess and maintain a TOP SECRET (TS) security clearance.
**Knowledge, Skills, Abilities, and Other Characteristics**
* Demonstrated ability to manage contracts in excess of $30 million annually and a workforce of over 250\+ personnel.
* Experience with DoS policies and procedures.
* Experience with the function, policies, and procedures associated with security operations of us embassies and consulates abroad.
* Ability to conduct all the responsibilities listed above and demonstrated leadership and supervisory skills.
* Demonstrated experience in planning, evaluating, analyzing, and implementing government programs.
* Experience as an instructor or manager of adult education programs for security professionals.
* Excellent oral and written communication skills, including ability to communicate solutions effectively to both technical and non\-technical audiences.
* Ability to function effectively in challenging situations
**NECESSARY PHYSICAL REQUIREMENTS**
*The physical demands described here are representative of those that must be met by an employee to successfully perform the essential functions of this job. Employee must maintain a constant state of mental alertness at all times. Reasonable accommodation may be made to enable individuals with disabilities to perform the essential functions.*
Essential and marginal functions may require maintaining physical condition necessary for bending, stooping, sitting, walking or standing for prolonged periods of time; most of time is spent sitting in a comfortable position with frequent opportunity to move about.
**DOT COVERED/SAFETY\-SENSITIVE ROLE REQUIREMENTS**
* This position **is not subject** to federal requirements regarding Department of Transportation “safety\-sensitive” functions.
**WORK ENVIRONMENT**
*Work Environment characteristics described here are representative of those that must be borne by an employee to successfully perform the essential functions of this job.*
The job is performed in an office setting with exposure to computer screens and requires extensive use of a computer, keyboard, mouse, and multi\-line telephone system. The work described herein is primarily in a modern office setting. Occasional travel may be required.
**SUPERVISORY RESPONSIBILITIES**
* This position supervises employees
**ADDITIONAL QUALIFYING FACTORS**
As a condition of employment, you will be required to pass a pre\-employment drug screening and have acceptable background check results. If applicable to the contract, you must also obtain the appropriate clearance levels required and be able to obtain access to military installations.
**Shareholder Preference**
BSNC gives hiring, promotion, training, and retention preference to BSNC shareholders, shareholder descendants and shareholder spouses who meet the minimum qualifications for the job.
*Bering Straits Native Corporation is an equal opportunity employer. All applicants will receive consideration for employment without regard to any status protected by state or federal law, or any other basis prohibited by law.*</t>
        </is>
      </c>
    </row>
    <row r="133">
      <c r="A133" t="inlineStr">
        <is>
          <t>in-cae6fa01e090aafd</t>
        </is>
      </c>
      <c r="B133" t="inlineStr">
        <is>
          <t>Lead Product Manager- Data Platforms (P2507) New</t>
        </is>
      </c>
      <c r="C133" t="inlineStr">
        <is>
          <t>84.51°</t>
        </is>
      </c>
      <c r="D133" t="inlineStr">
        <is>
          <t>indeed</t>
        </is>
      </c>
      <c r="E133">
        <f>HYPERLINK("https://www.indeed.com/viewjob?jk=cae6fa01e090aafd", "https://www.indeed.com/viewjob?jk=cae6fa01e090aafd")</f>
        <v/>
      </c>
      <c r="F133">
        <f>HYPERLINK("https://job-boards.greenhouse.io/8451/jobs/8401780002", "https://job-boards.greenhouse.io/8451/jobs/8401780002")</f>
        <v/>
      </c>
      <c r="G133" t="inlineStr">
        <is>
          <t>Cincinnati, OH, US</t>
        </is>
      </c>
      <c r="H133" s="3" t="n">
        <v>46055</v>
      </c>
      <c r="I133"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The Data Platform team at 84\.51° and Kroger is seeking a Lead Product Manager for Asynchronous File Movement product space. This role will lead the file movement strategy, aligning capabilities governing enterprise‑wide data movement that collectively moves hundreds of thousands of files each month across our data ecosystems at 84\.51˚ and Kroger.
The **Lead Product Manager** will own outcomes (not outputs) by defining the right problems, validating solutions with users, and delivering measurable value—balancing time‑to‑value, cost, reliability, security, compliance, and long‑term strategic impact to ensure product direction aligns with business priorities and cross‑organizational goals.
 **RESPONSIBILITIES****:**
* Shape long‑term product vision, connecting platform capabilities to broader business objectives while ensuring alignment across user needs and strategy is understood, supported, and executable.
* Maintains a 12\-month delivery roadmap that clearly articulates how the work progresses strategic outcomes and integrates business priorities, user research/needs, and cross functional dependencies.
* Translate business goals, user needs, and technical constraints into product requirements and acceptance criteria with clear definitions of done and crisp functional \&amp; nonfunctional requirements.
* Partner with the Data Program leadership, as well as engineering and data science leads, to plan quarters/cycles/sprints and ensure efficient, predictable delivery.
* Own, define, and evolve core data platform file movement capabilities, including:
	+ Fast, asynchronous data movement with smooth ingestion, built in observability and data quality checks.
	+ Asynchronous and self\-service file movement in and out of our four walls, between applications, data platforms, and cloud tenants across the 84\.51˚ and Kroger enterprise.
* Monitors leading and lagging indicators for product health: adoption/activation/engagement, reliability \&amp; operability.
* Tracks user sentiment via industry standard metrics (such as SUS or NPS); using insights to influence product strategy, vision, and priorities.
* Maintain a customer panel and map key stakeholders (architecture, governance, security/privacy, finance, operations, vendors).
* Build and maintain a strong cross functional communication plan ensuring alignment between users, Kroger, 84\.51°, vendors, and adjacent product teams.
* Maintain core product artifacts such as vision one‑pager; strategy brief; metrics tree/OKRs, operational readiness checklist (monitoring, alerts, runbooks, support model), etc.
* Analyze product usage and operational data to inform prioritization, measure value, and guide iteration
* Drive adoption across internal teams through documentation, enablement, demos, and feedback loops; remove friction points and champion best practice.
**Applicants for employment in the US must have work authorization that does not now or in the future require sponsorship of a visa for employment authorization in the United Stated and with the Kroger Family of Companies (i.e. H1\-B visa, F\-1 visa (OPT), TN visa or any other non\-immigrant status).**
**QUALIFICATIONS, SKILLS, AND EXPERIENCE****:**
* Professional experience leading product strategy for internal, enterprise\-level data platform capabilities.
* Professional experience managing highly technical development teams in an agile environment.
* Professional experience aligning and influencing cross\-functional teams across organizational boundaries to ensure seamless execution beyond your immediate scrum team.
* Capable of evangelizing product purpose, strategic impact, and customer value with executive\-ready narratives; user enablement; visible decision records, etc.
* Skilled in managing technical tradeoffs (scale, reliability, latency, data contracts, data quality, isolation, and FinOps/cost requirements) against long term plan and strategy.
* General technical acumen, able to efficiently converse with software engineers, data engineers, and, data scientists to understand their development processes.
* Skilled in managing end\-to\-end software product development.
* Skilled in problem solving, analytic thinking, and creativity.
* Skilled in planning, organization, and verbal/written business communication.
* Skilled in maintaining a positive leader persona in ambiguous and changing environments.
* Skilled in quickly flexing between technical and business stakeholder conversations, adapting to a variety of audiences.
* Demonstrated excellence as a teammate and leader.
* 4\-6 years relevant experience
* Education: Bachelor’s degree or higher or equivalent professional experience.
\#LI\-EB1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 \- $201,250 USD</t>
        </is>
      </c>
    </row>
    <row r="134">
      <c r="A134" t="inlineStr">
        <is>
          <t>in-2ff63384019224f9</t>
        </is>
      </c>
      <c r="B134" t="inlineStr">
        <is>
          <t>Lead Product Manager- Data Platforms (P2507)</t>
        </is>
      </c>
      <c r="C134" t="inlineStr">
        <is>
          <t>84.51°</t>
        </is>
      </c>
      <c r="D134" t="inlineStr">
        <is>
          <t>indeed</t>
        </is>
      </c>
      <c r="E134">
        <f>HYPERLINK("https://www.indeed.com/viewjob?jk=2ff63384019224f9", "https://www.indeed.com/viewjob?jk=2ff63384019224f9")</f>
        <v/>
      </c>
      <c r="F134">
        <f>HYPERLINK("https://grnh.se/15aiog9z2us", "https://grnh.se/15aiog9z2us")</f>
        <v/>
      </c>
      <c r="G134" t="inlineStr">
        <is>
          <t>Chicago, IL, US</t>
        </is>
      </c>
      <c r="H134" s="3" t="n">
        <v>46055</v>
      </c>
      <c r="I134"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The Data Platform team at 84\.51° and Kroger is seeking a Lead Product Manager for Asynchronous File Movement product space. This role will lead the file movement strategy, aligning capabilities governing enterprise‑wide data movement that collectively moves hundreds of thousands of files each month across our data ecosystems at 84\.51˚ and Kroger.
The **Lead Product Manager** will own outcomes (not outputs) by defining the right problems, validating solutions with users, and delivering measurable value—balancing time‑to‑value, cost, reliability, security, compliance, and long‑term strategic impact to ensure product direction aligns with business priorities and cross‑organizational goals.
 **RESPONSIBILITIES****:**
* Shape long‑term product vision, connecting platform capabilities to broader business objectives while ensuring alignment across user needs and strategy is understood, supported, and executable.
* Maintains a 12\-month delivery roadmap that clearly articulates how the work progresses strategic outcomes and integrates business priorities, user research/needs, and cross functional dependencies.
* Translate business goals, user needs, and technical constraints into product requirements and acceptance criteria with clear definitions of done and crisp functional \&amp; nonfunctional requirements.
* Partner with the Data Program leadership, as well as engineering and data science leads, to plan quarters/cycles/sprints and ensure efficient, predictable delivery.
* Own, define, and evolve core data platform file movement capabilities, including:
	+ Fast, asynchronous data movement with smooth ingestion, built in observability and data quality checks.
	+ Asynchronous and self\-service file movement in and out of our four walls, between applications, data platforms, and cloud tenants across the 84\.51˚ and Kroger enterprise.
* Monitors leading and lagging indicators for product health: adoption/activation/engagement, reliability \&amp; operability.
* Tracks user sentiment via industry standard metrics (such as SUS or NPS); using insights to influence product strategy, vision, and priorities.
* Maintain a customer panel and map key stakeholders (architecture, governance, security/privacy, finance, operations, vendors).
* Build and maintain a strong cross functional communication plan ensuring alignment between users, Kroger, 84\.51°, vendors, and adjacent product teams.
* Maintain core product artifacts such as vision one‑pager; strategy brief; metrics tree/OKRs, operational readiness checklist (monitoring, alerts, runbooks, support model), etc.
* Analyze product usage and operational data to inform prioritization, measure value, and guide iteration
* Drive adoption across internal teams through documentation, enablement, demos, and feedback loops; remove friction points and champion best practice.
**Applicants for employment in the US must have work authorization that does not now or in the future require sponsorship of a visa for employment authorization in the United Stated and with the Kroger Family of Companies (i.e. H1\-B visa, F\-1 visa (OPT), TN visa or any other non\-immigrant status).**
**QUALIFICATIONS, SKILLS, AND EXPERIENCE****:**
* Professional experience leading product strategy for internal, enterprise\-level data platform capabilities.
* Professional experience managing highly technical development teams in an agile environment.
* Professional experience aligning and influencing cross\-functional teams across organizational boundaries to ensure seamless execution beyond your immediate scrum team.
* Capable of evangelizing product purpose, strategic impact, and customer value with executive\-ready narratives; user enablement; visible decision records, etc.
* Skilled in managing technical tradeoffs (scale, reliability, latency, data contracts, data quality, isolation, and FinOps/cost requirements) against long term plan and strategy.
* General technical acumen, able to efficiently converse with software engineers, data engineers, and, data scientists to understand their development processes.
* Skilled in managing end\-to\-end software product development.
* Skilled in problem solving, analytic thinking, and creativity.
* Skilled in planning, organization, and verbal/written business communication.
* Skilled in maintaining a positive leader persona in ambiguous and changing environments.
* Skilled in quickly flexing between technical and business stakeholder conversations, adapting to a variety of audiences.
* Demonstrated excellence as a teammate and leader.
* 4\-6 years relevant experience
* Education: Bachelor's degree or higher or equivalent professional experience.
\#LI\-EB1</t>
        </is>
      </c>
    </row>
    <row r="135">
      <c r="A135" t="inlineStr">
        <is>
          <t>in-d28a0b3289ea001c</t>
        </is>
      </c>
      <c r="B135" t="inlineStr">
        <is>
          <t>Senior Product Manager, Consumer Products</t>
        </is>
      </c>
      <c r="C135" t="inlineStr">
        <is>
          <t>Jerry</t>
        </is>
      </c>
      <c r="D135" t="inlineStr">
        <is>
          <t>indeed</t>
        </is>
      </c>
      <c r="E135">
        <f>HYPERLINK("https://www.indeed.com/viewjob?jk=d28a0b3289ea001c", "https://www.indeed.com/viewjob?jk=d28a0b3289ea001c")</f>
        <v/>
      </c>
      <c r="F135">
        <f>HYPERLINK("https://jobs.ashbyhq.com/Jerry.ai/470021d4-a4e0-449f-9a39-956f4e205b40", "https://jobs.ashbyhq.com/Jerry.ai/470021d4-a4e0-449f-9a39-956f4e205b40")</f>
        <v/>
      </c>
      <c r="G135" t="inlineStr">
        <is>
          <t>Palo Alto, CA, US</t>
        </is>
      </c>
      <c r="H135" s="3" t="n">
        <v>46055</v>
      </c>
      <c r="I13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6">
      <c r="A136" t="inlineStr">
        <is>
          <t>in-6555eb1742c8513a</t>
        </is>
      </c>
      <c r="B136" t="inlineStr">
        <is>
          <t>Senior Product Manager, Emerging Products</t>
        </is>
      </c>
      <c r="C136" t="inlineStr">
        <is>
          <t>Jerry</t>
        </is>
      </c>
      <c r="D136" t="inlineStr">
        <is>
          <t>indeed</t>
        </is>
      </c>
      <c r="E136">
        <f>HYPERLINK("https://www.indeed.com/viewjob?jk=6555eb1742c8513a", "https://www.indeed.com/viewjob?jk=6555eb1742c8513a")</f>
        <v/>
      </c>
      <c r="F136">
        <f>HYPERLINK("https://jobs.ashbyhq.com/Jerry.ai/e196ca1c-67c1-4384-9377-6af52299b5fe", "https://jobs.ashbyhq.com/Jerry.ai/e196ca1c-67c1-4384-9377-6af52299b5fe")</f>
        <v/>
      </c>
      <c r="G136" t="inlineStr">
        <is>
          <t>Palo Alto, CA, US</t>
        </is>
      </c>
      <c r="H136" s="3" t="n">
        <v>46055</v>
      </c>
      <c r="I13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7">
      <c r="A137" t="inlineStr">
        <is>
          <t>in-faed8842a89830a2</t>
        </is>
      </c>
      <c r="B137" t="inlineStr">
        <is>
          <t>Senior Product Manager, New Products</t>
        </is>
      </c>
      <c r="C137" t="inlineStr">
        <is>
          <t>Jerry</t>
        </is>
      </c>
      <c r="D137" t="inlineStr">
        <is>
          <t>indeed</t>
        </is>
      </c>
      <c r="E137">
        <f>HYPERLINK("https://www.indeed.com/viewjob?jk=faed8842a89830a2", "https://www.indeed.com/viewjob?jk=faed8842a89830a2")</f>
        <v/>
      </c>
      <c r="F137">
        <f>HYPERLINK("https://jobs.ashbyhq.com/Jerry.ai/2d7ba23d-c7b1-4da4-b5e1-c909a30d8b42", "https://jobs.ashbyhq.com/Jerry.ai/2d7ba23d-c7b1-4da4-b5e1-c909a30d8b42")</f>
        <v/>
      </c>
      <c r="G137" t="inlineStr">
        <is>
          <t>Palo Alto, CA, US</t>
        </is>
      </c>
      <c r="H137" s="3" t="n">
        <v>46055</v>
      </c>
      <c r="I13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8">
      <c r="A138" t="inlineStr">
        <is>
          <t>in-810a7dbbba8f5bdb</t>
        </is>
      </c>
      <c r="B138" t="inlineStr">
        <is>
          <t>Product Manager - Third Party Integrations</t>
        </is>
      </c>
      <c r="C138" t="inlineStr">
        <is>
          <t>Lumin Digital</t>
        </is>
      </c>
      <c r="D138" t="inlineStr">
        <is>
          <t>indeed</t>
        </is>
      </c>
      <c r="E138">
        <f>HYPERLINK("https://www.indeed.com/viewjob?jk=810a7dbbba8f5bdb", "https://www.indeed.com/viewjob?jk=810a7dbbba8f5bdb")</f>
        <v/>
      </c>
      <c r="F138">
        <f>HYPERLINK("https://jobs.lever.co/LuminDigital/949a8648-31c7-4c2c-9bf9-5899766346ca?lever-source=Indeed", "https://jobs.lever.co/LuminDigital/949a8648-31c7-4c2c-9bf9-5899766346ca?lever-source=Indeed")</f>
        <v/>
      </c>
      <c r="G138" t="inlineStr">
        <is>
          <t>Remote, US</t>
        </is>
      </c>
      <c r="H138" s="3" t="n">
        <v>46055</v>
      </c>
      <c r="I138" t="inlineStr">
        <is>
          <t>**Basic Function**
Are you looking for a challenging career where you can change the lives of millions of Americans, work with the most talented team in the field, and become the best version of yourself? If so, join Lumin Digital as a Product Manager. In this role, you will own the product lifecycle, collaborate with cross\-functional teams, and deliver innovative digital banking solutions. Your work will directly enhance the financial lives of users and contribute to Lumin Digital’s mission to redefine digital banking. **Essential Functions, Responsibilities, Experience:**
Be a true leader, working alongside engineers, project managers, and professional services teams to design, develop, and launch software solutions.
Own the product lifecycle from concept to delivery, managing requirements gathering, documentation, timelines, user experience, quality assurance, and performance metrics.
Collaborate with cross\-functional teams of designers, engineers, data scientists, and trainers to bring innovative products to market.
Focus on impactful and vital SSO integrations of third\-party vendors for both launching clients as well as professional services originated integrations for existing clients..
Lead integration and certification initiatives for Lumin API, Lumin SSO, and other Extensibility components, ensuring successful client, vendor, and partner go\-lives.
Provide project management support for Lumin API initiatives, coordinating timelines, dependencies, risks, and delivery across engineering, product, and professional services.
Serve as the primary product point of contact for Extensibility integrators, providing guidance, troubleshooting support, and issue resolution throughout the integration lifecycle.
Engage with the Lumin Digital community, contributing to organizational growth through honest, candid, and respectful feedback.
Perform other duties as assigned. **Role Growth:**
30 days: Gain an understanding of Lumin Digital’s product portfolio, processes, and key stakeholders while building relationships with cross\-functional teams.
90 days: Take ownership of key product initiatives, contributing to the development of innovative features and solutions.
1 year: Deliver impactful products that demonstrate measurable improvements in user adoption, client satisfaction, and business outcomes. **Knowledge, Skills, \&amp; Abilities:****Required:**
At least 3 years of experience in product management, ideally within the Banking or FinTech sectors.
At least 1 year of hands\-on experience leading integrations for external clients, including discovery, implementation, testing, and go\-live support.
At least 3 years of required experience with SSO and API integrations, with demonstrated ownership of the full lifecycle from design and implementation through production support.
Understanding of data privacy, security protocols, and compliance considerations in SSO and API based integrations.
Strong problem\-solving and analytical skills; comfortable debugging issues across APIs, SSOs, services, and partner systems.
Proven ability to craft and communicate technical topics for varied audiences.
Deep understanding of enterprise systems, microservice architectures, and integration best practices.
Strong organizational, communication, and analytical skills.
Experience managing multiple, competing priorities in a fast\-paced, innovative environment.
Proficiency in Agile methodologies and tools (e.g., JIRA, Confluence).**Nice\-to\-Have:**
Familiarity with the retail banking and credit union industries, including regulatory compliance concepts such as CIP, KYC, and AML.
Background in data\-driven product development and collaborating with clients and development teams to deliver new products **Education:**
BA/BS degree or equivalent educational and professional experience. **Travel:**
Minimal, generally 12 days or less per year, \~2X team get togethers a year **LIFE AT LUMIN DIGITAL**  
Lumin Digital is a trailblazer in digital banking solutions, driven by a unique approach to technology, service, and people. We empower credit unions and banks by creating cutting\-edge digital experiences that continuously serve, engage, and grow their membership base. Lumin is 100% cloud\-native, purpose\-built to unlock the full advantages of the cloud for financial institutions and their users.  
At Lumin, we thrive on curiosity and innovation. Our culture fosters trust \- in our expertise and decisions, respect \- for diverse perspectives and talents, and boldness \- in pursuing innovative paths. These values guide us, shaping a workplace where collaboration thrives, ideas flourish, and new possibilities are discovered. Focused on continuous improvement and innovation, we encourage our team to explore, experiment, and put new ideas into action, challenging the usual way of doing things.  
Lumin Digital is an equal opportunity employer. We consider all qualified applicants without regard to race, color, religion, sex, national origin, disability, protected veteran status, sexual orientation, gender identity, or any other legally protected basis, in accordance with applicable law.  
For more information, visit lumindigital.com.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li-4354633276</t>
        </is>
      </c>
      <c r="B2" t="inlineStr">
        <is>
          <t>Product Manager</t>
        </is>
      </c>
      <c r="C2" t="inlineStr">
        <is>
          <t>Macy's</t>
        </is>
      </c>
      <c r="D2" t="inlineStr">
        <is>
          <t>linkedin</t>
        </is>
      </c>
      <c r="E2" t="inlineStr"/>
      <c r="F2" t="inlineStr"/>
      <c r="G2" t="inlineStr"/>
      <c r="H2" t="inlineStr"/>
      <c r="I2" t="inlineStr">
        <is>
          <t>**Product Manager** 
 New York, NY, United States
 Full time Schedule
 $117,960 \-$196,440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Product Manager brings a high\-energy approach to developing customer\-centric e\-commerce user experiences and features that grow the customer base, drive user engagement, and improve the overall site experience. The role develops and owns execution of the product roadmap for the assigned product area and collaborates with cross\-functional partners across design, engineering, analytics, and business throughout the product lifecycle, from ideation through execution. The Product Manager works in an agile environment focused on continuous improvement, where ideas and feedback are encouraged, and is empowered to make decisions that create memorable, loyalty\-building experiences for every Macy’s customer.
**What You Will Do**
* Develop and maintain a product roadmap aligned to business goals and product strategy by delivering key milestones and achieving defined KPIs.
* Communicate product vision, roadmap, and progress to partners across Macy’s.
* Identify and prioritize opportunities to improve customer experiences through cross\-functional collaboration, data analysis, and deep understanding of customer needs.
* Define product and customer experiences through clear, detailed, and timely artifacts, including product requirements and user stories.
* Collaborate with design, engineering, analytics, and other product managers to design, build, and launch product features that drive growth and engagement.
* Maintain a healthy, prioritized backlog of well\-groomed, insight\-driven user stories.
* Partner with engineering scrum teams and technical leads to refine requirements that support simple, intuitive user experiences.
* Define success metrics, ramp plans, and measurement criteria.
* Design and run experiments to test hypotheses and identify solutions that improve conversion, engagement, and customer loyalty.
* Foster an environment of acceptance and respect that strengthens relationships, and ensures authentic connections with colleagues, customers, and communities.
* In addition to the essential duties mentioned above, other duties may be assigned.
**Skills You Will Need**
**Product Strategy \&amp; Roadmap Ownership** 
 – Proven ability to define, maintain, and execute product roadmaps that align with business goals, product strategy, and KPIs while delivering measurable customer and commercial impact.
**Customer\-Centric Product Thinking** 
 – Deep commitment to understanding customer needs and behaviors, translating insights into intuitive, loyalty\-building e\-commerce experiences that improve engagement and satisfaction.
**Analytical Thinking \&amp; Data\-Driven Decisions** 
 – Strong analytical rigor and first\-principles problem\-solving skills, with the ability to define success metrics, run experiments, interpret data, and apply insights to optimize conversion, engagement, and retention.
**Cross\-Functional Leadership \&amp; Collaboration** 
 – Demonstrated ability to lead through influence and collaborate effectively with design, engineering, analytics, and business partners across the full product lifecycle.
**Execution Excellence in Agile Environments** 
 – Strong execution skills with experience managing backlogs, grooming user stories, partnering with scrum teams, and delivering high\-quality outcomes in an agile, fast\-paced environment.
**Business Acumen \&amp; E\-commerce Expertise** 
 – Solid understanding of retail and e\-commerce economics and business strategy frameworks, with the ability to balance customer value and commercial outcomes.
**Technical \&amp; Product Development Fluency** 
 – Working knowledge of technical concepts, agile methodologies, and modern product development practices to effectively partner with engineering teams and make informed trade\-offs.
**Innovation \&amp; Emerging Technology Awareness** 
 – Ability to stay ahead of emerging technologies and leverage them to build differentiated, scalable digital experiences.
**Communication \&amp; Stakeholder Influence** 
 – Confident written and verbal communication skills, with the ability to clearly articulate product vision, progress, and trade\-offs to cross\-functional partners and senior leaders.
**Continuous Learning \&amp; Growth Mindset** 
 – Curiosity\-driven, adaptable learner who actively seeks new methodologies, industry trends, and feedback to continuously improve products and ways of working.
**Who You Are**
* Candidates with a bachelor’s degree or equivalent work experience in a related field are encouraged to apply. Previous work experience related to product strategy, product management, design, engineering, site merchandising, or management consulting preferably in a retail or ecommerce company required.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t>
        </is>
      </c>
    </row>
    <row r="3">
      <c r="A3" t="inlineStr">
        <is>
          <t>li-4368643707</t>
        </is>
      </c>
      <c r="B3" t="inlineStr">
        <is>
          <t>Product Manager</t>
        </is>
      </c>
      <c r="C3" t="inlineStr">
        <is>
          <t>Microsoft</t>
        </is>
      </c>
      <c r="D3" t="inlineStr">
        <is>
          <t>linkedin</t>
        </is>
      </c>
      <c r="E3" t="inlineStr"/>
      <c r="F3" t="inlineStr"/>
      <c r="G3" t="inlineStr">
        <is>
          <t>Redmond, WA</t>
        </is>
      </c>
      <c r="H3" t="inlineStr"/>
      <c r="I3" t="inlineStr">
        <is>
          <t>**Overview**
 Come build community, explore your passions and do your best work at Microsoft. This opportunity will allow you to bring your aspirations, talent, potential and excitement for the journey ahead.
 As a Product Manager for Azure Cosmos DB, you will help shape product strategy and the developer experience for a globally distributed NoSQL database platform. You will turn customer needs, market insights, and data into clear requirements and a prioritized backlog, partnering with engineering and design to deliver features end\-to\-end. This opportunity will allow you to learn how to evaluate trade\-offs, identify investment opportunities, and drive roadmap progress through customer feedback and metrics. This role offers flexible work options with the ability to work from home partially.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a scoped area of the Azure Cosmos DB experience (e.g., developer onboarding, SDKs, APIs, diagnostics, or vscode \+ portal workflows) by defining user problems, success metrics, and clear requirements.
* Own and track outcomes for your area using OKRs/KPIs (e.g., acquisition, retention, revenue, customer satisfaction) and incorporate fundamentals such as security, privacy, and supportability.
* Partner with engineering to identify required telemetry and build data\-informed feedback loops (dashboards, experiments, and logs) to evaluate feature health and customer impact.
* Collaborate with design to create simple, consistent experiences for developers and operators, connecting user workflows (modeling data, indexing, query, scaling, observability) to product principles and vision.
* Work across engineering, partner teams, and stakeholders to plan releases, manage dependencies, and drive execution from concept through GA, while communicating progress in reviews and status updates.
* Build relationships with a set of Azure Cosmos DB customers and internal teams (e.g., field and support) to capture feedback, validate scenarios, and ensure we solve high\-impact problems for real workloads.
* You will embody our culture and values.
**Qualifications**
**Required Qualifications:**
* Bachelor’s Degree
+ OR equivalent experience
**Preferred Qualifications**
* Bachelor's Degree (or currently pursuing) AND 1\+ year(s) experience in product/service/project/program management or software development
+ OR equivalent experience
 Product Management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li-4368229744</t>
        </is>
      </c>
      <c r="B4" t="inlineStr">
        <is>
          <t>Product Manager</t>
        </is>
      </c>
      <c r="C4" t="inlineStr">
        <is>
          <t>SciPro</t>
        </is>
      </c>
      <c r="D4" t="inlineStr">
        <is>
          <t>linkedin</t>
        </is>
      </c>
      <c r="E4" t="inlineStr"/>
      <c r="F4" t="inlineStr"/>
      <c r="G4" t="inlineStr"/>
      <c r="H4" t="inlineStr"/>
      <c r="I4" t="inlineStr">
        <is>
          <t>SciPro is partnered with a mission\-driven healthcare technology company that is modernizing how healthcare providers manage complex financial and operational workflows. The company builds a robust, scalable platform that enables providers to operate more efficiently, get paid accurately, and focus on delivering patient care. This role offers the opportunity to lead high\-impact product engineering teams at the intersection of healthcare, software architecture, and business\-critical systems within a fast\-growing, highly collaborative organization.
**Responsibilities** 
* Lead and support Product Engineering teams responsible for building and maintaining critical components of the company's platform
* Own engineering execution from planning and prioritization through delivery of impactful, customer\-facing outcomes
* Partner closely with product, leadership, and go\-to\-market teams to define and execute technical strategy aligned with business goals
* Guide architectural decisions and engineering best practices to ensure high standards of quality, reliability, and performance
* Mentor and grow engineers and technical leads through formal performance management and organic growth opportunities
* Identify delivery risks, manage tradeoffs, and remove obstacles to help teams execute efficiently
* Make data\-driven decisions to continuously improve system reliability, scalability, and operational efficiency
* Recruit and develop exceptional engineering talent in collaboration with the company's talent acquisition team
* Foster a healthy, inclusive, and high\-performing engineering culture that scales with the business
**Qualifications** 
* Bachelor’s degree in Computer Science, Computer Engineering, Mathematics, or a related technical field
* 6\+ years of experience in software engineering leadership roles (Engineering Manager, Technical Lead, Manager of Managers)
* Proven experience leading teams to deliver high\-quality, production\-grade software against ambitious product roadmaps
* Strong technical judgment with the ability to guide architecture decisions for scalable, durable, and maintainable systems
* Experience managing complex, evolving software platforms with high reliability and performance requirements
* Ability to balance strategic thinking with hands\-on technical engagement when needed
* Demonstrated success hiring, mentoring, and retaining high\-performing, product\-focused engineering teams
* Excellent communication skills with the ability to explain complex technical concepts clearly to both technical and non\-technical audiences
* Comfortable working cross\-functionally and influencing laterally and upward within an organization</t>
        </is>
      </c>
    </row>
    <row r="5">
      <c r="A5" t="inlineStr">
        <is>
          <t>li-4368672757</t>
        </is>
      </c>
      <c r="B5" t="inlineStr">
        <is>
          <t>Senior Product Manager</t>
        </is>
      </c>
      <c r="C5" t="inlineStr">
        <is>
          <t>Travelport</t>
        </is>
      </c>
      <c r="D5" t="inlineStr">
        <is>
          <t>linkedin</t>
        </is>
      </c>
      <c r="E5" t="inlineStr"/>
      <c r="F5" t="inlineStr"/>
      <c r="G5" t="inlineStr">
        <is>
          <t>Denver, CO</t>
        </is>
      </c>
      <c r="H5" t="inlineStr"/>
      <c r="I5" t="inlineStr">
        <is>
          <t>Senior Product Manager \| Hybrid \| US Atlanta or Denver
**Travel obsessed? Big tech fan? Hey, you’re in good company. If you want to be part of the industry that makes the world go round, then look no further.** 
 Travelport is the brains behind lots of your travel bookings\- plane, car or hotel. Our technology is used to book that magical holiday, infamous bachelorette party or long overdue school reunion. While we can’t solve mosquito bites or lost luggage, we can simplify a lot of the technical parts of travel, and we’re looking for the best thinkers to help us do it.
 We’re hiring right now for a Senior Product Manager! Search for \#Travelport on LinkedIn and hear from our amazing team.
**How you’ll make an impact:** 
 The Senior Product Manager is responsible for driving product strategy and delivery across a complex, multi‑sided travel technology ecosystem. This role requires strong customer orientation, technical fluency, commercial acumen, and the ability to lead cross‑functional teams in an Agile environment.
**Your role in action:** 
**Customer \&amp; Market Orientation** 
* Develop a deep understanding of customer needs across travel agencies, suppliers, and developers.
* Serve as the internal voice of the customer and validate solutions through customer engagement and feedback loops.
* Balance agency, supplier, and platform needs in a multi‑sided marketplace.
**Technical \&amp; Platform Fluency (General \&amp; Galileo Host)** 
 Demonstrate strong technical understanding across platform capabilities, including onboarding, authentication, access management, and critical travel industry concepts (NDC, Orders, Ticketing, PNRs, PoS integration).
 Additionally, show deep fluency in host\-based travel operations and agency servicing workflows, including:
* Host‑based PNR lifecycle and servicing (creation/modification/commit workflows, segment status behaviors, audit and history awareness).
* Queueing and operational processes used for schedule changes, fulfillment follow‑ups, and post‑booking servicing.
* Ticketing and ancillary document lifecycles (ticket and EMD issuance, exchange/reissue, refund/void) and how document states impact downstream servicing.
* Operational messaging such as SSR, OSI, and remarks, with an understanding of how data quality affects servicing flows and customer experience.
**Agile Product Leadership \&amp; Delivery** 
* Lead Agile/Lean product delivery models.
* Prioritize roadmaps and backlogs to maximize customer and commercial impact.
* Collaborate closely with Product Owners, Engineering, UX, Data, and Commercial teams.
* Define acceptance criteria and provide feature‑level product acceptance at delivery.
**Commercial \&amp; Data‑Driven Decision\-Making** 
* Use analytics and quantitative reasoning to guide prioritization and product strategy.
* Track and report product KPIs (activation, adoption, ROAS, API usage, etc.).
* Ensure product decisions drive revenue, efficiency, and ROI while complying with commercial, security, billing, and regulatory considerations.
**Could this be you?** 
* Extensive experience with Jira to structure and manage epics, user stories, dependencies, and Agile workflows across distributed engineering teams.
* High proficiency in Confluence as a documentation and knowledge‑management hub, including PDDs, strategy docs, decision logs, and stakeholder‑ready updates.
* Ability to leverage Jira \+ Confluence together to:
* Translate product strategy into executable delivery plans.
* Ensure clarity of requirements and acceptance criteria.
* Strengthen collaboration between Product, Engineering, Design, and Commercial teams.
* Improve transparency, traceability, and delivery predictability at scale.
**Discover why our teams love working here:** 
 Where do we start! Our benefits package includes:
**Offer Salary: 130k \+ Benefits** 
 We believe all employees contribute to the success of the company and should be able to share in that success, which is why all jobs are eligible to participate in our bonus program with any payouts being subject to individual and company performance. We offer a comprehensive benefit program that includes medical, dental, vision, employer paid Disability and Basic Life Insurance, Voluntary life options, a competitive 401(k) match, as well as many other voluntary benefits to fit your specific needs. We make health and wellness a priority and offer a generous paid time off policy, hybrid working model, as well as contributing to our communities with an annual volunteer day off. We also offer a New Child leave policy, where the birthing parent receives 16 weeks of paid time off, and the non\-birthing parent receives 8\.
 Search for \#lifeattravelport for our employee stories on LinkedIn!
**Your journey at Travelport starts here.** 
**Our application process is quick, easy, and hassle\-free — apply in just a few minutes!** 
*We are an equal opportunities employer and will consider all qualified applicants purely on their skills and abilities.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needed.*</t>
        </is>
      </c>
    </row>
    <row r="6">
      <c r="A6" t="inlineStr">
        <is>
          <t>li-4368227974</t>
        </is>
      </c>
      <c r="B6" t="inlineStr">
        <is>
          <t>Product Manager, Human.ai</t>
        </is>
      </c>
      <c r="C6" t="inlineStr">
        <is>
          <t>Human Ventures</t>
        </is>
      </c>
      <c r="D6" t="inlineStr">
        <is>
          <t>linkedin</t>
        </is>
      </c>
      <c r="E6" t="inlineStr"/>
      <c r="F6" t="inlineStr"/>
      <c r="G6" t="inlineStr">
        <is>
          <t>New York, NY</t>
        </is>
      </c>
      <c r="H6" t="inlineStr"/>
      <c r="I6" t="inlineStr">
        <is>
          <t>**About Human Ventures** 
**Human Ventures** 
 is a New York\-based holding company built on creating long\-term value in the new Attention Economy. With the core investment themes of human connection, experience, and trust in the age of AI, Human consists of three divisions:
 **Human VC** 
 , which invests in, acquires, and rebuilds undervalued assets;
 **Human AI** 
 , a dedicated studio building AI\-native companies; and
 **Human Network Partners** 
 , a partnerships and events platform.
 Founded by Heather Hartnett and Joe Marchese, Human is among the most connected capital partners; and has invested in and co\-built more than 65 companies, with key investments including Reserve (acquired), Komos Tequila, Adelaide, Kinema, Breakaway, and Evvy. To learn more, visit www.human.vc.
**The Opportunity** 
 We're looking for a
 **Product Manager** 
 to own and drive the development of
 **Human.ai** 
 from concept to market. Like a mutual best friend making introductions and connections, Human.ai is human before AI, leveraging technology for helping people better connect in real life.
 Reporting to the CEO, this role owns the end\-to\-end product management, development, and execution of bringing the product to market. This is a rare opportunity to sit at the intersection of product and community development. 
**What You'll Do** 
* Own the production strategy, roadmap, user experience, and GTM execution
* Drive progress against goals and milestones and GTM execution
* Coordinate testing, including pilot events and user feedback sessions
* Work hand in hand with our CTO to bring new features to life
* Ensure product strategy and user experience move as one
* Partner with the events team to implement Human AI at owned events; including attendee experience and IRL implementation
**Who You Are** 
* Drive progress relentlessly — you see what needs to happen and how to get there, while communicating effectively as you go
* Organized and versatile — you can task\-switch between product conversations, design feedback, event logistics, and strategic discussions while keeping multiple work streams moving
* Passionate about new technologies, community, media, emerging trends, and cultural shifts—curious about where the world is going with your finger on the pulse of culture
* Comfortable with ambiguity — energized by the process of building from the ground up, and enjoy the iteration flow of creating something brand new
* Understand design without being a designer — as a consumer\-first, you know what makes for a good user experience, and can articulate what good design means even if you are not a designer
* Have distinctive problem solving and analysis skills, combined with business judgment
* You enjoy working cross team, from engineering to sales to marketing and beyond in order to ideate
* NYC\-based and excited to work in person with a tight\-knit, collaborative team
**Qualifications** 
* 5\+ years of experience, must have early\-stage startup experience (the earlier the better!)
* Experience with agile product processes
* Experience working with engineers and designers to translate vision into reality
* Strong project management skills with ability to manage multiple concurrent workstreams
* Passion for human connection, events, and the intersection of technology and real\-world experiences
*Human Ventures is committed to building a diverse and inclusive workplace. We encourage candidates from all backgrounds to apply.*</t>
        </is>
      </c>
    </row>
    <row r="7">
      <c r="A7" t="inlineStr">
        <is>
          <t>li-4354557423</t>
        </is>
      </c>
      <c r="B7" t="inlineStr">
        <is>
          <t>Assistant Product Manager</t>
        </is>
      </c>
      <c r="C7" t="inlineStr">
        <is>
          <t>Macy's</t>
        </is>
      </c>
      <c r="D7" t="inlineStr">
        <is>
          <t>linkedin</t>
        </is>
      </c>
      <c r="E7" t="inlineStr"/>
      <c r="F7" t="inlineStr"/>
      <c r="G7" t="inlineStr"/>
      <c r="H7" t="inlineStr"/>
      <c r="I7" t="inlineStr">
        <is>
          <t>**Assistant, Product Manager** 
 New York, NY, United States
 Full time Schedule
 $78,720 \-$131,160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to see details on benefits.</t>
        </is>
      </c>
    </row>
    <row r="8">
      <c r="A8" t="inlineStr">
        <is>
          <t>li-4357499383</t>
        </is>
      </c>
      <c r="B8" t="inlineStr">
        <is>
          <t>Senior Product Manager - Liquidity</t>
        </is>
      </c>
      <c r="C8" t="inlineStr">
        <is>
          <t>Stott and May</t>
        </is>
      </c>
      <c r="D8" t="inlineStr">
        <is>
          <t>linkedin</t>
        </is>
      </c>
      <c r="E8" t="inlineStr"/>
      <c r="F8" t="inlineStr"/>
      <c r="G8" t="inlineStr">
        <is>
          <t>New York, United States</t>
        </is>
      </c>
      <c r="H8" t="inlineStr"/>
      <c r="I8" t="inlineStr">
        <is>
          <t>**Senior Product Manager** 
**Salary: $170,000 – $204,000 (base)** 
**Location: Manhattan, New York \| Hybrid working** 
**Our growing Fintech client** 
 is on a mission to build best\-in\-class consumer financial products that genuinely improve people’s financial lives. They are now looking for a
 **Senior Product Manager** 
 to take ownership of high\-impact consumer products at the core of their platform.
 This is a highly strategic role where your work will directly influence customer acquisition, revenue, and product innovation.
**What you’ll be doing:** 
* Owning and evolving consumer\-facing financial products, including paycheck advance and overdraft solutions
* Leading the full product lifecycle — from discovery and customer research through to delivery and optimisation
* Working closely with Engineering, Design, and Data teams to create intuitive, scalable product experiences
* Defining product roadmaps, writing epics and stories, and driving execution end to end
* Running experiments, analysing data, and using KPIs to inform decisions and measure success
* Identifying opportunities to launch new products, enhance existing ones, or integrate partner solutions
**What we’re looking for:** 
* 6\+ years’ experience in Product Management, ideally within
 **B2C Fintech**
* Strong exposure to consumer financial products (e.g. lending, EWA, BNPL, cards)
* A customer\-first mindset with strong product and UX instincts
* Comfortable getting into the detail while maintaining a strategic view
* Proven ability to thrive in a fast\-paced, high\-growth environment
* Experience working with cross\-functional teams and senior stakeholders
 If you’re passionate about building meaningful financial products and want to make a real impact in a scaling fintech, this could be an excellent next step.
* Seniority Level
* Mid\-Senior level
* Industry
* Financial Services
* Employment Type
* Full\-time
* Job Functions
* Product Management
* Skills
* Credit Cards
* Product Management
* Stakeholder Management
* FinTech
* Product Lifecycle Management
* B2C
* Credit
* Financial Technology
 If you are interested please email a copy of your CV directly to megan.seymour@stottandmay.com for immediate consideration.</t>
        </is>
      </c>
    </row>
    <row r="9">
      <c r="A9" t="inlineStr">
        <is>
          <t>li-4368638468</t>
        </is>
      </c>
      <c r="B9" t="inlineStr">
        <is>
          <t>Product Manager - Customer Experience</t>
        </is>
      </c>
      <c r="C9" t="inlineStr">
        <is>
          <t>Eight Sleep</t>
        </is>
      </c>
      <c r="D9" t="inlineStr">
        <is>
          <t>linkedin</t>
        </is>
      </c>
      <c r="E9" t="inlineStr"/>
      <c r="F9" t="inlineStr"/>
      <c r="G9" t="inlineStr">
        <is>
          <t>New York, NY</t>
        </is>
      </c>
      <c r="H9" t="inlineStr"/>
      <c r="I9" t="inlineStr">
        <is>
          <t>**Join the Sleep Fitness Movement**
 At Eight Sleep, we’re on a mission to fuel human potential through optimal sleep. As the world’s first sleep fitness company, we’re redefining what it means to be well\-rested and building the most advanced hardware, software, and AI technology to make it possible. Our products power peak mental, physical, and emotional performance by transforming every night of sleep into a personalized, data\-driven recovery experience.
 We are trusted by high performers, professional athletes, and health\-conscious consumers in over 30 countries worldwide. Recognized as one of Fast Company's Most Innovative Companies in 2019, 2022, and 2023, and twice named to TIME's “Best Inventions of the Year.” We operate like a high\-performance team: fast, focused, and motivated by impact. We don’t just ship; we iterate, refine, and obsess over the details that help our members sleep better and wake up stronger.
 Every role at Eight Sleep is a chance to create cutting\-edge technology, collaborate with world\-class talent, and help shape a future where sleep isn’t passive \- it’s a powerful tool for living better. If you’re tired of the ordinary and driven to build at the edge of what’s possible, this is your moment. Join us and lead the movement that’s transforming how the world sleeps and what we’re all capable of when we wake up.
**High Standards. No Apologies**
 We operate with intensity because our mission demands it. At Eight Sleep, we bring the same mindset as the world’s top performers: focused, relentless, and always pushing to be in the top 1% of our craft. Think Kobe Bryant’s mamba mentality, applied to bold ideas, next\-gen tech, and flawless execution. This isn’t a 9\-to\-5\. We’re a team that puts in the extra effort, not because it’s required, but because we care about the impact of our work. We’re here to build fast, push limits, and deliver without compromise. If you thrive under pressure and want to do the most meaningful work of your career, you’ll feel right at home. If you’re looking for something easier – this isn’t it.
**The role**
 We are looking for an AI Product Manager to own and elevate our customer experience. You will be the dedicated DRI for our AI practice, spending 100% of your time training, evaluating, and improving our AI agents to deliver exceptional customer support. This role sits at the intersection of product management, AI/ML, and customer experience \- perfect for someone who loves diving deep into AI systems and measuring their real\-world impact.
**How You’ll Contribute**
* Build and deploy AI powered tools to make the broader Customer Experience (CX) team more efficient
* Own the end\-to\-end AI agent utility and quality for our customer support platform
* Evaluate AI performance rigorously \- you'll be the person who can definitively answer "does this bot suck or not?"
* Strong Product and UX sense \- there’s nothing worse than lousy internal systems
* Expand coverage to more support case types while maintaining high quality standards
* Analyze customer interactions to identify gaps in AI coverage and prioritize improvements
* Develop and track KPIs for AI performance including resolution rate, accuracy, and customer satisfaction
* Work closely with engineers to identify and implement automation opportunities
* Collaborate with CX managers to understand agent pain points and translate them into AI improvements
* Create documentation and training materials for AI\-assisted workflows
* Lead the development of internal AI\-powered tools like our internal diagnostic tool (for troubleshooting and fixing customer issues) and AI\-powered ticket analysis pipeline (for detecting trends and surfacing alerts), driving rapid prototyping and iteration
* Partner with AI engineers to build and evaluate AI\-assisted workflows, leveraging tools like Claude and Devin to accelerate development
* Design and run evaluations (evals) to measure the effectiveness of AI tools and identify areas for improvement
**What You Need To Succeed**
* 5\+ years of experience in operations, technical product/program management, or a related technical field
* Proven experience with prompt engineering, LLM based products, or other AI/ML products
* Experience training, evaluating, and improving AI agents or chatbots
* Strong judgement and analytical skills with the ability to assess AI performance objectively and make data\-driven decisions
* Ability to work independently and drive projects from conception to completion
* Excellent communication skills to translate technical AI concepts for non\-technical stakeholders
* Comfort with ambiguity and the ability to define structure in a fast\-moving environment
* Experience building no\-code/low\-code automation tools
 And...
* You’re excited about the health and fitness technology space and the opportunity to measurably improve lives
* You have the desire to make an outsized impact as part of a rapidly growing, dynamic team
* You are willing to roll up your sleeves and use whatever language or framework will best help you get the job done
* You love thinking about things from the customer’s perspective and trying to understand what motivates and drives decision making
* You have side projects outside of work that you’re excited to tell us about
*Please note that applications will not be reviewed if you do not meet this criteria.*
**Why join Eight Sleep?**
**Innovation in a culture of excellence**
 Join us in a workplace where innovation isn’t just encouraged \- it’s a standard. Our flagship product, the Pod, is a testament to our culture of excellence, beloved by hundreds of thousands of customers worldwide. At Eight Sleep, you will be part of a team that continuously pushes the boundaries of technology in sleep fitness.
**Immediate responsibility and accelerated career growth**
 From your first day, you’ll take on substantial responsibilities that have a direct impact on our core business and product success. We are a small team that empowers you to own your projects and see the tangible effects of your efforts, enhancing both your professional growth and our company’s trajectory. Your path will be challenging but rewarding, perfect for those who thrive in fast\-paced environments aiming for high standards.
**Collaboration with exceptional talent**
 Work alongside other bright minds like you: at Eight Sleep exceptional intelligence and a passion for breakthroughs are the norms. Our team members are not only experts in their fields but also avid innovators who thrive in our dynamic, fast\-paced environment.
**Equitable Compensation And Continuous Equity Investment**
 We extend equity participation to every full\-time team member, recognizing and rewarding your direct contributions to our success. This includes periodic equity refreshments based on performance, ensuring that as Eight Sleep grows and succeeds, so do you – perfectly aligning your achievements with the broader triumphs of the company. Pay grows rapidly as you accumulate experience with Eight Sleep and translate it into concrete impact.
**Your Own Pod \- And Other Great Benefits**
 Every Eight Sleep employee receives the very product that defines our mission: a Pod of their own. If you join us you’ll get your own Pod, along with other benefits. Learn more at eightsleep.com/careers
 At Eight Sleep we continually celebrate the diverse community different individuals cultivate. As an equal opportunity employer, we stay true to our values by ensuring everyone feels they can flourish and grow. We are committed to equal employment opportunities regardless of race, color, ancestry, religion, sex, national origin, sexual orientation, age, citizenship, marital status, disability, gender identity or Veteran status.</t>
        </is>
      </c>
    </row>
    <row r="10">
      <c r="A10" t="inlineStr">
        <is>
          <t>li-4357583669</t>
        </is>
      </c>
      <c r="B10" t="inlineStr">
        <is>
          <t>Product Owner - Pickup</t>
        </is>
      </c>
      <c r="C10" t="inlineStr">
        <is>
          <t>Meijer</t>
        </is>
      </c>
      <c r="D10" t="inlineStr">
        <is>
          <t>linkedin</t>
        </is>
      </c>
      <c r="E10" t="inlineStr"/>
      <c r="F10" t="inlineStr"/>
      <c r="G10" t="inlineStr">
        <is>
          <t>Greater Jackson, MI Area</t>
        </is>
      </c>
      <c r="H10" t="inlineStr"/>
      <c r="I10"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The Product Owner is a Subject Matter Expert (SME) responsible for overall technology advancements, store processes and overall development efforts for the Store Support Organization. This Product Owner will work very close with cross functional teams to define, develop, and launch transformative technology features/capabilities as well as in\-store solutions. This Product Owner is a key role within the Scaled Agile Framework (SAFe) that Meijer has adopted across multiple areas of the business. This role offers the unique opportunity to influence and create new in\-store and digital experiences that impact our Customers and Team Member, drive incremental sales and deliver Best in Class solutions for Meijer. Individuals in this role must embody SAFe Agile while demonstrating the ability to understand Customer and Team Member needs and have the aptitude for both technical and business requirements.
**What You’ll Be Doing**
* Responsible for the end\-state product/property experiences, which could include (but not limited to) Pickup, Shop \&amp; Scan, POS technology. Handheld/Mobile technology, App development, Customer Experience and managing new technologies to support the Digital and Retail Roadmap for our stores.
* Serves as a Subject Matter Expert (SME) for contributions towards the creation and development of project roadmaps, project strategy and planning process.
* Interprets customer data and Team Member feedback to identify opportunities to influence the digital experience by reducing friction in our solutions while increasing simplicity and efficiencies for our Customers and Team Members.
* Sees projects from start to finish, including detailed breakdown of features at the beginning, through measuring success post\-rollout.
* Conveys the vision and goals to the team for each new feature prioritized.
* Creates, owns and is measured against their agile team’s objectives for each 10 week program increment.
* Maintains and prioritizes their team’s backlog during the sprint planning process.
* Attends all regularly scheduled meetings as part of the SAFe framework, including sprint planning, sprint demos, system demos, retrospectives, and program increment planning events.
* Communicates status and progress externally.
* Plans and executes program/feature transitions with high customer impact as needed.
* Additional projects outside of the agile project teams as assigned.
**What You Bring With You (Qualifications)**
* Bachelor’s Degree or equivalent experience.
* 3\-5 years’ experience in Retail Leading teams, SAFe Agile work, and/or IT field.
* Experience working with technical teams required, preferably within an Agile (SAFe) framework.
* Experience in working within teams and cross\-functional partner relationships.
* Advanced Excel and PowerPoint experience.
* Demonstrated ability to deliver simple customer experience solutions.
* Strong written, editing, proofreading and oral communication skills.
* Strong presentation skills, comfort leading cross functional projects.
* Strong organizational, planning, and time management skills with ability to prioritize multiple/competing projects and assignments.
* Attention to detail with an ability to meet tight timelines.
* Strong problem solving ability and dealing with ambiguity.
* Strong work ethic complemented by a positive, can\-do attitude.
* Ability to communicate and interact with various divisions and levels of the organization.
* Exceptional ability to extract strategic insights from data and adjust and/or plan accordingly.
* May require travel to markets.
 We are committed to offering competitive pay that reflects market standards and ensures consistency within our organization.
 The pay range for this position is listed below.
 $72,500\.00 \- $114,500\.00
 This pay range represents the minimum and maximum base pay for the position, which is determined by factors such as market data, the qualifications required, the level of responsibilities associated with the role and other roles at this same level. Your specific pay rate within this range will be based on your experience, qualifications, and skills compared to the internal team you’ll be joining.
 We offer a comprehensive benefits package that includes medical, dental, vision, life insurance, a 401(k) plan with employer match, disability leave, and paid time off (PTO). In addition to these core benefits, we are committed to supporting your overall well\-being and career growth. Our offerings include a variety of programs designed to support your personal and professional development, such as paid parental leave, paid education assistance (including free education), a childcare subsidy and more. We are dedicated to creating a work environment that promotes work\-life balance, long\-term health and financial security, and continuous professional development</t>
        </is>
      </c>
    </row>
    <row r="11">
      <c r="A11" t="inlineStr">
        <is>
          <t>li-4368691287</t>
        </is>
      </c>
      <c r="B11" t="inlineStr">
        <is>
          <t>Senior Product Manager (Agents)</t>
        </is>
      </c>
      <c r="C11" t="inlineStr">
        <is>
          <t>Kouper</t>
        </is>
      </c>
      <c r="D11" t="inlineStr">
        <is>
          <t>linkedin</t>
        </is>
      </c>
      <c r="E11" t="inlineStr"/>
      <c r="F11" t="inlineStr"/>
      <c r="G11" t="inlineStr">
        <is>
          <t>New York, NY</t>
        </is>
      </c>
      <c r="H11" t="inlineStr"/>
      <c r="I11" t="inlineStr">
        <is>
          <t>**About Kouper Health:**
 Kouper Health is leading the charge in transforming transitions of care. We are backed by General Catalyst, 25m Health, and leading health system partners. Our mission is to bridge the care transition gap and fundamentally improve the patient experience to help people live longer and better.
**Position Overview:**
 As a Senior Product Manager at Kouper, you’ll play a pivotal role in defining and delivering products that directly impact patient outcomes and provider efficiency. This is a high\-leverage, high\-judgment role. You will function as a key partner to the VP of Product, owning the product roadmap across our core software platform and agentic workflows. Success in this role will require close collaboration with engineering, operations, and customer\-facing teams to translate high\-level goals into impactful products.
**What You’ll Do**
* Product Strategy \&amp; Roadmap Ownership: Define and execute the roadmap for Kouper’s core products and agentic workflows, utilizing rigorous prioritization frameworks to balance company objectives with client needs
* Scalable Agentic Innovation: Drive the rapid scaling of agentic systems to support growing patient volumes and complex interactions, while defining quality measures and conducting experiments to optimize performance
* Discovery\-Driven Prototyping: Conduct deep market research and user interviews to identify pain points, rapidly prototyping and validating new features through an MVP\-first approach to ensure product\-market fit
* Cross\-Functional Leadership: Serve as the primary bridge between technical (Engineering, ML) and non\-technical (Operations, Sales, Marketing) teams to refine requirements and ensure high\-quality product delivery
**What You’ll Bring**
* Experience: 4\+ years of technical product management experience, with at least 2 years specifically shipping AI\-native or agentic products
* Equivalent Professional Experience: We value high\-leverage professional backgrounds; relevant experience in Investment Banking, Private Equity, or Management Consulting will be considered
* Scaling Expertise: Proven track record of scaling AI/data products to handle significant increases in users, data volume, and interaction complexity
* Technical Acumen: Ability to understand the architecture of agentic systems and a proven track record of building complex data products alongside engineering teams
* Metrics\-first Mindset: Strong analytical skills with experience in defining KPIs and using data to drive product decisions and measure success
* Stakeholder Communication: Exceptional written and verbal communication skills, with the ability to translate complex technical concepts for non\-technical stakeholders in Sales and Marketing
* Drive: A high\-ownership mindset, willing to step outside the traditional PM role to deliver the best possible patient experience
**Preferred Qualifications**
* Experience building and scaling products from 0\-to\-1 in fast\-moving or ambiguous environments
* Experience with API integrations and interoperable solutions (e.g., Epic or Cerner)
**What We Offer**
* Competitive Compensation: Salary and equity package commensurate with experience
* Comprehensive Benefits: Health and dental coverage and a flexible work environment
* Mission\-driven Culture: The opportunity to join a high\-growth startup at a high growth stage and impact the future of healthcare
* Professional Growth: A supportive environment where you will work alongside high\-achieving people and have a direct impact on the business
* Flexible hybrid work environment in NYC
* Expected Start Date: Feb 2026</t>
        </is>
      </c>
    </row>
    <row r="12">
      <c r="A12" t="inlineStr">
        <is>
          <t>li-4368696467</t>
        </is>
      </c>
      <c r="B12" t="inlineStr">
        <is>
          <t>AI Agent Product Manager (Remote)</t>
        </is>
      </c>
      <c r="C12" t="inlineStr">
        <is>
          <t>Hello Patient</t>
        </is>
      </c>
      <c r="D12" t="inlineStr">
        <is>
          <t>linkedin</t>
        </is>
      </c>
      <c r="E12" t="inlineStr"/>
      <c r="F12" t="inlineStr"/>
      <c r="G12" t="inlineStr"/>
      <c r="H12" t="inlineStr"/>
      <c r="I12" t="inlineStr">
        <is>
          <t>**About The Role**
 Hello Patient is hiring a technical, high\-agency AI Agent Product Manager to own the end\-to\-end delivery of AI agents in real customer environments. We build AI\-powered voice, sms, and chat agents that integrate deeply into how healthcare practices actually operate.
 Every new customer deployment is a product launch—new workflows, new edge cases, new integration requirements, new ways the agent needs to behave in the real world. This role exists to own that launch from scoping through go\-live. You’ll also own the customer\-facing roadmap for each deployment—defining requirements, sequencing what gets built, and aligning stakeholders on tradeoffs.
 This role combines product ownership with hands\-on agent building — translating requirements into shipped agent behavior. You’ll gather requirements directly from customers, translate them into agent logic and workflows, and implement that behavior hands\-on using prompts, guardrails, tools, and evals.
 You’ll design Mia’s behavior, ship production\-ready multi\-agent workflows, and turn real\-world healthcare complexity into systems that actually hold up on live calls. This is a rare seat: you’ll get direct exposure to frontier LLM failure modes in production, and you’ll continuously iterate on agent performance using structured evaluation, testing, and real customer feedback.
**What You'll Do**
**Own customer deployments end\-to\-end**
* Lead delivery of net\-new AI agent deployments as the single accountable owner—from customer requirements through production go\-live
* Treat every deployment as a product launch: define scope, manage tradeoffs, hit timelines, ensure quality
* Own the customer\-facing roadmap for each deployment—what are we shipping, in what order, and why
**Build agents, not just specs**
* Gather requirements directly from customers and translate them into agent behavior yourself using our internal platform—prompts, tools, guardrails, multi\-agent workflows
* Do hands\-on prompt engineering using AI tools to build the components that make agents work: conversation flows, decision logic, edge case handling, integration behaviors
* Ship production\-ready agents that handle real healthcare complexity: scheduling logic, patient context, EMR data, practice\-specific edge cases
* Continuously improve agent performance using structured evals, live call review, and direct customer feedback
**Drive zero\-to\-one execution**
* Lead deployments for new workflows, integrations, and verticals where no playbook exists
* Identify unknowns early, derisk them, and make tradeoff decisions that keep launches on track
* When deployments require net\-new platform capabilities, own requirements and prioritization with the engineering team
**Work alongside Conversational Design and Customer Engineering**
* Conversational designers design and optimize agent behavior—they review real conversations, identify patterns, design conversation flows, and ship agent behavior
* Customer engineers build integrations into our customers' systems of record—EHRs, PMS, and PIMS
* You own everything else: integration scoping with Customer Engineering, cross\-team coordination, timeline management, stakeholder communication, and unblocking whatever's in the way
**Build toward repeatability**
* Identify patterns across launches and codify them into playbooks
* Know when a workflow or integration is ready to transition from zero\-to\-one ownership to steady\-state implementation
* Hand off proven patterns to implementation teams and move on to the next net\-new challenge
**Must Have**
**What We're Looking For**
* 3\+ years in Product Management or a closely related role (e.g., technical program management at a product\-led company, founder/early employee wearing the PM hat) or a technical background (software engineer / forward\-deployed engineer) who has operated in a PM\-like capacity
* Strong technical product background—comfortable with APIs, integrations, and understanding how systems connect
* Experience shipping in ambiguous, fast\-moving environments where the playbook doesn't exist yet
* Proven ability to work across functions through influence, not authority
* Bias toward ownership and action—you'd rather make a call and course\-correct than wait for clarity
**Nice To Have**
* Experience with AI\-native products, agents, LLMs, or automation platforms including hands\-on prompt/agent buildingBackground in healthcare, revenue cycle, or other legacy\-system\-heavy industries
* You’ve spent time playing with bots — building them, breaking them, and tweaking conversations to make them feel more natural.
* Founder, co\-founder, or early startup experience
* Familiarity with voice AI or real\-time orchestration systems
* Portfolio or examples of shipped conversational experiences (IVR, voice assistants, chatbots, SMS flows) and the rationale behind key design decisions
* Familiarity with evaluation practices for agent quality
**Compensation**
**Base salary:** 
 $160K–$200K
**Equity:** 
 Meaningful ownership in a fast\-growing healthtech startup
**About Hello Patient**
 Hello Patient is transforming healthcare communication through advanced conversational AI. Our founding team spent 3\.5 years scaling Carbon Health's technology during hypergrowth, where we saw firsthand how much clinical time gets wasted on basic communication—great clinicians buried in admin work, patients stuck in phone tag.
 Our AI platform proactively engages patients through perfectly timed calls and texts, resolving complex interactions end\-to\-end—from scheduling to billing to retention. Built with security and compliance at its core, our technology integrates with existing healthcare infrastructure to deliver 24/7 patient engagement.
 Backed by Scale and 8VC, we're building the future of healthcare communication, one conversation at a time.</t>
        </is>
      </c>
    </row>
    <row r="13">
      <c r="A13" t="inlineStr">
        <is>
          <t>li-4368605846</t>
        </is>
      </c>
      <c r="B13" t="inlineStr">
        <is>
          <t>Principal Product Manager - Core Platform</t>
        </is>
      </c>
      <c r="C13" t="inlineStr">
        <is>
          <t>Jobgether</t>
        </is>
      </c>
      <c r="D13" t="inlineStr">
        <is>
          <t>linkedin</t>
        </is>
      </c>
      <c r="E13" t="inlineStr"/>
      <c r="F13" t="inlineStr"/>
      <c r="G13" t="inlineStr"/>
      <c r="H13" t="inlineStr"/>
      <c r="I13" t="inlineStr">
        <is>
          <t>**This position is posted by Jobgether on behalf of a partner company. We are currently looking for a Principal Product Manager \- Core Platform in United States.**
 This role leads the strategy and evolution of a core cloud management platform, focused on provisioning, automation, and orchestration across hybrid and edge environments. The Principal Product Manager will define the product roadmap, prioritize features, and work closely with engineering, UX, and cross\-functional teams to deliver scalable, reliable, and enterprise\-grade solutions. The ideal candidate will engage directly with customers to understand real\-world needs, translating them into impactful product capabilities. This position balances strategic vision with hands\-on execution, influencing internal teams and external stakeholders. Strong technical expertise, customer empathy, and the ability to drive results at scale are essential. You will shape the future of the platform, ensuring it remains best\-in\-class in a rapidly evolving cloud market.
**Accountabilities**
* Define and evolve the core platform product vision, roadmap, and capabilities, including workload provisioning, automation, orchestration, and infrastructure management
* Partner with engineering and architecture teams to deliver scalable, secure, and high\-performance platform services
* Act as the voice of the customer, gathering insights from enterprise clients and field teams to inform product strategy
* Collaborate with cross\-functional teams including UX, sales, solution architects, and support to ensure successful feature delivery
* Evangelize platform value and roadmap to internal teams, partners, and customers; support field enablement and expectations management
* Monitor market trends, emerging technologies, and competitive offerings to maintain product leadership
* Support launch planning, performance tracking, and continuous improvement of platform capabilities
**Requirements**
* Proven experience leading platform\- or infrastructure\-focused product management in enterprise or cloud software
* Strong understanding of virtualization (VMware/ESXi, KVM), containers and Kubernetes, hybrid/on\-prem infrastructure, and automation/IaC (Terraform, Ansible)
* Ability to translate technical concepts into clear customer value and product strategy
* Strong strategic thinking combined with hands\-on execution and delivery focus
* Excellent communication and influencing skills with engineers, field teams, executives, and customers
* Experience managing full product lifecycle from strategy to launch
* Analytical, customer\-focused, and capable of prioritizing competing initiatives in a fast\-paced environment
**Benefits**
* Competitive base salary with variable incentives
* Comprehensive health, dental, and vision coverage
* Flexible remote work options and work\-life balance support
* Professional development programs, certifications, and career growth opportunities
* Inclusive and collaborative work culture that values diversity and innovation
* Opportunities to work on globally impactful cloud platform solutions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li-4368218569</t>
        </is>
      </c>
      <c r="B14" t="inlineStr">
        <is>
          <t>Senior Product Manager, AI/ML</t>
        </is>
      </c>
      <c r="C14" t="inlineStr">
        <is>
          <t>Google</t>
        </is>
      </c>
      <c r="D14" t="inlineStr">
        <is>
          <t>linkedin</t>
        </is>
      </c>
      <c r="E14" t="inlineStr"/>
      <c r="F14" t="inlineStr"/>
      <c r="G14" t="inlineStr">
        <is>
          <t>New York, NY</t>
        </is>
      </c>
      <c r="H14" t="inlineStr"/>
      <c r="I1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product management or related technical role.
* 3 years of experience developing or launching products or technologies within artificial intelligence or machine learning (AI or ML).
**Preferred qualifications:**
* 7 years of experience in product management, consulting, co\-founder, or a related technical role.
* Experience creating product roadmaps from conception to launch, driving the product goal, defining the Go\-to\-Market (GTM) strategy, and leading design discussions.
* Experience with User Experience (UX).
* Experience with the latest and greatest AI tools.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developing GenAI platform strategy for custom agents across Workspace and building out the tools and products to enable this transformation for billions of users. You will be developing amazing end user experiences using GenAI technologies such as Gemini and Vertex AI, driving the evolution of our APIs, and partnerships with key Independent Software Vendors (ISVs). You will engage regularly as a trusted advisor with business leaders to understand their strategies to empower their workflows. You will cultivate the productivity app ecosystem which becomes more and more critical in the time of hybrid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goal and strategy for the custom agents.
* Design and lead a multi­\-year roadmap, balancing short­ and long­\-term goals and investments to scale globally.
* Own cross\-functional product development process from ideation through development and commercial launch, collaborating with multiple internal, executive, and external teams to ensure coordination throughout product development, fostering and facilitating timely decision\-making, driving product and delivering success.
* Engage regularly as a trusted advisor with customers to understand their communication strategies, pain points and priorities to inform product strategy, while providing transparency into roadmaps and managing expectations.
* Partner closely with Engineering, UX, and other internal Google teams to drive product and delivery success.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
      <c r="A15" t="inlineStr">
        <is>
          <t>li-4285961725</t>
        </is>
      </c>
      <c r="B15" t="inlineStr">
        <is>
          <t>Principal Product Manager, SoFi Money</t>
        </is>
      </c>
      <c r="C15" t="inlineStr">
        <is>
          <t>SoFi</t>
        </is>
      </c>
      <c r="D15" t="inlineStr">
        <is>
          <t>linkedin</t>
        </is>
      </c>
      <c r="E15" t="inlineStr"/>
      <c r="F15" t="inlineStr"/>
      <c r="G15" t="inlineStr">
        <is>
          <t>New York, NY</t>
        </is>
      </c>
      <c r="H15" t="inlineStr"/>
      <c r="I1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6">
      <c r="A16" t="inlineStr">
        <is>
          <t>li-4368227378</t>
        </is>
      </c>
      <c r="B16" t="inlineStr">
        <is>
          <t>Product Manager</t>
        </is>
      </c>
      <c r="C16" t="inlineStr">
        <is>
          <t>Piper Maddox</t>
        </is>
      </c>
      <c r="D16" t="inlineStr">
        <is>
          <t>linkedin</t>
        </is>
      </c>
      <c r="E16" t="inlineStr"/>
      <c r="F16" t="inlineStr"/>
      <c r="G16" t="inlineStr"/>
      <c r="H16" t="inlineStr"/>
      <c r="I16" t="inlineStr">
        <is>
          <t>Piper Maddox have recently partnered with a U.S.\-based energy technology firm specializing in advanced energy storage solutions. This brand new, patented solution utilizes previously overlooked minerals to improve the lifespan of Battery systems.
 This product has application across Residential and commercial back\-ups for MicroGrids, Data Centers, EV Charging and various other Critical Infrastructure systems.
 We are looking to add a Product Manager to the team. This position is fully remote and available to start immediately.
 In this position, your responsibilities will include:
* You will be the “glue” that combines multiple divisions together, including engineering, architecture, manufacturing and operations. You will be tasked with ensuring cross group collaboration, improving the quality of inter\-team communication.
* Responsible for the entire end\-to\-end product lifecycle.
* Collaborate with the sales teams to ensure clear product narratives and provide technical product support on initial pitches.
* Maintain the product roadmap.
 The ideal person will have a background similar to the below:
* Ideal candidate will have a background covering Controls and Power Systems.
* Strong Technical background and understanding.
* Managed a full cycle of product lifecycle, ideally for one whole process but can consider all aspects through multiple products.
* This person must have a strong background across Power Electronics. This can include Transformers, Switchgears, ESS, Circuit Breaker Design, Invertors and more).
 If this seems like an opportunity you could be interested in, please follow the link and apply.</t>
        </is>
      </c>
    </row>
    <row r="17">
      <c r="A17" t="inlineStr">
        <is>
          <t>li-4368808371</t>
        </is>
      </c>
      <c r="B17" t="inlineStr">
        <is>
          <t>AI Agent Product Manager</t>
        </is>
      </c>
      <c r="C17" t="inlineStr">
        <is>
          <t>Hello Patient</t>
        </is>
      </c>
      <c r="D17" t="inlineStr">
        <is>
          <t>linkedin</t>
        </is>
      </c>
      <c r="E17" t="inlineStr"/>
      <c r="F17" t="inlineStr"/>
      <c r="G17" t="inlineStr">
        <is>
          <t>Austin, TX</t>
        </is>
      </c>
      <c r="H17" t="inlineStr"/>
      <c r="I17" t="inlineStr">
        <is>
          <t>**About The Role**
 Hello Patient is hiring a technical, high\-agency AI Agent Product Manager to own the end\-to\-end delivery of AI agents in real customer environments. We build AI\-powered voice, sms, and chat agents that integrate deeply into how healthcare practices actually operate.
 Every new customer deployment is a product launch—new workflows, new edge cases, new integration requirements, new ways the agent needs to behave in the real world. This role exists to own that launch from scoping through go\-live. You’ll also own the customer\-facing roadmap for each deployment—defining requirements, sequencing what gets built, and aligning stakeholders on tradeoffs.
 This role combines product ownership with hands\-on agent building — translating requirements into shipped agent behavior. You’ll gather requirements directly from customers, translate them into agent logic and workflows, and implement that behavior hands\-on using prompts, guardrails, tools, and evals.
 You’ll design Mia’s behavior, ship production\-ready multi\-agent workflows, and turn real\-world healthcare complexity into systems that actually hold up on live calls. This is a rare seat: you’ll get direct exposure to frontier LLM failure modes in production, and you’ll continuously iterate on agent performance using structured evaluation, testing, and real customer feedback.
**What You'll Do**
**Own customer deployments end\-to\-end**
* Lead delivery of net\-new AI agent deployments as the single accountable owner—from customer requirements through production go\-live
* Treat every deployment as a product launch: define scope, manage tradeoffs, hit timelines, ensure quality
* Own the customer\-facing roadmap for each deployment—what are we shipping, in what order, and why
**Build agents, not just specs**
* Gather requirements directly from customers and translate them into agent behavior yourself using our internal platform—prompts, tools, guardrails, multi\-agent workflows
* Do hands\-on prompt engineering using AI tools to build the components that make agents work: conversation flows, decision logic, edge case handling, integration behaviors
* Ship production\-ready agents that handle real healthcare complexity: scheduling logic, patient context, EMR data, practice\-specific edge cases
* Continuously improve agent performance using structured evals, live call review, and direct customer feedback
**Drive zero\-to\-one execution**
* Lead deployments for new workflows, integrations, and verticals where no playbook exists
* Identify unknowns early, derisk them, and make tradeoff decisions that keep launches on track
* When deployments require net\-new platform capabilities, own requirements and prioritization with the engineering team
**Work alongside Conversational Design and Customer Engineering**
* Conversational designers design and optimize agent behavior—they review real conversations, identify patterns, design conversation flows, and ship agent behavior
* Customer engineers build integrations into our customers' systems of record—EHRs, PMS, and PIMS
* You own everything else: integration scoping with Customer Engineering, cross\-team coordination, timeline management, stakeholder communication, and unblocking whatever's in the way
**Build toward repeatability**
* Identify patterns across launches and codify them into playbooks
* Know when a workflow or integration is ready to transition from zero\-to\-one ownership to steady\-state implementation
* Hand off proven patterns to implementation teams and move on to the next net\-new challenge
**What We're Looking For**
**Must have**
* 3\+ years in Product Management or a closely related role (e.g., technical program management at a product\-led company, founder/early employee wearing the PM hat) or a technical background (software engineer / forward\-deployed engineer) who has operated in a PM\-like capacity
* Strong technical product background—comfortable with APIs, integrations, and understanding how systems connect
* Experience shipping in ambiguous, fast\-moving environments where the playbook doesn't exist yet
* Proven ability to work across functions through influence, not authority
* Bias toward ownership and action—you'd rather make a call and course\-correct than wait for clarity
**Nice to have**
* Experience with AI\-native products, agents, LLMs, or automation platforms including hands\-on prompt/agent buildingBackground in healthcare, revenue cycle, or other legacy\-system\-heavy industries
* You’ve spent time playing with bots — building them, breaking them, and tweaking conversations to make them feel more natural.
* Founder, co\-founder, or early startup experience
* Familiarity with voice AI or real\-time orchestration systems
* Portfolio or examples of shipped conversational experiences (IVR, voice assistants, chatbots, SMS flows) and the rationale behind key design decisions
* Familiarity with evaluation practices for agent quality
**Compensation**
**Base salary:** 
 $160K–$200K
**Equity:** 
 Meaningful ownership in a fast\-growing healthtech startup
**About Hello Patient**
 Hello Patient is transforming healthcare communication through advanced conversational AI. Our founding team spent 3\.5 years scaling Carbon Health's technology during hypergrowth, where we saw firsthand how much clinical time gets wasted on basic communication—great clinicians buried in admin work, patients stuck in phone tag.
 Our AI platform proactively engages patients through perfectly timed calls and texts, resolving complex interactions end\-to\-end—from scheduling to billing to retention. Built with security and compliance at its core, our technology integrates with existing healthcare infrastructure to deliver 24/7 patient engagement.
 Backed by Scale and 8VC, we're building the future of healthcare communication, one conversation at a time.</t>
        </is>
      </c>
    </row>
    <row r="18">
      <c r="A18" t="inlineStr">
        <is>
          <t>li-4367211814</t>
        </is>
      </c>
      <c r="B18" t="inlineStr">
        <is>
          <t>Sr Product Manager</t>
        </is>
      </c>
      <c r="C18" t="inlineStr">
        <is>
          <t>The Walt Disney Company</t>
        </is>
      </c>
      <c r="D18" t="inlineStr">
        <is>
          <t>linkedin</t>
        </is>
      </c>
      <c r="E18" t="inlineStr"/>
      <c r="F18" t="inlineStr"/>
      <c r="G18" t="inlineStr">
        <is>
          <t>Glendale, CA</t>
        </is>
      </c>
      <c r="H18" t="inlineStr"/>
      <c r="I18"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Content Platforms \&amp; Operations is responsible for the development and ongoing advancement of the technical and operational functions driving the worldwide distribution and monetization of Disney’s linear networks and theatrical content. This includes Disney’s media supply chain and storage, network and theatrical distribution operations, media localization, network transmission and origination, and more. The global team also plays a critical role as the primary collaboration point for Product \&amp; Technology with Disney’s EMEA, APAC, and LATAM regional business teams.
 We are the
 **Content Platforms** 
 team with a mission to “reimagine the technical ecosystem that empowers The Walt Disney Company to harness its unparalleled storytelling and distribute it around the world.” Content Platforms is part of DEEP\&amp;T which is responsible for The Walt Disney Company’s direct\-to\-consumer businesses globally, including the ESPN\+ sports streaming service, programmed in conjunction with ESPN; Disney\+, the Disney\-branded direct\-to\-consumer streaming service; global advertising sales and ad technology for all of Disney’s media properties, including ABC, ESPN, Hulu, Freeform, FX Networks, National Geographic and the Disney Channels; and Hotstar, the leading over\-the\-top streaming service in India.
**If You**
* Enjoy working with teams of talented and passionate people
* Have excellent communication skills
* Demonstrate determination in finding solutions to complex puzzles
* Have the curiosity and interests in how content goes from inception to consumers
* Employ positive thinking and are able to work constructively in a diverse team setting
* Enjoy transforming business strategy into innovative products \&amp; platforms
* Value learning and being exposed to new experiences
* Love working in a startup culture
* Find Media \&amp; Entertainment industry fascinating
 then Content Platforms team is the place for you. We are growing and investing in innovative technology to launch a state\-of\-the\-art content pipeline. Come be a part of the magic that makes The Walt Disney Company one of the “World’s Most Admired Companies”.
**Role Overview**
 The Content Platforms’ Rights Management Team is looking for a Product Manager to support the day\-to\-day activities of the Product Lifecycle. This individual will have the opportunity be a part of the team that will define and launch products supporting the distribution of The Walt Disney Company’s amazing content, including: Direct\-to\-Consumer (Disney\+, Hulu, etc.) Content Sales (licensing content to third party distribution partners), Transactional, Syndication, and Airlines. Rights Management is the practice of defining and managing the rights associated with media content, including who can use the content, in what format, where, when, and under what conditions. It ensures legal compliance, protects intellectual property, and enables content monetization across various channels. The Rights Management ecosystem is composed of several interconnected applications and platforms. Our primary Rights Management product is Rightsline and experience with this SaaS solution is preferred. Key product capabilities and concepts that the team supports include, but are not limited, to rights clearances, distribution rights\-in and informational restrictions, exclusivity and holdbacks, carves, distribution rights\-out, opportunity reporting, and conflict check.
 As the Product Manager, you will have the opportunity to dive deep into the business capabilities and learn the Disney processes. Your responsibilities include gathering \&amp; prioritizing business requirements and translating that into product specifications. Working in a cross\-functional team environment with design, engineering, infrastructure, and QA, you will help reimagine the product for the future business of The Walt Disney Company, with focus in maximizing automation, driving incremental revenue, operational improvements, and supporting the acceleration of our Direct\-to\-Consumer and Content Sales businesses.
**Responsibilities**
 Product Strategy \&amp; Vision
* Articulate product strategy and gain aligment from business stakeholders and cross\-functional technical teams
* Create product roadmaps that clearly link vision, strategy, objectives, and execution.
* Provide end\-to\-end product management for a specific product or platform within the Rights Management domain.
* Collaborate with business partners to evaluate the value proposition of enhancement requests and propose alternative solutions when necessary, ensuring alignment with the overall product strategy.
 Engagement \&amp; Collaboration
* Collaborate with business partners and cross\-functional teams to identify and clearly define business requirements
* Assist in process alignment and standardization
* Work with engineering and program managers to deliver solutions that support product and Content Platforms' strategy.
* Work closely with cross\-functional teams—including engineering, design, quality assurance, and product leadership—to optimize product features and improve business processes.
 Product Execution \&amp; Delivery
* Manage maintenance and prioritization of product backlog, ensuring transparent, well\-aligned, and justified prioritization within your area of responsibility
* Support the team in identifying, developing, and verifying appropriate solutions for issues, including assistance with complex problems when needed.
* Refine solutions into a practical minimum viable product that efficiently addresses the highest\-priority requirements.
* Coordinate major product releases
* Participate in daily scrum meetings, planning, reviews, and retrospectives
 Product Analysis \&amp; Decision\-Making
* Make thoughtful, well\-documented assumptions
* Own cost/benefit analysis and prepare lean business cases
* Define realistic product targets / KPIs / OKRs
* Leverage product frameworks and tools to document information in a structured way (user journey maps, flow, information architecture, etc.)
 User Focus \&amp; Experience
* Exhibit natural and intuitive user empathy
* Constantly seek out ways to improve the user experience and streamline business operations
* Own system processes, user guides, and training materials for product features as needed
**Basic Qualifications**
* Bachelor’s degree or equivalent experience
* 5\+ year of product management experience, preferably in digital media supply chain
* Demonstrate strong product understanding and platform familiarity
* Knowledge and experience in product management for content rights and availability
* Knowledge and experience in the first party, third party, and acquired content workflows for direct\-to\-consumer streaming service
* Self\-starter and can work independently under time constraints
* Demonstrate strong presentation skills and ability to clearly communicate goals, status, and issues
* Demonstrate strong technical writing skills
* Demonstrate ability to derive actionable insights or alternative solutions through user research
* Demonstrate ability to craft and validate problems
* Efficiently support experimentation execution and analysis, such as proof of concepts
* Demonstrate ability to define Product Roadmaps
* Demonstrate understanding of business modeling and analysis vis structured cost/benefit analysis
* Demonstrate understanding and ability to write and prioritize user stories
* Demonstrate ability to adjust and pivot as business strategy and product priorities shifts
* Experienced in leading and/or facilitating business workshops
* Exhibits a clear understanding of development process, methodologies, and tools
* Can provide informal guidance to junior team members
* Exhibits appreciation and experience in incorporating data science and analytics in holistic product solutions
**Preferred Qualifications**
* MBA or Masters in related technical field preferred
* Exposure or experience with Agile development tools, such as Jira, Airtable, Confluence
* Prior work experience in financial/accounting in content exploitation
* Strong understanding of financial systems, processes, and enhancements
* Established expertise in financial operations, financial controls, financial reporting, and financial systems
* Understanding of general ledger, hierarchies, and data structures
* Experience utilizing AI/ML to automate business processes and drive monetization opportunities
* Familiarity with Rightsline
* Familiarity with Workato
* Knowledge of or experience in Media \&amp; Entertainment industry
* Enthusiasm and interests in Disney brands
* Understanding of media production workflows, digital video workflows, or consumer\-facing video product features
 \#DISNEYTECH
 The hiring range for this position in Glendale, CA is $141,900 to $190,300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9">
      <c r="A19" t="inlineStr">
        <is>
          <t>li-4368694551</t>
        </is>
      </c>
      <c r="B19" t="inlineStr">
        <is>
          <t>Mobile Product Manager</t>
        </is>
      </c>
      <c r="C19" t="inlineStr">
        <is>
          <t>Jackson James</t>
        </is>
      </c>
      <c r="D19" t="inlineStr">
        <is>
          <t>linkedin</t>
        </is>
      </c>
      <c r="E19" t="inlineStr"/>
      <c r="F19" t="inlineStr"/>
      <c r="G19" t="inlineStr">
        <is>
          <t>Morristown, NJ</t>
        </is>
      </c>
      <c r="H19" t="inlineStr"/>
      <c r="I19" t="inlineStr">
        <is>
          <t>**Mobile Product Manager $140\-170k \- Hybrid 3 days a week \- New Jersey.** 
 We’re looking for a data\-driven digital leader to own global conversion and performance strategy across mobile platforms for an enterprise level organization. This role focuses on improving customer journeys, testing new ideas, and turning insights into measurable growth. We are looking for someone that has worked with larger scale organizations with strong CRO and A/B Testing skills.
 You would be required to visit the New Jersey office on a hybrid basis 3 days a week.
**What You’ll Do** 
* Lead A/B and multivariate testing to optimize funnels and user experience.
* Analyze data to identify friction points and drive higher conversion rates.
* Collaborate with product, marketing, and engineering teams to translate insights into action.
* Champion experimentation and continuous improvement across digital channels.
**What You’ll Bring** 
* 5\+ years in e\-commerce optimization, CRO, or digital product performance.
* Strong Mobile app experience
* Proven success leading testing programs and driving measurable growth.
* Strong analytical mindset and experience with tools like Optimizely, Adobe Target, or similar.
* Excellent communication and collaboration skills across technical and commercial teams.
**Benefits** 
* Health, Medical Dental
* 401k Match
* Employee Discounts
* Hybrid Work
* Plus many more</t>
        </is>
      </c>
    </row>
    <row r="20">
      <c r="A20" t="inlineStr">
        <is>
          <t>li-4285968177</t>
        </is>
      </c>
      <c r="B20" t="inlineStr">
        <is>
          <t>Principal Product Manager, SoFi Money</t>
        </is>
      </c>
      <c r="C20" t="inlineStr">
        <is>
          <t>SoFi</t>
        </is>
      </c>
      <c r="D20" t="inlineStr">
        <is>
          <t>linkedin</t>
        </is>
      </c>
      <c r="E20" t="inlineStr"/>
      <c r="F20" t="inlineStr"/>
      <c r="G20" t="inlineStr">
        <is>
          <t>San Francisco, CA</t>
        </is>
      </c>
      <c r="H20" t="inlineStr"/>
      <c r="I2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1">
      <c r="A21" t="inlineStr">
        <is>
          <t>li-4328706744</t>
        </is>
      </c>
      <c r="B21" t="inlineStr">
        <is>
          <t>Principal Product Manager</t>
        </is>
      </c>
      <c r="C21" t="inlineStr">
        <is>
          <t>hims &amp; hers</t>
        </is>
      </c>
      <c r="D21" t="inlineStr">
        <is>
          <t>linkedin</t>
        </is>
      </c>
      <c r="E21" t="inlineStr"/>
      <c r="F21" t="inlineStr"/>
      <c r="G21" t="inlineStr"/>
      <c r="H21" t="inlineStr"/>
      <c r="I21" t="inlineStr">
        <is>
          <t>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 hims.com/about and hims.com/how\-it\-works . For information on the company’s outstanding benefits, culture, and its talent\-first flexible/remote work approach, see below and visit www.hims.com/careers\-professionals.
 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visithims.com/about andhims.com/how\-it\-works . For information on the company’s outstanding benefits, culture, and its talent\-first flexible/remote work approach, see below and visitwww.hims.com/careers\-professionals.
**About The Role**
 We are seeking a highly skilled Principal Product Manager with deep experience building consumer\-facing digital products to lead strategy, roadmap development, and execution across key customer experiences and treatment categories. This role sits at the intersection of customer experience, growth, and technical product development—owning initiatives that enhance the end\-to\-end user journey, accelerate adoption of treatments, and deliver scalable, high\-quality healthcare experiences across app and web.
 You will work cross\-functionally with design, engineering, marketing, clinical, operations, and data teams to develop intuitive and impactful features that meet diverse patient needs. This role requires a strategic thinker with strong technical acumen, a user\-centered mindset, and the ability to drive measurable business and customer outcomes.
**You Will**
* Define and own strategic product roadmaps that improve user experience, foster growth, and support customers throughout their lifecycle across multiple treatment categories.
* Lead projects from discovery through technical development and launch, ensuring high\-quality delivery and continuous iteration based on data and customer insights.
* Identify friction points in the user journey and partner with design, engineering, research, operations, and clinical teams to build empathetic and accessible solutions.
* Consolidate input from marketing, category management, medical, and technical stakeholders to inform product decisions and accelerate adoption of key offerings.
* Break down complex or behind\-the\-scenes systems into phased deliverables that provide incremental value while supporting long\-term scalability.
* Prioritize product investments using structured evaluation of business impact, user value, technical feasibility, and organizational readiness.
* Define success metrics for mission\-critical features and monitor performance post\-launch, driving continuous improvements based on data and feedback.
* Provide thought partnership across UX, growth, and operational functions, aligning cross\-functional teams and ensuring shared understanding.
* Collaborate closely with engineering teams, diving into technical decisions when needed and translating technical concepts for non\-technical partners.
* Champion a culture of experimentation, data\-driven decision\-making, and continuous improvement.
* Mentor peers and contribute to the evolution of product practices, frameworks, and organizational processes.
**You Have**
* 8\+ years of Product Management experience building and shipping consumer products, ideally in growth, healthcare, or subscription\-based mobile applications.
* Proven success delivering impactful products that customers love and that drive measurable business results.
* Strong strategic thinking, systems\-level problem solving, and the ability to move fluidly between high\-level vision and detailed execution.
* Experience leading cross\-functional teams and influencing stakeholders across all levels of an organization.
* Familiarity with product analytics tools (e.g., Looker, Amplitude), experimentation platforms (e.g., Growth Book), and user research methods.
* Ability to work closely with engineers, understand technical constraints, and participate in technical tradeoff discussions.
* Experience creating scalable processes from scratch in fast\-paced, operationally complex environments preferred.
* Empathy for users navigating sensitive health concerns and passion for leveraging technology to improve healthcare access and outcomes.
* Bachelor’s or Master's degree in Business, Computer Science, Engineering, Data Science, or a related field preferred.
**Why Join Us**
* Be part of a mission\-driven company dedicated to transforming healthcare and improving lives.
* Work in a collaborative and innovative environment with talented professionals who are passionate about making a difference.
* Enjoy the flexibility of a fully remote work environment.
**Our Benefits (there are more but here are some highlights):**
* Competitive salary \&amp; equity compensation for full\-time roles
* Pension Plan with employer matching contribution
* Generous PTO
* Paid Parental Leave
 If you’re a visionary product leader with a passion for high quality user experiences and a desire to make a meaningful impact in the healthcare industry, we’d love to hear from you.
 We are committed to building a workforce that reflects diverse perspectives and prioritizes ethics, wellness, and a strong sense of belonging. If you're excited about this role, we encourage you to apply—even if you're not sure if your background or experience is a perfect match.
 Hims considers all qualified applicants for employment, including applicants with arrest or conviction records, in accordance with the San Francisco Fair Chance Ordinance, the Los Angeles County Fair Chance Ordinance, the California Fair Chance Act, and any similar state or local fair chance laws.
 It is unlawful in Massachusetts to require or administer a lie detector test as a condition of employment or continued employment. An employer who violates this law shall be subject to criminal penalties and civil liability.
 Hims \&amp; Hers is committed to providing reasonable accommodations for qualified individuals with disabilities and disabled veterans in our job application procedures. If you need assistance or an accommodation due to a disability, please contact us at accommodations@forhims.com and describe the needed accommodation. Your privacy is important to us, and any information you share will only be used for the legitimate purpose of considering your request for accommodation. Hims \&amp; Hers gives consideration to all qualified applicants without regard to any protected status, including disability. Please do not send resumes to this email address.
 To learn more about how we collect, use, retain, and disclose Personal Information, please visit our Global Candidate Privacy Statement.</t>
        </is>
      </c>
    </row>
    <row r="22">
      <c r="A22" t="inlineStr">
        <is>
          <t>li-4330245924</t>
        </is>
      </c>
      <c r="B22" t="inlineStr">
        <is>
          <t>Product Manager, Women's Swim</t>
        </is>
      </c>
      <c r="C22" t="inlineStr">
        <is>
          <t>PACSUN</t>
        </is>
      </c>
      <c r="D22" t="inlineStr">
        <is>
          <t>linkedin</t>
        </is>
      </c>
      <c r="E22" t="inlineStr"/>
      <c r="F22" t="inlineStr"/>
      <c r="G22" t="inlineStr">
        <is>
          <t>Anaheim, CA</t>
        </is>
      </c>
      <c r="H22" t="inlineStr"/>
      <c r="I22" t="inlineStr">
        <is>
          <t>**Join the Pacsun Community** 
 Pacsun is dedicated to delivering an exclusive collection of the most relevant brands and styles to a community of inspired youth. Through partnerships with brands such as adidas, Brandy Melville, Essentials Fear of God, our own brands, and many more.
 Our Pacsun community believes in and understands the importance of using our voice, platform, and resources to inspire and bring about positive development. Our program PacCares supports and partners with organizations that align with our internal and external initiatives surrounding mental health, diversity, and equality. Join the Pacsun Community.
 Learn more here: LinkedIn\- Our Community
**About the Job:** 
 Develop and deliver a strategic sourcing plan to meet design vision, merchant requirements and company financial goals. Ensure all products achieve the cost, delivery, construction and quality requirements to meet customer expectations, brand positioning and are aligned with Design and Merchandising objectives.
**A day in the life, what you’ll be doing:** 
 •Guide the sourcing process to contribute to the commercialization and engineering of the product to meet design, vision, merchant requirements and company financial goals
 •Manage the product development process for the Department under direction of Director; execute the commercialization and engineering of the product to meet design vision, merchant requirements and company financial goals.
 •Manage development, planning and execution in alignment with the corporate calendar.
 •Consistent evaluation of vendor’s base and region to support evolving business needs.
 •Establish and communicate seasonal direction to the team.
 •Establish relationship with vendors to drive business objectives throughout the product development and production cycle.
 •Select Vendors that can execute the aesthetic requirements and deliver on time while meeting company financial goals. Counter Source costing and sampling with multiple Vendor options as needed.
 •Manage costing, commitment, timing and execution in alignment with the corporate calendar.
 •Report style costing for key meeting milestones: Assortment Review and Buy Meetings and additionally as requested by management.
 •Own Production cycle to drive timely resolution of production issues in order to deliver on\-time.
 •Own Sourcing and Production Planning to balance Vendor base allocation.
 •Evaluate Mill and Vendor Performance. Work within Production and Fabric to implement necessary course correction to ensure deliverables are met.
 •Negotiate final style cost and deliveries to meet company financial goals and sales timing requirements.
 •Report seasonal Wrap\-up information to leaders. Final IMU by business and outstanding issues with timeline for resolution.
 •Champion effective internal and external partnerships and actively promote cross\-functional collaboration to ensure business goals are achieved.
**What it takes to Join:** 
 •4\-year college degree.
 •3 \- 6 years' experience in product development, production or sourcing.
 •Demonstrated ability to work in a multi\-cultural environment.
 •Exceptionally strong problem solving and negotiating skills.
 •Strong written and verbal communication skills.
 •Travel potentially required
**Developing the Community/ Leadership Qualities:** 
 •Operate with the highest level of conduct, integrity, and confidentiality; setting the example for leaders and associates.
 •Develop and nurture strong cross functional partnerships; driving business results and inspiring a culture of transparency, collaboration, and accountability.
 •Serve as a Pacsun advocate in the industry and marketplace.
 •Recruit, identify, develop, and retain talent that delivers performance excellence.
 •As a manager, serve as a leader of company culture, norms, and conduct.
 •Ability to balance a strong management presence with a high level of approachability, encouraging and eliciting associate feedback and interaction.
**Salary Range:** 
 $91,534\-$110,791
**Pac Perks:** 
 •Dog friendly office environment
 •On\-site Cafe
 •On\-site Gym
 •$1,000 referral incentive program
 •Generous associate discount of 30\-50% off merchandise online and in\-stores
 •Competitive long term and short\-term incentive program
 •Immediate 100% vested 401K contributions and employer match
 •Calm Premium access for all employees
 •Employee perks throughout the year
**Physical Requirements:** 
 The physical demands described here are representative of those that are required by an associate to successfully perform the essential functions of this job.
 • While performing the duties of this job, the associate is regularly required to talk or hear. The associate is frequently required to sit; stand; walk; use hands to finger, handle or feel; as well as reach with hands and arms.
 • Specific vision abilities required by this job include close vision, distance vision, depth perception and ability to adjust focus.
 • Ability to work in open environment with fluctuating temperatures and standard lighting.
 • Ability to work on computer and mobile phone for multiple hours; with frequent interruptions.
 • Required to travel in elevator or stairwells to attend meetings and engage with associates on multiple floors throughout building.
 • Hotel, Airplane, and Car Travel may be required.
**Position Type/Expected Hours of Work:** 
 This is a full\-time position. As a National Retailer, occasional evening and/or weekend work may be required during periods of high volume. This role operates in a professional office environment and routinely uses standard office equipment. Other Considerations: Please note this job description is not designed to cover or contain a comprehensive listing of activities, duties or responsibilities that are required of the associate for this job. Duties, responsibilities and activities may change at any time with or without notice. Reasonable accommodations may be made to qualified individuals with disabilities to enable them to perform the essential functions of the role.</t>
        </is>
      </c>
    </row>
    <row r="23">
      <c r="A23" t="inlineStr">
        <is>
          <t>li-4368234208</t>
        </is>
      </c>
      <c r="B23" t="inlineStr">
        <is>
          <t>Senior Product Manager, AI/ML</t>
        </is>
      </c>
      <c r="C23" t="inlineStr">
        <is>
          <t>Google</t>
        </is>
      </c>
      <c r="D23" t="inlineStr">
        <is>
          <t>linkedin</t>
        </is>
      </c>
      <c r="E23" t="inlineStr"/>
      <c r="F23" t="inlineStr"/>
      <c r="G23" t="inlineStr">
        <is>
          <t>Sunnyvale, CA</t>
        </is>
      </c>
      <c r="H23" t="inlineStr"/>
      <c r="I2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product management or related technical role.
* 3 years of experience developing or launching products or technologies within artificial intelligence or machine learning (AI or ML).
**Preferred qualifications:**
* 7 years of experience in product management, consulting, co\-founder, or a related technical role.
* Experience creating product roadmaps from conception to launch, driving the product goal, defining the Go\-to\-Market (GTM) strategy, and leading design discussions.
* Experience with User Experience (UX).
* Experience with the latest and greatest AI tools.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developing GenAI platform strategy for custom agents across Workspace and building out the tools and products to enable this transformation for billions of users. You will be developing amazing end user experiences using GenAI technologies such as Gemini and Vertex AI, driving the evolution of our APIs, and partnerships with key Independent Software Vendors (ISVs). You will engage regularly as a trusted advisor with business leaders to understand their strategies to empower their workflows. You will cultivate the productivity app ecosystem which becomes more and more critical in the time of hybrid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goal and strategy for the custom agents.
* Design and lead a multi­\-year roadmap, balancing short­ and long­\-term goals and investments to scale globally.
* Own cross\-functional product development process from ideation through development and commercial launch, collaborating with multiple internal, executive, and external teams to ensure coordination throughout product development, fostering and facilitating timely decision\-making, driving product and delivering success.
* Engage regularly as a trusted advisor with customers to understand their communication strategies, pain points and priorities to inform product strategy, while providing transparency into roadmaps and managing expectations.
* Partner closely with Engineering, UX, and other internal Google teams to drive product and delivery success.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
      <c r="A24" t="inlineStr">
        <is>
          <t>li-4340755856</t>
        </is>
      </c>
      <c r="B24" t="inlineStr">
        <is>
          <t>Product Manager, Cards Pricing</t>
        </is>
      </c>
      <c r="C24" t="inlineStr">
        <is>
          <t>Stripe</t>
        </is>
      </c>
      <c r="D24" t="inlineStr">
        <is>
          <t>linkedin</t>
        </is>
      </c>
      <c r="E24" t="inlineStr"/>
      <c r="F24" t="inlineStr"/>
      <c r="G24" t="inlineStr">
        <is>
          <t>San Francisco, CA</t>
        </is>
      </c>
      <c r="H24" t="inlineStr"/>
      <c r="I2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5">
      <c r="A25" t="inlineStr">
        <is>
          <t>li-4345892088</t>
        </is>
      </c>
      <c r="B25" t="inlineStr">
        <is>
          <t>Product Manager, Games Discovery</t>
        </is>
      </c>
      <c r="C25" t="inlineStr">
        <is>
          <t>FanDuel</t>
        </is>
      </c>
      <c r="D25" t="inlineStr">
        <is>
          <t>linkedin</t>
        </is>
      </c>
      <c r="E25" t="inlineStr"/>
      <c r="F25" t="inlineStr"/>
      <c r="G25" t="inlineStr">
        <is>
          <t>New York, NY</t>
        </is>
      </c>
      <c r="H25" t="inlineStr"/>
      <c r="I25" t="inlineStr">
        <is>
          <t>**THE POSITION**
 Our roster has an opening with your name on it
 We’re looking for a Product Manager that’s ready to help our rapidly growing business create innovative experiences within our Casino product. This Product Manager, Games Discovery will ensure FanDuel users that play on Casino are getting an industry leading experience. Your role will be integral in creating seamless access to Casino games customers want to play, fostering a more exciting way to discover new games, and driving customers back to the app to fuel winning moments. You will need to understand and prioritize product and customer needs, define the product vision and OKRs, and working closely with engineering, design, content, commercial and marketing teams to bring solutions to market.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Inform, shape, and drive execution of product initiatives surrounding games discovery FanDuel Casino
* Establish and maintain domain expertise on the product, market, and competitors
* Assess product opportunities and spearhead the ideation, prioritization, and design of new initiatives
* Ensure transparency and alignment with organizational stakeholders
* Collaborate with engineering, design, marketing, and operational functions to ensure successful product deliveries and launches
* Identify, prioritize, and execute post\-launch optimizations and improvements
* Track and report objectively on product performance and OKRs
**THE STATS**
 What we're looking for in our next teammate
* Minimum 2\+ years’ experience as a product manager or similar role required
* Proven track record of partnering with engineers and designers to deliver successful products
* Demonstrated success cross\-functionally influencing teams without formal authority
* Excellent stakeholder management and critical thinking skills
* Ability to handle multiple simultaneous projects while effectively balancing scope, resourcing, time, and quality
* Exceptional written and verbal communication skills
* A strong sense of ownership and accountability for goals and deliverables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$94,000 \- $129,250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6">
      <c r="A26" t="inlineStr">
        <is>
          <t>li-4286326968</t>
        </is>
      </c>
      <c r="B26" t="inlineStr">
        <is>
          <t>Product Manager – Consumer Devices</t>
        </is>
      </c>
      <c r="C26" t="inlineStr">
        <is>
          <t>NETGEAR</t>
        </is>
      </c>
      <c r="D26" t="inlineStr">
        <is>
          <t>linkedin</t>
        </is>
      </c>
      <c r="E26" t="inlineStr"/>
      <c r="F26" t="inlineStr"/>
      <c r="G26" t="inlineStr">
        <is>
          <t>San Jose, CA</t>
        </is>
      </c>
      <c r="H26" t="inlineStr"/>
      <c r="I26" t="inlineStr">
        <is>
          <t>NETGEAR is seeking a driven and technically fluent Product Manager to lead the strategy and execution of our next\-generation Mesh WiFi systems and connected consumer devices. Based in San Jose, CA, this role is ideal for a high\-performing individual contributor with 5\+ years of experience managing end\-to\-end product development in the consumer electronics space.
 You’ll own a high\-impact product domain and serve as the single\-threaded product leader — driving market research, product definition, feature prioritization, and cross\-functional execution. You will work across Hardware, Software, Industrial Design, Marketing, and Operations to build products that deliver seamless connectivity experiences to millions of users around the world.
 This role will require 3 days in office at our SJ HQ Office.
**You’ll Lead Entire Product Lifecycle** 
* Develop the product roadmap, define the customer experience, and be an integral partner in driving engineering decisions and market delivery.
* Collaborate across HW/SW engineering, UX, ID, sales, and marketing to design breakthrough connectivity products for global customers.
* Partner with cross\-functional leaders and simplify ambiguity to drive results under tight timelines
**Key Responsibilities** 
* End\-to\-end ownership – From ideation and validation to launch and iteration on mesh hardware and complementary embedded apps.
* Product strategy – Define long\-term vision, maintain a coherent roadmap, establish product\-market fit, prioritizing based on data, restraint, and impact .
* Requirements \&amp; trade\-offs – Craft high\-quality PRDs, user stories, functional specs, and manage trade\-offs balancing technical constraints and user needs .
* Go\-to\-market readiness – Coordinate with marketing, manufacturing, distribution, and support teams to ensure successful launches and feature roll\-outs.
* Data\-driven decision\-making – Define and monitor key metrics (NPS, device activation, feature adoption, network performance), iterating based on insights .
* Customer advocacy – Represent and resolve diverse stakeholder needs, from engineering to channel partners and global customers
* Technical collaboration – Influence technical architecture and participate in engineering discussions on embedded systems and wireless protocols .
* Leadership influence – Present roadmap updates, product value, and key results to executives and global functional leaders.
**Required Qualifications** 
* 5\+ years of product management experience, preferably in consumer hardware, networking devices, or smart home categories.
* Proven track record of shipping successful physical products in markets with technical complexity and UX sensitivity.
* Ability to write clear, structured documents such as PRDs, user stories, MRDs, and business cases.
* Strong technical literacy in wireless technologies (WiFi, Bluetooth), device integration, and embedded software.
* Exceptional collaboration and influence skills across cross\-functional teams, including Engineering, Industrial Design, and Marketing.
* Strong data orientation with the ability to define KPIs and make decisions based on quantitative and qualitative insights.
* Comfort operating in a fast\-paced, ambiguous environment with multiple stakeholders and changing priorities.
**Preferred Qualifications** 
* Experience working at leading consumer device companies.
* Background in electrical engineering, embedded systems, or UX for device ecosystems.
* MBA or advanced technical degree is a plus.
**Physical/Travel Requirements** 
* Some travel may be required to contract manufacturers, partners, or customer research sites.
**Company Statement/Values** 
 At NETGEAR, we are on a mission to unleash the full potential of connectivity with intelligent solutions that delight and protect. We turn ideas into innovative networking products that connect people, power businesses, and advance the way we live.
 We're a performance\-driven, talented and connected team that's committed to delivering world\-class products for our customers. As a company, we value our employees as the most essential building blocks of our success. And as teammates, we commit to taking our work to the
 *Next Gear* 
 by living our values: we
 **Dare to Transform** 
 the future,
 **Connect and Delight** 
 our customers,
 **Communicate Courageously** 
 with each other and collaborate to
 **Win It Together** 
 . You’ll find our values woven through our processes, present in our decisions, and celebrated throughout our culture.
 We strive to attract top talent and create a great workplace where people feel engaged, inspired, challenged, proud and respected. If you are creative, forward\-thinking, passionate about technology and are looking for a rewarding career to make an impact, then you've got what it takes to succeed at NETGEAR. Join our network and help us shape the future of connectivity.
*NETGEAR hires based on merit. All qualified applicants will receive equal consideration for employment. All your information will be kept confidential according to EEO guidelines.*</t>
        </is>
      </c>
    </row>
    <row r="27">
      <c r="A27" t="inlineStr">
        <is>
          <t>li-4368269145</t>
        </is>
      </c>
      <c r="B27" t="inlineStr">
        <is>
          <t>Product Manager</t>
        </is>
      </c>
      <c r="C27" t="inlineStr">
        <is>
          <t>Tempus AI</t>
        </is>
      </c>
      <c r="D27" t="inlineStr">
        <is>
          <t>linkedin</t>
        </is>
      </c>
      <c r="E27" t="inlineStr"/>
      <c r="F27" t="inlineStr"/>
      <c r="G27" t="inlineStr">
        <is>
          <t>New York, NY</t>
        </is>
      </c>
      <c r="H27" t="inlineStr"/>
      <c r="I27"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is on a mission to improve patient outcomes through data and technology. The Assay E2E team is critical to this mission — we drive the launch of new assays across a growing portfolio of tests by enabling operational excellence, seamless cross\-functional collaboration, and scalable systems.
 We are seeking a Product Manager to join our team, helping us meet the increasing volume and complexity of assay launches. You’ll partner closely with our internal operations teams — spanning order and sample intake, laboratory, bioinformatics, pathology, variant science and reporting — to build and refine workflows that ensure timely, high\-quality launches.
 This role is ideal for someone who thrives in cross\-functional settings, enjoys translating ambiguous requirements into clear roadmaps, and is excited by the opportunity to own mission\-critical launches from conception through delivery.
****Core Responsibilities****
 Launch Readiness \&amp; Execution
* Drive the planning and execution that supports assay launches, ensuring readiness across systems, workflows, and documentation.
* Collaborate with operations, R\&amp;D, and regulatory to define requirements, identify bottlenecks, and implement scalable solutions.
* Support risk mitigation strategies and contingency planning for live or upcoming launches.
 Cross\-functional Leadership
* Translate technical and scientific requirements into structured, implementable product plans.
* Serve as the connective tissue across pathologists, regulatory, engineering, customer systems, and reporting teams.
* Engage with Marketing, Design, and Commercial teams to gather insights that drive customer\-centric experiences aligned with the forefront of scientific advancements.
* Represent product needs in cross\-team forums and ensure alignment on dependencies and timelines.
 Product Development \&amp; Optimization
* Collaborate with engineering on backlog prioritization, iteration planning, and UAT.
* Support and evangelize system enhancements that improve turnaround time for launching assays, reduce manual work, and enable broader assay capabilities.
* Leverage learnings from post\-launch monitoring to propose and lead improvements to core assay infrastructure and tooling.
 Documentation \&amp; Communication
* Maintain clear launch plans, decision logs, and requirements documentation.
* Communicate progress, blockers, and risks to stakeholders proactively and clearly.
* Champion the end\-to\-end launch process by further developing our launch playbook that defines cross\-functional roles, critical milestones, and regulatory checkpoints for genomic products.
**Required Skills \&amp; Experience**
* 3\+ years of product management or technical program management experience (preferably in healthcare, diagnostics, or life sciences).
* Experience working with agile software development teams and translating requirements into product specifications.
* Strong execution mindset with proven ability to manage multiple complex cross\-functional projects.
* Ability to thrive in fast\-paced, ambiguous environments and manage complex dependencies across multiple disciplines.
* Comfort working with technical stakeholders and systems\-level challenges.
* Excellent written and verbal communication skills, especially in high\-stakes or regulated contexts.
* Highly organized with strong attention to detail and a bias toward clarity and structure.
* Experience in launch planning or operational tooling.
* Understanding of the genomics and oncology landscape, specifically in Next\-Generation Sequencing (NGS) and laboratory\-developed tests is a plus.
 CHI: $85,000\-$130,000 NYC/SF: $100,000\-$145,000
 The expected salary range above is applicable if the role is performed from Illinois and may vary for other locations (California, Colorado, New York). Actual salary may vary based on qualifications and experience. Tempus offers a full range of benefits, which may include incentive compensation, restricted stock units, medical and other benefits depending on the position.
 We are an equal opportunity employer. We do not discriminate on the basis of race, religion, color, national origin, gender, sexual orientation, age, marital status, veteran status, or disability status.</t>
        </is>
      </c>
    </row>
    <row r="28">
      <c r="A28" t="inlineStr">
        <is>
          <t>li-4368669897</t>
        </is>
      </c>
      <c r="B28" t="inlineStr">
        <is>
          <t>Sr. Product Manager (Product Consulting)</t>
        </is>
      </c>
      <c r="C28" t="inlineStr">
        <is>
          <t>Eightfold AI</t>
        </is>
      </c>
      <c r="D28" t="inlineStr">
        <is>
          <t>linkedin</t>
        </is>
      </c>
      <c r="E28" t="inlineStr"/>
      <c r="F28" t="inlineStr"/>
      <c r="G28" t="inlineStr">
        <is>
          <t>Santa Clara, CA</t>
        </is>
      </c>
      <c r="H28" t="inlineStr"/>
      <c r="I28" t="inlineStr">
        <is>
          <t>Eightfold is a global leader in an
 **AI\-native enterprise talent platform** 
 , trusted by the world’s largest \&amp; most respected Fortune 500 organizations. Our platform is built from the ground up, operating at scale across Azure and AWS, deployed in multiple regions globally, including IL4\-compliant environments for the US Government, supporting users in 100\+ countries and 30\+ languages. Today, Eightfold is at the forefront of agentic AI, delivering intelligent agents that actively drive outcomes across hiring and talent workflows, while much of the industry is still experimenting with prototypes. Backed by over $410M in funding and valued at $2B\+, we are defining the next era of agentic talent systems.
 What sets Eightfold apart is not just the technology \&amp; our mission, but the team behind it. We are a deeply technical, execution\-driven organization that values ownership, collaboration, and high standards. Our engineers, product leaders, and go\-to\-market teams work closely together — in person and across functions — to build systems that scale in the real world. If you’re excited to work on hard problems, move with urgency, raise the bar every day, and help build agentic systems that transform how the world works, Eightfold is the place to do it.
**About The Team**
 The Platform and AI team at Eightfold is responsible for developing and managing core AI algorithms and data sources that provide a competitive edge in the skills and HR technology space. This team is inherently AI\-native, focusing on building data\-driven products that leverage advanced machine learning techniques. We expect Product Managers to align closely with AI\-driven insights and to be adept at conducting data evaluations, both of which are critical to the team's success.
**About The Role**
 We are looking for a Senior Product Manager to drive strategy and execution across our AI Platform and AI Governance stack, powering mission\-critical capabilities such as match scoring, skills intelligence, and AI interviewing.
 This role is ideal for candidates with consulting background who enjoy translating ambiguous business problems into scalable, compliant AI systems. You will operate at the intersection of AI platform strategy, data quality, model governance, and customer impact, partnering closely with engineering, analytics, legal/compliance, and enterprise customers.
 You will help shape how AI is built, governed, and trusted—at scale.
**Responsibilities**
* Develop and implement strategies to improve the quality of AI platforms and products data quality
* Develop and expand key AI products like match score, skills engine, AI interviewing which are core to EF offerings
* Monitor key data metrics with help of annotators and analyst team. Identify opportunities to improve data coverage and quality
* Improving product features through customer feedback sessions and sales feedback
* Work with partners / service providers to take feedback on data quality and align product direction accordingly
* Partner with engineering to develop and launch new features
* Identify and implement opportunities to improve the efficiency and effectiveness of the products
* Represent the data quality and AI team at company\-wide meetings, events and to customers
* Develop and implement strategies to enhance the quality of AI \&amp; data
**﻿Qualifications**
* Bachelor’s degree in Computer Science, Engineering, or a related technical field; MBA is a plus
* 5\+ years of experience in management consulting with exposure to AI, data, platform, or digital transformation programs.
* Proven analytical and data science skills, ideally with prior engineering experience
* Experience working with or alongside engineering, data science, or analytics teams
* Familiarity with AI governance, compliance, fairness, or risk management frameworks is a strong plus.
* Exceptional written and verbal communication abilities, capable of effectively conveying complex technical concepts to diverse audiences
 ﻿We are a team of self\-starters who excel in their fields. We believe in giving you responsibility, not a task. We want you to have ownership and pride in your work and see your work's positive impact on your colleagues, our customers, and the world. We believe in providing transparency and support so you can do the best work of your career.
**Hybrid Work @ Eightfold:** 
 At Eightfold, we believe our best work happens when we collaborate closely, learn from one another, and build together. We follow a hybrid work model that combines flexibility with a strong emphasis on in\-person collaboration to foster innovation, culture, and rapid execution.
 Employees based near our Santa Clara, London, Bangalore, and Noida offices are expected to work from the office three days per week, as we believe regular in\-person engagement is essential to how we build high\-impact products and strong teams.
 Eightfold.ai provides equal employment opportunities (EEO) to all employees and applicants for employment without regard to race, color, religion, sex, sexual orientation, gender identity, national origin, age, veteran or disability status.
 Experience our comprehensive benefits with family medical, vision and dental coverage, a competitive base salary, and eligibility for equity awards and discretionary bonuses or commissions.
**Please note that this role is only available in our designated hub locations: \[Greater NYC, NY, Greater Chicago, IL, Greater Atlanta, GA, and Santa Clara, CA]. All roles are hybrid.**
* Please note this role is open to \[all US locations, or list location(s)] and categorized as \[remote or hybrid]. The base salary ranges below are provided for pay transparency. Base pay is only one piece of our total compensation package as this role may be eligible for \[bonuses or commissions], and equity awards. Compensation varies depending on a number of factors including qualifications, skills, competencies, and experience. Zones are determined by location.
 Zone A Base annual salary base range: $156,683 to $208,910 \+ discretionary bonus up to 15% \+ preIPO equity (stock options).
 Our customer stories\- https://eightfold.ai/customers/customer\-stories/
 Press\- https://eightfold.ai/about/press</t>
        </is>
      </c>
    </row>
    <row r="29">
      <c r="A29" t="inlineStr">
        <is>
          <t>li-4368682046</t>
        </is>
      </c>
      <c r="B29" t="inlineStr">
        <is>
          <t>Senior Product Manager</t>
        </is>
      </c>
      <c r="C29" t="inlineStr">
        <is>
          <t>Travelport</t>
        </is>
      </c>
      <c r="D29" t="inlineStr">
        <is>
          <t>linkedin</t>
        </is>
      </c>
      <c r="E29" t="inlineStr"/>
      <c r="F29" t="inlineStr"/>
      <c r="G29" t="inlineStr">
        <is>
          <t>Atlanta, GA</t>
        </is>
      </c>
      <c r="H29" t="inlineStr"/>
      <c r="I29" t="inlineStr">
        <is>
          <t>**Job Description**
 Senior Product Manager \|Hybrid\|US Atlanta or Denver
**Travel obsessed? Big tech fan? Hey, you’re in good company. If you want to be part of the industry that makes the world go round, then look no further.**
 Travelport is the brains behind lots of your travel bookings\- plane, car or hotel. Our technology is used to book that magical holiday, infamous bachelorette party or long overdue school reunion. While we can’t solve mosquito bites or lost luggage, we can simplify a lot of the technical parts of travel, and we’re looking for the best thinkers to help us do it.
 We’re hiring right now for a Senior Product Manager! Search for \#Travelport on LinkedIn and hear from our amazing team.
**How you’ll make an impact:**
 The Senior Product Manager is responsible for driving product strategy and delivery across a complex, multi‑sided travel technology ecosystem. This role requires strong customer orientation, technical fluency, commercial acumen, and the ability to lead cross‑functional teams in an Agile environment.
**Your role in action:**
**Customer \&amp; Market Orientation**
* Develop a deep understanding of customer needs across travel agencies, suppliers, and developers.
* Serve as the internal voice of the customer and validate solutions through customer engagement and feedback loops.
* Balance agency, supplier, and platform needs in a multi‑sided marketplace.
**Technical \&amp; Platform Fluency (General \&amp; Galileo Host)**
 Demonstrate strong technical understanding across platform capabilities, including onboarding, authentication, access management, and critical travel industry concepts (NDC, Orders, Ticketing, PNRs, PoS integration).
 Additionally, show deep fluency in host\-based travel operations and agency servicing workflows, including:
* Host‑based PNR lifecycle and servicing (creation/modification/commit workflows, segment status behaviors, audit and history awareness).
* Queueing and operational processes used for schedule changes, fulfillment follow‑ups, and post‑booking servicing.
* Ticketing and ancillary document lifecycles (ticket and EMD issuance, exchange/reissue, refund/void) and how document states impact downstream servicing.
* Operational messaging such as SSR, OSI, and remarks, with an understanding of how data quality affects servicing flows and customer experience.
**Agile Product Leadership \&amp; Delivery**
* Lead Agile/Lean product delivery models.
* Prioritize roadmaps and backlogs to maximize customer and commercial impact.
* Collaborate closely with Product Owners, Engineering, UX, Data, and Commercial teams.
* Define acceptance criteria and provide feature‑level product acceptance at delivery.
**Commercial \&amp; Data‑Driven Decision\-Making**
* Use analytics and quantitative reasoning to guide prioritization and product strategy.
* Track and report product KPIs (activation, adoption, ROAS, API usage, etc.).
* Ensure product decisions drive revenue, efficiency, and ROI while complying with commercial, security, billing, and regulatory considerations.
**Could this be you?**
* Extensive experience with Jira to structure and manage epics, user stories, dependencies, and Agile workflows across distributed engineering teams.
* High proficiency in Confluence as a documentation and knowledge‑management hub, including PDDs, strategy docs, decision logs, and stakeholder‑ready updates.
* Ability to leverage Jira \+ Confluence together to:
+ Translate product strategy into executable delivery plans.
+ Ensure clarity of requirements and acceptance criteria.
+ Strengthen collaboration between Product, Engineering, Design, and Commercial teams.
+ Improve transparency, traceability, and delivery predictability at scale.
**Discover why our teams love working here** 
**:**
 Where do we start! Our benefits package includes:
 We believe all employees contribute to the success of the company and should be able to share in that success, which is why all jobs are eligible to participate in our bonus program with any payouts being subject to individual and company performance. We offer a comprehensive benefit program that includes medical, dental, vision, employer paid Disability and Basic Life Insurance, Voluntary life options, a competitive 401(k) match, as well as many other voluntary benefits to fit your specific needs. We make health and wellness a priority and offer a generous paid time off policy, hybrid working model, as well as contributing to our communities with an annual volunteer day off. We also offer a New Child leave policy, where the birthing parent receives 16 weeks of paid time off, and the non\-birthing parent receives 8\.
 Search for for our employee stories on LinkedIn!
**Your journey at Travelport starts here.**
**Our application process is quick, easy, and hassle\-free — apply in just a few minutes!**
*We are an equal opportunities employer and will consider all qualified applicants purely on their skills and abilities.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needed.*</t>
        </is>
      </c>
    </row>
    <row r="30">
      <c r="A30" t="inlineStr">
        <is>
          <t>li-4318542464</t>
        </is>
      </c>
      <c r="B30" t="inlineStr">
        <is>
          <t>Senior Product Manager</t>
        </is>
      </c>
      <c r="C30" t="inlineStr">
        <is>
          <t>Candid Health</t>
        </is>
      </c>
      <c r="D30" t="inlineStr">
        <is>
          <t>linkedin</t>
        </is>
      </c>
      <c r="E30" t="inlineStr"/>
      <c r="F30" t="inlineStr"/>
      <c r="G30" t="inlineStr">
        <is>
          <t>San Francisco, CA</t>
        </is>
      </c>
      <c r="H30" t="inlineStr"/>
      <c r="I30" t="inlineStr">
        <is>
          <t>Candid Health is seeking a Senior Product Manager to join our team and build the products and features that will power the next generation of healthcare companies. As we grow our customers are becoming increasingly complex; our mission is to abstract that complexity into elegant solutions that make their work more efficient and our automations more robust. As a PM on Candid Health’s team you’ll have direct influence over how we plan, prioritize, and execute our roadmap; in close conjunction with stakeholders across the business.
**What You’ll Be Doing**
* You’ll be improving our existing product management practices building out new systems that will enable Candid to deliver great products and services
* You’ll be building and executing the product vision in close collaboration with Engineering and Design
* You’ll be thinking about the macro\-structure of the business and the product to identify gaps and generate new ideas
* You’ll be held accountable for business goals, and ensuring your partner teams are as well
* You’ll be creating rigorous reporting dashboards for visibility and accountability
* You’ll be capturing signal from the field and our customers to understand and prioritize user needs
* You’ll be responsible for communication about new feature customer rollouts to customers and internal stakeholders including company leadership and operations teams
**Who You Are**
* You have 7\+ years of experience as a product manager
* You have experience building data\-intensive products and applications
* You ground your thinking in unit economics of the business
* You are data driven and can leverage it to provide insights and influence critical decisions
* You are outcome oriented, are an effective collaborator, and you bias towards action
* You can get into technical details and know how to code or can read code, if you weren’t an engineer you can talk the talk
* You have led and scaled a successful product function and had broad scope in a fast moving startup or late stage SaaS or Fintech company
* You may have experience working with healthcare or medical billing, or on the technical side of other highly regulated industries
* You may have experience building ML or AI products that solve real world problems
**Pay Transparency**
 The estimated starting annual salary range for this position is $170,000 to $225,000 USD; commensurate with experience. The listed range is a guideline from Pave data, and the actual base salary may be modified based on factors including job\-related skills, experience/qualifications, interview performance, market data, etc. Total compensation for this position may also include equity, sales incentives (for sales roles), and employee benefits. Given Candid Health’s funding and size, we heavily value the potential upside from equity in our compensation package. Further note that Candid Health has minimal hierarchy and titles, but has broad ranges of experience represented within roles.
**Please note:** 
 we are looking for employees to join our in\-person culture at one of our offices (Denver, New York, or San Francisco). Our weekly schedule is 4 days in\-office and 1 day working remotely.</t>
        </is>
      </c>
    </row>
    <row r="31">
      <c r="A31" t="inlineStr">
        <is>
          <t>li-4368658311</t>
        </is>
      </c>
      <c r="B31" t="inlineStr">
        <is>
          <t>Senior Product Manager</t>
        </is>
      </c>
      <c r="C31" t="inlineStr">
        <is>
          <t>AgentSync</t>
        </is>
      </c>
      <c r="D31" t="inlineStr">
        <is>
          <t>linkedin</t>
        </is>
      </c>
      <c r="E31" t="inlineStr"/>
      <c r="F31" t="inlineStr"/>
      <c r="G31" t="inlineStr"/>
      <c r="H31" t="inlineStr"/>
      <c r="I31" t="inlineStr">
        <is>
          <t>AgentSync is a powerful, easy\-to\-use Compliance as a Service solution, directly integrating regulatory database sources of truth (i.e. NIPR, FINRA) with core business systems (i.e. Salesforce) so we can automate the critical business processes associated with these compliance requirements.
 We’re a new\-school solution tackling an age\-old, ubiquitous problem with smart technology and automation in a market full of inefficient, high\-cost solution options \- spreadsheets, manual processes, legacy software, more headcount, outsourcing, etc.
**Overview**
 As a
 ****Senior Product Manager****
 , you'll act as the entrepreneur of our full\-stack application \- everything from onboarding, self\-service, contracting, integrations, and more. You will own its vision, execution, and customer outcomes end to end. You will leverage your deep understanding of complex systems, APIs, and integrations to enhance the application’s functionality, user experience, and customer value.
 You will dive deep into customer challenges, define bold solutions, and partner closely with engineering and commercial leadership to deliver products that are valuable, user friendly, and stand out in the market.
 This role calls for someone who is customer\-obsessed, commercially aware, and relentless about execution. You will operate at a high level of scope and influence, aligning stakeholders, ensuring engineering is resourced and committed, and surfacing risks early to deliver outcomes without surprises. Your ability to create clarity in ambiguity, build alignment across teams, and inspire people to rally behind a vision that moves the business forward.
**What You'll Do**
* Drive the development of features across multiple products, collaborating closely with cross\-functional teams including engineering, design, and QA
* Leverage your deep understanding of our customers' businesses and our user behavior to design an intuitive, reliable user experience that addresses key customer needs and delivers measurable value
* Partner with the Head of Product to shape product strategy and ensure it is communicated clearly and consistently across the organization
* Commit to continuous improvement by seeking opportunities to enhance both business outcomes and customer satisfaction
* Collaborate with engineering, design, QA, and subject matter experts to align on the optimal approach for delivering the feature roadmap with resilience and timeliness
* Act as a product evangelist, advocating for AgentSync's solutions and their value both internally to teams and externally to customers and stakeholders
* Analyze market trends and competitor offerings to identify opportunities for innovation and differentiation within AgentSync's products.
* Facilitate effective communication between technical and non\-technical stakeholders, serving as a liaison to ensure mutual understanding and alignment on product objectives
* Mentor and support junior product team members, fostering a collaborative environment and encouraging professional growth.
**Your Experience**
* Over 5 years of demonstrated success in advancing products from "1 to 2" and executing go\-to\-market strategies in a B2B environment for enterprise customers.
* Proven experience in leading strategic product initiatives, from concept development to pitching to senior leadership.
* Entrepreneurial mindset with a track record of spotting opportunities and turning them into results
* Experience in developing API\-first products.
* A mindset grounded in first\-principles thinking.
* A strong history of hands\-on problem\-solving with a "roll up your sleeves" approach.
* Clear, persuasive communicator who can influence executives and align diverse stakeholders
* Analytical and commercially aware with the ability to connect customer insight to business growth
* History of effective product–commercial partnerships that drove adoption and growth
* Strong ability to secure engineering commitment and drive execution discipline without direct authority
* Familiarity with AWS or Salesforce is beneficial.
* Experience in a high\-growth startup environment is a plus.
* Knowledge of the insurance industry, Insuretech, or experience in regulated industries is highly desired.
****Don’t meet every single requirement?****
 At AgentSync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****Location****
 Our ideal candidate will live within 25 miles of our office in Denver. Other states we're able to consider candidates in are CA, CO, CT, DC, FL, GA, IL, IN, KS, MA, MD, MI, MO, NY, OR, PA, TN, TX, UT, VA, and WA. (We are not hiring or able to consider candidates in New York metro, Seattle metro, or the Bay Area)
**Total Compensation**
 The following represents AgentSync’s reasonable estimate of the range of possible compensation for this role.
 💰 $160,000 \- 188,000 base salary
 💲 Annual company bonus program
 ⚖️ Equity in the form of stock options
**Health Benefits**
 🏥 Medical \- Cigna plans with 100% employer paid premiums on 2 plan options
 🦷 Dental \- 100% paid premium plan for you and your dependants
 👁️ Vision \- 100% paid premium plan for you and your dependants
 📔 Employee Assistance Plan
**Financial Benefits**
 🏦 401(k) retirement savings plan
 🤒 HSA employer contributions
**Other Benefits**
 🌴 Flexible PTO
 📆 12 paid holidays per year
 🍼 12 weeks parental leave w/generous return to work stipend
 Candidates: AgentSync Recruiting \&amp; Talent teams will only communicate with you using @agentsync.io email addresses. When you receive communication from AgentSync, check the email address domain to ensure you're connected with our team (and not a scammer!).
****We are not able to consider candidates who require a work visa now or in the future.****</t>
        </is>
      </c>
    </row>
    <row r="32">
      <c r="A32" t="inlineStr">
        <is>
          <t>li-4344904360</t>
        </is>
      </c>
      <c r="B32" t="inlineStr">
        <is>
          <t>AI Product Manager – MSIM – Associate / Senior Associate</t>
        </is>
      </c>
      <c r="C32" t="inlineStr">
        <is>
          <t>Morgan Stanley</t>
        </is>
      </c>
      <c r="D32" t="inlineStr">
        <is>
          <t>linkedin</t>
        </is>
      </c>
      <c r="E32" t="inlineStr"/>
      <c r="F32" t="inlineStr"/>
      <c r="G32" t="inlineStr">
        <is>
          <t>New York, NY</t>
        </is>
      </c>
      <c r="H32" t="inlineStr"/>
      <c r="I32" t="inlineStr">
        <is>
          <t>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Morgan Stanley Investment Management (MSIM) is one of the largest global asset management organizations of any full\-service securities firm, with 45 offices serving clients in 19 countries. MSIM’s professionals worldwide provide outstanding long\-term investment performance. We offer clients a diverse array of equity, fixed income, liquidity, and alternative investments, including merchant banking strategies.
 The Data \&amp; Analytics team works closely with MSIM’s teams as well as related control and support departments to enhance, streamline and govern the flow of information as part of our ongoing relationships with our clients and our management of client assets. This is a critical activity to enable scalable growth of our business. A key focus area of the team is the enablement of AI in MSIM with the goals to drive client impact, profitability, cost efficiency and scale.
**Position Overview**
 We are looking for a skilled and passionate teammate to join us in the Data and Analytics team at Morgan Stanley. The successful candidate will be responsible for partnering with business areas across MSIM to launch AI\-based solutions. This role will liaise with and actively influence business areas, working with Investment Teams, Sales \&amp; Marketing, Client Services, Control functions, Central AI teams and support functions to accelerate the adoption of AI.
**Key Responsibilities**
* Drive AI Adoption: Engage with MSIM teams to build, manage, prioritize and track AI business cases from inception to delivery. Identify KPIs and collect metrics to measure success of AI solutions. Act as the primary point of contact between MSIM and firmwide AI teams.
* Governance \&amp; Controls: Ensure all GenAI projects adhere to regulatory and compliance standards by working in close partnership with Morgan Stanley’s control functions e.g. Legal, Risk and Compliance.
* AI Experimentation: Experiment with the latest AI models and solutions available at Morgan Stanley. Drive end user pilots and collect feedback to deliver more effective AI solutions. Stay informed of latest AI trends and technologies and incorporate them into product strategy and development as appropriate.
* Strategic Planning and Execution: Execute a strategic plan for the GenAI team, aligned with business goals. Monitor the performance and impact of GenAI use cases, providing regular updates to senior leaders globally.
**Qualifications/Skills Required Or Preferred**
* Experience with and passion for Generative AI strategy / product management / experimentation or Innovation
* Self\-starter with the ability to work independently and as part of a team to leverage their network and knowledge base to define abstract concepts from inception
* Demonstrated track record of effective partnership with and translation between business teams, control partners and IT
* Ability to manage multiple projects simultaneously in a fast\-paced environment.
* Proven experience in program or project management
* Strong understanding of artificial intelligence concepts and technologies.
* Excellent communication, interpersonal and leadership skills.
* Solid analytical and problem\-solving abilities with a keen attention to detail
* Appreciation of trade\-offs when choosing between vendor solutions versus building in\-house
* Experience with agile development methodologies and tools (Scrum, JIRA, etc.)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$110,000 and $140,000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33">
      <c r="A33" t="inlineStr">
        <is>
          <t>li-4368236118</t>
        </is>
      </c>
      <c r="B33" t="inlineStr">
        <is>
          <t>Senior Product Manager, AI/ML</t>
        </is>
      </c>
      <c r="C33" t="inlineStr">
        <is>
          <t>Google</t>
        </is>
      </c>
      <c r="D33" t="inlineStr">
        <is>
          <t>linkedin</t>
        </is>
      </c>
      <c r="E33" t="inlineStr"/>
      <c r="F33" t="inlineStr"/>
      <c r="G33" t="inlineStr">
        <is>
          <t>Kirkland, WA</t>
        </is>
      </c>
      <c r="H33" t="inlineStr"/>
      <c r="I3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New York, NY, USA; Sunnyvale, CA, USA** 
 .
 **Minimum qualifications:**
* Bachelor's degree or equivalent practical experience.
* 8 years of experience in product management or related technical role.
* 3 years of experience developing or launching products or technologies within artificial intelligence or machine learning (AI or ML).
**Preferred qualifications:**
* 7 years of experience in product management, consulting, co\-founder, or a related technical role.
* Experience creating product roadmaps from conception to launch, driving the product goal, defining the Go\-to\-Market (GTM) strategy, and leading design discussions.
* Experience with User Experience (UX).
* Experience with the latest and greatest AI tools.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developing GenAI platform strategy for custom agents across Workspace and building out the tools and products to enable this transformation for billions of users. You will be developing amazing end user experiences using GenAI technologies such as Gemini and Vertex AI, driving the evolution of our APIs, and partnerships with key Independent Software Vendors (ISVs). You will engage regularly as a trusted advisor with business leaders to understand their strategies to empower their workflows. You will cultivate the productivity app ecosystem which becomes more and more critical in the time of hybrid work.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the product goal and strategy for the custom agents.
* Design and lead a multi­\-year roadmap, balancing short­ and long­\-term goals and investments to scale globally.
* Own cross\-functional product development process from ideation through development and commercial launch, collaborating with multiple internal, executive, and external teams to ensure coordination throughout product development, fostering and facilitating timely decision\-making, driving product and delivering success.
* Engage regularly as a trusted advisor with customers to understand their communication strategies, pain points and priorities to inform product strategy, while providing transparency into roadmaps and managing expectations.
* Partner closely with Engineering, UX, and other internal Google teams to drive product and delivery success.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li-4316671957</t>
        </is>
      </c>
      <c r="B34" t="inlineStr">
        <is>
          <t>Product Manager</t>
        </is>
      </c>
      <c r="C34" t="inlineStr">
        <is>
          <t>Arena</t>
        </is>
      </c>
      <c r="D34" t="inlineStr">
        <is>
          <t>linkedin</t>
        </is>
      </c>
      <c r="E34" t="inlineStr"/>
      <c r="F34" t="inlineStr"/>
      <c r="G34" t="inlineStr">
        <is>
          <t>New York, United States</t>
        </is>
      </c>
      <c r="H34" t="inlineStr"/>
      <c r="I34" t="inlineStr">
        <is>
          <t>**Who We Are**
 Arena is on a mission to accelerate hardware innovation that powers human progress. Our name is inspired by Theodore Roosevelt's 'Citizenship in a Republic' speech. To us, entering the Arena means committing fully and accepting the risk of failure in pursuit of an audacious, worthy cause. We believe the future belongs to those brave enough to build it.
 Our team of 50 combines AI engineering and applied physics expertise with deep experience in enterprise deployments. We're headquartered in NYC with presences in San Francisco and Los Angeles, backed by $62M from Initialized, Founders Fund, Goldcrest Capital, Fifth Down Capital, and Shield Capital.
 If you're ready to do the most important work of your career, join us in the Arena.
**What We Do**
 At Arena, we're building foundational intelligence for modern hardware. Our AI platform Atlas operationalizes physics\-grounded intelligence to verify, debug, and optimize hardware across its lifecycle. Atlas is already trusted globally by the world's most advanced hardware companies, including AMD and Bausch \&amp; Lomb, for applications across R\&amp;D, integration testing, production assembly, and field repair.
**About The Role**
 As a Product Manager, you will drive the build of new Atlas platform features from 0 to 1, collaborating closely with members of Arena's engineering, forward deployed, and GTM teams. Working on fast timelines, you'll conduct user research and translate insights into product specs. You'll embed deeply with customers and spend significant time with users for new feature discovery, usability testing, and feedback sessions.
 This is a unique opportunity to gain hands\-on experience driving innovation across some of the world's most vital industries—ideal for those aspiring to become founders or product leaders.
**How You Will Contribute**
**Launch new platform features** 
 \- Drive the end\-to\-end launch of new platform features, from concept to release. Partner closely with design and engineering to define requirements, guide development, and ensure smooth implementation and successful launch.
**Drive feature adoption** 
 \- Drive feature adoption by partnering with deployment strategists during rollouts, gathering user feedback, and conducting onsite research to understand workflows and identify improvement opportunities.
**Manage Product Backlog** 
 \- Prioritize features, write tickets, and drive sprint planning with engineering leadership.
**Travel domestically and internationally** 
 (up to 30% of your time)
**Work in person at Arena's NYC headquarters** 
 when not traveling
**You Have**
* 5\+ years of professional experience in product management, experience in AI or hardware\-adjacent industries preferred
* Full\-stack technical literacy \- you are comfortable discussing technical architectures, APIs, AI agents, and system design to work effectively with our engineering team, and have a degree is Computer Science
* Proven product execution \- you’ve shipped impactful features from 0 to 1 and driven user adoption. You’ve led prioritization and roadmap trade\-offs, aligned design and engineering on clear goals, and executed end\-to\-end from concept to launch with measurable results.
* Platform thinking \- strong ability to understand how platform features create value across multiple use cases and customer segments
* Excellent communication \- you can write clear PRDs, present roadmaps to stakeholders, and facilitate cross\-functional alignment across engineering, design, and GTM teams
**Benefits \&amp; Perks Include**
* 100% of the monthly premium for Aetna medical insurance, plus vision and dental coverage
* 401(k) Retirement Plan
* Unlimited PTO
* Lunch every day from local restaurants via Sharebite
* Relocation support provided
*The base salary range for this position is $150,000 \- $230,000 yr. However, base pay offered may vary depending on job\-related knowledge, skills, and experience. In addition to base salary, we also offer competitive equity and benefits packages.*</t>
        </is>
      </c>
    </row>
    <row r="35">
      <c r="A35" t="inlineStr">
        <is>
          <t>li-4327978964</t>
        </is>
      </c>
      <c r="B35" t="inlineStr">
        <is>
          <t>Senior Product Manager, BNPL</t>
        </is>
      </c>
      <c r="C35" t="inlineStr">
        <is>
          <t>Clover</t>
        </is>
      </c>
      <c r="D35" t="inlineStr">
        <is>
          <t>linkedin</t>
        </is>
      </c>
      <c r="E35" t="inlineStr"/>
      <c r="F35" t="inlineStr"/>
      <c r="G35" t="inlineStr">
        <is>
          <t>Berkeley Heights, NJ</t>
        </is>
      </c>
      <c r="H35" t="inlineStr"/>
      <c r="I35"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Product Manager, BNPL
**What does a successful Product Manager for BNPL do at Fiserv?**
 Every day, Clover, a Fiserv company powers payment services for hundreds of thousands of merchants in multiple countries around the world. Behind the scenes, we operate a cloud platform providing payment processing, storage, and collaboration for merchants, application developers, service providers, and our merchants' customers. Our devices and platform form the backbone of millions of payment interactions between merchants and their customers daily. We’ve built a reputation as a leading innovator by being first to market with important new payment capabilities, and we're committed to continuing that trend by offering cutting\-edge solutions like Buy Now Pay Later (BNPL) at the point of sale.
 As a Product Manager for BNPL Payments, you'll be responsible for managing the suite of BNPL products and integrations that Clover provides to merchants, enabling them to offer flexible payment options to their customers. You'll play a pivotal role in expanding Clover's payment capabilities, allowing merchants to increase sales and customer satisfaction by adopting this rapidly growing buy now pay later payment method.
 You'll be responsible for understanding the evolving landscape of BNPL providers, merchant needs, and consumer preferences. This includes creating product plans to integrate and optimize BNPL solutions within the Clover ecosystem, ensuring they are seamless for both merchants and their customers. You’ll have the opportunity to work in one of the fastest\-growing segments of the payments industry, helping to drive the development, integration into multiple BNPL providers and commercial launch of BNPL products, create compelling product marketing materials, educate various sales channels about new features, and contribute to the success of the product.
 This role requires you to be technically conversant with payment integrations, APIs, and the underlying technology supporting BNPL solutions. You will work closely with third\-party BNPL providers, and must be comfortable with the technical aspects of integration technologies. At the same time, you must have an ability to think strategically about how BNPL offerings relate to Clover’s overall business and market position. In addition, you must also understand the current landscape of payment industry players, including issuers, acquirers, processors, gateway providers, payment networks, and crucially, BNPL providers. Finally, you must possess well\-honed communication skills, and be comfortable presenting to executives, customers, and partners.
**What You Will Do**
* Track payments industry trends, standards, and competition as they relate to Buy Now Pay Later (BNPL) solutions, merchant adoption, and consumer behavior.
* Own the product strategy and roadmap for BNPL payment options at Clover.
* Help build business cases for new BNPL products, services, and features.
* Define detailed user stories and requirements for your BNPL products and services, focusing on merchant and consumer experience.
* Collaborate with BNPL providers, engineering, quality assurance, operations and other stakeholders to define, deliver and maintain the roadmap for robust BNPL payment products.
* Work with marketing staff to effectively package your BNPL products and create marketing collateral and other materials.
* Train sales channels on your BNPL products and their value proposition for potential merchants.
* Consult with merchants and partners to create combined solutions that effectively integrate BNPL into their operations.
* Analyze merchant and consumer feedback to continually improve the BNPL experience on Clover, focusing on ease of use and conversion.
* Define and track KPIs as they relate to merchant adoption, usage, and the overall success of your BNPL payment products.
**What You Need To Have**
* 5\+ years of experience in product management, with a focus on payment technologies
* Degree in Computer Science, Technology, or Business in related fields, MBA preferred
* Experience with or deep understanding of Buy Now Pay Later (BNPL) solutions and providers
* Experience with Agile development methodologies
* Experience creating and nurturing corporate partnerships, especially with payment providers
* Ability to clearly communicate complex technical specifications to clients and implementation teams
* Ability to clearly communicate product descriptions, value propositions, and roadmaps to business personnel
* Capability to analyze data and make data\-driven decisions
****Travel required:****
 An ability to travel locally and internationally on occasion (10%)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36">
      <c r="A36" t="inlineStr">
        <is>
          <t>li-4368210916</t>
        </is>
      </c>
      <c r="B36" t="inlineStr">
        <is>
          <t>Technical Product Manager, Data Platform</t>
        </is>
      </c>
      <c r="C36" t="inlineStr">
        <is>
          <t>RemoteHunter</t>
        </is>
      </c>
      <c r="D36" t="inlineStr">
        <is>
          <t>linkedin</t>
        </is>
      </c>
      <c r="E36" t="inlineStr"/>
      <c r="F36" t="inlineStr"/>
      <c r="G36" t="inlineStr"/>
      <c r="H36" t="inlineStr"/>
      <c r="I36" t="inlineStr">
        <is>
          <t>About the Opportunity:
 The Technical Product Manager will drive the vision, strategy, and roadmap of the MEDIAN data platform. This role bridges customer needs, business strategy, and technical teams by conducting user research, managing stakeholder relationships, translating feedback into product requirements, and defining feature priorities to maximize value and impact.
 Responsibilities:
 • Conduct user interviews and research with engineering teams to understand data and analytics needs
 • Manage relationships with product managers, business leaders, engineering teams, and customers
 • Synthesize customer feedback and technical insights into product direction
 • Define and maintain the product roadmap balancing customer needs with strategic objectives
 • Write clear product requirements and user stories for platform and solutions engineers
 • Collaborate with Data Platform and Solutions teams on technical constraints and feasibility
 • Advocate for customer needs while managing expectations and communicating product vision
 • Monitor market trends, competitive platforms, and emerging technologies
 • Measure product success through KPIs, adoption metrics, and customer satisfaction
 • Present product vision and roadmap to leadership, customers, and stakeholders
 • Manage product lifecycle including feature prioritization, release planning, and post\-launch evaluation
 Requirements:
 • 3\+ years of experience in product management, product strategy, or technical program management
 • Strong understanding of data platforms, data pipelines, and analytics use cases; hands\-on experience preferred
 • Excellent communication and stakeholder management skills
 • Experience conducting user research and translating feedback into product requirements
 • Ability to work in a fast\-paced, ambiguous environment with limited resources
 • Proficiency with data concepts such as SQL, ETL, data modeling, and cloud platforms
 • Demonstrated ability to prioritize and manage competing interests across teams
 Preferred Qualifications:
 • Background as data engineer, data analyst, or solutions engineer prior to product management
 • Experience with modern data platforms like Databricks, Snowflake, BigQuery
 • Experience in regulated industries or with complex compliance requirements
 • Familiarity with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and product development methodologies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
      <c r="A37" t="inlineStr">
        <is>
          <t>li-4368244799</t>
        </is>
      </c>
      <c r="B37" t="inlineStr">
        <is>
          <t>Senior Product Manager</t>
        </is>
      </c>
      <c r="C37" t="inlineStr">
        <is>
          <t>Haystack</t>
        </is>
      </c>
      <c r="D37" t="inlineStr">
        <is>
          <t>linkedin</t>
        </is>
      </c>
      <c r="E37" t="inlineStr"/>
      <c r="F37" t="inlineStr"/>
      <c r="G37" t="inlineStr"/>
      <c r="H37" t="inlineStr"/>
      <c r="I37" t="inlineStr">
        <is>
          <t>**Senior Product Manager, Measurement \&amp; Experimentation \| Remote** 
 We're working with Best Buy on this exciting opportunity.
 Are you a data\-driven product leader passionate about shaping measurement and experimentation strategies? Join Best Buy's Retail Media Network to drive significant impact through innovative A/B testing, media mix modeling, and collaboration with brilliant minds in data science and analytics. This is your chance to lead the charge in understanding advertising effectiveness and influencing critical business decisions.
**The Role** 
 • Own the roadmap for incrementality measurement and experimentation across advertising products
 • Design and support advanced testing strategies, including A/B, geo\-holdout, and synthetic control
 • Partner with analytics and data science to build and validate robust media mix models
 • Collaborate with product and engineering teams to embed experimentation into product launches
 • Standardize measurement methodologies across diverse advertising channels, evaluating third\-party tools as needed
**What You'll Need** 
 • 7\+ years in product management, analytics, or data science roles
 • 3\+ years experience with media mix modeling, incrementality measurement, causal inference, and experimental design
 • 3\+ years experience with A/B testing platforms, geo\-experiments, customer\-holdouts, and lift studies
 • 2\+ years experience setting up, running, and analyzing incrementality tests on platforms like Google Ad Manager, Meta, GoogleAds, and DV360
 • Bachelor's Degree in a Quantitative field (e.g., Statistics, Data Science, Economics, Computer Science)
**What's On Offer** 
 • Competitive pay and generous employee discounts
 • Comprehensive physical and mental well\-being support
 • A culture committed to supporting and valuing employees, fostering unique career possibilities
 • The opportunity to bring your full, authentic self to work in a purpose\-driven organization
**Apply via Haystack today!**</t>
        </is>
      </c>
    </row>
    <row r="38">
      <c r="A38" t="inlineStr">
        <is>
          <t>li-4328685625</t>
        </is>
      </c>
      <c r="B38" t="inlineStr">
        <is>
          <t>Principal Product Manager, Invest</t>
        </is>
      </c>
      <c r="C38" t="inlineStr">
        <is>
          <t>SoFi</t>
        </is>
      </c>
      <c r="D38" t="inlineStr">
        <is>
          <t>linkedin</t>
        </is>
      </c>
      <c r="E38" t="inlineStr"/>
      <c r="F38" t="inlineStr"/>
      <c r="G38" t="inlineStr">
        <is>
          <t>New York, NY</t>
        </is>
      </c>
      <c r="H38" t="inlineStr"/>
      <c r="I3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We’re hiring a Principal Product Manager to lead the creation of new brokerage experiences and trading capabilities within SoFi Invest. In this role, you will own the strategy, roadmap, and execution for customer\-facing investing products that expand how members trade, manage, and engage with their investments.
 This role is focused on bringing net\-new and materially expanded trading capabilities to SoFi Invest. You will own complex product initiatives that span trading functionality, account\-level experiences, and regulatory workflows, requiring close partnership with engineering, design, risk, and compliance. In addition to shipping high\-impact investing experiences end\-to\-end, you will provide product leadership and direction across the Invest PM team, helping shape how we build, prioritize, and deliver brokerage products at scale.
 This is a senior individual contributor role designed for a product leader who combines strong product sense with deep brokerage expertise, and who thrives in complex, highly regulated environments.
 Previous experience building world\-class investing and brokerage products is a must.
**What you’ll need:**
* 10\+ years of product management experience, including significant ownership of technically complex, customer\-facing financial products.
* Bachelor’s degree or higher, ideally in a technical, finance, engineering, or quantitative field.
* Proven track record leading the development of advanced brokerage or trading capabilities that require deep integration with execution systems, risk engines, and account\-level controls.
* Strong technical fluency with APIs, distributed systems, event\-driven architectures, and data\-intensive services, with the ability to reason about performance, scalability, and failure modes.
* Experience partnering closely with engineering to navigate architectural decisions and technical trade\-offs in high\-throughput, low\-latency, and highly regulated environments.
* Comfort working with systems involving real\-time decisioning, account state, permissions, limits, and suitability controls, and understanding how these systems surface in customer\-facing trading experiences.
* Demonstrated ability to balance durable technical foundations with near\-term product delivery, particularly when building capabilities that must scale safely over time.
* Strong cross\-functional collaboration skills, especially with engineering, risk, compliance, legal, operations, and analytics, to bring complex trading products to market.
* Excellent written and verbal communication skills, with the ability to translate technical and regulatory complexity into clear product direction for diverse stakeholders.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9">
      <c r="A39" t="inlineStr">
        <is>
          <t>li-4328697231</t>
        </is>
      </c>
      <c r="B39" t="inlineStr">
        <is>
          <t>Staff Product Manager</t>
        </is>
      </c>
      <c r="C39" t="inlineStr">
        <is>
          <t>hims &amp; hers</t>
        </is>
      </c>
      <c r="D39" t="inlineStr">
        <is>
          <t>linkedin</t>
        </is>
      </c>
      <c r="E39" t="inlineStr"/>
      <c r="F39" t="inlineStr"/>
      <c r="G39" t="inlineStr"/>
      <c r="H39" t="inlineStr"/>
      <c r="I39" t="inlineStr">
        <is>
          <t>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 hims.com/about and hims.com/how\-it\-works . For information on the company’s outstanding benefits, culture, and its talent\-first flexible/remote work approach, see below and visit www.hims.com/careers\-professionals.
 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visithims.com/about andhims.com/how\-it\-works . For information on the company’s outstanding benefits, culture, and its talent\-first flexible/remote work approach, see below and visitwww.hims.com/careers\-professionals.
**About The Role**
 We are seeking a highly skilled Staff Product Manager with deep experience building consumer\-facing digital products to lead strategy, roadmap development, and execution across key customer experiences and treatment categories. This role sits at the intersection of customer experience, growth, and technical product development—owning initiatives that enhance the end\-to\-end user journey, accelerate adoption of treatments, and deliver scalable, high\-quality healthcare experiences across app and web.
 You will work cross\-functionally with design, engineering, marketing, clinical, operations, and data teams to develop intuitive and impactful features that meet diverse patient needs. This role requires a strategic thinker with strong technical acumen, a user\-centered mindset, and the ability to drive measurable business and customer outcomes.
**You Will**
* Define and execute strategic product roadmaps that improve user experience, foster growth, and support customers throughout their lifecycle across multiple treatment categories.
* Lead projects from discovery through technical development and launch, ensuring high\-quality delivery and continuous iteration based on data and customer insights.
* Identify friction points in the user journey and partner with design, engineering, research, operations, and clinical teams to build empathetic and accessible solutions.
* Consolidate input from marketing, category management, medical, and technical stakeholders to inform product decisions and accelerate adoption of key offerings.
* Break down complex or behind\-the\-scenes systems into phased deliverables that provide incremental value while supporting long\-term scalability.
* Prioritize product investments using structured evaluation of business impact, user value, technical feasibility, and organizational readiness.
* Establish and track clear success metrics, using both qualitative and quantitative data to guide iteration and inform future strategy.
* Provide thought partnership across UX, growth, and operational functions, aligning cross\-functional teams and ensuring shared understanding.
* Collaborate closely with engineering teams, diving into technical decisions when needed and translating technical concepts for non\-technical partners.
* Champion a culture of experimentation, data\-driven decision\-making, and continuous improvement.
* Mentor peers and contribute to the evolution of product practices, frameworks, and organizational processes.
**You Have**
* 6\+ years of Product Management experience building and shipping consumer products, ideally in growth, healthcare, or subscription\-based mobile applications.
* Proven success delivering impactful products that customers love and that drive measurable business results.
* Strong strategic thinking, systems\-level problem solving, and the ability to move fluidly between high\-level vision and detailed execution.
* Experience leading cross\-functional teams and influencing stakeholders across all levels of an organization.
* Familiarity with product analytics tools (e.g., Looker, Amplitude), experimentation platforms (e.g., Growth Book), and user research methods.
* Ability to work closely with engineers, understand technical constraints, and participate in technical tradeoff discussions.
* Experience creating scalable processes from scratch in fast\-paced, operationally complex environments preferred.
* Empathy for users navigating sensitive health concerns and passion for leveraging technology to improve healthcare access and outcomes.
* Bachelor’s or Master's degree in Business, Computer Science, Engineering, Data Science, or a related field preferred.
**Why Join Us**
* Be part of a mission\-driven company dedicated to transforming healthcare and improving lives.
* Work in a collaborative and innovative environment with talented professionals who are passionate about making a difference.
* Enjoy the flexibility of a fully remote work environment.
**Our Benefits (there are more but here are some highlights):**
* Competitive salary \&amp; equity compensation for full\-time roles
* Pension Plan with employer matching contribution
* Generous PTO
* Paid Parental Leave
 If you’re a visionary product leader with a passion for high quality user experiences and a desire to make a meaningful impact in the healthcare industry, we’d love to hear from you.
 We are committed to building a workforce that reflects diverse perspectives and prioritizes ethics, wellness, and a strong sense of belonging. If you're excited about this role, we encourage you to apply—even if you're not sure if your background or experience is a perfect match.
 Hims considers all qualified applicants for employment, including applicants with arrest or conviction records, in accordance with the San Francisco Fair Chance Ordinance, the Los Angeles County Fair Chance Ordinance, the California Fair Chance Act, and any similar state or local fair chance laws.
 It is unlawful in Massachusetts to require or administer a lie detector test as a condition of employment or continued employment. An employer who violates this law shall be subject to criminal penalties and civil liability.
 Hims \&amp; Hers is committed to providing reasonable accommodations for qualified individuals with disabilities and disabled veterans in our job application procedures. If you need assistance or an accommodation due to a disability, please contact us at accommodations@forhims.com and describe the needed accommodation. Your privacy is important to us, and any information you share will only be used for the legitimate purpose of considering your request for accommodation. Hims \&amp; Hers gives consideration to all qualified applicants without regard to any protected status, including disability. Please do not send resumes to this email address.
 To learn more about how we collect, use, retain, and disclose Personal Information, please visit our Global Candidate Privacy Statement.</t>
        </is>
      </c>
    </row>
    <row r="40">
      <c r="A40" t="inlineStr">
        <is>
          <t>li-4328715024</t>
        </is>
      </c>
      <c r="B40" t="inlineStr">
        <is>
          <t>Product Manager | Risk</t>
        </is>
      </c>
      <c r="C40" t="inlineStr">
        <is>
          <t>Ramp</t>
        </is>
      </c>
      <c r="D40" t="inlineStr">
        <is>
          <t>linkedin</t>
        </is>
      </c>
      <c r="E40" t="inlineStr"/>
      <c r="F40" t="inlineStr"/>
      <c r="G40" t="inlineStr">
        <is>
          <t>San Francisco, CA</t>
        </is>
      </c>
      <c r="H40" t="inlineStr"/>
      <c r="I40"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Ramp continues to scale, our ability to underwrite, manage risk, and finance our growth is critical. We are seeking an exceptional product leader to own our risk platform roadmap. As part of the product team, you will define and evolve our end\-to\-end risk product vision, strategy and execution by leading a core team of engineers and designers to build amazing products for our customers. This will require partnership and collaboration across various internal teams (especially finance and risk), a deep understanding of our customers, and the ability to deliver financial products and streamline complex business flows via a fantastic user experience.
***Please note that this Product Management role will require you to be comfortable with working in\-person at one of our NYC or SF offices at least 2 days/week***
**What You’ll Do**
* Own Ramp's risk product roadmap, focusing on our application experience and risk management systems
* Improve how Ramp evaluates risk and builds the infrastructure to scale to hundreds of thousands of businesses across the US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**What You Need**
* BA/BS in a technical or analytical field
* Minimum of either:
+ 5 years of product management experience
+ 3 years of product management experience and 1\+ year of experience as an engineer or data (applied) scientist
* Experience managing software products from ideation to launch \- including managing the product vision, day\-to\-day prioritization, design, and go\-to\-market strategy
* Demonstrated ability to lead and influence small teams of engineers and designers towards a common goal
* Excellent written and verbal communication skills
* Ability to evaluate product decisions and trade\-offs while being hyper\-focused on delivering value for our customers
* Comfortable using large datasets and leveraging insights to make decisions
**Nice\-to\-Haves**
* Experience in high\-growth startups
* Experience building products with significant AI component, bonus if leveraging LLMs
* Experience building in problem spaces requiring complex systems thinking like marketplace optimization, ads tech, etc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41">
      <c r="A41" t="inlineStr">
        <is>
          <t>li-4353535297</t>
        </is>
      </c>
      <c r="B41" t="inlineStr">
        <is>
          <t>Product Manager</t>
        </is>
      </c>
      <c r="C41" t="inlineStr">
        <is>
          <t>Synectics Inc.</t>
        </is>
      </c>
      <c r="D41" t="inlineStr">
        <is>
          <t>linkedin</t>
        </is>
      </c>
      <c r="E41" t="inlineStr"/>
      <c r="F41" t="inlineStr"/>
      <c r="G41" t="inlineStr">
        <is>
          <t>Rogers, MN</t>
        </is>
      </c>
      <c r="H41" t="inlineStr"/>
      <c r="I41" t="inlineStr">
        <is>
          <t>Job Title: Product Manager
**Location:** 
 Rogers, MN (On\-site)
**Job Type:** 
 Full\-Time
 Role Overview
 We are seeking a Product Manager to take ownership of a physical consumer product line. This role will focus on improving existing products, developing new offerings, and ensuring consistent product quality across overseas manufacturing partners. The position works cross\-functionally with Operations, Marketing, and Supply Chain teams and is well\-suited for someone who thrives in a fast\-paced, growth\-oriented environment.
 Key Responsibilities
* Own and manage the product roadmap in alignment with company priorities
* Maintain detailed product documentation and tech packs with strict revision control
* Lead product quality standards and QA processes across contract manufacturers
* Drive continuous improvement of existing products based on customer feedback
* Manage new product development from concept through launch
* Ensure product consistency across all manufacturing partners
* Support packaging design and product presentation initiatives
* Conduct competitive analysis to support pricing and positioning decisions
* Collaborate cross\-functionally on product\-related initiatives
* Travel domestically and internationally as required
**Qualifications**
**Required:**
* 3\+ years of product management experience
* Experience working with physical products
* Experience coordinating with overseas manufacturers
* Strong organizational, communication, and problem\-solving skills
**Preferred**
* Experience with textiles or cut\-and\-sew manufacturing
* Automotive or consumer products background
* D2C / e\-commerce brand experience
* Experience managing high\-SKU product lines
 Ideal Candidate
* Action\-oriented and comfortable working in ambiguity
* Detail\-focused with high standards for quality
* Strong cross\-functional communicator
* Curious, coachable, and growth\-minded
* Willing to work on\-site and travel as needed</t>
        </is>
      </c>
    </row>
    <row r="42">
      <c r="A42" t="inlineStr">
        <is>
          <t>li-4368690870</t>
        </is>
      </c>
      <c r="B42" t="inlineStr">
        <is>
          <t>Global Product Manager - Aftermarket Par</t>
        </is>
      </c>
      <c r="C42" t="inlineStr">
        <is>
          <t>Rehlko</t>
        </is>
      </c>
      <c r="D42" t="inlineStr">
        <is>
          <t>linkedin</t>
        </is>
      </c>
      <c r="E42" t="inlineStr"/>
      <c r="F42" t="inlineStr"/>
      <c r="G42" t="inlineStr">
        <is>
          <t>Kohler, WI</t>
        </is>
      </c>
      <c r="H42" t="inlineStr"/>
      <c r="I42" t="inlineStr">
        <is>
          <t>JOB REQUIREMENTS: Why Work at Rehlko Our work is guided by our purpose:
 creating an energy\-resilient world for a better future. This purpose
 embodies the legacy we bring, with more than 100 years as the global
 leader in energy resilience, delivering solutions critical to sustain
 and improve life. Our teams have the opportunity to provide a critical
 resource \- energy \- that ensures safety, security, and independence for
 people around the world. Our team members are focused on pushing
 boundaries, continuing to innovate in an ever\-changing landscape, and
 keeping up with the pace required to create solutions for today\\'s world
 demands. Our product range includes engines, generators, power
 conversion, UPS systems, EV components and electrification solutions,
 microgrid controls and management, and clean energy solutions that serve
 a broad spectrum of OEM, residential, industrial, and commercial
 customers. At Rehlko, you have the freedom to identify, create, and
 deliver solutions \- large and small \- that help people and communities
 thrive in the moments that matter. At Rehlko, our team members are the
 essential energy that powers our organization\\'s success. We are
 committed to fostering a safe and sustainable work environment where
 safety is everyone\\'s responsibility. We empower every team member to
 actively participate in our Zero Is Possible safety culture by
 encouraging open communication, proactively reporting hazards, following
 protocols, and suggesting improvements. Join us in creating an energy
 resilient world for a better future! What We Offer At Rehlko, our Total
 Rewards programs are designed to accelerate growth, energize
 performance, and support a culture of inclusion at every stage of life
 and work. We offer total rewards that are easily understood, recognize
 results, enable career mobility, and reflect our commitment to valuing
 diverse needs in a fast\-moving world. We provide: \\\* Competitive
 compensation and benefits \\\* Work\-life flexibility \\\* Recognition and
 rewards \\\* Development and career opportunities \\\* A safe and inclusive
 workplace Why You Will Love this Job The Global Product Manager \-
 Aftermarket Parts\-Industrial Engines combines strategic vision with the
 ability to implement tactical strategies for profitable growth. The
 Global Product Manager \- Aftermarket Parts\-Industrial Engines will
 develop an all\-make aftermarket parts product portfolio; conducting
 market research; generating product requirements; determining
 specifications, production timetables, pricing, and time\-integrated
 plans for product introduction; developing marketing strategies for
 Industrial Engines in the Aftermarket Parts group globally. Work mode:
 Remote or Hybrid (2\-4 days onsite) if within 50 miles of Kohler WI
 Travel: 20% travel US and Global Applicants must be authorized to work
 in the US without requiring sponsorship now or in the future.
 Responsibilities: \\\* Manages the product development of all\-makes
 aftermarket parts product portfolio to support Rehlko Industrial service
 organizations. \\\* Data analysis is used to develop global strategic
 goals. \\\* Direct the implementation of the global product line strategic
 plan to prioritize and maximize company and product line profitability
 and investments. \\\* Determines customers\\' needs and desires by
 specifying the research needed to obtain market information. \\\* Assesses
 market competition by comparing the company\\'s product to competitors\\'
 products. \\\* Drives the highest value products into the market at
 maximum profit and sales. \\\* Prepares and coaches the parts and service
 organizations on product application information, product initiatives,
 and profitability equations. \\\* Recomm To view the full job description
 please use the link below.
 https://www.aplitrak.com/?adid\=YmJnZW5lcmljLjQ5OTYyLjg3NzBAa29obGVyZW5lcmd5Y29tcC5hcGxpdHJhay5jb20
 \\\*\\\*\\\*\\\*\\\* APPLICATION INSTRUCTIONS: Apply Online:
 https://www.aplitrak.com/?adid\=YmJnZW5l mljLjQ5OTYyLjg3NzBAa29obGVyZW5lcmd5Y29tcC5hcGxpdHJhay5jb20</t>
        </is>
      </c>
    </row>
    <row r="43">
      <c r="A43" t="inlineStr">
        <is>
          <t>li-4328916025</t>
        </is>
      </c>
      <c r="B43" t="inlineStr">
        <is>
          <t>Product Owner (Hybrid) - 26371</t>
        </is>
      </c>
      <c r="C43" t="inlineStr">
        <is>
          <t>Enlighten</t>
        </is>
      </c>
      <c r="D43" t="inlineStr">
        <is>
          <t>linkedin</t>
        </is>
      </c>
      <c r="E43" t="inlineStr"/>
      <c r="F43" t="inlineStr"/>
      <c r="G43" t="inlineStr">
        <is>
          <t>Augusta, GA</t>
        </is>
      </c>
      <c r="H43" t="inlineStr"/>
      <c r="I43"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$108,090\.00 \- $175,000\.00\.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Army Cyber Command (ARCYBER) and the Defensive Cyber Operations command at Fort Gordon, GA. Will help provide some project management and DevSecOps support from which organic growth is desired. Will assist in training and adoption of various analytics and applications developed for cyber operations on the government owned Big Data Platform (BDP). Will need to be on\-site to work with the customer 2\-3 days/week. CONUS or OCONUS travel may be required up to 25% of the time.
 \#Mid\-Senior Level
**Essential Job Responsibilities**
* Establish, foster and strengthen relationships between company and targeted government customers.
* Function as the lead for analytic and application development in support of operations and work to integrate production capabilities directly into the customers daily operations.
* Function as the SME for the Army operational BDP capabilities and work to operationalize capabilities into the customer’s daily operations. Provide excellent technical support to Army users of the BDP and its applications. Answer user questions and troubleshoot issues related to the platform.
* Serve as the lead for gathering both data and software requirements from Army customer leads and convey them to developers by establishing development roadmaps.
* Responsible for understanding our technology / capabilities and championing accordingly.
* Provide company leadership updates on the project status, key customer engagements and overall assessment of the government's direction and adoption of capabilities.
* Function as the SME for Army customer landscape. Establish relationships with influential leads with the Chain of Command and help influence government decision making with regards to data and software development.
* Work with the Enlighten’s Customer Experience Group (CEG) to develop and implement development plans, operational roadmaps, and action plans for identified communities of interest.
* Expand future opportunities by working with existing customers. Assist our Army program to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Additional duties as assigned.
**Minimum Qualifications**
* Security Clearance: A current TS/SCI with CI Polygraph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or OCONUS.
* Ability to work on customer site 2\-3 days a week at either Fort Gordon, GA or the Georgia Cyber Center (GCC). Flexibility is essential to adapt to schedule changes as needed.
**Preferred Requirements**
* Experience with Software Engineering, Cloud Technologies, Data Engineering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t>
        </is>
      </c>
    </row>
    <row r="44">
      <c r="A44" t="inlineStr">
        <is>
          <t>li-4328823177</t>
        </is>
      </c>
      <c r="B44" t="inlineStr">
        <is>
          <t>Staff Product Manager (Merchant Operations)</t>
        </is>
      </c>
      <c r="C44" t="inlineStr">
        <is>
          <t>Grubhub</t>
        </is>
      </c>
      <c r="D44" t="inlineStr">
        <is>
          <t>linkedin</t>
        </is>
      </c>
      <c r="E44" t="inlineStr"/>
      <c r="F44" t="inlineStr"/>
      <c r="G44" t="inlineStr"/>
      <c r="H44" t="inlineStr"/>
      <c r="I44"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Grubhub’s product team is looking for a technical, customer\-focused Staff Product Manager to deliver world\-class products that enable Grubhub Merchants to execute operations and grow their businesses. As a senior contributor to the Merchant team, your purview will span the many critical components of the Merchant experience, i.e., managing orders and menus in our platform, Grubhub for Restaurants, building new analytics capabilities for our Merchants, and partnering cross\-functionally to grow our non\-marketplace orders.
 The ideal candidate is a data\-focused product leader who has experience driving product strategy and execution on products leveraged by users nationwide. You will collaborate with technical and non\-technical stakeholders at all levels across the organization including Senior Leadership. In addition, the ability to work backwards and think from a customer perspective is crucial.
**The Impact You Will Drive**
* Craft and define the vision, strategy and plan for your areas of Merchant Product with product leads and the engineering team. You will be responsible for Grubhub for Restaurants Orders \&amp; Menus, Promotional \&amp; Operational Analytics, and non\-marketplace order supply growth.
* Be an expert on the customer, conducting market research, competitive analysis and customer interviews, in partnership with UX, UXR and Analytics, to inform your product strategy.
* Leverage data and analytics to inform your product decisions, and use your strong data foundations to inform the direction of the roadmap.
* Evangelize your product direction by socializing roadmaps with key business stakeholders, creating forums for feedback, working with executive leadership to gather input and build alignment, and working with engineering, design and other teams to champion key projects.
* Lead projects through the definitional stages, working to ensure that we're working to solve the right problem and have clearly articulated problem statements and goals identified. Partner with Engineering, Design and stakeholders to make sure the proposed solution solves the defined problem and goals.
* Act as an owner, ultimately accountable for the execution of the project, working cross\-functionally to unblock, pivot, and deliver results. Play a lead role in defining Go To Market strategy to ensure we achieve the desired goals.
* Actively manage key stakeholders, including Directors \&amp; VPs. Ability to read the room and refine content / approach to best serve the audience (VP meeting vs. Director/SPM meeting).
**What You Bring To The Table**
* 7\+ years of relevant work experience in software development leadership, product management, program management, or similar roles within an Agile environment
* BA/BS
* Ability to collaborate with C\-level executives across broad organizations including technology, marketing, sales, operations, and finance
* Direct experience with large\-scale e\-commerce platforms, A/B testing, web and native mobile application environments, and data analytics
* Demonstrated experience working across the technology teams from UX, to data science and backend teams
* Work independently to define complex problems, prioritize effectively and deliver quickly
* ‘Work out loud’ to arrive at solutions collaboratively and iteratively
* Think and communicate clearly, in a way that builds trust across functions and hierarchies
* Superior communication skills, including the ability to crystallize and broadly socialize insights into partners needs that the partners themselves may not be able to articulate
* Able to influence outcomes and people without reporting lines
* Significant experience with SQL using queries, reports and dashboards coupled with strong analytical and quantitative skills using data and metrics to back up assumptions, recommendations, drive action, and monitor product health
* Manage tradeoffs and evaluate opportunistic new ideas with team members, while managing overarching priorities
* Strong technical understanding for area of product development and demonstrates an advanced understanding at the architecture level
* An innate understanding of technology and how to use it to deliver outstanding and innovative products is a must
* Proven ability to develop and maintain financial plans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
 New York: $193,500 \- $203,000 per year.
 Illinois: $ 174,000 \- $182,500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45">
      <c r="A45" t="inlineStr">
        <is>
          <t>li-4368811136</t>
        </is>
      </c>
      <c r="B45" t="inlineStr">
        <is>
          <t>Senior Product Manager, Underwriting</t>
        </is>
      </c>
      <c r="C45" t="inlineStr">
        <is>
          <t>SoFi</t>
        </is>
      </c>
      <c r="D45" t="inlineStr">
        <is>
          <t>linkedin</t>
        </is>
      </c>
      <c r="E45" t="inlineStr"/>
      <c r="F45" t="inlineStr"/>
      <c r="G45" t="inlineStr">
        <is>
          <t>San Francisco, CA</t>
        </is>
      </c>
      <c r="H45" t="inlineStr"/>
      <c r="I4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As a Senior Product Manager for Underwriting, you will be at the heart of SoFi’s lending engine. You will own the product lifecycle for the platforms and services that determine how we evaluate risk and qualify members for our lending products.
 Your mission is to build scalable, high\-performance underwriting infrastructure that balances member experience with rigorous risk controls. You won't just be managing a backlog; you will be driving tech capabilities that span across multiple organizations—partnering with Risk, Engineering, Data Science, and Legal to ensure our decisioning engines are fast, accurate, and compliant. You excel at navigating complex technical dependencies and delivering measurable improvements to the underwriting squad.
 **What you'll do:** 
 Own the Underwriting Roadmap: Define and drive the roadmap for our core underwriting and decisioning platforms, ensuring they support SoFi’s multi\-product growth.
* Navigate Complexity: Drive tech capabilities and stakeholder buy\-in across multiple organizations (Risk, Engineering, Legal, Compliance); effectively manage 3rd party partner integrations.
* Execution Excellence: Lead technical sprints, manage a complex backlog, and prioritize initiatives that improve underwriting throughput and reduce cycle times.
* Bridge the Gap: Translate nuanced risk and policy requirements into clear technical specifications for engineering teams, ensuring "underwriting thinking" is integrated from inception.
* Data\-Driven Decision Making: Synthesize inputs from multiple sources (UXR, data analysis, finance) to build strategic rationales. Leverage SQL to track performance and inform prioritization.
* Process Improvement: Drive quality and velocity improvements by removing hurdles for the team and contributing to PM best practices within the Underwriting org.
* Stakeholder Management: Serve as the primary point of contact for underwriting technology, managing expectations and leading change management across the business.
**What you’ll need** 
 :
* Experience: 5\+ years of product management experience, ideally within fintech, lending, or platform\-side roles.
* Technical Depth: Strong understanding of system architecture; ability to opine on technical choices and understand the trade\-offs of different technical frameworks.
* Communication: Excellent communication skills—able to engage seamlessly with technical, analytical, and business audiences.
* Analytical Skills: Fluency with SQL and data analysis; experience using data to address customer pain points and iterate into solutions.
* Influence: Proven ability to influence beyond your immediate team and foster cross\-functional alignment in a matrixed environment.
* Project Management: Strong organizational skills with a track record of running technical sprints and complex product launches.
**Nice to have:**
* Direct experience building or scaling underwriting/decisioning platforms.
* Knowledge of credit risk modeling and credit bureau data integrations.
* Experience working with lending platforms
* Experience working with LLMs or generative AI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6">
      <c r="A46" t="inlineStr">
        <is>
          <t>li-4367210840</t>
        </is>
      </c>
      <c r="B46" t="inlineStr">
        <is>
          <t>Principal Software Product Manager, AI</t>
        </is>
      </c>
      <c r="C46" t="inlineStr">
        <is>
          <t>The Walt Disney Company</t>
        </is>
      </c>
      <c r="D46" t="inlineStr">
        <is>
          <t>linkedin</t>
        </is>
      </c>
      <c r="E46" t="inlineStr"/>
      <c r="F46" t="inlineStr"/>
      <c r="G46" t="inlineStr">
        <is>
          <t>Glendale, CA</t>
        </is>
      </c>
      <c r="H46" t="inlineStr"/>
      <c r="I46" t="inlineStr">
        <is>
          <t>**About The Role \&amp; Team**
 Walt Disney Imagineering is the creative force that imagines, designs, and brings to life all Disney theme parks, resorts, attractions, and cruise ships worldwide. Working across a spectrum of disciplines that range from creative and conceptual to scientific and technical, Imagineers blend an innovative mixture of storytelling, art, science, and technology to create immersive experiences, memorable destinations, and innovative entertainment for families around the globe.
 Nearly every project at Walt Disney Imagineering includes a first\-of\-its\-kind. Innovation is in our DNA, and Imagineers constantly push the boundaries of technology and invent new goals as well as the solutions to achieve them. As Imagineers, one of our greatest rewards is knowing that the experiences and environments we create inspire others. The diversity of expertise at Imagineering makes us uniquely capable of influencing positive change in our communities and around the world. And knowing that we have helped make a difference is incredibly fulfilling and inspiring for all of us.
 AI tools will augment how Imagineering creates, designs, and delivers attractions and experiences around the world. We’re looking for a creative product leader driven to bridge our unique design practices with modern AI technologies. This Principal Product Manager will drive and deliver AI products, functions, and workflows for our internally used Imagineering product portfolio, bringing AI to life within WDI. This individual will be responsible for shepherding AI software technologies (both buy and build) across various states of maturity, working alongside product peers, technical program managers, software engineers, research scientists, stakeholders, and leadership. In this role, you will communicate a clear vision and create equally strong partnerships to make these technologies relevant and successful within our creative\-first business.
 You will report to the Product Executive – WDI Apps.
 This is a Full\-Time role.
**What You Will Do**
* Drive product direction and implementation for first\-of\-their\-kind AI products within Walt Disney Imagineering.
* Advocate as the voice of the Imagineer, placing grounded problem\-solving before solutioning, exemplifying WDI’s core design and delivery principles.
* Draft product requirements, user research, user stories, mockups, visualizations, product memos, presentations, roadmaps, and other pertinent strategy materials.
* Liaise, network, and partner with other product managers across the Walt Disney Company to identify opportunities for integration, lessons learned, and shared engagements.
* Present to and collaborate with senior leadership on vision, strategy, and direction for AI within Imagineering.
* Partner with peer leaders across software engineering, product design, technical program management, project technology integration, finance, and legal.
* Drive the annual investment and funding strategy for product functions and features within the AI portfolio.
**Required Qualifications \&amp; Skills**
* 10\+ years of strong software product management acumen and leadership experience
* Expertise with 0\-1 software development. You can craft clarity, starting from the blank page.
* Excellent communication skills: written, verbal, and presentational. You can communicate across mediums.
* Passion for solving problems within creative/entertainment cultures. You love the output of what we do: design and deliver immersive, world\-class experiences.
* Desire to work on internal technologies used by Imagineers (not consumer\-facing). You care deeply about the craft of Imagineering.
**Preferred Qualifications \&amp; Skills**
* Recent experience with current AI software technologies, user patterns, and architecture.
* Experience with microservice ecosystems and component\-based web apps.
**Education**
* Bachelor’s degree in computer science, computer engineering, media management, or an engineering or science discipline required, or equivalent experience.
* Master’s degree preferred.
**Additional Information**
 Benefits and Perks: Disney offers a rewards package to help you live your best life. This includes health and savings benefits, educational opportunities and special extras that only Disney can provide. Learn more about our benefits and perks at https://jobs.disneycareers.com/benefits.
 \#DXMedia
 The hiring range for this position in Glendale, CA is $188,400 to $252,600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7">
      <c r="A47" t="inlineStr">
        <is>
          <t>li-4368688298</t>
        </is>
      </c>
      <c r="B47" t="inlineStr">
        <is>
          <t>Product Manager II - Platform, Travel Rule</t>
        </is>
      </c>
      <c r="C47" t="inlineStr">
        <is>
          <t>Coinbase</t>
        </is>
      </c>
      <c r="D47" t="inlineStr">
        <is>
          <t>linkedin</t>
        </is>
      </c>
      <c r="E47" t="inlineStr"/>
      <c r="F47" t="inlineStr"/>
      <c r="G47" t="inlineStr">
        <is>
          <t>San Francisco, CA</t>
        </is>
      </c>
      <c r="H47" t="inlineStr"/>
      <c r="I4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**Team/ Role** 
* The Travel Rule is a global FATF regulation requiring Virtual Asset Service Providers (VASPs) to share customer information for crypto transactions above certain thresholds. Coinbase operates TRUST (Travel Rule Universal Solution Technology), the world's leading Travel Rule solution with 100\+ VASP members including major exchanges.
* As Travel Rule DRI, you'll own the Travel Rule Platform (APIs, backend infrastructure, TRUST network) while partnering closely with Consumer and Insto PGs who own their respective front\-end experiences. You'll also be responsible for growing TRUST's market position against competitors like Notabene and Sumsub.
**What you’ll be doing (ie. job duties):** 
* Own company\-wide Travel Rule strategy and execution as the single\-threaded DRI, partnering with Consumer and Insto PGs on their front\-end implementations
* Grow TRUST market share by signing new VASPs, expanding network/asset support, and driving go\-to\-market efforts
* Own Travel Rule Platform APIs and backend infrastructure that Consumer and Insto integrate with
* Support international expansion by enabling new entities and jurisdiction\-specific requirements (e.g. India, EU, UK)
* Strengthen TRUST's privacy and security posture to reinforce Coinbase's 'Most Trusted' position
* Drive program health and stakeholder alignment across a complex, multi\-PG domain
**What we look for in you (ie. job requirements):** 
* 5\+ years of product management experience
* Experience building platform or API products that other teams integrate with
* Demonstrated ability to drive cross\-functional alignment across multiple stakeholders without owning the end\-to\-end UX
* Experience with compliance, regulatory, or risk products in fintech or financial services
* Strong analytical skills and experience defining success metrics
* Business development or partnership experience preferred
**Nice to haves:** 
* Crypto, blockchain, or AML/KYC experience
* Experience with open source or industry\-wide protocols/standards
* Experience operating with international teams across time zones
* Payment networks or platforms experience
* Experience with self\-custody wallets or stablecoins
 Job\# P69685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48">
      <c r="A48" t="inlineStr">
        <is>
          <t>li-4330507476</t>
        </is>
      </c>
      <c r="B48" t="inlineStr">
        <is>
          <t>Sr. Product Manager (Security AI)</t>
        </is>
      </c>
      <c r="C48" t="inlineStr">
        <is>
          <t>Greylock Partners</t>
        </is>
      </c>
      <c r="D48" t="inlineStr">
        <is>
          <t>linkedin</t>
        </is>
      </c>
      <c r="E48" t="inlineStr"/>
      <c r="F48" t="inlineStr"/>
      <c r="G48" t="inlineStr"/>
      <c r="H48" t="inlineStr"/>
      <c r="I48" t="inlineStr">
        <is>
          <t>One of our early\-stage investments (currently in stealth) is hiring a Product Manager who’s deeply customer\-obsessed, brings strong user empathy, and is passionate about building impactful, high\-quality products from the ground up. Founded by the early team behind some of the most iconic security companies, they’re inventing an entirely new category in cybersecurity—and growing at breakneck speed.
 For this role, I'm looking to connect with exceptional Product Managers (4\-7 years of experience) with a winning mindset and a proven track record of launching impactful products that solve real customer needs. The ideal PM will have experience building AppSec products. If you thrive in fast\-paced environments, love turning insights into action, and are passionate about building solutions that make a difference, we’d love to hear from you.
 We’re looking for someone with a customer\-first mindset—someone who can craft an exceptional and engaging experience for end users.
**Location** 
 : San Francisco (3 days in office, 2 days wfh)
 \*\*\*\*\*\*\*\*\*\*\*\*\*\*\*\*\*\*\*\*\*\*\*\*\*\*\*\*\*\*\*\*\*\*\*\*\*\*\*
**About Greylock \&amp; our Recruiting team:** 
 Greylock is a leading early\-stage VC firm dedicated to unlocking rare potential, with a strong focus on AI\-first companies. As part of our commitment to helping founders build exceptional teams, our recruiting team provides free candidate referrals and warm introductions to our portfolio.</t>
        </is>
      </c>
    </row>
    <row r="49">
      <c r="A49" t="inlineStr">
        <is>
          <t>li-4366154691</t>
        </is>
      </c>
      <c r="B49" t="inlineStr">
        <is>
          <t>Product Manager</t>
        </is>
      </c>
      <c r="C49" t="inlineStr">
        <is>
          <t>Underdog.io -Apply to top tech jobs in 60 seconds. A place where companies apply to you</t>
        </is>
      </c>
      <c r="D49" t="inlineStr">
        <is>
          <t>linkedin</t>
        </is>
      </c>
      <c r="E49" t="inlineStr"/>
      <c r="F49" t="inlineStr"/>
      <c r="G49" t="inlineStr"/>
      <c r="H49" t="inlineStr"/>
      <c r="I49"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50">
      <c r="A50" t="inlineStr">
        <is>
          <t>li-4368653474</t>
        </is>
      </c>
      <c r="B50" t="inlineStr">
        <is>
          <t>Senior Product Manager</t>
        </is>
      </c>
      <c r="C50" t="inlineStr">
        <is>
          <t>Microsoft</t>
        </is>
      </c>
      <c r="D50" t="inlineStr">
        <is>
          <t>linkedin</t>
        </is>
      </c>
      <c r="E50" t="inlineStr"/>
      <c r="F50" t="inlineStr"/>
      <c r="G50" t="inlineStr">
        <is>
          <t>Redmond, WA</t>
        </is>
      </c>
      <c r="H50" t="inlineStr"/>
      <c r="I50"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The Strategy \&amp; Transformation (S\&amp;T) organization within CSCP lies at the heart of the effort to build the next generation Cloud. We’re an innovative and collaborative team of product and program managers transforming Microsoft’s Cloud and Devices Supply Chains. We design and build industry\-leading systems, tools, and processes, embedding AI end to end for cutting\-edge supply chain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\#CSCP \#CSCPJobs
**Responsibilities**
* This role will help build, scale and transform our end\-to\-end cloud supply chain capabilities in partnership with stakeholders across Cloud Engineering, Data Center and Cloud Supply Chain teams including product and engineering teams to drive the systems and capabilities strategies and roadmaps
* Develop and drive the vision and future state capability roadmap with clear articulation of business impact, success metrics, and KPIs for capabilities supporting end\-to\-end supply chain strategy while ensuring cross\-functionally with stakeholder teams
* Aggregate and document requirements across different stakeholder groups.
* Translate business requirements into a capability roadmap, technical specifications and/or systems solutions.
* Develop and propose business case justifications for capital, program resources and technology investments.
* Work with engineering groups to define capabilities, schedules and resources needed
* Manage project governance, including portfolio planning and prioritization.
**Qualifications**
**Minimum qualifications:**
* Bachelor's Degree AND 5\+ years experience in product/service/program management or software development
+ OR equivalent experience.
* Experience in product management related to public clouds, cloud infrastructure, or supply chain transformation in a hyper scale supply chain organization.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4\+ years in product/service/program management, with experience in supply chain transformation, major systems deployments and process reengineering.
* Product management and executional excellence; be able to turn the vision into reality; Proven track record of delivering tools and/or solutions
* Proven capabilities to drive positive business results through cross\-group collaboration and partnerships
* Excellent communicator (written and verbal) with ability to create and deliver executive friendly communications on complex solutions
* Ability to interact with diverse technical and non\-technical groups spanning all organizational levels
* Technical proficiency in automation, optimization and data query tools.
* Data\-driven decision\-making and analytics expertise.
* Familiarity with AI\-based solutions and agents.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1">
      <c r="A51" t="inlineStr">
        <is>
          <t>li-4368240795</t>
        </is>
      </c>
      <c r="B51" t="inlineStr">
        <is>
          <t>Product Manager, Web &amp; Apps</t>
        </is>
      </c>
      <c r="C51" t="inlineStr">
        <is>
          <t>California Academy of Sciences</t>
        </is>
      </c>
      <c r="D51" t="inlineStr">
        <is>
          <t>linkedin</t>
        </is>
      </c>
      <c r="E51" t="inlineStr"/>
      <c r="F51" t="inlineStr"/>
      <c r="G51" t="inlineStr"/>
      <c r="H51" t="inlineStr"/>
      <c r="I51" t="inlineStr">
        <is>
          <t>**About The California Academy Of Sciences**
 The California Academy of Sciences is a globally renowned scientific and cultural institution located in the heart of San Francisco’s Golden Gate Park. Home to a world\-class planetarium, aquarium, research center, and natural history museum—all under one living roof—our mission is to regenerate the natural world through science, learning, and collaboration.
 Our extensive collections span plants, animals, fossils, and cultural artifacts from across the globe and throughout history. We are a diverse team of leading biodiversity scientists, educators, storytellers, designers, and communicators who work collaboratively to advance knowledge and inspire action through science and storytelling.
 When you join the California Academy of Sciences, you become part of a mission\-driven community that values curiosity, collaboration, and innovation. Whether you're working behind the scenes in research or engaging the public on the museum floor, your work will help connect people to the natural world and empower them to protect it.
**About The Opportunity**
 The
 **Product Manager for Web \&amp; Apps** 
 is the central owner of the Academy’s public\-facing website and select digital surfaces. The website is both a global science communication platform
 *and* 
 one of the institution’s most important revenue engines — driving ticket sales, membership enrollment and renewal, donations, event attendance, program registrations, retail purchases, and digital product engagement.
 This role blends product strategy, content platform leadership, UX rigor, experimentation, insight\-driven decision\-making, and complex cross\-functional orchestration. You will shape how global audiences discover our science, plan their visit, support our mission, and return again and again, while managing a team of 4 to 6 direct reports who support the work.
 You will bring structure, clarity, and momentum to a large ecosystem of stakeholders — Science, Creative Studio, Marketing, Membership, Philanthropy, Education, Guest Experience, Sales, Operations, Business Applications, and Retail.
**What You Will Lead**
* Ownership of the Website as a Revenue \&amp; Growth Engine
 You will drive measurable improvements across all revenue\-critical flows, including:
* Ticketing and attendance growth
* Membership join and renewal paths
* Donor and philanthropic giving journeys
* Event attendance and ticket sales
* Educational program bookings
* Retail and e\-commerce (digital \+ physical)
* Digital product engagement and monetization
 You will own the multi\-year vision and roadmap to improve funnel efficiency, reduce friction between user and purchasing experience, and increase conversion across channels.
* Stewardship of the Digital Science \&amp; Storytelling Platform
**You Will Ensure The Academy’s Online Presence**
* Makes scientific content accessible, engaging, and emotionally resonant
* Translates research, exhibits, and conservation work into intuitive digital formats
* Supports exhibitions, events, and programs through dynamic content
* Maintains scientific accuracy, representational integrity, and public trust
* Strengthens the Academy’s voice in biodiversity, climate, and conservation
* Product Strategy \&amp; Multi\-Year Roadmap
**You Will**
* Define the long\-term product vision across web and digital experiences
* Maintain a sequenced roadmap for UX improvements, content evolution, revenue growth, and platform modernization
* Align roadmap priorities with institutional goals and executive direction
* Connect digital experiences to the Academy’s Museum 3\.0 transformation
* Build structured processes for prioritization, resourcing, and trade\-offs.
* Platform Modernization \&amp; Technical Excellence
**You Will Strengthen The Academy’s Digital Foundation Through**
* CMS improvements, structured content models, modular templates, and workflow upgrades
* Performance, accessibility, and mobile\-first optimization
* SEO health, discoverability, and technical search improvements
* Responsible use of AI tools for content creation, translation, optimization, and personalization
* Close collaboration with Business Applications, Ops, and Sales to align digital flows with back\-end ticketing, POS, CRM, and membership systems
* Familiarity with Tessitura, Shopify, Stripe, Salesforce Commerce, WooCommerce, or similar tools (experience a plus, not required).
* Cross\-Functional Alignment \&amp; Leadership
**You Will Unify And Streamline Collaboration Across**
* Marketing \&amp; Communications: Audience growth, campaigns, acquisition, landing pages
* Creative Studio: Design systems, visual identity, storytelling, component libraries
* Science \&amp; Research: Accuracy, content translation, scientific integrity
* Membership: Conversion, retention, segmentation, benefits communication
* Philanthropy \&amp; Development: Donor journeys, fundraising pathways, impact storytelling
* Guest Experience: Visit planning, wayfinding, operational clarity
* Education \&amp; Events: School programs, family events, community learning
* Retail \&amp; E\-Commerce: Product sales, order flows, merchandise storytelling
* Sales: Group sales, institutional offerings, partnerships
* Operations \&amp; Business Applications: Ticketing, POS, identity systems, CRM, backend integrations
 You will define processes, establish decision\-making frameworks, and ensure the website serves as a unified gateway to everything the Academy offers.
**Organizational Culture**
 Join a team dedicated to the Academy’s mission, vision
 *and values!* 
 Currently, the Academy has a new strategic plan including three initiatives –
 *Hope for Reefs* 
 ,
 *Thriving California* 
 , and
 *Islands 2030* 
 – that leverage biodiversity science, environmental learning, and collaborative engagement to regenerate fragile ecosystems around the world. Learn more at https://www.calacademy.org/about\-us/major\-initiatives.
 We hope you are inspired by what we do and are excited to contribute to our mission. The mission of the California Academy of Sciences is to regenerate the natural world through science, learning, and collaboration. The Academy is looking for candidates who do great work, and we know they may come from a number of different backgrounds and experiences. We encourage you to apply even if you do not believe you meet every qualification for the position.
 This position is based in San Francisco, California. The specific onsite/hybrid schedule for this position is listed below.
**About The Innovation Team**
 This role sits within the California Academy of Sciences’ Innovation Division and reports directly to the Chief Innovation Officer. The Innovation Division strengthens the Academy’s
 **relevance, reach, and revenue** 
 by uniting storytelling, design, science, and technology to reimagine how audiences engage with the Academy — onsite, online, and out in the world. We create emotionally resonant, insight\-driven experiences that deepen belonging, spark wonder, and support financial sustainability through increased attendance, member engagement, donations, diversified revenue streams, and modern digital platforms. The Product Manager for Web \&amp; Apps is a central contributor to this mission.
**Key Responsibilities**
 Revenue Growth \&amp; Conversion Optimization
* Own all digital funnels and conversion pathways
* Build dashboards and analyses that reveal bottlenecks and drive enhancements
* Lead A/B testing and experimentation cycles
* Partner with Sales, Marketing, and Guest Experience to optimize acquisition and conversion
* Drive continuous improvements in average order value and LTV
 Content \&amp; Experience Governance
* Establish content standards that ensure clarity, consistency, accuracy, and accessibility
* Maintain information architecture, navigation, structured content, and taxonomy systems
* Support sustainable content operations through improved workflows and governance
* Balance scientific depth with an intuitive public\-facing narrative
 UX, Design \&amp; Accessibility
* Lead UX improvements across critical user journeys
* Maintain accessibility standards (WCAG 2\.1\+)
* Partner with Creative Studio to sustain a cohesive, modern design system
* Ensure mobile\-first excellence across devices and browsers
 Execution, Delivery \&amp; Product Operations
* Own backlog prioritization and sprint planning
* Write user stories, specs, and acceptance criteria
* Manage QA, release readiness, and cross\-team communication
* Translate institutional goals into buildable, measurable digital initiatives
**Qualifications:** 
 A successful candidate will have the following:
* 8 to 10\+ years of product management experience with consumer\-facing websites or digital content platforms
* 2\+ years of experience leading a team.
* Proven success optimizing revenue (ticketing, membership, donations, e\-commerce)
* Strong experience with CMS platforms, structured content, and workflow systems
* Fluency in UX, analytics, SEO, IA, accessibility, and responsive design
* Experience collaborating across creative, scientific, operational, and technical teams
* Ability to lead through clarity, diplomacy, and structured decision\-making
* Analytical fluency with GA4 and experimentation frameworks
* Exceptional communication skills — written, visual, and verbal
**Physical Environment**
 To perform this job successfully, an individual must be able to perform each essential job duty satisfactorily. Reasonable accommodations may be made to enable qualified individuals with disabilities to perform essential job functions.
**Compensation And Benefits**
 The salary range for this position is $160,000\-$175,000\. Actual compensation will be commensurate with the final candidate's qualifications and experience, including skills, knowledge, relevant education, certifications and aligned with the internal peer group. We believe in fair and equitable compensation practices and are committed to providing competitive salaries within the industry and market standards. The Academy offers a total compensation package that emphasizes both base salary and comprehensive benefits based on the hours per week worked. Further details regarding compensation and benefits will be discussed during the interview process.
**Schedule** 
 : Full\-time, 40 hours per week
**How To Apply**
 Interested candidates should submit a resume and application through our Careers Page portal.
**The California Academy of Sciences will give full consideration for employment to all qualified applicants with criminal histories in a manner consistent with the requirements of the** 
**San Francisco Fair Chance Ordinance** 
**(SF Police Code, Article 49\).**</t>
        </is>
      </c>
    </row>
    <row r="52">
      <c r="A52" t="inlineStr">
        <is>
          <t>li-4346001218</t>
        </is>
      </c>
      <c r="B52" t="inlineStr">
        <is>
          <t>Technical Product Manager (EHR), Remote</t>
        </is>
      </c>
      <c r="C52" t="inlineStr">
        <is>
          <t>Aledade, Inc.</t>
        </is>
      </c>
      <c r="D52" t="inlineStr">
        <is>
          <t>linkedin</t>
        </is>
      </c>
      <c r="E52" t="inlineStr"/>
      <c r="F52" t="inlineStr"/>
      <c r="G52" t="inlineStr"/>
      <c r="H52" t="inlineStr"/>
      <c r="I52" t="inlineStr">
        <is>
          <t>As a Technical Product Manager you will be a key member of the team that builds products to deliver value\-based care insights into partner practice EHR workflows at the point of care, which is Aledade’s priority transformation initiative in 2025 and 2026\. The Technical Product Manager works alongside business owners, data analysts, designers, and engineers to define project goals, solution scope, implementation approach, iteration, and impact measurement. They are the interface between strategic business owners and development and ensure that Aledade creates a high\-impact product with the ability to scale.
**Primary Duties:**
* Partner with engineers, designers, and business owners to cultivate a shared vision for the problem space, constraints, priorities and ideal end state, and be able to articulate and advocate for this perspective.
* Ongoing optimization of live user workflows and capabilities including monitoring of key metrics \&amp; user feedback
* Work with internal teams and end users to develop a deep understanding of requirements, perform thoughtful solution design, use data to test hypotheses, and support teams throughout execution.
* Write detailed product specs for new features and capabilities, capturing detailed descriptions of business rationale, requirements, and success criteria that are defined by measurable outcomes.
* Develop short\- and long\-term roadmaps that deliver maximum value with minimum risk and assume ongoing iteration.
**Minimum Qualifications:**
* 6\+ years of product management experience in technology, technology\-enabled services industry, or a SaaS product.
* Direct experience in healthcare technology, including developing or integrating with EHRs and/or other point of care technologies for providers.
* Experience using data and primary research to inform solution design and build internal business understanding.
* Experience with and understanding of the software development lifecycle and software development methodologies. Preferably experience with Agile / Scrum teams.
* Product development experience in the context of the development of a healthcare technology product.
**Preferred Knowledge, Skills and/or Abilities:**
* Excellent organizational and communication skills with an emphasis on problem\-solving and building subject matter expertise.
* Knowledge of healthcare administrative and clinical data sets, including demographic, financial and clinical data.
* Basic understanding of healthcare administrative or clinical workflows for inpatient, ambulatory or ancillary services.
* Experience working with EHR, practice management, revenue cycle or population health products.
* Experience with clinical quality measurement and corresponding data sets.
* Knowledge of SQL, ideally with PostgreSQL experience.
* Knowledge of alternative payment models related to primary care such as MSSP ACOs, Pioneer ACOs, commercial insurance shared savings programs, PCMH.
**Physical Requirements:**
* Sitting for prolonged periods of time. Extensive use of computers and keyboard. Occasional walking and lifting may be required.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health plans,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time\-off plan (21 days of PTO in your first year)
 Two paid volunteer days and 11 paid holidays
 12 weeks paid parental leave for all new parents
 Six weeks paid sabbatical after six years of service
 Educational Assistant Program and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53">
      <c r="A53" t="inlineStr">
        <is>
          <t>li-4281940084</t>
        </is>
      </c>
      <c r="B53" t="inlineStr">
        <is>
          <t>Product Manager</t>
        </is>
      </c>
      <c r="C53" t="inlineStr">
        <is>
          <t>Apex Tool Group, LLC</t>
        </is>
      </c>
      <c r="D53" t="inlineStr">
        <is>
          <t>linkedin</t>
        </is>
      </c>
      <c r="E53" t="inlineStr"/>
      <c r="F53" t="inlineStr"/>
      <c r="G53" t="inlineStr">
        <is>
          <t>Lexington, SC</t>
        </is>
      </c>
      <c r="H53" t="inlineStr"/>
      <c r="I53" t="inlineStr">
        <is>
          <t>*Apex Tool Group is an equal opportunity employer. All qualified applicants will receive consideration for employment without regard to race, national origin, religion, age, color, sex, sexual orientation, gender identity, disability, or protected veteran status.*
 The Blueprint (Role Profile)
 Reporting to the Apex SBU Lead, the Product Manager will play a key role in supporting the strategic growth and execution of the Apex Bit Sockets and Universal Joints product portfolio. This position is responsible for gathering and analyzing market intelligence, synthesizing customer feedback, supporting product planning, and collaborating cross\-functionally to ensure the successful development and commercialization of new and existing products.
 The Product Manager will contribute to building the Apex brand as a leader in industrial fastening solutions by helping prioritize the right products, uncover market opportunities, and support go\-to\-market efforts. This is a great opportunity for a motivated individual to be part of a high\-performing team working across industries such as automotive, aerospace, and industrial assembly.
 Come build your future with us!
 The Build (Responsibilities)
* Support the execution of the strategic product roadmap for Apex Bit Sockets and Universal Joints in alignment with business goals.
* Assist with competitive analysis, pricing research, and market data collection to support strategic decisions.
* Partner with the SBU Lead and cross\-functional teams (R\&amp;D, sales, marketing, operations) to help define product requirements, specifications, and launch plans.
* Support various strategic projects and initiatives to grow the product line.
* Conduct business and data analysis to support key initiatives for marketing and sales strategies, including implementation activities required to support and grow key accounts.
* Work closely with the sales team to customize programs to meet the needs of key customers.
* Serve as Brand Ambassador, upholding brand vision in products, packaging, presentations, and advertising. Attend trade shows and provide training support as a subject matter expert on product presentations.
* Maintain correct product portfolio information for use in catalogue production and the website. Initiate required bill\-of\-materials changes, product discontinuities, packaging upgrades/modifications, including executing new packaging.
* Oversee product specification changes, deviations, and responses to Critical to Quality attributes as defined by product category responsibilities.
**The Toolbox (Qualifications)**
* Bachelor’s degree in marketing preferred, may consider 2\-3 years of relevant experience in lieu of degree.
* One to three years of marketing experience in a channel or product role preferred.
* Understanding of Marketing Principles (Product, Packaging, Price, Positioning, Point of Sale and Promotion).
* Prior experience working on a cross functional team preferred.
* Ability to prioritize and keep work moving on multiple tasks simultaneously.
* Advanced communication skills – written verbal and electronic (Microsoft Suite, SAP, Tableau).
* Strong analytical skills – proficient use of data to support decision making and solve problems.
 At Apex Tool Group (www.apextoolgroup.com), we build innovation. Each day, our associates strive to find new and exciting ways to help our customers solve their most complex challenges. By harnessing our global resources, unprecedented insights and spirit for service, we build more than just tools for the jobsite – we help build the future.
 ATG is a global manufacturer of hand and power tools, tool storage and accessories, chain, and electronic soldering solutions with more than $1\.2 billion in annual revenues. Our 6,700 associates around the world have built powerhouse brands like GEARWRENCH®, SATA®, Crescent®, Cleco®, Weller® and APEX®. Our brands are trusted by the professional trades and DIY enthusiasts alike. With our roots dating back to the 1800’s, our tools have driven technological advancements that drive efficiency, speed and safety for customers in a broad range of commercial and consumer markets.
 As part of the ATG team, you will move fast, think globally, learn from your colleagues and grow your career. You’ll enjoy competitive benefits, a healthy work/life balance and have opportunities to give back to the communities we serve.
 Our six core values \- Customers Come First, Integrity in All We Do, Continuous Improvement, Innovation for Growth, Passion to Succeed and Best Talent, One Team \- drive our daily decisions. Connect with us on social media to learn more – Facebook, Instagram, LinkedIn and Twitter.
 If your goal is to work where finding a better way never ends and your ideas become reality, join us and say \#WeBuildATG!</t>
        </is>
      </c>
    </row>
    <row r="54">
      <c r="A54" t="inlineStr">
        <is>
          <t>li-4368246519</t>
        </is>
      </c>
      <c r="B54" t="inlineStr">
        <is>
          <t>Product Manager (SRA - VDB)</t>
        </is>
      </c>
      <c r="C54" t="inlineStr">
        <is>
          <t>National Center for Biotechnology Information (NCBI)</t>
        </is>
      </c>
      <c r="D54" t="inlineStr">
        <is>
          <t>linkedin</t>
        </is>
      </c>
      <c r="E54" t="inlineStr"/>
      <c r="F54" t="inlineStr"/>
      <c r="G54" t="inlineStr">
        <is>
          <t>Fairfax, VA</t>
        </is>
      </c>
      <c r="H54" t="inlineStr"/>
      <c r="I54" t="inlineStr">
        <is>
          <t>**Overview**
 Black Canyon Consulting (BCC) is a premium provider for life sciences, project and program management. We are searching for a Product Manager to support our work with a renowned federal agency where you will help drive modernization in one of the world’s largest data repositories. We are looking for full\-time candidates currently residing in the United States. This position is available for remote work.
 Position Description
 We are seeking a dynamic Product Manager who will play a vital role in the success of the IT/Product Modernization for one of the largest public repositories of high\-throughput data sequencing. The ideal candidate will guide product success, define vision, and prioritize government customer requirements. You will collaborate to meet contract deliverables and ensure customer satisfaction. In this role, you will work 50% with a Product Team and 50% with the Customer Experience/Stakeholder Engagement team. Working with the Product Team, you will ensure continued alignment of the software Product with the overall Product Modernization roadmap and provide transparent communication and management of the Product Roadmap. As part of the Customer Experience/Stakeholder Engagement team, you will conduct customer outreach, analyze market trends, conduct competitive analysis, and develop strategies to increase SRA platform usage. Strong leadership, excellent communication, and understanding of government clients are essential.
 If you are interested in being a part of an organization that operates within the intersection of technology and health, please apply today!
 Roles \&amp; Responsibilities
* Understand goals and outcomes for this highly visible data sequencing initiative.
* Work closely with the Customer Experience team and incorporate learnings from outreach into SRA Product Roadmaps
* Drive product roadmap to meet milestones and timelines to stay aligned with high\-visibility deliverables
* Facilitate sprint planning and backlog grooming activities within the product team in order to drive timely product releases
* Prepare and review product requirements documents, establish success criteria, and KPIs
* Conduct user research to gather insights on user needs and preferences
* Conduct market research, audit current assets and their impact, competitor analysis, and distill that into insights that inform strategy and decisions
* Compile findings into actionable requirements for the product roadmap in collaboration with product owners
* Organize product releases properly and ensure compliance with the schedule
* Development of risk assessments and risk mitigation countermeasures
* Compile findings into actionable requirements for the updated data model development
* Prioritize requirements based on business goals and user needs
* Measure the impact of the initiative on users’ sentiment
* Plan outreach activities to engage stakeholders and users
* Cross\-team collaboration amongst multiple product/development teams
 Education and Experience
* 5\+ years of experience in software product management
* 5\+ years of experience with Jira and agile methodology
* Experience leading and developing KPIs, executive reporting, and stakeholder management
* Experience with Microsoft Excel and PowerPoint, MURAL
* Comfortable leading strategy and discovery sessions with multiple stakeholders
* Able to synthesize complex data into actionable insights
* Bachelor's degree in a relevant field; advanced degree desired
* Qualified candidates will have some combination of these certifications:
+ Product Management certifications and experience
+ SAFe Agilist (SA)
**Bonus Skills:**
* Experience working with genetic and biological DNA sequencing data
* Familiarity with NGS computational tools and formats (BWA, GATK, Galaxy, etc.)
 Benefits and Salary
 We attract the best people in the business with our competitive benefits package that includes medical, dental and vision coverage, 401k plan with employer contribution, paid holidays, vacation, and tuition reimbursement.
 We offer a competitive salary commensurate with experience and location. The targeted range for this position is $120,000 \- $150,000\.
 If you enjoy being a part of a high\-performing, professional service and technology\-focused organization, please apply today!</t>
        </is>
      </c>
    </row>
    <row r="55">
      <c r="A55" t="inlineStr">
        <is>
          <t>li-4357705835</t>
        </is>
      </c>
      <c r="B55" t="inlineStr">
        <is>
          <t>Technical Product Owner -SAP FPSL FSCD</t>
        </is>
      </c>
      <c r="C55" t="inlineStr">
        <is>
          <t>Q1 Technologies, Inc.</t>
        </is>
      </c>
      <c r="D55" t="inlineStr">
        <is>
          <t>linkedin</t>
        </is>
      </c>
      <c r="E55" t="inlineStr"/>
      <c r="F55" t="inlineStr"/>
      <c r="G55" t="inlineStr"/>
      <c r="H55" t="inlineStr"/>
      <c r="I55" t="inlineStr">
        <is>
          <t>**Job Title: Technical Product Owner \-SAP FPSL FSCD** 
**Location: Philadelphia, PA** 
**Duration: Fulltime** 
**Job Description:** 
* 7\+ years of SAP experience with FSCD, FPSL, or S/4HANA Finance, preferably within insurance or financial services
**Best Regards,** 
**Neeraj Yadav** 
**neeraj.yadav@q1tech.com**</t>
        </is>
      </c>
    </row>
    <row r="56">
      <c r="A56" t="inlineStr">
        <is>
          <t>li-4318238419</t>
        </is>
      </c>
      <c r="B56" t="inlineStr">
        <is>
          <t>Principal Product Manager Technical, Creative X - RAPID</t>
        </is>
      </c>
      <c r="C56" t="inlineStr">
        <is>
          <t>Amazon</t>
        </is>
      </c>
      <c r="D56" t="inlineStr">
        <is>
          <t>linkedin</t>
        </is>
      </c>
      <c r="E56" t="inlineStr"/>
      <c r="F56" t="inlineStr"/>
      <c r="G56" t="inlineStr">
        <is>
          <t>New York, United States</t>
        </is>
      </c>
      <c r="H56" t="inlineStr"/>
      <c r="I56" t="inlineStr">
        <is>
          <t>**Description**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
**Basic Qualifications**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
**Company** 
 \- Amazon.com Services LLC
 Job ID: A3112224</t>
        </is>
      </c>
    </row>
    <row r="57">
      <c r="A57" t="inlineStr">
        <is>
          <t>li-4368675552</t>
        </is>
      </c>
      <c r="B57" t="inlineStr">
        <is>
          <t>Principal, Product Manager – Data Foundations &amp; Measurement [Ads]</t>
        </is>
      </c>
      <c r="C57" t="inlineStr">
        <is>
          <t>Fetch</t>
        </is>
      </c>
      <c r="D57" t="inlineStr">
        <is>
          <t>linkedin</t>
        </is>
      </c>
      <c r="E57" t="inlineStr"/>
      <c r="F57" t="inlineStr"/>
      <c r="G57" t="inlineStr"/>
      <c r="H57" t="inlineStr"/>
      <c r="I57"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**About The Role**
 We’re looking for a Principal Product Manager, Data Foundations \&amp; Measurement to define and drive Fetch’s end\-to\-end data and measurement strategy. In this highly technical role, you’ll work deep within our data workflows and systems to build scalable ad products, unify our data sources, and establish standardized frameworks across ad objects and surfaces.
 You’ll partner closely with Engineering, Design, Analytics, and Sales to build the foundational capabilities that power our data and measurement ecosystem. As the organization’s measurement expert, you will set the standards for how measurement is defined and applied across Fetch, shape our on\- and off\-platform measurement strategies, and determine what data we share with partners and how we deliver it.
 As part of the broader data strategy, you will also help define how we approach audience construction and scaling, and identify tooling that accelerates system and product development including solutions like text\-to\-SQL or agentic technologies. Additionally, you will own the development of our sellable data strategy, ensuring Fetch’s unique data assets are packaged and monetized effectively.
 You’ll be joining Fetch at a pivotal moment, as new technologies and tooling transform how we build, integrate, and scale our products.
 This is a full\-time role that can be held from one of our US offices or remotely in the United States.
**What You’ll Do**
* Own the vision, strategy, and execution for Fetch’s data, audience, and measurement foundation—building robust, scalable systems that support all ad products.
* Develop standardized frameworks used across ad objects, surfaces, and measurement workflows.
* Shape Fetch’s measurement strategy, including on\- and off\-platform products, key measurement partnerships, and the frameworks for partner\-facing data delivery.
* Lead the development of our sellable data strategy, determining how Fetch’s unique data assets should be packaged, governed, and monetized.
* Help shape how off\-platform audiences are constructed, scaled, and operationalized.
* Identify and implement tooling that accelerates data and product workflows including solutions like text\-to\-SQL or agentic technologies.
* Work closely with Engineering, Data Science, Analytics, Sales, and Operations to align on priorities, make trade\-offs, and drive execution.
* Collaborate with GTM and Business Development to identify, evaluate, and build partnerships across the data and measurement ecosystem.
**Minimum Qualifications**
* 7\+ years of product management experience, including 3\+ years in ad tech with a strong track record of building data\-intensive or measurement\-focused products.
* Technical proficiency in data and measurement systems, including data pipelines, APIs, event taxonomies, reporting and eligibility frameworks, conversion modeling, and partner\-facing data delivery. Comfortable partnering with engineering on architecture, data models, and system design.
* Proven ability to set strategy, make trade\-offs, and drive alignment across engineering, analytics, product, operations, sales, and executive stakeholders.
* Strong technical aptitude and fluency working with data systems, measurement pipelines, APIs, and emerging tools such as text\-to\-SQL or agentic technologies.
* Comfort operating in ambiguity—able to define problem spaces, create structure, and drive execution with limited guidance.
* A self\-starter mindset with the ability to work independently and thrive in fast\-changing environments.
* Excellent communication skills for working with internal teams as well as external partners and vendors.
* Strong problem\-solving skills and the ability to reason through complex systems and data\-rich challenges.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t>
        </is>
      </c>
    </row>
    <row r="58">
      <c r="A58" t="inlineStr">
        <is>
          <t>li-4358552432</t>
        </is>
      </c>
      <c r="B58" t="inlineStr">
        <is>
          <t>Senior Product Manager - StorNext Platform</t>
        </is>
      </c>
      <c r="C58" t="inlineStr">
        <is>
          <t>Quantum</t>
        </is>
      </c>
      <c r="D58" t="inlineStr">
        <is>
          <t>linkedin</t>
        </is>
      </c>
      <c r="E58" t="inlineStr"/>
      <c r="F58" t="inlineStr"/>
      <c r="G58" t="inlineStr">
        <is>
          <t>Centennial, CO</t>
        </is>
      </c>
      <c r="H58" t="inlineStr"/>
      <c r="I58" t="inlineStr">
        <is>
          <t>**Job Description: Product Manager –StorNext Storage Platform**
**Overview**
 Quantum is seeking an experienced
 **Product Manager** 
 to drive strategy, roadmap development, and lifecycle ownership for the
 **StorNext** 
 product family. StorNext is Quantum’s industry\-leading parallel file system used in demanding media, HPC, and scientific environments. It’s next generation under construction will be Quantum’s next\-generation, all\-flash, multi\-protocol storage platform optimized for AI/ML pipelines and high\-performance data workflows
 In this role, you will define product vision, gather and prioritize customer requirements, and partner closely with Engineering, Sales, Marketing, Support, and executive leadership to expand the reach and success of both product lines across enterprise, media, HPC, and AI markets.
**Key Responsibilities**
**Product Strategy \&amp; Vision**
* Own the combined strategic direction for StorNext across performance, scalability, workflow integration, and AI/HPC/media pipeline requirements.
* Identify market opportunities in AI/ML workloads, high\-throughput video workflows, scientific data management, edge\-to\-core pipelines, and cloud\-enabled architectures.
* Track competitive offerings in scale\-out NAS, all\-flash performance storage, distributed file systems, and parallel I/O platforms.
**Roadmap Leadership**
* Develop and maintain product roadmaps for StorNext, balancing customer requirements, competitive pressures, and technical feasibility.
* Define feature priorities, working collaboratively with Engineering leadership to scope releases and set milestones.
* Ensure alignment across hardware, software, management tools, and cloud integration initiatives.
**Requirements \&amp; Product Design**
* Translate customer feedback, workflow analysis, and ecosystem needs into detailed requirements and user stories.
* Define specifications for metadata service scaling, parallel I/O enhancements, cloud connectors, workflow automation, Windows/macOS client improvements, NVMe performance features, multi\-protocol support, AI/ML integration, object or cloud tiering, QoS, telemetry, high\-availability enhancements and media pipeline optimizations.
* Collaborate with UX, architecture, QA, and engineering teams to design intuitive management experiences and integration workflows.
**Cross\-Functional Collaboration**
* Serve as the product focal point between Engineering, Sales, Support, Marketing, Operations, and the executive team.
* Work closely with Support and L3 Engineering to identify systemic issues, set reliability goals, and improve long\-term product quality.
* Partner with Sales Engineering to create reference architectures, performance guidance, competitive positioning, and workflow solutions.
**Customer \&amp; Ecosystem Engagement**
* Engage directly with customers in media \&amp; entertainment, HPC, research, government, AI/ML, and enterprise IT to validate priorities and gather deep workflow insights.
* Present product roadmap updates, deliver technical briefings, and oversee strategic customer evaluations.
* Foster relationships with ecosystem partners including video production vendors, AI pipeline tools, data movers, and cloud workflow platforms.
**Go\-to\-Market \&amp; Launch Management**
* Work with Marketing to develop messaging, competitive analysis, content strategy, and product launch materials.
* Support Sales with training, positioning guides, and technical collateral.
* Drive successful product introductions across hardware models, software releases, and ecosystem integrations.
**Product Lifecycle Ownership**
* Manage the lifecycle of StorNext from concept through GA, ongoing maintenance, refresh cycles, and EOL planning.
* Contribute to pricing strategy, licensing models, hardware platform planning, and long\-term capacity/cost projections.
* Use deployment data, telemetry, and customer insights to inform ongoing improvements.
**What’s On Offer**
* Up to $180,000 Basic Salary (Can go higher for exceptional talent)
* Unlimited Time Off Policy
* Day\-one medical, dental, and vision coverage
* 401(k) retirement plan (Employer Match 50%)
* Employee stock purchase program (Purchase at a discounted rate)
* Wellness reimbursement and lifestyle benefits
* Many other Benefits (16 Page Benefits Booklet)
**Required Qualifications**
* 5–10\+ years of product management experience in enterprise storage, HPC storage, file systems, or performance\-oriented infrastructure.
* Strong understanding of:
+ Scale\-out NAS, parallel file systems, or high\-performance storage
+ NVMe storage, flash architectures, and multi\-protocol access
+ HPC/data\-intensive workflows and AI/ML data pipelines
+ Media \&amp; entertainment, video production, and multi\-stream I/O workflows
* Ability to build requirements from complex technical use cases and customer workflows.
* Proven success working cross\-functionally with engineering, support, and go\-to\-market teams.
* Excellent communication, analytical, and executive presentation skills.
**Preferred Qualifications**
* Hands\-on knowledge of Myriad, StorNext, or competitive technologies (GPFS/Spectrum Scale, Lustre, Isilon/PowerScale, NetApp, Weka, VAST, Qumulo).
* Experience with cloud integration, hybrid workflows, or data orchestration platforms.
* Technical background in computer science, engineering, or a related field.
* Familiarity with Kubernetes, containerized workloads, and AI model training pipelines.
* Certifications in product management, storage, cloud, or HPC.
**Soft Skills**
* Strong strategic thinker with the ability to simplify complex technical requirements into clear priorities.
* Customer\-centric, collaborative, and comfortable working with both technical and business audiences.
* Able to lead through influence and coordinate across multiple high\-impact product areas.
* Highly resourceful, self\-directed, and energized by fast\-paced environments.
 Quantum provides a diverse portfolio of health plans for medical and prescription, dental, vision, life, disability, and supplemental medical insurance options. We also support our team members’ efforts to develop and maintain a healthy lifestyle through reimbursement and educational programs. Quantum offers a company\-matched 401(k) plan to help employees save for retirement in a tax\-advantaged way. We also have an Employee Stock Purchase Program for purchasing Quantum stock at a discounted rate.
 Anticipated Salary Range: $130,000 to $180,000 for qualified applicants.
 The above pay range represents Quantum's good faith and reasonable estimate of possible compensation at the time of posting. Pay within the range will be based on a variety of factors, including but not limited to, relevant experience, knowledge/education, skills/abilities, internal equity, and budgetary considerations.</t>
        </is>
      </c>
    </row>
    <row r="59">
      <c r="A59" t="inlineStr">
        <is>
          <t>li-4324780029</t>
        </is>
      </c>
      <c r="B59" t="inlineStr">
        <is>
          <t>Principal Product Manager-Tech, World Wide Grocery Store Tech</t>
        </is>
      </c>
      <c r="C59" t="inlineStr">
        <is>
          <t>Amazon</t>
        </is>
      </c>
      <c r="D59" t="inlineStr">
        <is>
          <t>linkedin</t>
        </is>
      </c>
      <c r="E59" t="inlineStr"/>
      <c r="F59" t="inlineStr"/>
      <c r="G59" t="inlineStr">
        <is>
          <t>Austin, TX</t>
        </is>
      </c>
      <c r="H59" t="inlineStr"/>
      <c r="I59" t="inlineStr">
        <is>
          <t>**Description**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
**Company** 
 \- Amazon.com Services LLC
 Job ID: A3117495</t>
        </is>
      </c>
    </row>
    <row r="60">
      <c r="A60" t="inlineStr">
        <is>
          <t>li-4352697254</t>
        </is>
      </c>
      <c r="B60" t="inlineStr">
        <is>
          <t>Senior Technical Program Manager</t>
        </is>
      </c>
      <c r="C60" t="inlineStr">
        <is>
          <t>Asana</t>
        </is>
      </c>
      <c r="D60" t="inlineStr">
        <is>
          <t>linkedin</t>
        </is>
      </c>
      <c r="E60" t="inlineStr"/>
      <c r="F60" t="inlineStr"/>
      <c r="G60" t="inlineStr">
        <is>
          <t>New York, NY</t>
        </is>
      </c>
      <c r="H60" t="inlineStr"/>
      <c r="I60" t="inlineStr">
        <is>
          <t>We're hiring a Technical Program Manager to drive the evolution of software development at Asana. You'll lead programs spanning developer productivity, AI adoption, framework migration, and quality, partnering with teams across R\&amp;D to understand pain points and rollout solutions. This role combines technical depth in areas like software design, AI, system architecture, design systems with strong collaboration skills to orchestrate work across Engineering, Design, and Product teams. Your work ensures our software development team can leverage the best in AI development tooling, pushing the boundaries on development velocity while maintaining the intuitive, delightful experiences that make our product special.
 This role will be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Lead engineering programs including AI development tooling adoption, frameworks migrations, technical and product quality, and delivery capabilities that enable our R\&amp;D teams to continuously improve our product for our customers
* Partner across R\&amp;D teams to translate engineering and R\&amp;D pain points into development tooling plans, facilitate technical decisions, and build alignment between Developer Productivity, Infrastructure, and Product Engineering.
* Create visibility and accountability by managing developer productivity metrics and presenting them to critical stakeholders in Engineering Leadership and on the Executive Team
* Collaborate with TPMs across Security and Infrastructure to identify opportunities and risks, coordinating resources, and ensuring Developer Productivity teams can execute effectively toward shared goals.
**About you:**
* 5\+ years leading technical programs in B2B SaaS, with experience coordinating complex engineering initiatives across organizations.
* Technically fluent in software design, system architecture, and security \- you engage confidently in technical discussions and evaluate trade\-offs effectively.
* Excellent collaborator and communicator who builds trust within and beyond Engineering, adapt your style for different audiences, and facilitate decision\-making in ambiguous situations.
* Customer\-focused with experience translating enterprise customer needs into program plans and working closely with strategic accounts to ensure successful outcomes.
* Demonstrate curiosity about AI tools and emerging technologies, with an excitement to share them to enhance developer productivity and collaboration.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$194,000\-$206,000\.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61">
      <c r="A61" t="inlineStr">
        <is>
          <t>li-4345728687</t>
        </is>
      </c>
      <c r="B61" t="inlineStr">
        <is>
          <t>Product Owner, Software Applications</t>
        </is>
      </c>
      <c r="C61" t="inlineStr">
        <is>
          <t>Crestron Electronics</t>
        </is>
      </c>
      <c r="D61" t="inlineStr">
        <is>
          <t>linkedin</t>
        </is>
      </c>
      <c r="E61" t="inlineStr"/>
      <c r="F61" t="inlineStr"/>
      <c r="G61" t="inlineStr">
        <is>
          <t>Rockleigh, NJ</t>
        </is>
      </c>
      <c r="H61" t="inlineStr"/>
      <c r="I61" t="inlineStr">
        <is>
          <t>At Crestron Electronics, Inc we build the technology that integrates technology.
 We are proud to be the largest and most recognized brand in automation and control solutions, and the premier technology partner for fortune 500 businesses globally. Our products’ are integrated into new high\-tech commercial buildings’ to include some of the most exciting real estate throughout the world. Our clients include
 *Google, Microsoft, Amazon* 
 ,
 *Linked* 
*In* 
 and many others. We are the leaders in the most exciting industry in the world!
 Our automation and control solutions for homes and buildings allow our clients to control entire environments with the push of a button, integrating systems such as Audio Visual, Lighting, Shading, Security, Building Management Systems and HVAC to provide greater comfort, convenience and security.
 As a Product Owner, you will help shape Crestron’s no\-code software development platforms, delivering exceptional user experience and performance for residential and commercial markets. Together these products will play a critical role in helping our customers deliver better solutions to their clients, faster. This unique opportunity will include working with mobile, desktop, embedded, and cloud technologies.
 Working within a collaborative team of Product Owners, you will own full\-stack software features from concept and design through delivery and post\-launch analysis. You will lead initiatives across an evolving platform spanning mobile development, embedded systems, cloud services, dealer\-facing desktop tools, and AI\-driven solutions.
**Responsibilities:**
* Support prioritization and grooming of the feature and defect backlog while collaborating with product managers to ensure alignment with market needs and development resources
* Create detailed use cases, user stories, and product requirements for Engineering
* Guide agile engineering teams during discovery, development, and testing, to ensure the product is created to match feature and quality expectations
* Manage customer support issues escalated into engineering
* Analyze customer feedback from various input streams such as beta programs, on\-site visits, online analytics, attending tradeshows, and more
* Monitor product quality metrics and utilize data to improve product reliability, performance, and capabilities
* Use the products in lab environments before the products ship to help discover design issues and help the team focus on testing the right things
* Assist in creating materials used to educate and inform both Crestron employees and customers. This can include such items as sample projects, demo videos, system diagrams, and other helpful content.
**Requirements:**
* Bachelor's degree required
* Engineering degree in Computer Science or Software Engineering preferred
* 3\-5 years of technical product management experience
* 3\+ years’ experience working with agile software teams
* 3\+ years’ experience working with cross\-functional teams (Engineering, QA, Marketing)
* Excellent written and oral communications skills
* Solid understanding of software development concepts and programming fundamentals
* Self\-starter with proven ability to constantly learn new software and hardware technologies and an ability to quickly put that learning into practice in support of highly visible real\-world projects
* Excellent troubleshooting skills
* Knowledge of the user experience, and mobile development trends
* Experience with Agile methodologies and tools (e.g. Jira)
* Exposure to AI\-driven features or machine learning concepts
* Ability to travel up to 20%
 Per applicable state requirements, the annual pay range for this position ($84,500 \- $136,500\) which consists of base salary (subject to performance), reflects the hiring range for candidates. Also note, an individual’s offer may vary from this range as it may be impacted by additional factors, including but not limited to the candidate's hiring location, qualifications, experience, and market factors.
 Crestron Electronics offers a competitive total compensation package including Medical, Dental, Vision, Life Insurance, Short Term Disability, 401K with company match, Paid Time Off, Holidays, On\-site Amenities at NJ Headquarters \&amp; TX Facilities, Crestron Market Cafes, and Fitness Centers.
 At Crestron Electronics, Diversity, Equity, and Inclusion drive innovation. Crestron’s success hinges on continuing to build a workforce of unique individuals whose passion inspires us to create and revolutionize industry\-leading products and services. There will always be more to accomplish, and at Crestron, we believe the best way forward is together.
**EOE/M/F/D/V**
* No Solicitation\* Any agency submittal to any employee of Crestron Electronics, Inc by any method of communication will be deemed the sole property of Crestron Electronics Inc.</t>
        </is>
      </c>
    </row>
    <row r="62">
      <c r="A62" t="inlineStr">
        <is>
          <t>li-4318235550</t>
        </is>
      </c>
      <c r="B62" t="inlineStr">
        <is>
          <t>Principal Product Manager Technical, Creative X - RAPID</t>
        </is>
      </c>
      <c r="C62" t="inlineStr">
        <is>
          <t>Amazon</t>
        </is>
      </c>
      <c r="D62" t="inlineStr">
        <is>
          <t>linkedin</t>
        </is>
      </c>
      <c r="E62" t="inlineStr"/>
      <c r="F62" t="inlineStr"/>
      <c r="G62" t="inlineStr">
        <is>
          <t>Seattle, WA</t>
        </is>
      </c>
      <c r="H62" t="inlineStr"/>
      <c r="I62" t="inlineStr">
        <is>
          <t>**Description**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
**Basic Qualifications**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
**Company** 
 \- Amazon.com Services LLC
 Job ID: A3112224</t>
        </is>
      </c>
    </row>
    <row r="63">
      <c r="A63" t="inlineStr">
        <is>
          <t>li-4304238684</t>
        </is>
      </c>
      <c r="B63" t="inlineStr">
        <is>
          <t>Software Product Manager</t>
        </is>
      </c>
      <c r="C63" t="inlineStr">
        <is>
          <t>Dematic</t>
        </is>
      </c>
      <c r="D63" t="inlineStr">
        <is>
          <t>linkedin</t>
        </is>
      </c>
      <c r="E63" t="inlineStr"/>
      <c r="F63" t="inlineStr"/>
      <c r="G63" t="inlineStr">
        <is>
          <t>Wauwatosa, WI</t>
        </is>
      </c>
      <c r="H63" t="inlineStr"/>
      <c r="I63" t="inlineStr">
        <is>
          <t>The Software Product Manager will play a critical role in defining and executing the strategic vision, roadmap, and delivery of Dematic’s software portfolio, including Warehouse Management Systems (WMS), Warehouse Execution Systems (WES), supply chain enablement solutions (UI/UX, emulation, simulation), and extended supply chain applications. In this role, you will collaborate cross\-functionally with customers, R\&amp;D, sales, implementation teams, and industry stakeholders to ensure our software solutions are innovative, market\-leading, and aligned with evolving customer needs. Acting as a software evangelist, the Software Product Manager will champion software as a value driver for both Dematic and our customers, blending technical understanding with customer\-centric insights to deliver solutions that generate measurable business impact.
**We Offer**
* Career Development
* Competitive Compensation and Benefits
* Pay Transparency
* Global Opportunities
**Learn More Here** 
 :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$111,000\-$170,200 at the time of posting. Final compensation will be determined by various factors such as work location, education, experience, knowledge, and skills.
**Tasks And Qualifications**
 What You Will do in This Role:
* Develop a solid understanding of the supply chain software solution market and competitor landscape
* Be capable of Finding opportunities for Dematic to stand out with software, develop product strategic vision, strategy, and roadmap
* Collaborate with customers, stakeholders, and software research \&amp; development team to understand needs and drive priorities
* Translate voice of customer feedback into WMS and supply chain software use cases and product requirements
* Collaborate with our software research \&amp; development team to guide WMS and supply chain software capability prioritization and development
* Evaluate opportunities for accelerating capabilities to market
* Be the voice of customer during development process to ensure quality output that meets market requirements
**What We’re Looking For**
* 8\+ years of product management, implementation, or product development of WMS experience, leadership experience is a plus
* Experience with other supply chain solutions such as Labor Management, Parcel Shipping Solutions, Transportation Management, or Distributed Order Management
* Strong focus on software, familiarity with cloud software preferred
* Highly collaborative individual who enjoys building relationships
* Motivated to continue to study and learn our industry to ensure Dematic remains a leader in the market
* Strong analytical and problem\-solving skills with a high attention to detail
* Outstanding ability to work with cross\-functional teams to build partnerships and get things done
* Excellent verbal and written communication skills including presenting to customers and executives
* Experience with agile software development methodologies and product management tools such as Jira is a plus
* International business experience is an asset
* Ability to travel 15% to Dematic and customer sites internationally</t>
        </is>
      </c>
    </row>
    <row r="64">
      <c r="A64" t="inlineStr">
        <is>
          <t>li-4360759773</t>
        </is>
      </c>
      <c r="B64" t="inlineStr">
        <is>
          <t>Sr. Product Manager - Tech, Digital Acceleration</t>
        </is>
      </c>
      <c r="C64" t="inlineStr">
        <is>
          <t>Amazon</t>
        </is>
      </c>
      <c r="D64" t="inlineStr">
        <is>
          <t>linkedin</t>
        </is>
      </c>
      <c r="E64" t="inlineStr"/>
      <c r="F64" t="inlineStr"/>
      <c r="G64" t="inlineStr">
        <is>
          <t>Bellevue, WA</t>
        </is>
      </c>
      <c r="H64" t="inlineStr"/>
      <c r="I64" t="inlineStr">
        <is>
          <t>**Description**
 Are you passionate about the customer experience? Innovating on behalf of established and emerging Amazon businesses? Amazon's Digital Acceleration team powers digital purchases and the subscription lifecycle for Prime, Amazon Video, Music, Audible, Alexa, and Kindle, amongst other digital businesses. We drive how digital products intersect with Amazon's retail store, executing billions of digital purchases every year that enable our digital businesses to grow their businesses worldwide. We are on a mission to be earth's best provider of one\-time and recurring digital commerce, delivering a seamless and enjoyable customer shopping experience.
 As Sr. Product Manager \- Technical, you will be responsible for the definition and development of the product vision and roadmap for our digital discovery platforms and experiences. You will help shape product strategy, while working with economists and engineering to deliver features based on this vision. You will work with internal stakeholders to identify short and long term goals and product features that create new ways for customers to discover digital products through search, deals, homepage, personalized recommendations and more. We are looking for someone who is customer focused with a passion for innovating to facilitate business growth and create a first\-class customer experience.
 Key job responsibilities
* Work closely with leadership and cross\-functional teams to develop and deliver innovative software and services that enable purchase and management of subscriptions, and memberships.
* Partner with software engineering, digital clients, Customer Service, Marketing, and business intelligence teams to create best\-in\-class solutions for customers.
* Work with technical and non\-technical stakeholders to understand and improve product capabilities.
* Analyze customer feedback and usage metrics to identify key pain points.
* Build innovative concepts and successfully champion them through senior management and stakeholder leadership teams.
* Work successfully across digital businesses to ship new features and add meaningful customer experience updates.
* Manage bottlenecks, provide escalation management, anticipate and make trade\-offs, balance the business needs versus technical constraints, and maximize business benefit while building great customer experiences.
* Present confidently to senior management, external clients, and other large audiences.
* Roll up sleeves as necessary to ensure projects stay on schedule and meet our high standards of quality.
**About The Team**
 Amazon Digital Acceleration powers ordering, subscriptions, and device management for Prime, Amazon Video, Music, Audible, Alexa, and Kindle, amongst other digital businesses. We process billions of digital purchases every year and enable our digital businesses to grow their businesses worldwide. We are on a mission to be earth's best provider of one\-time and recurring digital commerce, delivering a seamless and enjoyable post\-purchase customer experience.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
**Company** 
 \- Amazon.com Services LLC
 Job ID: A3020354</t>
        </is>
      </c>
    </row>
    <row r="65">
      <c r="A65" t="inlineStr">
        <is>
          <t>li-4368657220</t>
        </is>
      </c>
      <c r="B65" t="inlineStr">
        <is>
          <t>Product Manager: Capital One Shopping (Remote-Eligible)</t>
        </is>
      </c>
      <c r="C65" t="inlineStr">
        <is>
          <t>Capital One</t>
        </is>
      </c>
      <c r="D65" t="inlineStr">
        <is>
          <t>linkedin</t>
        </is>
      </c>
      <c r="E65" t="inlineStr"/>
      <c r="F65" t="inlineStr"/>
      <c r="G65" t="inlineStr">
        <is>
          <t>San Francisco, CA</t>
        </is>
      </c>
      <c r="H65" t="inlineStr"/>
      <c r="I65" t="inlineStr">
        <is>
          <t>Product Manager: Capital One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We're looking for a Product Manager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At least 3 years of experience working in Product Management
* At least 3 years of experience with SQL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Capital One is open to hiring a Remote Employee for this opportunity.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$179,700 \- $205,100 for Manager, Product Management
 Remote (Regardless of Location): $149,800 \- $171,000 for Manager, Product Management
 McLean, VA: $164,800 \- $188,100 for Manager, Product Management
 San Francisco, CA: $179,700 \- $205,100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6">
      <c r="A66" t="inlineStr">
        <is>
          <t>li-4368691944</t>
        </is>
      </c>
      <c r="B66" t="inlineStr">
        <is>
          <t>Senior Product Manager (Practice OS)</t>
        </is>
      </c>
      <c r="C66" t="inlineStr">
        <is>
          <t>Blue Heron Capital</t>
        </is>
      </c>
      <c r="D66" t="inlineStr">
        <is>
          <t>linkedin</t>
        </is>
      </c>
      <c r="E66" t="inlineStr"/>
      <c r="F66" t="inlineStr"/>
      <c r="G66" t="inlineStr">
        <is>
          <t>Salt Lake City, UT</t>
        </is>
      </c>
      <c r="H66" t="inlineStr"/>
      <c r="I66" t="inlineStr">
        <is>
          <t>Location
 Remote
 Employment Type
 Full time
 Location Type
 Remote
 Department
 R\&amp;D
 OverviewApplication
**About Tava**
 If you could spend your time doing something truly meaningful, chances are you’d choose work that could change people's lives for the better. At Tava Health, that's exactly what we do every day. Tava Health is a quickly growing venture\-backed startup, focused on scaling access to behavioral healthcare.
 We make meaningful connections between providers and clients accessible and easy by partnering with organizations to bring high\-quality mental health care to their employees, members, and communities.
**About The Role**
 Tava Health is seeking a Senior Product Manager to lead the discovery and development of provider\-facing product experiences. This role is responsible for building a comprehensive practice operating system that enables individual therapists and groups to run successful practices with Tava. The scope spans administrative, clinical, billing, and operational workflows.
 Key Responsibilities
* Lead development of new platform capabilities that support practice growth, operational efficiency, and high\-quality care delivery.
* Collaborate and coordinate effectively with other provider\-facing product managers
* Partner closely with clinical, operational, and payer\-focused stakeholders
* Leverage AI tools to improve product insight, efficiency, and provider workflows.
* Prioritize high\-impact opportunities and drive measurable outcomes through rapid iteration and experimentation.
* Communicate clearly with leadership, manage up and down to align on priorities, and drive execution
**Qualifications**
* 5\+ years of product management experience, with ownership of complex, customer\-facing platforms.
* Experience building products for providers, practices, or operationally complex domains (healthcare, fintech, marketplaces, or similar).
* Strong track record of shipping high\-quality software and driving measurable business and customer outcomes.
* Comfort operating across ambiguous problem spaces and balancing short\-term execution with long\-term platform strategy.
* Experience working cross\-functionally with engineering, design, clinical, operations, and external partners.
* High product judgment, strong written and verbal communication skills, and a bias toward action.
* Demonstrated ability to use AI tools to accelerate product discovery, execution, and learning.
* For tax purposes, priority will be given to candidates living in states where we already have employees. These states are Alabama, Arizona, California, Connecticut, Florida, Georgia, Idaho, Indiana, Nevada, North Carolina, Maine, Maryland, Massachusetts, New Jersey, New York, Oregon, Tennessee, Texas, Virginia, and Utah.
 Tava is unable to sponsor employment visas (such as the H\-1B). Candidates must have authorization to work in the U.S. without company sponsorship now or in the future.
 All hiring activities at Tava Health are handled by company representatives using @tavahealth.com or @us.tavahealth.com email addresses.
 Please beware of unauthorized recruiting communications requesting personal information. We never hire anyone without first completing a real\-time, face\-to\-face interview (conducted by video or in\-person), nor do we use encrypted instant messaging services like Signal. If you have questions regarding the authenticity of any outreach, please do not hesitate to use the chat feature on our website or contact us at careers@tavahealth.com
 Tava Health does not discriminate on the basis of race, sex, color, religion, age, national origin, marital status, disability, veteran status, genetic information, sexual orientation, gender identity, or any other reason prohibited by law in provision of employment opportunities and benefits.
 This site is protected by reCAPTCHA and the Google Privacy Policy and Terms of Service apply.
 Powered by Ashby
 Privacy PolicySecurityVulnerability Disclosure</t>
        </is>
      </c>
    </row>
    <row r="67">
      <c r="A67" t="inlineStr">
        <is>
          <t>li-4328734504</t>
        </is>
      </c>
      <c r="B67" t="inlineStr">
        <is>
          <t>AVP, Data Product Owner - Client and Advisor Data</t>
        </is>
      </c>
      <c r="C67" t="inlineStr">
        <is>
          <t>LPL Financial</t>
        </is>
      </c>
      <c r="D67" t="inlineStr">
        <is>
          <t>linkedin</t>
        </is>
      </c>
      <c r="E67" t="inlineStr"/>
      <c r="F67" t="inlineStr"/>
      <c r="G67" t="inlineStr">
        <is>
          <t>Fort Mill, SC</t>
        </is>
      </c>
      <c r="H67" t="inlineStr"/>
      <c r="I67"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 
**ob Overview:**
 This role bridges business strategy, data governance, and technology delivery, ensuring our advisor platform has accurate, governed, and high\-quality participant and party data across systems.
 The ideal candidate combines product ownership expertise, data governance acumen, and technical literacy, enabling them to translate business needs into scalable, governed data solutions that power client and advisor experiences.
**Responsibilities:**
* Own the vision, strategy, and roadmap for Participant/Party SOR capabilities and integrations across the advisor platform.
* Collaborate with business, data, and technology stakeholders to ensure alignment on goals, requirements, and governance principles.
* Serve as liaison to Commonwealth and future M\&amp;A integration teams for metadata documentation, data quality, and lineage validation.
* Write and manage epics, stories, and acceptance criteria in Jira, ensuring traceability between business and technical requirements.
* Define and maintain data governance standards, including quality rules, scorecards, and SOR documentation in Confluence.
* Oversee data profiling, lineage analysis, and validation to ensure integrity across source and target systems.
* Lead and mentor team members in agile practices, sprint planning, and continuous improvement.
* Monitor and communicate project progress, risks, and dependencies, driving resolution and stakeholder transparency.
* Advocate for customer\-centric, data\-driven decision\-making and continuous improvement of data quality and usability.
**Requirements:**
* Bachelor’s degree in related field (advanced degree preferred).
* Minimum of 7 years in data\-centric product ownership, data management, or governance roles within financial services or fintech.
* Minimum of 5 plus year experience with SQL, data modeling (star/snowflake), and data governance tools.
* Minimum of 5 plus years experience translating complex data concepts into business value and vice versa.
**What are we looking for?**
 We’re looking for strong collaborators who deliver exceptional client experiences and thrive in fast\-paced, team\-oriented environments. Our ideal candidates pursue greatness, act with integrity, and are driven to help our clients succeed. We value those who embrace creativity, continuous improvement, and contribute to a culture where we win together and create and share joy in our work.
**Preferred Skills:**
* Experience with AWS, Snowflake, and data pipeline transformations.
* Background in wealth management or financial advisory services.
* Familiarity with API\-based \&amp; Kafka integrations, and CRM data flows.
* Proficiency in Tableau, Power BI or other visualization tools.
* Proven ability to mentor team members and drive a culture of collaboration and governance excellence.
**Core Competencies**
* Deep understanding of CRM party data architecture, data integration, and systems of record (SOR).
* Hands\-on experience in agile delivery, Jira, and Confluence.
* Strong analytical, communication, and stakeholder management skills.
* Experience in Product Ownership, Analytical Thinking \&amp; Problem Solving,
* Communication \&amp; Leadership, and a Continuous Improvement Mindset
* Technical Acumen (SQL, Data Models, APIs)
**Pay Range:**
 $109,270\-$182,117/year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68">
      <c r="A68" t="inlineStr">
        <is>
          <t>li-4361570596</t>
        </is>
      </c>
      <c r="B68" t="inlineStr">
        <is>
          <t>Product Manager, Card Account Management</t>
        </is>
      </c>
      <c r="C68" t="inlineStr">
        <is>
          <t>Capital One</t>
        </is>
      </c>
      <c r="D68" t="inlineStr">
        <is>
          <t>linkedin</t>
        </is>
      </c>
      <c r="E68" t="inlineStr"/>
      <c r="F68" t="inlineStr"/>
      <c r="G68" t="inlineStr">
        <is>
          <t>Deerfield, IL</t>
        </is>
      </c>
      <c r="H68" t="inlineStr"/>
      <c r="I68" t="inlineStr">
        <is>
          <t>**Manager,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You will be part of the product organization responsible for key capabilities within our Card Account Management ecosystem. Our team builds and scales services that support how card credentials are managed, updated, and used across the payment landscape. We operate at the interaction of issuers, acquirers and merchants delivering modern, resilient platforms that improve transaction outcomes and enable seamless customer experiences. Working across data, technology, operation and network operations partners, we continuously evolve our product to meet the needs of a dynamic and rapidly changing payments environment.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****Key responsibilities:****
* Define high level requirements and drive end\-to\-end product planning aligning with cross functional.
* Observe build execution including tracking milestones, managing dependencies, identifying blocker.
* Manage stakeholder updates, such as status reporting, risk/issue escalation, readiness communication.
* Partner with operations, client communications and launch readiness team.
* Enable continuous product improvement through structured feedback loops, product insights, and cross functional learning.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in payments, card networks, card lifecycle.
* Familiarity with card\-on\-file, recurring payments, and token.
* Ability to influence cross functional teams like technology, operations, go to market in fast\-paced, iterative delivery environments.
* Experience translating business strategy and analysis into consumer facing digital products
* 2\+ years of experience in Agile product management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$149,800 \- $171,000 for Manager, Product Management
 Riverwoods, IL: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9">
      <c r="A69" t="inlineStr">
        <is>
          <t>li-4366003960</t>
        </is>
      </c>
      <c r="B69" t="inlineStr">
        <is>
          <t>Program Manager</t>
        </is>
      </c>
      <c r="C69" t="inlineStr">
        <is>
          <t>Coforge</t>
        </is>
      </c>
      <c r="D69" t="inlineStr">
        <is>
          <t>linkedin</t>
        </is>
      </c>
      <c r="E69" t="inlineStr"/>
      <c r="F69" t="inlineStr"/>
      <c r="G69" t="inlineStr"/>
      <c r="H69" t="inlineStr"/>
      <c r="I69" t="inlineStr">
        <is>
          <t>**Role:** 
 Program Manager with
 **AI/ML** 
**Key Skills: AI tools (Open AI Tools, Claude, Jira automations, Power Platform, and internal AI agents etc.)** 
**Experience : 15\+ years** 
**Location: San Francisco, CA** 
**Mode: Hybrid** 
 We're at Coforge is seeking for Program Manager with AI/ML experience.
**Key Responsibilities:** 
* Operational Excellence \&amp; PMO Improvements
* Redesign specific PMO workflows hands\-on—rebuilding templates, creating automations, improving intake forms, and streamlining status reports.
* Manage tool configurations across Jira, Confluence, Workfront, and Microsoft 365 to improve hygiene and consistency.
* Build AI\-powered dashboards that consolidate delivery signals and provide visibility to leadership.
* Test, validate, and continuously enhance PMO processes through rapid iterations.
* AI Adoption \&amp; Enablement
* Train teams through hands\-on demos, quick\-start guides, and in\-the\-moment support.
* Help PMs set up agentic workflows, automations, and copilots for their day\-to\-day work.
* Gather feedback and immediately turn it into refinements, updates, and improved tools.
* Act as the “first line of execution” for new AI capabilities, showing teams how to use them by doing the work alongside them.
**Required Skills:** 
 • Build, configure, and operate agentic workflows within
 **AI tools (Open AI Tools, Claude, Jira automations, Power Platform, and internal AI agents etc.)** 
 • Translate business needs into hands\-on automations, prototypes, and small\-scale agentic pilots.
 • Maintain and improve automated processes—fix issues, refine prompts, adjust logic, and optimize performance.
 • Draft and refine AI playbooks, templates, and reusable components for PMO teams.</t>
        </is>
      </c>
    </row>
    <row r="70">
      <c r="A70" t="inlineStr">
        <is>
          <t>li-4368659180</t>
        </is>
      </c>
      <c r="B70" t="inlineStr">
        <is>
          <t>Manager, Product Manager - Enterprise Payments - Payment Data</t>
        </is>
      </c>
      <c r="C70" t="inlineStr">
        <is>
          <t>Capital One</t>
        </is>
      </c>
      <c r="D70" t="inlineStr">
        <is>
          <t>linkedin</t>
        </is>
      </c>
      <c r="E70" t="inlineStr"/>
      <c r="F70" t="inlineStr"/>
      <c r="G70" t="inlineStr">
        <is>
          <t>New York, NY</t>
        </is>
      </c>
      <c r="H70" t="inlineStr"/>
      <c r="I70"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Role**
 Capital One’s Enterprise Payments team is defining the roadmap that will enable the bank’s overall digital payments strategy, modernizing existing payment types and introducing the latest innovations. In an industry rooted in mainframe systems and batch processes, we are driving toward a cloud\-based, API/microservice architected, real\-time data environment. The world is moving toward faster payments and Capital One is not just ahead of the curve, but defining it. We are a tech\-centric company and an innovation laboratory within the only founder\-led, top 10 bank in the U.S.
 As a Data Product Manager on the Enterprise Payment Product team, you will own the vision, strategy and development of data capabilities that power our payment rails and platforms across the enterprise – spanning ACH, Wire, RTP, Debit Acceptance, and Check rails.. You will work cross\-functionally with technology, data strategy, data science, operations and business partners across lines of business to deliver scalable and insightful data products that support both operational excellence and innovation.
 You will define and own the core payment data logic, connecting complex systems, mapping end\-to\-end data flows, and establishing trusted, high\-quality data assets that accurately reflect money movements and events across the enterprise. This role is crucial to modernizing how payment data is built and consumed at Capital One, requiring a curious, analytical, and impact\-driven product leader to transform complex systems into clear, trusted data products.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Richmond, VA: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li-4334265204</t>
        </is>
      </c>
      <c r="B71" t="inlineStr">
        <is>
          <t>Sr. Product Manager - Technical - Accumulation Conveyance, 1MHS - Field Fixed</t>
        </is>
      </c>
      <c r="C71" t="inlineStr">
        <is>
          <t>Amazon</t>
        </is>
      </c>
      <c r="D71" t="inlineStr">
        <is>
          <t>linkedin</t>
        </is>
      </c>
      <c r="E71" t="inlineStr"/>
      <c r="F71" t="inlineStr"/>
      <c r="G71" t="inlineStr">
        <is>
          <t>Springdale, OH</t>
        </is>
      </c>
      <c r="H71" t="inlineStr"/>
      <c r="I71" t="inlineStr">
        <is>
          <t>**Description**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KY, Hebron \- 151,200\.00 \- 204,600\.00 USD annually
 USA, MA, Westborough \- 151,200\.00 \- 204,600\.00 USD annually
 USA, OH, Springdale \- 151,200\.00 \- 204,600\.00 USD annually
 USA, TN, Nashville \- 143,700\.00 \- 194,300\.00 USD annually
 USA, WA, Bellevue \- 151,200\.00 \- 204,600\.00 USD annually
**Company** 
 \- Amazon.com Services LLC \- A57
 Job ID: A3121091</t>
        </is>
      </c>
    </row>
    <row r="72">
      <c r="A72" t="inlineStr">
        <is>
          <t>li-4350177913</t>
        </is>
      </c>
      <c r="B72" t="inlineStr">
        <is>
          <t>Sr. Product Manager - HashiCorp Boundary</t>
        </is>
      </c>
      <c r="C72" t="inlineStr">
        <is>
          <t>IBM</t>
        </is>
      </c>
      <c r="D72" t="inlineStr">
        <is>
          <t>linkedin</t>
        </is>
      </c>
      <c r="E72" t="inlineStr"/>
      <c r="F72" t="inlineStr"/>
      <c r="G72" t="inlineStr">
        <is>
          <t>San Jose, CA</t>
        </is>
      </c>
      <c r="H72" t="inlineStr"/>
      <c r="I72"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Boundary is HashiCorp’s hybrid\-cloud secure remote access solution. Launched in October 2020 and commercially available since October 2022, Boundary is a strategic product as organizations seek a modern solution for managing access to infrastructure and other IT resources across their cloud and on\-premises environments. Today, Boundary is available as a cloud and on\-premises offering and is being rapidly adopted by a growing number of enterprises across the globe.
 This role is for someone who has expertise in Privileged Access Management (PAM) solutions, security (session recording, endpoint hardening, secrets management, static/dynamic secrets, PKI), compliance, threat monitoring, and experience working with enterprise software and customers. Boundary is a fast\-moving product with high ambitions. You will help set strategy, conduct user research, define requirements, and oversee execution with cross functional teams.
**Your Role And Responsibilities**
* Perform market and competitive analysis, develop insights and contribute to the overall product vision \&amp; strategy
* Prioritize the product roadmap by taking feedback from customer, field teams, community practitioners and other internal \&amp; external stakeholders
* Author detailed Product Requirement Documents (PRDs) to distill user/market research into requirements for engineering to deliver
* Collaborate with engineering, design, PMM, and other internal stakeholders to execute on high customer impact product initiatives
* Keep field teams (SEs, account managers, SMEs etc) and Marketing updated on feature releases and keep Engineering informed on feature requests
* Help with Sales and Marketing enablement to educate on the product story and features (website copy, whitepapers, sales decks, FAQs, etc)
* Assist field teams with customer conversations, roadmap presentations, demos etc
**Preferred Education**
 Bachelor's Degree
**Required Technical And Professional Expertise**
* 8\+ years of product management experience with a enterprise security product
* Exceptional verbal and written communication skills
* Ability to organize multiple stakeholders towards a common goal
* Analytical with the ability to prioritize and make tradeoffs
* Strong technical acumen, with a solid understanding of privileged access, IAM, cloud and the security space in general
* Proven approach to delivering products with an eye toward End\-User Experience
**Preferred Technical And Professional Experience**
* Defining the product roadmap and strategy
* Writing product requirements documents (PRDs)
* Deep collaboration with Engineering teams
* Leading sales engineer and support education sessions
* Enabling the community and partner contributions
* Conduct customer interviews
* Perform market research
* Backlog management</t>
        </is>
      </c>
    </row>
    <row r="73">
      <c r="A73" t="inlineStr">
        <is>
          <t>li-4368435903</t>
        </is>
      </c>
      <c r="B73" t="inlineStr">
        <is>
          <t>Product Manager - Cardio Partners - Dublin, Ohio</t>
        </is>
      </c>
      <c r="C73" t="inlineStr">
        <is>
          <t>Cardio Partners</t>
        </is>
      </c>
      <c r="D73" t="inlineStr">
        <is>
          <t>linkedin</t>
        </is>
      </c>
      <c r="E73" t="inlineStr"/>
      <c r="F73" t="inlineStr"/>
      <c r="G73" t="inlineStr">
        <is>
          <t>Dublin, OH</t>
        </is>
      </c>
      <c r="H73" t="inlineStr"/>
      <c r="I73" t="inlineStr">
        <is>
          <t>**Overview**
 Sarnova is the leading national specialty distributor of health care products in Emergency Medical Services (EMS) and Respiratory Markets and is the industry leader in Revenue Cycle Management within Emergency Medical Services (EMS). The company operates through several market\-leading companies including Tri\-anim Health Services, the largest specialty distributor of respiratory products, Bound Tree Medical, the largest supplier of EMS products, and Cardio Partners, a full Sudden Cardiac Arrest Solution provider, and Digitech, the leader in EMS revenue cycle management.
**Responsibilities**
**Hybrid WFH Schedule: M\-Thursday On\-site, Fridays work from home!**
**Summary**
 This Product Manager role is focused on the First Aid, Training, and Compliance product portfolio, serving as the downstream owner responsible for how these products are packaged, priced, launched, enabled, and scaled across channels. The role partners closely with Sales, Marketing, Purchasing, Operations, and Supplier partners to translate product offerings into clear, market\-ready solutions that drive revenue, margin, and customer adoption.
 The ideal candidate is a strong cross\-functional leader who thrives at the intersection of portfolio strategy, go\-to\-market execution, and supplier management. This role requires comfort owning initiatives end\-to\-end — from business planning and pricing strategy through sales enablement, training, and ongoing lifecycle optimization.
**Organizational Impact**
 This role plays a critical part in shaping how First Aid and Training solutions are delivered to market. By owning downstream execution, the Product Manager directly influences revenue growth, supplier performance, sales effectiveness, and customer outcomes across a rapidly evolving product portfolio. The work done in this role has a visible impact on how teams sell, support, and scale these offerings across the organization.
**Essential Duties And Responsibilities**
* Own downstream product management for assigned First Aid and Training product lines, including portfolio structure, pricing strategy, supplier alignment, and channel readiness
* Partner with Sales, Purchasing, Finance, Accounting, and Operations to ensure accurate tracking of revenue, margins, COGS, inventory performance, and marketing investments
* Develop and maintain portfolio business plans by channel, including pricing models, promotional strategies, vendor programs, and lifecycle management
* Lead go\-to\-market execution, ensuring products are fully enabled across sales tools, training materials, collateral, and digital channels
* Design and manage marketing and sales enablement programs, including online initiatives, sales force tools, vendor\-funded programs, and trade show support
* Analyze sales performance, customer segmentation, pricing effectiveness, and competitive activity to identify opportunities for growth, optimization, or expansion
* Conduct market and customer research to uncover unmet needs, usage patterns, and opportunities for new bundles, services, or programs
* Collaborate with manufacturer partners on joint marketing efforts, promotional campaigns, training initiatives, and portfolio alignment
* Support and contribute to sales training, product education, and clinical or compliance\-focused enablement as needed
* Monitor competitive landscape and market trends, adjusting pricing, positioning, and promotional strategies accordingly
* Manage forecasting, demand planning inputs, and profitability analysis for multiple product lines
* Oversee the creation, refresh, and distribution of product collateral, sales tools, and training assets
* Support cross\-functional initiatives and special projects as directed by Product Management leadership
* Perform additional duties as assigned to support business priorities
**Skills/Experience Required**
* Education: Bachelor’s degree in Business, Marketing or a related field
* Minimum of three to five years product/marketing management experience within a value\-added distribution industry, business\-to\-business selling environment, or the health care products industry.
* Understanding of supply chain processes and inventory management a plus
* Prior healthcare experience a plus
* Demonstrated experience with product/category management, product positioning, customer segmentation, pricing, communication and marketing strategies
* Ability to think strategically and understand the big picture, but also execute with strong attention to the details
* Excellent project management skills \- organize and coordinate multiple stakeholders to deliver projects on time with high quality
* Strong business acumen with advanced planning and forecasting capabilities including exceptional financial and analytical skills
* Ability to pull together and analyze data to articulate trends and provide insights that drive the business
 Sarnova is an Equal Opportunity Employer. We offer a competitive salary, commensurate with experience, along with a comprehensive benefits package, including 401(k) Plan. EEO/M/F/Veterans/Disabled. Our mission is to be the best partner for those who save and improve patients’ lives. Excellence in delivering upon our mission is dependent upon having a diverse team that is empowered to bring their full, authentic self to work each day. We strive to create a workplace that reflects the communities we serve, and we are passionate about creating an inclusive workplace that promotes and values diversity.
 \#cardiopartners</t>
        </is>
      </c>
    </row>
    <row r="74">
      <c r="A74" t="inlineStr">
        <is>
          <t>li-4334294950</t>
        </is>
      </c>
      <c r="B74" t="inlineStr">
        <is>
          <t>Sr. Product Manager - Technical - Accumulation Conveyance, 1MHS - Field Fixed</t>
        </is>
      </c>
      <c r="C74" t="inlineStr">
        <is>
          <t>Amazon</t>
        </is>
      </c>
      <c r="D74" t="inlineStr">
        <is>
          <t>linkedin</t>
        </is>
      </c>
      <c r="E74" t="inlineStr"/>
      <c r="F74" t="inlineStr"/>
      <c r="G74" t="inlineStr">
        <is>
          <t>Nashville, TN</t>
        </is>
      </c>
      <c r="H74" t="inlineStr"/>
      <c r="I74" t="inlineStr">
        <is>
          <t>**Description**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KY, Hebron \- 151,200\.00 \- 204,600\.00 USD annually
 USA, MA, Westborough \- 151,200\.00 \- 204,600\.00 USD annually
 USA, OH, Springdale \- 151,200\.00 \- 204,600\.00 USD annually
 USA, TN, Nashville \- 143,700\.00 \- 194,300\.00 USD annually
 USA, WA, Bellevue \- 151,200\.00 \- 204,600\.00 USD annually
**Company** 
 \- Amazon.com Services LLC \- A57
 Job ID: A3121091</t>
        </is>
      </c>
    </row>
    <row r="75">
      <c r="A75" t="inlineStr">
        <is>
          <t>li-4356574937</t>
        </is>
      </c>
      <c r="B75" t="inlineStr">
        <is>
          <t>Product Manager, Bioproduction Analytics &amp; AI Intiaitives (Maryland)</t>
        </is>
      </c>
      <c r="C75" t="inlineStr">
        <is>
          <t>Thermo Fisher Scientific</t>
        </is>
      </c>
      <c r="D75" t="inlineStr">
        <is>
          <t>linkedin</t>
        </is>
      </c>
      <c r="E75" t="inlineStr"/>
      <c r="F75" t="inlineStr"/>
      <c r="G75" t="inlineStr">
        <is>
          <t>Sparks, MD</t>
        </is>
      </c>
      <c r="H75" t="inlineStr"/>
      <c r="I75"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76">
      <c r="A76" t="inlineStr">
        <is>
          <t>li-4356454778</t>
        </is>
      </c>
      <c r="B76" t="inlineStr">
        <is>
          <t>Product Manager, Bioproduction Analytics &amp; AI Intiaitives (Maryland)</t>
        </is>
      </c>
      <c r="C76" t="inlineStr">
        <is>
          <t>Thermo Fisher Scientific</t>
        </is>
      </c>
      <c r="D76" t="inlineStr">
        <is>
          <t>linkedin</t>
        </is>
      </c>
      <c r="E76" t="inlineStr"/>
      <c r="F76" t="inlineStr"/>
      <c r="G76" t="inlineStr">
        <is>
          <t>Buffalo, NY</t>
        </is>
      </c>
      <c r="H76" t="inlineStr"/>
      <c r="I76"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77">
      <c r="A77" t="inlineStr">
        <is>
          <t>li-4356414919</t>
        </is>
      </c>
      <c r="B77" t="inlineStr">
        <is>
          <t>Product Manager, Bioproduction Analytics &amp; AI Intiaitives (Maryland)</t>
        </is>
      </c>
      <c r="C77" t="inlineStr">
        <is>
          <t>Thermo Fisher Scientific</t>
        </is>
      </c>
      <c r="D77" t="inlineStr">
        <is>
          <t>linkedin</t>
        </is>
      </c>
      <c r="E77" t="inlineStr"/>
      <c r="F77" t="inlineStr"/>
      <c r="G77" t="inlineStr">
        <is>
          <t>Grand Island, NY</t>
        </is>
      </c>
      <c r="H77" t="inlineStr"/>
      <c r="I77"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78">
      <c r="A78" t="inlineStr">
        <is>
          <t>li-4356564809</t>
        </is>
      </c>
      <c r="B78" t="inlineStr">
        <is>
          <t>Product Manager, Bioproduction Analytics &amp; AI Intiaitives (Maryland)</t>
        </is>
      </c>
      <c r="C78" t="inlineStr">
        <is>
          <t>Thermo Fisher Scientific</t>
        </is>
      </c>
      <c r="D78" t="inlineStr">
        <is>
          <t>linkedin</t>
        </is>
      </c>
      <c r="E78" t="inlineStr"/>
      <c r="F78" t="inlineStr"/>
      <c r="G78" t="inlineStr">
        <is>
          <t>Mount Airy, MD</t>
        </is>
      </c>
      <c r="H78" t="inlineStr"/>
      <c r="I78"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79">
      <c r="A79" t="inlineStr">
        <is>
          <t>li-4368217118</t>
        </is>
      </c>
      <c r="B79" t="inlineStr">
        <is>
          <t>Partner Program Manager, Atlassian</t>
        </is>
      </c>
      <c r="C79" t="inlineStr">
        <is>
          <t>SmartBear</t>
        </is>
      </c>
      <c r="D79" t="inlineStr">
        <is>
          <t>linkedin</t>
        </is>
      </c>
      <c r="E79" t="inlineStr"/>
      <c r="F79" t="inlineStr"/>
      <c r="G79" t="inlineStr"/>
      <c r="H79" t="inlineStr"/>
      <c r="I79" t="inlineStr">
        <is>
          <t>At SmartBear, we believe building great software starts with quality – and we’re helping our customers make that happen every day. Our solutions, featuring SmartBear AI, bring visibility and automation to software development, making it easier for teams to deliver high\-quality software faster. SmartBear is trusted by over 16 million developers, testers, and software engineers at 32,000\+ organizations – including innovators like Adobe, JetBlue, FedEx, and Microsoft. 
**Partner Program Admin – Atlassian Products** 
* **Support and administer SmartBear’s Atlassian partner programs, ensuring operational excellence and compliance with program requirements**
* **Act as the primary operational point of contact for internal teams and external partners related to Atlassian products and programs**
* **Maintain accurate partner data, program documentation, and reporting to support business decisions and partner success**
**About the Role** 
* Administer day\-to\-day operations of SmartBear’s Atlassian partner programs, including onboarding, program compliance, and lifecycle management.
* Maintain partner records, contracts, certifications, and program status within internal systems and Atlassian partner portals.
* Coordinate with Sales, Alliances, Finance, and Legal teams to support partner transactions, incentives, and renewals.
* Prepare regular reports and dashboards on partner performance, program participation, and operational metrics.
* Support partner communications, including program updates, operational guidance, and documentation.
* Identify process improvement opportunities to scale partner operations and improve partner experience.
**We are looking for you if you have** 
* 2\-4 years of experience in partner operations, program administration, sales operations, or a related role.
* Hands\-on experience working with Atlassian products and/or Atlassian Partner Programs.
* Strong organizational skills with high attention to detail and the ability to manage multiple priorities.
* Experience working with CRM systems (Salesforce preferred) and partner management tools.
* Strong written and verbal communication skills, with the ability to collaborate cross\-functionally.
* A proactive, service\-oriented mindset with a passion for supporting partner success.
**Why you should join the SmartBear crew** 
* You can grow your career at every level.
* We invest in your success as well as the spaces where our teams come together to work, collaborate, and have fun.
* We love celebrating our SmartBears; we even encourage our crew to take their birthdays off.
* We are guided by a People and Culture organization \- an important distinction for us. We think about our team holistically – the whole person.
* We celebrate our differences in experiences, viewpoints, and identities because we know it leads to better outcomes.
**Did you know?** 
* Our main goal at SmartBear is to make our technology\-driven world a better place.
* SmartBear is committed to ethical corporate practices and social responsibility, promoting good in all the communities we serve.
* SmartBear is headquartered in Somerville, MA with offices across the world including Galway Ireland, Bath, UK, Wroclaw, Poland and Bangalore, India.
* We’ve won major industry (product and company) awards including B2B Innovators Award, Content Marketing Association, IntellyX Digital Innovator and BuiltIn Best Places to Work.
*SmartBear is committed to creating an inclusive workplace for employees where all individuals are treated with respect and dignity. We are an equal opportunity employer and make employment decisions based on merit, qualifications, and business needs. We do not discriminate on the basis of race, color, religion, sex, national origin, age, gender, disability, veteran status, sexual orientation, or any other protected status under applicable laws. We are dedicated to fostering a workplace that reflects a diversity of thought and experience as well as our values of being smart, open, driven, accountable, and curious.* 
 At SmartBear, we believe transparency in pay is part of how we build trust—with our employees, candidates, and community. Our compensation philosophy is grounded in market competitiveness, internal equity, and rewarding impact. We encourage candidates to view compensation as part of their total rewards experience at SmartBear. This includes performance\-based bonuses for eligible roles, a generous benefits package that supports employees’ health and well\-being, and promotes work\-life balance through flexible time off and hybrid work options.  You can build your career at SmartBear through professional development opportunities, and an inclusive, collaborative culture where everyone can thrive. Your SmartBear total rewards compensation package includes base salary and may also include a performance bonus plan. The base salary range for this role is listed below. Actual compensation is determined based on several factors, including relevant experience, skills, internal equity, and geographic location.
 Estimated Base Salary Range: $94,500 USD \- $110,450 USD</t>
        </is>
      </c>
    </row>
    <row r="80">
      <c r="A80" t="inlineStr">
        <is>
          <t>li-4354492336</t>
        </is>
      </c>
      <c r="B80" t="inlineStr">
        <is>
          <t>PwC Tech Product Owner Senior Associate</t>
        </is>
      </c>
      <c r="C80" t="inlineStr">
        <is>
          <t>PwC</t>
        </is>
      </c>
      <c r="D80" t="inlineStr">
        <is>
          <t>linkedin</t>
        </is>
      </c>
      <c r="E80" t="inlineStr"/>
      <c r="F80" t="inlineStr"/>
      <c r="G80" t="inlineStr">
        <is>
          <t>Seattle, WA</t>
        </is>
      </c>
      <c r="H80" t="inlineStr"/>
      <c r="I80" t="inlineStr">
        <is>
          <t>**Specialty/Competency:** 
 IFS \- Information Technology (IT)
**Industry/Sector:** 
 Not Applicable
**Time Type:** 
 Full time
**Travel Requirements:** 
 Up to 40%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Product Management team you will define product vision, manage the product backlog, and collaborate with cross\-functional teams to deliver top\-tier products. As a Senior Associate, you will lead the charge in requirement gathering, stakeholder communication, and product release planning, securing alignment with business goals. This position offers a unique chance to advocate for customer needs while driving innovation and continuous improvement in product development.
**Responsibilities**
* Lead stakeholder engagement and gather product requirements
* Plan and execute product release schedules
* Analyze market trends to inform product decisions
 What You Must Have
* High School Diploma
* At least 2 years of progressive roles
 What Sets You Apart
* Bachelor's Degree in Information Technology, Business Studies, Computer Science preferred
* Certified Scrum Product Owner (CSPO) preferred
* Demonstrating proficiency in requirement gathering and analysis
* Managing product backlog to align with business goals
* Creating clear user stories and acceptance criteria
* Facilitating stakeholder communication and collaboration
* Leading sprint reviews for stakeholder feedback
* Contributing to product vision and roadmap development
* Analyzing product performance for continuous enhancement
* Possessing experience with product management tools like Aha!, Jira, Confluence, Trello, or similar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1">
      <c r="A81" t="inlineStr">
        <is>
          <t>li-4368667592</t>
        </is>
      </c>
      <c r="B81" t="inlineStr">
        <is>
          <t>Ford Integrated Services -Business Program Manager</t>
        </is>
      </c>
      <c r="C81" t="inlineStr">
        <is>
          <t>Ford Motor Company</t>
        </is>
      </c>
      <c r="D81" t="inlineStr">
        <is>
          <t>linkedin</t>
        </is>
      </c>
      <c r="E81" t="inlineStr"/>
      <c r="F81" t="inlineStr"/>
      <c r="G81" t="inlineStr">
        <is>
          <t>Detroit, MI</t>
        </is>
      </c>
      <c r="H81" t="inlineStr"/>
      <c r="I81" t="inlineStr">
        <is>
          <t>**Job Description**
 At Ford Integrated Services (FIS), we transform our customer experiences in and around the vehicle by bringing together hardware, software, and services to foster simple, transparent, and ongoing digital relationships among our customers, their vehicles, and Ford.
 We are scaling our Business Operations team’s global capabilities to support a growing portfolio of programs across multiple vehicle platforms. We are actively seeking a Program Manager to join our dynamic team \- someone who brings a meticulous approach to their work and consistently thrives within fast\-paced, evolving environments.
 The ideal candidate will be a confident collaborator, adept at uniting and inspiring diverse cross\-functional teams to achieve shared objectives. This role demands a proactive problem\-solver with a knack for proposing creative and innovative solutions that drive significant improvements in operational efficiency and foster seamless alignment across various departments. If you are passionate about orchestrating complex initiatives, optimizing processes, and building strong collaborative partnerships, we invite you to apply.
**Responsibilities**
**What you'll do...**
* Own the system, not just the plan \- Serve as the single source of truth across scope, dependencies, risks, and decisions. Translate strategic intent into executable plans and ensure teams stay aligned as conditions change.
* Lead executive\-level governance and decision\-making \- Design and run governance forums that drive clarity, accountability, and timely decisions. Frame trade\-offs, escalate risks with context, and guide leaders toward resolution.
* Influence without authority \- Build credibility across stakeholders. Resolve conflict, align incentives, and keep teams moving forward even when priorities compete.
* Anticipate and manage risk proactively \- Identify systemic risks early, not just delivery issues. Drive mitigation plans that balance speed, quality, and business impact.
 Model strong program leadership behaviors \- Demonstrate clear thinking, decisive action, and calm execution under pressure. Set the tone for accountability, transparency, and follow\-through
**Qualifications**
**QUALIFICATIONS**
**You'll have...**
* Bachelor’s degree in Business, Management, Economics, or a related field, or equivalent demonstrated business operations experience (e.g., PMO, strategy, operations, portfolio management).
* 6\+ years of experience leading cross\-functional programs with competing priorities.
* 3\+ years operating autonomously in ambiguous, unstructured environments, where success required judgment, prioritization, and trade\-off decisions, not just execution against a defined backlog.
* Demonstrated business acumen, translating strategy into execution plans, defining success metrics, and managing outcomes against business objectives.
* Experience establishing and using dashboards to drive decisions, surface risk, and communicate progress to senior leaders.
* Strong executive communication skills, having the ability to synthesize complex information, frame decisions, and influence without authority.
* Proven stakeholder management and relationship\-building skills, with the ability to align teams with conflicting incentives and perspectives.
* Confidence leading through ambiguity, balancing structure with adaptability, and making progress without perfect information.
* Emotional intelligence and sound judgment, the ability to navigate tension, challenge constructively, and maintain trust across teams.
* Note: This role is not a technical program manager position. While technical fluency is valuable, success in this role depends on business judgment, influence, and execution leadership.
*Note: This role is not a technical program manager position. While technical fluency is valuable, success in this role depends on business judgment, influence, and execution leadership.*
**Even better, you may have...**
* Experience working within a PMO, Portfolio Management, or Operations, including governance design, standards, metrics, or operating cadences.
* Experience leading multi\-workstream programs where success depended on coordination, sequencing, and executive alignment rather than technical depth.
* Exposure to financial planning, capacity management, or investment trade\-off discussions.
* Beyond just leading projects, experience specifically contributing to or managing PMO functions (e.g., governance, standards, metrics, tool administration).
* Experience leading larger, interconnected programs composed of multiple projects, demonstrating a higher level of strategic oversight and coordination.
* Experience in developing and implementing enterprise\-wide risk management frameworks, performing quantitative risk analysis, and facilitating risk mitigation strategies across multiple projects.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leadership level 6\.
 For more information on salary and benefits, click here:
 **https://fordcareers.co/LL6SP1**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82">
      <c r="A82" t="inlineStr">
        <is>
          <t>li-4345979235</t>
        </is>
      </c>
      <c r="B82" t="inlineStr">
        <is>
          <t>Senior Product Owner, Human Capital Management (HCM) Services</t>
        </is>
      </c>
      <c r="C82" t="inlineStr">
        <is>
          <t>American Society of Clinical Oncology (ASCO)</t>
        </is>
      </c>
      <c r="D82" t="inlineStr">
        <is>
          <t>linkedin</t>
        </is>
      </c>
      <c r="E82" t="inlineStr"/>
      <c r="F82" t="inlineStr"/>
      <c r="G82" t="inlineStr">
        <is>
          <t>Alexandria, VA</t>
        </is>
      </c>
      <c r="H82" t="inlineStr"/>
      <c r="I82" t="inlineStr">
        <is>
          <t>**Are you interested in making a world of difference in cancer care?** 
 Cancer strikes more than 10 million people worldwide each year. As the leading medical society representing doctors who care for people with cancer, the American Society of Clinical Oncology (ASCO) is committed to conquering cancer through research, education, and promotion of the highest quality care.
**Who we are:** 
 ASCO is a flexible, high\-performance membership organization where employees collaborate to support our mission through evidence, care, and impact. Together with Conquer Cancer, the ASCO Foundation, we foster a culture that prioritizes customer\-centricity, emphasizes teamwork, and commits to quality. Our culture, ASCO Works – Our Way of Working, has long enabled workplace flexibility and embraced technology to help us achieve balance.
 ASCO offers competitive salaries, an excellent benefits package, and opportunities to participate in professional development programs. To learn what it’s like to work at ASCO, click here.
**Who we are looking for:** 
 ASCO is in search of a Senior Product Owner to lead product definition and delivery, acting as the voice of the customer for the ASCO’s workforce, talent, and transactional management systems. This role is responsible for partnering with the HCM business stakeholders, Enterprise Business System (EBS) squad, and the Portfolio Leader to define and execute on the product roadmap for Workday HCM and other potential systems supporting HCM.
 The successful candidate will possess strong domain expertise in modern HCM practices, SAFe principles, and effectively collaborate with HR, Finance, and Legal teams to drive operational efficiencies and improve employee experience.
 Remote candidates welcome or at primary location in Alexandria, VA.
**Responsibilities**
* Act as the voice of the customer to prioritize product backlog epics, features, and stories for Workday HCM (or equivalent HCM systems) focusing on Core HR functions, Recruiting, Learning, Talent Management, Benefits, Payroll, and Employee Time and Expense modules. This includes owning stories related to system configuration, security role management, and functional reporting capabilities.
* Partner with the business analysts to draft concise epics, features, stories and ensure all required metadata is captured to enable an accurate product roadmap and reporting.
* Ensure the operational integrity and compliance of Payroll and Time Tracking processes, translating complex legislative and regulatory changes into actionable backlog items for the squad.
* Draft well defined user stories and work with the engineering team to create acceptance criteria, definitions of done and failures.
* Manage the technical integrity and interoperability of the HCM platform within the enterprise ecosystem. This includes owning and prioritizing technical stories necessary for seamless and secure data exchange with the Oracle Financial Cloud and Enterprise Performance Planning platforms, external payroll and benefits vendors, and OKTA user provisioning.
* Actively participate in delivery squad ceremonies (Sprint Planning, Daily Stand\-ups, Sprint Review, Sprint Retrospective), and portfolio\-level events (quarterly planning, enterprise\-level retrospective and innovation ceremonies, system demos).
* Work with the Portfolio Leader and HR and Finance stakeholders to measure and track the value delivered to the customers, focusing on user adoption and operational efficiencies.
* Contribute to the portfolio\-level product roadmap by drafting “Ideas” in the lean business case format in the Jira Product Discovery board for roadmap consideration based on customer insights.
* Partner with the Portfolio Leader, Finance product owners, business stakeholders, and squad to prepare for the quarterly planning events as well as enterprise\-level retrospective ceremonies.
* Define, validate and support user acceptance testing, particularly for new Workday release and Oracle HCM updates,
* Participate in release planning, coordinating with relevant teams, including the HR and Finance functional teams to ensure successful product launches and iterations.
**Required Education and Experience**
* Bachelor’s degree or equivalent years of experience as a Product Owner, Functional Consultant, or Business Analyst supporting Workday HCM or Oracle Cloud HCM
* 5 years of hands\-on experience in Workday HCM, Oracle HCM, or a comparable tier\-one HCM commercial\-off\-the\-shelf platform, including system configuration, implementation, and support, with proven knowledge of payroll and time and expense
* Experience in Agile ways of working, SAFe, Scrum, Disciplined Agile Delivery (DAD), project management, and process improvement
* Strong ability to articulate concepts, plans and facilitate working sessions with cross functional teams
* 5 \+ years of experience in working with cross functional global teams
* Hands on experience with product management tools such as Jira, Jira Product Discovery, Confluence and other similar platforms
**Preferred Education and Experience**
* SAFe Product Owner/Product Manager (POPM) certification
* Experience ensuring data compliance and security standards, especially concerning sensitive HR and PHI data
* Experience with SAAS, PAAS, mobile apps, back\-office systems, hardware, and services and various product categories a plus
* Experience building custom reports and integrations and supporting the growth and development of data analytics tools
**Competencies**
* Strong facilitation, communication and presentation skills
* Ability to manage competing priorities and deliver value in complex environments
* General knowledge of privacy compliance
* Strong analytical, troubleshooting, and technical understanding
* Passion for creating best\-in\-class products and experiences, driving proven customer value
* Ability to lead without direct authority and influence stakeholders to align on the product vision and objectives
* Ability to synthesize business needs and communicate requirements effectively across technical and non\-technical audiences
* Ability to think critically and solve multifaceted challenges/opportunities, analyze and solve complex problems
* Understand business goals, market trends, and customer needs
* Excellent time management and prioritization skills
* Strong interpersonal and customer service skills
**ADA/Physical Requirements**
 Must lift up to 30 lbs.
 Extended periods seated or standing at a desk
 High use of computer and other office technology equipment
**Travel**
 11\-20 days/yr
**Generous Benefits Package:** 
* Hybrid Work Environment
* Open Leave Policy
* Paid Family Leave
* 13 Paid Holidays per Calendar Year
* Staff Appreciation Days
* 401(k): 7\.5% Employer Contribution
* Medical/Dental/Vision
* Employee Assistance Program
* Fertility and Family Forming
* Healthcare Concierge
* Flexible Spending Account(s)
* Healthcare Savings Account
* Disability and Life Insurance
 Applications are accepted and reviewed on a rolling basis. The job posting will remain active throughout the candidate application evaluation process.
 The American Society of Clinical Oncology (ASCO) is an Equal Employment Opportunity (EEO) employer. It is the policy of the Company to provide equal employment opportunities to all qualified applicants without regard to race, color, national origin, sex, and religion.</t>
        </is>
      </c>
    </row>
    <row r="83">
      <c r="A83" t="inlineStr">
        <is>
          <t>li-4313453923</t>
        </is>
      </c>
      <c r="B83" t="inlineStr">
        <is>
          <t>Sr. Program Manager, Same Day Programs</t>
        </is>
      </c>
      <c r="C83" t="inlineStr">
        <is>
          <t>Amazon</t>
        </is>
      </c>
      <c r="D83" t="inlineStr">
        <is>
          <t>linkedin</t>
        </is>
      </c>
      <c r="E83" t="inlineStr"/>
      <c r="F83" t="inlineStr"/>
      <c r="G83" t="inlineStr">
        <is>
          <t>Bellevue, WA</t>
        </is>
      </c>
      <c r="H83" t="inlineStr"/>
      <c r="I83" t="inlineStr">
        <is>
          <t>**Description**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A3106355</t>
        </is>
      </c>
    </row>
    <row r="84">
      <c r="A84" t="inlineStr">
        <is>
          <t>li-4315145187</t>
        </is>
      </c>
      <c r="B84" t="inlineStr">
        <is>
          <t>Principal Product Manager, Ship with Amazon</t>
        </is>
      </c>
      <c r="C84" t="inlineStr">
        <is>
          <t>Amazon</t>
        </is>
      </c>
      <c r="D84" t="inlineStr">
        <is>
          <t>linkedin</t>
        </is>
      </c>
      <c r="E84" t="inlineStr"/>
      <c r="F84" t="inlineStr"/>
      <c r="G84" t="inlineStr">
        <is>
          <t>Bellevue, WA</t>
        </is>
      </c>
      <c r="H84" t="inlineStr"/>
      <c r="I84" t="inlineStr">
        <is>
          <t>**Description**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A3107447</t>
        </is>
      </c>
    </row>
    <row r="85">
      <c r="A85" t="inlineStr">
        <is>
          <t>li-4286260092</t>
        </is>
      </c>
      <c r="B85" t="inlineStr">
        <is>
          <t>Senior Partner Enablement Program Manager</t>
        </is>
      </c>
      <c r="C85" t="inlineStr">
        <is>
          <t>Sage</t>
        </is>
      </c>
      <c r="D85" t="inlineStr">
        <is>
          <t>linkedin</t>
        </is>
      </c>
      <c r="E85" t="inlineStr"/>
      <c r="F85" t="inlineStr"/>
      <c r="G85" t="inlineStr">
        <is>
          <t>Atlanta, GA</t>
        </is>
      </c>
      <c r="H85" t="inlineStr"/>
      <c r="I85" t="inlineStr">
        <is>
          <t>**Job Description**
 The Senior Partner Enablement Program Manager will design and deliver initiatives that enhance partner effectiveness and productivity. You will execute programs aligned with regional enablement strategies, collaborating across Sage to ensure timely delivery, effective coaching, and measurable results. This role will help shape the Partner Enablement blueprint—guiding partners from onboarding to excellence—with clear outcomes and timelines. Working closely with teams across the organization, you will define, document, and implement enablement plans that drive regional business objectives.
 This position is HYBRID based on\-site three days per week in our Atlanta, GA , Austin, TX or Beaverton, OR office.
* Partner with partner leadership and enablement colleagues to enhance partner effectiveness through onboarding and continuous enablement
* Deliver partner coaching and performance clinics aligned with the Partner Enablement strategy
* Provide regional expertise to co\-create skills and process enablement with Learning Services
* Manage multiple programs concurrently, ensuring they meet competency requirements and partner goals
* Deliver skills and processes for onboarding new partners and improving their ability to differentiate through the sales process
* Collaborate with subject matter experts and stakeholders to develop and deliver partner enablement content and assets
* Build and deliver skills sessions and ongoing coaching to Partner Leaders, focusing on leveraging tools and reports
* Measure performance improvement, addressing gaps through task\-focused coaching and activities
* Regularly report the impact of enablement activities against agreed performance outcomes and objectives
**Requirements**
* 5\+ years of proven success in Partner Enablement, preferably at a SaaS company. Prior Partner Sales experience preferred.
* Organized with a strong planning inclination
* Ability to independently lead workstreams with limited oversight
* A coach with mature coaching skills
* Innovative, seeks new ways of working and open to experimentation
* Strong presence and ability to articulate messages to diverse audiences
* Ability to establish and maintain strong relationships at mid to senior levels
* Strong business acumen and understanding of organizational challenges
* Ability to travel approximately 8 times per year, including global travel.</t>
        </is>
      </c>
    </row>
    <row r="86">
      <c r="A86" t="inlineStr">
        <is>
          <t>li-4345826110</t>
        </is>
      </c>
      <c r="B86" t="inlineStr">
        <is>
          <t>Sr Program Manager</t>
        </is>
      </c>
      <c r="C86" t="inlineStr">
        <is>
          <t>Burke Porter, an Ascential Technologies Brand</t>
        </is>
      </c>
      <c r="D86" t="inlineStr">
        <is>
          <t>linkedin</t>
        </is>
      </c>
      <c r="E86" t="inlineStr"/>
      <c r="F86" t="inlineStr"/>
      <c r="G86" t="inlineStr">
        <is>
          <t>Corvallis, OR</t>
        </is>
      </c>
      <c r="H86" t="inlineStr"/>
      <c r="I86" t="inlineStr">
        <is>
          <t>The Sr Manager is responsible for leading complex product development and manufacturing programs within our Contract Development and Manufacturing Organization (CDMO). Acting as the primary client interface for program execution, this individual ensures programs are delivered within scope, schedule, and budget while meeting quality and regulatory requirements.
 This role requires a hands\-on leader who combines strong financial acumen, technical program management expertise, and client engagement skills. The Senior Program Manager will lead cross\-functional teams across R\&amp;D, Operations, Manufacturing, Supply Chain, and Quality, driving program execution from initiation through closure. The position is accountable for project financial performance, proactive risk management, and fostering long\-term client relationships by consistently delivering results.
**ESSENTIAL FUNCTIONS (Primary Responsibilities):**
**Program Leadership**
* Serve as the primary client interface throughout program execution, maintaining effective communication and professional relationships.
* Manage programs from initiation through closure, including planning, feasibility, development, verification and transfer phases.
* Lead cross\-functional teams spanning R\&amp;D, Manufacturing, Supply Chain, Quality, and Operations.
* Ability to navigate complex environments and manage diverse groups of stakeholders, ensuring alignment internally and with the client.
* Establish and facilitate project kickoff, phase\-gate reviews, design reviews, and client and internal status meetings.
- 
**Program \&amp; Financial Management**
* Develop and manage detailed project plans, schedules, and deliverables, with clear milestones and dependencies.
* Monitor scope, schedule, and resources, escalating issues and developing contingency plans as needed.
* Report program status, financial performance, risks, and opportunities to executive management and clients with transparency.
* Own program’s financial performance, including revenue, gross margin, change order management, and cash flow.
* Develop and analyze monthly forecasts ensuring target accuracy is obtained. Proactively communicate risks and apply lessons learned to future forecast periods to improve accuracy.
**Compliance \&amp; Risk Management**
* Ensure project execution in alignment with company Quality Management System (QMS), design controls, and applicable regulatory standards (e.g., FDA, ISO).
* Participate in client and regulatory audits as a program representative.
* Identify and actively manage risks and opportunities, implementing response plans and mitigations proactively.
**Client Engagement**
* Provide clear, proactive communication to clients regarding technical progress, schedule, budget, risks, and mitigations.
* Maintain client satisfaction by delivering commitments according to agreed upon success criteria. Build trust through transparency and accountability.
* Collaborate with Business Development to ensure continuity between sales objectives and program execution, supporting scope and budget change discussions as needed.
* Support Business Development with scoping new client projects regarding technical requirements, assumptions, deliverables, schedule, resources, and budget, as needed.
**Continuous Improvement**
* Contributing to success of the PMO by going beyond execution into recognizing patterns, improving processes, and sharing best practices.
* Drive standardization of tools and processes, using metrics to measure impact to guide improvement.
* Incorporate post\-mortems and feedback into future planning to strengthen program execution.
**EDUCATION, EXPERIENCE, SKILLS AND ABILITIES REQUIRED:**
**Education:**
 Bachelor’s degree in engineering, life sciences, or related field (advanced degree a plus).
 PMP certification highly preferred.
**Experience:**
 10\+ years of program/project management experience in a CDMO, medical device, biotech, or regulated manufacturing environment.
**Essential Knowledge, Skills \&amp; Abilities:**
* Demonstrated leadership skills.
* Knowledge of standard Project Management processes and methods.
* Ability to “get things done” in a growing organization – willingness to fill gaps and wear multiple hats.
* Understanding of product development and manufacturing for regulated medical products.
* Ability to create and manage complex schedules with detailed work breakdown structures.
* Ability to create and manage program budgets.
* Excellent interpersonal skills for collaboration and teamwork (internally and with clients).
* Excellent communication and presentation skills (written and oral).
* Ability to listen, hear, and accurately assess what is being said (by engineers and clients).
* Ability to predict key business risk areas and determine mitigation steps.
* Ability to assess complex situations, ask insightful questions, and determine the best path forward (often with incomplete data).
* Ability and willingness to have challenging program conversations with clients and/or employees when required (in a timely and professional manner).
* Ability to produce high quality Power Point presentations for Phase Gate Reviews and client presentations.
* Ability to remain calm and professional in stressful situations.
* Knowledge of NPI processes, complexities, and best practices.
* Positive attitude with the ability to motivate and inspire the best in others.
**Job Complexity:**
 Works independently on highly complex issues of diverse scope where analysis of situation or data requires evaluation of a variety of factors, including an understanding of client needs, company capabilities, risk factors, and program trade\-offs. Goals are generally communicated in "solution" or project goal terms. Provides leadership in the work group through knowledge in the area of specialization. Develops solutions to address complex issues on highly constrained projects. Overall responsibility for the success of the project.
**INTERACTION:**
 Frequently interacts with subordinate supervisors, customers, and/or functional peer group managers, normally involving matters between functional areas, other company divisions or units, or customers and the company. Often must lead a cooperative effort among members of a project team.
**SUPERVISION:**
 Manages, perhaps through subordinate supervisors, the coordination of the activities of a section or department with responsibility for results, including costs, methods, and staffing. In some instances, this manager may be responsible for a functional area and not have any subordinate employees.
 This is an on\-site position in Corvallis Oregon.
 Compensation is based on several factors, including experience, skills, education, and job\-related knowledge. In addition to base salary, Ascential offers a comprehensive benefits package.</t>
        </is>
      </c>
    </row>
    <row r="87">
      <c r="A87" t="inlineStr">
        <is>
          <t>li-4315150139</t>
        </is>
      </c>
      <c r="B87" t="inlineStr">
        <is>
          <t>Principal Product Manager, Ship with Amazon</t>
        </is>
      </c>
      <c r="C87" t="inlineStr">
        <is>
          <t>Amazon</t>
        </is>
      </c>
      <c r="D87" t="inlineStr">
        <is>
          <t>linkedin</t>
        </is>
      </c>
      <c r="E87" t="inlineStr"/>
      <c r="F87" t="inlineStr"/>
      <c r="G87" t="inlineStr">
        <is>
          <t>Arlington, VA</t>
        </is>
      </c>
      <c r="H87" t="inlineStr"/>
      <c r="I87" t="inlineStr">
        <is>
          <t>**Description**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A3107447</t>
        </is>
      </c>
    </row>
    <row r="88">
      <c r="A88" t="inlineStr">
        <is>
          <t>li-4368225516</t>
        </is>
      </c>
      <c r="B88" t="inlineStr">
        <is>
          <t>Senior Technical Program Manager, Advanced Energy Technologies</t>
        </is>
      </c>
      <c r="C88" t="inlineStr">
        <is>
          <t>Google</t>
        </is>
      </c>
      <c r="D88" t="inlineStr">
        <is>
          <t>linkedin</t>
        </is>
      </c>
      <c r="E88" t="inlineStr"/>
      <c r="F88" t="inlineStr"/>
      <c r="G88" t="inlineStr">
        <is>
          <t>Mountain View, CA</t>
        </is>
      </c>
      <c r="H88" t="inlineStr"/>
      <c r="I88" t="inlineStr">
        <is>
          <t>Applicants in San Francisco: Qualified applications with arrest or conviction records will be considered for employment in accordance with the San Francisco Fair Chance Ordinance for Employers and the California Fair Chance Act.
 Applicants in Washington: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**New York, NY, USA; Mountain View, CA, USA; Seattle, WA, USA; San Francisco, CA, USA** 
 .
 **Minimum qualifications:**
* Bachelor’s degree in Engineering (Mechanical, Electrical, Nuclear, Chemical, or other), Physics, or a related technical field, or equivalent practical experience.
* 8 years of experience in program management.
* 8 years of experience in technology assessment, Research and Development (R\&amp;D) management, or technical consulting within the energy sector.
* Experience performing technical due diligence for energy projects or venture capital/private equity investments.
* Experience with power systems and the technical requirements for integrating advanced energy technologies into the grid.
**Preferred qualifications:**
* PhD in a relevant engineering or scientific field.
* 8 years of experience managing cross\-functional or cross\-team projects.
* Experience in the development or deployment of "first\-of\-a\-kind" (FOAK) energy technologies (e.g., advanced reactors, next\-gen geothermal, or novel energy storage technologies).
* Experience with project finance technical requirements and working with Independent Engineers (IEs).
* Experience building cross\-functional roadmaps that align technical capabilities with commercial and sustainability goals.
* Ability to translate technical data into insights for executive\-level decision\-making.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Google Advanced Energy Technologies team is seeking a highly Technical Program Manager to lead technology road mapping and technical diligence efforts.
 In this role, you will be the primary technical authority evaluating the viability and scalability of advanced energy solutions. You will be responsible for defining the long\-term technology roadmaps that guide Google's clean energy investments and performing technical and project\-level diligence to support the formation of commercial partnerships.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maintain comprehensive technology roadmaps for key sectors, including next\-gen geothermal, advanced nuclear, and long\-duration storage, to inform Google’s long\-term energy procurement and investment strategies.
* Conduct evaluations of emerging technologies, assessing Technology Readiness Levels (TRL), performance claims, manufacturing scalability, and potential for cost reduction.
* Manage technical assessments of specific project opportunities, evaluating engineering designs, technical milestones, project delivery plans, and execution risks.
* Partner closely with the commercial team to provide the technical foundation for agreements, ensuring that partnership structures and performance guarantees are technically sound.
* Monitor the global emerging energy technology landscape and maintain relationships with the startups ecosystem, national labs, and academic institutions to ensure Google remains at the forefront of energy innovation.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9">
      <c r="A89" t="inlineStr">
        <is>
          <t>li-4368221563</t>
        </is>
      </c>
      <c r="B89" t="inlineStr">
        <is>
          <t>Senior Lead Technical Program Manager, Network Demand Management</t>
        </is>
      </c>
      <c r="C89" t="inlineStr">
        <is>
          <t>Google</t>
        </is>
      </c>
      <c r="D89" t="inlineStr">
        <is>
          <t>linkedin</t>
        </is>
      </c>
      <c r="E89" t="inlineStr"/>
      <c r="F89" t="inlineStr"/>
      <c r="G89" t="inlineStr">
        <is>
          <t>Sunnyvale, CA</t>
        </is>
      </c>
      <c r="H89" t="inlineStr"/>
      <c r="I89" t="inlineStr">
        <is>
          <t>**Minimum qualifications:**
* Bachelor's degree in a technical field, or equivalent practical experience.
* 10 years of experience in program management.
* 7 years of experience in leadership role(s) with direct reports.
**Preferred qualifications:**
* Experience defining system or process requirements, building, integrating, or delivering layer 1, layer 2 or layer 3 network systems.
* Understanding of the technical and process challenges associated with network forecasting and planning.
* Ability to collaborate and influence stakeholders at all levels, bridging the gap between technical engineering staff and executive leadership.
* Ability to manage multiple priorities in a busy, ambiguous environment, delivering timely results with excellent organizational skills and attention to detail.
* Excellent problem\-solving and financial skills e.g., business/project budget creation and cost\-benefit analysis.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In this role, you will be at the forefront of scaling Google's global network by leading the team responsible for managing and optimizing Google's network demand and forecasting. You will drive the strategy, forecasting, and operational excellence required to scale Google's network infrastructure in a highly complex environment. You will leverage your expertise in networking, advanced data analytics, and process optimization to deliver predictable, high\-quality forecasts and demands that directly enable Google's business goals. Most importantly, you will be passionate about the growth and culture of their team. Looking to deliberately develop and grow a culture that enables creative solutions and drives positive impact on the wider organization.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**Responsibilities**
* Define and drive the long\-term strategy for network demand generation, aligning team goals with wider organizational objectives and key results (OKRs).
* Manage and optimize end\-to\-end forecast and demand generation processes, including defining new workflows for onboarding new network products.
* Lead comprehensive data analysis and metric development to enhance forecasting accuracy, utilizing interactive dashboards to drive informed decision\-making.
* Coach, mentor, and develop direct reports and next\-in\-line leaders, ensuring a strong team identity and cohesion.
* Identify needs for change and drive scalable, continuous improvement initiatives across the organization, establishing company\-wide best practices. Communicate insights effectively to stakeholders from engineers to Vice Presidents, reconciling conflicting priorities to maximize business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0">
      <c r="A90" t="inlineStr">
        <is>
          <t>li-4368806569</t>
        </is>
      </c>
      <c r="B90" t="inlineStr">
        <is>
          <t>Sr Program Manager, Virtual Events</t>
        </is>
      </c>
      <c r="C90" t="inlineStr">
        <is>
          <t>CyberRisk Alliance</t>
        </is>
      </c>
      <c r="D90" t="inlineStr">
        <is>
          <t>linkedin</t>
        </is>
      </c>
      <c r="E90" t="inlineStr"/>
      <c r="F90" t="inlineStr"/>
      <c r="G90" t="inlineStr">
        <is>
          <t>New York, NY</t>
        </is>
      </c>
      <c r="H90" t="inlineStr"/>
      <c r="I90" t="inlineStr">
        <is>
          <t>**Sr Program Manager, Virtual Events** 
**Location: NYC, NY or Remote** 
**Reporting to: Director Customer Success, Events** 
 The Sr. Program Manager, Virtual Events is responsible for managing all aspects of CRA’s virtual events, including production schedules for logistics, sponsor fulfillment, marketing and content to ensure successful event delivery and exceptional customer experience. This role partners closely with internal teams and serves as a lead resource within Client Success, supporting the CSS customer success team and applicable integrations.
**Primary Job Responsibilities:**
 Client Success \&amp; Sponsor Management
* Create production schedules with timelines and owners for each virtual event. Follow up with owners to ensure all deliverables are on time. Schedule and lead a weekly stakeholder meeting as necessary
* Coordinate with Production to ensure event readiness, content accuracy, and technology quality
* Manage pre\-production content logistics, including speaker engagement, recordings, agendas, and timelines
* Manage virtual event sponsor communications, collect and track deliverables (content, speakers, logos, booths), and ensure on\-time fulfillment
* Ensure customer communication timelines are aligned with production deadlines
* Document client interactions and workflows in CRM and project management tools
* Act as a customer advocate to ensure maximum value and satisfaction
* Own sponsor speaker communications, including panels, and ensure delivery of recorded event materials
 Team Leadership \&amp; Support
* Lead onboarding and training for new CSS team members
* Provide day\-to\-day support and guidance to CSS CSMs on processes and event execution
* Monitor customer outreach schedules, inbox traffic and SLAs for the CSS team.
* Manage end\-to\-end execution of custom virtual events, serving as primary client contact and ensuring scope alignment
* Assist with integration, migration and process alignment for any incoming events or new products
 Qualifications
* Bachelor’s degree in Marketing, Communications, Business, Event Management, or a related field (or equivalent experience)
* 5\+ years of experience in program management, virtual event production, client success, or sponsorship/event operations
* Proven ability to manage multiple virtual events and timelines simultaneously with strong attention to detail
* Experience building and managing production schedules, deliverables, and stakeholder accountability
* Strong client\-facing skills with experience managing sponsors, speakers, and partner communications
* Familiarity with virtual event platforms and event technology workflows (webinars, livestreams, recordings, speaker prep, etc.)
* Ability to collaborate cross\-functionally with internal teams (Production, Marketing, Sales, Client Success) to ensure successful event execution
* Strong project management skills and comfort working in CRM and project management tools (Salesforce, HubSpot, Monday.com, etc.)
* Excellent written and verbal communication skills, including leading stakeholder meetings and coordinating follow\-ups
* Ability to document processes, manage workflows, and maintain clear internal reporting
* Experience supporting and training team members, including onboarding and process guidance
* Customer\-first mindset with a focus on sponsor fulfillment, customer satisfaction, and high\-quality delivery
**Job Information (NYC)** 
 For individuals assigned and/or hired to work in New York City, CRA is required by law to include a reasonable estimate of the compensation range for this role. This compensation range is specific to New York City and takes into account numerous factors that are considered in making compensation decisions including but not limited to a candidates' qualifications, skills, competencies, experience and location.  A reasonable estimate of the current range is $70,000 to $80,000, which does not include other compensation benefits package.
**Equal Employment Opportunity** 
 CyberRisk Alliance is committed to equal employment and advancement opportunity for all employees 
 and candidates for employment without regard to race, color, ancestry, national origin, religious creed, 
 gender, physical or mental disability, veteran status, sexual orientation, age, or marital status in 
 accordance with the applicable laws and regulations.
**About CyberRisk Alliance** 
 CyberRisk Alliance provides business intelligence that helps the cybersecurity ecosystem connect, share knowledge, accelerate careers, and make smarter and faster decisions. Through our trusted information brands, network of experts, and innovative events we provide cybersecurity professionals with actionable insights and act as a powerful extension of cybersecurity marketing teams. Our brands include SC Media, the Official Cybersecurity Summits, TECHEXPO Top Secret. Security Weekly, InfoSec World, Identiverse, Cybersecurity Collaboration Forum, Cybersecurity Collaborative, ChannelE2E, MSSP Alert, LaunchTech Communications, Execweb and ChannelPro Network. Learn more at www.cyberriskalliance.com.</t>
        </is>
      </c>
    </row>
    <row r="91">
      <c r="A91" t="inlineStr">
        <is>
          <t>li-4368662136</t>
        </is>
      </c>
      <c r="B91" t="inlineStr">
        <is>
          <t>Director, Technical Program Manager</t>
        </is>
      </c>
      <c r="C91" t="inlineStr">
        <is>
          <t>Capital One</t>
        </is>
      </c>
      <c r="D91" t="inlineStr">
        <is>
          <t>linkedin</t>
        </is>
      </c>
      <c r="E91" t="inlineStr"/>
      <c r="F91" t="inlineStr"/>
      <c r="G91" t="inlineStr">
        <is>
          <t>Richmond, VA</t>
        </is>
      </c>
      <c r="H91" t="inlineStr"/>
      <c r="I91" t="inlineStr">
        <is>
          <t>Are you interested in leading programs that deliver on critical business goals and build large scale products \&amp; platforms?
 About Capital One: At Capital One, we’re changing banking for good. We were founded on the belief that no one should be locked out of the financial system. We’re dedicated to helping foster a world where everyone has an equal opportunity to prosper.
 We’re a bank, but we don’t think like one. We’re always thinking about what’s next, about how we can innovate and inspire, and about how we can develop the tools our customers need to improve their financial lives \- by leveraging best in class technology. That’s where you come in.
 As a Director of Technical Program Management (TPM) on Capital One’s Card Tech \- Servicing Platforms organization, we’re looking for someone that can help us build solid platforms that will help Capital One customers have incredible and seamless experiences. The servicing platforms are the foundational blocks on which Capital One’s various lines of businesses rely on for servicing our customers.
****Our TPM Directors have:****
* Strong technical backgrounds (ideally building highly scalable platforms, products, or services) with the ability to proactively identify and mitigate technical risks throughout delivery life\-cycle
* Exceptional communication and collaboration skills
* Excellent problem solving and influencing skills
* A quantitative approach to problem solving and a collaborative implementer to holistic solutions; a systems thinker
* Experience as a TPM leader to grow and develop a team of TPMs, while also building the foundations for the TPM practice
* Ability to simplify the technically complex and drive well\-educated decisions across product, engineering, design, and data science representatives
* Deep focus on execution, follow\-through, accountability, and results
* Exceptional cross\-team collaboration; able to work across different functions, organizations, and reporting boundaries to get the job done.
* Highly tuned emotional intelligence, good listener, and deep seated empathy for teams and partners
****Basic Qualifications:****
* Bachelor's Degree
* At least 7 years of experience managing technical programs
**Preferred Qualifications:**
* Bachelor's degree in a related technical field (Computer Science, Software Engineering)
* MBA or Master’s Degree in a related technical field (Computer Science, Software Engineering) or equivalent experience
* 7\+ years of experience designing and building data\-intensive solutions using distributed computing
* 3\+ years of experience in building distributed systems and highly available services using cloud computing services and architecture \- preferably using AWS
* 3\+ years experience building highly scalable mobile products and platforms
* 3\+ years of experience with Agile delivery
* 3\+ years years experience delivering large and complex programs \- where you own the business or technical vision, collaborate with large cross\-functional teams, secure commitments on deliverables and unblock teams to land business impact
* Experience in building systems and solutions within a highly regulated environment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$230,400 \- $263,000 for Director, Technical Program Management
 Plano, TX: $209,500 \- $239,100 for Director, Technical Program Management
 Richmond, VA: $209,500 \- $239,100 for Director, Technical Program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2">
      <c r="A92" t="inlineStr">
        <is>
          <t>li-4328689766</t>
        </is>
      </c>
      <c r="B92" t="inlineStr">
        <is>
          <t>Operations Program Manager - Global Construction and Facilities</t>
        </is>
      </c>
      <c r="C92" t="inlineStr">
        <is>
          <t>ALO</t>
        </is>
      </c>
      <c r="D92" t="inlineStr">
        <is>
          <t>linkedin</t>
        </is>
      </c>
      <c r="E92" t="inlineStr"/>
      <c r="F92" t="inlineStr"/>
      <c r="G92" t="inlineStr">
        <is>
          <t>Beverly Hills, CA</t>
        </is>
      </c>
      <c r="H92" t="inlineStr"/>
      <c r="I92" t="inlineStr">
        <is>
          <t>**WHY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We’re hiring an Operations Program Manager to partner with the Global Construction \&amp; Facilities team to drive program and process excellence across store development and facilities operations. This hands\-on program role will design, implement, and continuously improve workflows, tooling, onboarding, and AI\-enabled automation that increase velocity, consistency, and data\-driven decision making across real estate, design and construction. The ideal candidate understands the full lifecycle of store development (real estate, design, construction and handoff to operations), thinks strategically about short\- and long\-term roadmaps, and can translate vision into pragmatic programs, tools and measurable outcomes.
 This role reports directly to the VP of Construction \&amp; Facilities and will also hold a dotted\-line relationship into Regional Construction \&amp; Facilities Directors to ensure regional alignment, adoption and feedback loops. It is both strategic and operational — owning program roadmaps, requirements, vendor/partner evaluation, cross\-functional change management, and the hands\-on delivery of tooling, integrations, and training to ensure high adoption and business impact.
**RESPONSIBILITIES**
* Own the program roadmap for process, tooling, and automation across Construction \&amp; Facilities — prioritize initiatives that deliver the greatest operational leverage and ROI.
* Map, document, and continually refine end\-to\-end workflows for store development (site selection / landlord work, design iterations, permitting, construction, closeout, and facilities handover).
* Drive design, implementation and adoption of project management and facilities management platforms and supporting tools (e.g., Smartsheet, Procore / PlanGrid / Autodesk, Service Channel or equivalents). Lead configuration, templates, reporting, and governance.
* Lead AI enablement and automation initiatives — identify opportunities, develop pilots (e.g., document classification, automated notifications, schedule risk detection), and operationalize successful pilots into production.
* Build and maintain integrations between systems (PM platforms, finance, asset/facilities systems, reporting) to ensure a single source of truth for project data and KPIs.
* Establish program governance, success metrics, SLAs and reporting that provide transparency to senior leadership and cross\-functional stakeholders.
* Lead onboarding and training programs (playbooks, workshops, office hours) to drive consistent adoption and maturity across regional teams and external partners.
* Partner tightly with Real Estate, Store Design, Construction, Facilities, Operations, IT and Finance to align on requirements, timelines and change management plans; actively engage Regional Construction \&amp; Facilities Directors via the dotted\-line relationship to surface regional needs and ensure rollout fidelity.
* Evaluate and manage external technology vendors and professional services partners; write RFPs, manage selections and oversee implementations.
* Run pilot programs and iterative releases — collect user feedback, measure outcomes, and roll out scalable solutions.
* Provide regular executive updates and deliver clear presentations that communicate strategy, status, risks and outcomes.
* Serve as a subject matter expert on process best practices across retail store development and facilities operations.
**QUALIFICATIONS**
* 7\+ years of program / operations / product management experience supporting construction, facilities, or store development programs (retail experience highly preferred).
* Demonstrated understanding of the full store development lifecycle including real estate/lease milestones, design review cycles, permitting, construction delivery and closeout / operational handoff.
* Hands\-on experience implementing and administering Smartsheet and at least one construction PM platform (Procore, PlanGrid, Autodesk BIM 360 or equivalent).
* Proven track record delivering process automation, system integrations, or AI/machine learning pilots into production.
* Strong technical aptitude with experience defining requirements for integrations, data models and dashboards (experience with APIs, ETL or BI tools is a plus).
* Excellent communicator and presenter — able to synthesize complex concepts for executives and build buy\-in across distributed teams.
* Strong project and change management skills with experience building training and onboarding programs.
* Comfortable operating in a fast\-paced environment — self\-driven, curious, and able to balance big\-picture strategy with tactical execution.
* Bachelor’s degree in Construction Management, Engineering, Business, or related field (or equivalent experience). PMP, Lean, or Agile certifications a plus.
 For CA residents, Job Applicant Privacy Policy HERE.</t>
        </is>
      </c>
    </row>
    <row r="93">
      <c r="A93" t="inlineStr">
        <is>
          <t>li-4368684647</t>
        </is>
      </c>
      <c r="B93" t="inlineStr">
        <is>
          <t>Security Analytics - Senior Product Manager (Workflows and Automation)</t>
        </is>
      </c>
      <c r="C93" t="inlineStr">
        <is>
          <t>Elastic</t>
        </is>
      </c>
      <c r="D93" t="inlineStr">
        <is>
          <t>linkedin</t>
        </is>
      </c>
      <c r="E93" t="inlineStr"/>
      <c r="F93" t="inlineStr"/>
      <c r="G93" t="inlineStr"/>
      <c r="H93" t="inlineStr"/>
      <c r="I93"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Elastic is looking for a
 **Senior Product Manager** 
 to join the Elastic Security product team with a focus on
 **workflows and automation** 
 . In this role, you will report to a
 **Director of Product Management** 
 and help define how Elastic customers automate work across complex systems.
 This is a
 **growth role** 
 for a product manager who enjoys building horizontal capabilities, thinks in systems and flows, and is motivated by reducing human toil through well\-designed automation.
**What You Will Be Doing:**
 As a Senior Product Manager for Workflows \&amp; Automation, you will:
* Own and evolve core workflow and automation capabilities used across Elastic Security, including orchestration, triggers, actions, integrations, and control flow
* Design automation that supports end\-to\-end security workflows, while remaining flexible enough to apply to adjacent and future use cases
* Partner closely with engineering to build scalable, extensible automation primitives that work across diverse tools, data sources, and environments
* Conduct deep customer discovery with security teams to understand operational patterns, pain points, and where automation provides the most leverage
* Translate workflow needs into clear product direction, roadmaps, and measurable outcomes
* Collaborate across product areas (Security, Platform, Integrations, UX) to ensure workflows feel cohesive, intuitive, and composable
* Help define positioning and differentiation for Elastic’s approach to workflows, particularly relative to traditional SOAR tools and bespoke automation
* Support customer\-facing engagements, including roadmap discussions, design partnerships, and feedback sessions
**What You Bring:**
* Think in terms of systems, workflows, and outcomes, not just individual features
* Balance flexibility and power with usability, guardrails, and operational safety
* Work effectively with engineers on integration\-heavy, event\-driven systems
* Communicate complex concepts clearly to a wide range of stakeholders
* Make progress in ambiguous problem spaces through iteration and learning
* Workflow automation and orchestration platforms, whether in security, IT, DevOps, or adjacent domains
* Event\-driven architectures, integrations, and API\-first systems
* Security operations concepts and workflows (or you have the ability and curiosity to learn them quickly)
* Cloud platforms and services (AWS, GCP, Azure)
* Distributed systems and system\-to\-system communication
* The broader ecosystem of automation tools, platforms, and approaches
* 4–6 years in product management or a closely related technical role
* Building products that span multiple systems, integrations, or teams
* Owning roadmap areas that require balancing platform capabilities with concrete user workflows
* A strong interest in automation, systems design, and product craftsmanship
* Empathy for operators and practitioners working in high\-signal, high\-volume environments
* Comfort working in a distributed, fast\-moving organization
* Excellent collaboration and communication skills
* A BS/MS degree in engineering, computer science, information security, or equivalent practical experience
 This role is a strong fit if you:
* Have built or owned workflow automation, orchestration, or integration\-heavy products, whether in security, DevOps, IT operations, SaaS platforms, or infrastructure tooling
* Enjoy working on horizontal capabilities that power many use cases, rather than narrowly scoped features
* Think in terms of flows, states, triggers, and outcomes, and care deeply about how systems behave in real operational environments
* Are comfortable working on products where flexibility and guardrails must coexist
* Have partnered closely with engineering teams on complex, distributed, or event\-driven systems
* May not be a security expert today, but are excited to learn the security domain and apply your automation experience to high\-impact workflows
* Care about reducing manual toil and helping teams scale through better systems, not more people.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country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
 Please see here for our Privacy Statement.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$133,100—$210,600 USD
 The typical starting salary range for this role in the select locations listed above is:
 $159,900—$252,900 USD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row>
    <row r="94">
      <c r="A94" t="inlineStr">
        <is>
          <t>li-4361290712</t>
        </is>
      </c>
      <c r="B94" t="inlineStr">
        <is>
          <t>Material Program Manager</t>
        </is>
      </c>
      <c r="C94" t="inlineStr">
        <is>
          <t>Raytheon</t>
        </is>
      </c>
      <c r="D94" t="inlineStr">
        <is>
          <t>linkedin</t>
        </is>
      </c>
      <c r="E94" t="inlineStr"/>
      <c r="F94" t="inlineStr"/>
      <c r="G94" t="inlineStr">
        <is>
          <t>Tucson, AZ</t>
        </is>
      </c>
      <c r="H94" t="inlineStr"/>
      <c r="I94" t="inlineStr">
        <is>
          <t>**Date Posted:**
 2026\-01\-12
**Country:**
 United States of America
**Location:**
 AZ807: RMS AP Bldg 807 1151 East Hermans Road Building 807, Tucson, AZ, 85756 USA
**Position Role Type:**
 Onsite
**U.S. Citizen, U.S. Person, or Immigration Status Requirements:**
 The ability to obtain and maintain a U.S. government issued security clearance is required.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Standard Missile 3 team is seeking an experienced supply chain professional to join the SM\-3 IIA program as a Material Program Manager located onsite in Tucson, Arizona. We are looking for a self\-starter who can develop and achieve program objectives in a matrixed environment and is able to successfully interface with functional and program leadership. In this role, you will be the liaison between Supply Chain and the Program Team for Supply Chain. This role will support development and obsolescence efforts, ensuring material strategies align with evolving program requirements and integration into the production flow. This includes identifying future at\-risk components, developing mitigation plans, and supporting overall material readiness. You’ll contribute to the execution of Material Program Strategies and Plans to ensure the flawless execution of products and programs from the front end of the business through integration to production.
 The successful candidate will influence and communicate effectively across multiple areas outside of one’s own job function as well as with parties external to the organization.
***Applicant must be located in Tucson or willing to relocate. There is NO relocation assistance for this role.***
**What You Will Do:**
- Brief program and customer leadership teams on Supply Chain status, material constraints and risk mitigation or opportunity capture plans
- Support supplier negotiations and drive PO placement as required to meet program cost and schedule objectives
- Contribute to timely and compliant quarterly Estimates At Completion (EACs) to include Risk \&amp; Opportunity management
- Identifying Customer Prime Contract Flow\-Downs and obtaining any required Terms Attachments (T\-Attachments) and/or Modifications (TCMs).
- Assisting with the generation of Supplier Statements of Work (SSOWs).
- Generating Supplier Request for Information/Proposals/Quotes (RFIs/RFPs/RFQs) and obtaining and understanding supplier proposals/quotes.
- Generating and processing Supplier New Add / Re\-Activation requests.
- Participating in and co\-leading supplier engagements and reviews to ensure supplier performance.
 Willingness to travel domestically/internationally, as required (expected to be
**Qualifications You Must Have:**
* Typically requires: A University Degree or equivalent experience and minimum 8 years prior relevant experience, or An Advanced Degree in a related field and minimum 5 years experience
* Experience in Program Management, Material Program Management, Procurement, Contracts, Finance, Operations, and/or Strategic Sourcing
* Experienced professional who has worked in an Integrated Product Team (IPT) environment.
* Experience in Microsoft Office (Word, Excel, Power Point).
* The ability to obtain and maintain a U.S. government issued security clearance is required. U.S. citizenship is required, as only U.S. citizens are eligible for a security clearance.
**Qualifications We Prefer:**
* Experience with Supply Chain, Production Control, and/or Procurement processes and requirements.
* Experience in Microsoft Office (Word, Excel, Power Point).
* Procurement / supplier management experience
* CORE or similar Six Sigma Specialist
* Proposals/Estimating and/or Basis of Estimates (BOEs) experience
* Experience with Prime Contract Requirements and Statements of Work (SSOWs).
* Experience using supply chain planning tools (i.e. SAP, Kinaxis, etc.)
* Execution experience of multiple program and contract types (i.e EMD, LRIP, FRP, Cost and Fixed Price)
* Excellent reporting/communication skills.
**What We Offer:**
*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95">
      <c r="A95" t="inlineStr">
        <is>
          <t>li-4368660460</t>
        </is>
      </c>
      <c r="B95" t="inlineStr">
        <is>
          <t>Senior Easements Program Manager</t>
        </is>
      </c>
      <c r="C95" t="inlineStr">
        <is>
          <t>Microsoft</t>
        </is>
      </c>
      <c r="D95" t="inlineStr">
        <is>
          <t>linkedin</t>
        </is>
      </c>
      <c r="E95" t="inlineStr"/>
      <c r="F95" t="inlineStr"/>
      <c r="G95" t="inlineStr">
        <is>
          <t>Redmond, WA</t>
        </is>
      </c>
      <c r="H95" t="inlineStr"/>
      <c r="I95" t="inlineStr">
        <is>
          <t>**Overview**
 Cloud Operations and Innovation (CO\+I) delivers the global datacenter infrastructure capacity that powers Microsoft’s cloud platform. Within CO\+I, the Land Development team enables cloud growth by delivering and pre\-positioning real estate, land rights, and infrastructure access required to support datacenter development at scale.
 Easements to support the delivery of datacenter capacity are increasingly prevalent and complex. The
 **Senior Easements Program Manager** 
 leads end\-to\-end execution of easements and related real estate instruments (power, water, fiber, access, and other critical infrastructure) to keep development and build milestones on track across a fast\-moving, multi\-stakeholder portfolio.
 This role partners closely with Land Development Managers, Acquisition Managers, Engineering \&amp; Design, Utilities, Fiber, Construction, and Legal, as well as external parties (utilities, landowners, public agencies, and consultants). The ideal candidate brings strong program and transaction leadership, a bias for action, and a passion for building scalable, repeatable processes that improve speed, quality, and risk management.
**Responsibilities**
* Drive cross\-team delivery of power, water, fiber, access, and other easements required for datacenter development and infrastructure delivery.
* Lead negotiations and commercial terms with landowners, utilities, public agencies, and other counterparties to secure timely execution.
* Project\-manage external land/ROW suppliers and consultants; set scope, priorities, timelines, and quality expectations, and remove blockers.
* Partner with internal and external legal counsel to streamline drafting, review, approvals, and signature workflows to meet critical deadlines.
* De\-risk easement delivery by engaging early in site diligence (e.g., title/ALTA review inputs, constraints identification, and market/authority research) and coordinating mitigation plans.
* Own stakeholder communication and reporting: track milestones, risks, dependencies, and decisions; provide clear, executive\-ready updates.
* Drive standardization and continuous improvement: create repeatable playbooks, templates, and automation/controls to improve predictability and reduce cycle time.
**Qualifications**
**Required/Minimum Qualifications:**
* Bachelor's Degree in Business Management, Real Estate, Project Management, or related field AND 5\+ years of experience in infrastructure real estate delivery, right\-of\-way, and/or easement acquisition and negotiation across multiple utility/infrastructure types OR relevant experience OR 7\+ years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While not required, we also look for the following
 **Preferred Qualifications:**
* Bachelor's Degree in Business Management, Real Estate, Project Management, or related field AND 7\+ years of experience in infrastructure real estate delivery, right\-of\-way, and/or easement acquisition and negotiation across multiple utility/infrastructure types OR 10\+ years equivalent experience.
* Direct datacenter development, utility delivery, or large\-scale linear infrastructure experience.
* Experience working in a large, matrixed organization and/or across multiple geographies.
* Familiarity with route engineering constraints for fiber, water, and power projects.
* Experience with project scheduling tools (e.g., Microsoft Project) and process automation/standardization.
* Demonstrated ability to manage multiple concurrent transactions and stakeholders, prioritize effectively, and deliver results under time pressure.
* Negotiation, written and verbal communication, and executive\-ready stakeholder management skills.
* Proficiency with Microsoft tools (Outlook, Excel, PowerPoint, Word, SharePoint) and comfort tracking workflows and reporting milestones.
 \#COICareers \| \#EPCCareers \| \#DCDCareers
 Real Estate Portfolio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li-4368641638</t>
        </is>
      </c>
      <c r="B96" t="inlineStr">
        <is>
          <t>Recreation Program Manager (Athletics)</t>
        </is>
      </c>
      <c r="C96" t="inlineStr">
        <is>
          <t>Town of Garner, NC</t>
        </is>
      </c>
      <c r="D96" t="inlineStr">
        <is>
          <t>linkedin</t>
        </is>
      </c>
      <c r="E96" t="inlineStr"/>
      <c r="F96" t="inlineStr"/>
      <c r="G96" t="inlineStr">
        <is>
          <t>Garner, NC</t>
        </is>
      </c>
      <c r="H96" t="inlineStr"/>
      <c r="I96" t="inlineStr">
        <is>
          <t>**Duties**
 The Town of Garner is seeking a Recreation Program Manager in the Athletics division. This role plans, organizes, and supervises athletic leagues, sports camps and other related programming. The manager provides strong leadership by supervising staff, recruiting volunteers, negotiating contracts, and engaging with the community to enhance athletic programming and build long\-term support. Success in this position requires strategic planning and data analysis to assess program performance, inform future programming offerings, and align operations with municipal goals. This is a great opportunity to contribute to the vitality of the community through recreation and athletic programming.
 **Examples of Duties:**
* Evaluates community needs and effectiveness of programs by working with Town officials, community groups and stakeholders in determining needs and interests; recommends programs, priorities, budgets, and methods necessary to meet those needs; evaluates program successes and needed improvements; implements necessary changes.
* Plans, organizes and manages a variety of programs and activities both directly and through subordinate supervisors oriented toward department mission, vision and goals. This includes planning and scheduling programs and aligning resources, facilities and staff to maximize their impact.
* Coordinates maintenance, construction, and repair for buildings, parks, vehicles, open space, trails, fields, and related facilities with staff in other departments.
* Maintains the master calendar for Avery Street Recreation Center, athletic fields and tennis courts. Manages rental requests for assigned spaces.
* Monitors and assures the safety and clean and neat appearance of recreation centers, community center, theater, parks, and facilities; gives directions to staff for preparation of activities; coordinates maintenance and repair needs with Town staff.
* Participates in, performs and supervises hiring processes for full and part\-time staff; This includes supervising and participating in employee orientation, training, scheduling work assignment, performance coaching and evaluation. Provides team building, coaching, mentoring, and articulation of vision of excellence in leading the division; works proactively to enhance morale and performance excellence.
* Recruits, orients and trains volunteers including coaching, game officials, facility attendants, and auditorium technicians.
* Develops and administers division budget; projects revenues and expenses; purchases materials and maintains inventory of equipment and supply needs; provides input into parks and recreation capital needs planning.
* Leads the marketing and community outreach efforts for the Athletics division by developing and executing strategic communication plans across various channels, including social media, the Town website, and the annual program guide.
* Collects community member feedback through surveys, focus groups and other listening tools; analyzes program data to evaluate success; and uses these insights to drive enrollment and enhance program quality.
* Provides necessary liaison with other public and private groups and agencies.
* Prepares and maintains records and reports as needed.
* Represents the department and Town on various committees and groups; establishes and maintains community and regional partnerships; develops and maintains sponsorship plans.
* Provides support to other staff as needed. Performs other related duties as required.
**Minimum Qualifications**
 Applicants must:
* A Bachelor’s Degree from an accredited college or university with degree in Sports Tourism, Parks, Recreation, Business, Physical Education or related field
* Have at least (3\) three years of experience in sports/or athletics
* Have a valid driver’s license in the state of North Carolina
* Have a CPR and/or First Aid certification or be able to obtain within 6 months
 Certified Park and Recreation Professional (CPRP) is highly desirable.
**Additional Information**
 The salary range shown is the hiring range. The starting salary will be determined based on the selected candidate's skills and qualifications.
 This position frequently requires work on nights, weekends, and some holidays to support athletic programs and special events. The normal work schedule is Tuesday through Saturday, with standard hours from 11:00 AM to 8:00 PM on weekdays and 8:00 AM to 5:00 PM on Saturdays.
 Initial interviews may be conducted before the application deadline.
 Equal Opportunity Employer</t>
        </is>
      </c>
    </row>
    <row r="97">
      <c r="A97" t="inlineStr">
        <is>
          <t>li-4368695951</t>
        </is>
      </c>
      <c r="B97" t="inlineStr">
        <is>
          <t>Senior Program Manager, GTO</t>
        </is>
      </c>
      <c r="C97" t="inlineStr">
        <is>
          <t>Johnson &amp; Johnson MedTech</t>
        </is>
      </c>
      <c r="D97" t="inlineStr">
        <is>
          <t>linkedin</t>
        </is>
      </c>
      <c r="E97" t="inlineStr"/>
      <c r="F97" t="inlineStr"/>
      <c r="G97" t="inlineStr">
        <is>
          <t>Cincinnati, OH</t>
        </is>
      </c>
      <c r="H97" t="inlineStr"/>
      <c r="I9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Supply Chain Engineering
**Job Sub Function**
 Project Engineering
**Job Category**
 People Leader
**All Job Posting Locations:**
 Athens, Georgia, United States of America, Cincinnati, Ohio, United States of America, Cornelia, Georgia, United States of America, New Brunswick, New Jersey, United States of America, Raritan, New Jersey, United States of America
**Job Description**
 Johnson \&amp; Johnson is recruiting a Senior Program Manager, Global Technical Operation to join our Ethicon team. This position can be located in Raritan, NJ / Cincinnati, OH / Athens, GA.
**About MedTech**
 Fueled by innovation at the intersection of biology and technology, we’re developing the next generation of smarter, less invasive, more personalized treatments.
 Your unique talents will help patients on their journey to wellness. Learn more at https://www.jnj.com/medtech
 Are you interested in joining a diverse and dynamic team that is helping improve patient care and drive innovation? Apply today.
**Purpose**
 The Senior Program Manager, Global Technical Operations serves as an expert within the technology community and leads program and/or portfolio initiatives for the organization. This role acts as the voice of supply chain during new product introduction for drug delivery devices. Applies analytics and reporting on an array of projects and creates data driven solutions for internal and external partners. Drives effective business decisions and communicates insights on organizational progress.
 The role covers several aspects of Product management: NPI (new product introduction) and LCM (life cycle management)
**Key Responsibilities**
 The scope of the role for NPI
* Partnering with R\&amp;D, Quality, Commercial and Supply Chain teams to establish and implement the most effective strategy for the product manufacturing process
* Working closely with manufacturing site during process introduction and scale\-up phases
* Step in as technical lead of strategic and NPI programs
**Scope Of Responsibilities**
* Build strong functional team, providing depth of knowledge and feedback and coaching to team members.
* Follow defined processes \&amp; procedures related to new product development and life cycle management to ensure compliance and meet business deliverables.
* Identify gaps in existing Processes' and drive improvement activities to close them.
* Define team's budget.
* Support programs/projects budget built.
* Lead Technical workstream in strategic and NPI programs.
* Establish foundation for knowledge transfer and repository.
**The Scope Of Role For LCM**
* Responsible for process excellence via efficient design, ensuring continuous improvement in process, cost, quality and production.
* In the scope of this role, the manager will be allocating resources for process/design change related projects and supporting site engineering resolution of process related issues and non\-conformances.
* The manager will provide guidance to strategic decisions that affect the functional area of responsibility for LCM and NPI.
* Recruit, train and guide resources to improve total performance and productivity.
* Work with teams to ensure optimum levels of operability and maintainability.
* Establish process definitions for all the stages of project life cycle.
* Ensure that the project is performed with good quality and budget control. Evaluate process flows and provide recommendations. Optimize process systems for operational efficiency and cost savings. Plan organizational and technical strategies impacting budget, staffing, goals, and culture. Work with external teams to control manufacturing process of contract manufacturer plants, while managing base business and process changes.
**Qualifications**
 Education: Minimum of Bachelor’s degree and/or equivalent University degree required; focused degree in Engineering or Science related field preferred. Advanced degree or MBA preferred
**Required**
* A minimum of ten (10\) of relevant professional work experience
* Demonstrated experience in managing complex, multi\-functional projects with a focus on innovation and operational excellence.
* Strong knowledge of the medical devices industry, including regulatory requirements and industry trends.
* Project Management experience
* People management/leadership experience.
* Ability to develop program scope, develop people, manage technology, embrace financial goals and use customer\-focused decision making.
* Change management, project management, the ability to work effectively and drive alignment in a global environment through strong communication and empowerment.
* Strong communication and management influence skills.
* Experience leading cross\-functional teams.
* Experience leading medical device New Product Development teams.
* Experience in building business strategies and driving strategy implementation.
**Preferred**
* Medical Device, Pharmaceutical and/or Biologics experience or other regulated industry
* Combination Product experience
* Six Sigma/Process Excellence and/or Project Management/PMP/FPX certification
**Other**
* Position could be based in one of the following locations: Raritan NJ / Athens GA / Cincinnati OH
* May require up to 25% domestic and/or international travel to other locations and sites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
 Agile Decision Making, Budget Management, Collaborating, Customer Centricity, Developing Others, Facilitation, Inclusive Leadership, Leadership, Lean Supply Chain Management, Non\-Conformance Reporting (NCR), Organizational Project Management, Project Engineering, Project Integration Management, Quality Assurance (QA), Regulatory Compliance, Science, Technology, Engineering, and Math (STEM) Application, Scientific Research, Stakeholder Engagement, Team Management
**The anticipated base pay range for this position is :**
 $122,000\.00 \- $212,750\.00
**Additional Description For Pay Transparency**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
 For additional general information on Company benefits, please go to: \- https://www.careers.jnj.com/employee\-benefits</t>
        </is>
      </c>
    </row>
    <row r="98">
      <c r="A98" t="inlineStr">
        <is>
          <t>li-4368666985</t>
        </is>
      </c>
      <c r="B98" t="inlineStr">
        <is>
          <t>Event Marketing Manager, Global Event Services – Executive Meeting Program Manager (Remote US)</t>
        </is>
      </c>
      <c r="C98" t="inlineStr">
        <is>
          <t>Cisco</t>
        </is>
      </c>
      <c r="D98" t="inlineStr">
        <is>
          <t>linkedin</t>
        </is>
      </c>
      <c r="E98" t="inlineStr"/>
      <c r="F98" t="inlineStr"/>
      <c r="G98" t="inlineStr">
        <is>
          <t>Fremont, CA</t>
        </is>
      </c>
      <c r="H98" t="inlineStr"/>
      <c r="I98" t="inlineStr">
        <is>
          <t>The application window is expected to close on: 03/03/2026
**Job posting may be removed earlier if the position is filled or if a sufficient number of applications are received** 
 .
 We are open to candidates in any remote US location.
 We are looking for a Meetings Program Manager responsible for supporting and coordinating Executive meetings for Global Event Services. Working closely with GES leadership and executive stakeholders, you will facilitate the delivery of impactful meeting experiences to drive business growth.
 Reporting to the Global Operations Manager, you will provide program management expertise for the delivery of a new executive meetings services offering. You will help to streamline processes, support service delivery, manage budgets, and utilize your superior planning, organization, and communication skills to keep executive events on track.
**Specific Responsibilities Include**
* Provide dedicated, high\-level program management support for executive meetings, coordinating GES services.
* Serve as the main point of contact for Executive Leadership Team (ELT) Executive Assistants (EAs), quickly turning broad requests into actionable plans with multiple options.
* Coordinate and partner on service delivery across GES support for venue sourcing, activities, contracting, housing, technical, and on\-site logistics needs suitable for executive requirements.
* Collaborate with event stakeholders through clear and frequent communication.
* Identify risk and work to proactively solve challenges before they arise.
**You Are**
* A doer. You enjoy working in a fast\-paced, global organization and have proven experience in building a high\-performing practice. You adapt quickly to provide flexible, tailored support.
* A leader. You have the capacity to lead others to solve complex problems, use sophisticated analytical thought to exercise judgment, and identify innovative solutions.
* An event professional. You have a strong background in the event and experience sector including event strategy, planning, production, budget management, and reporting.
* Solutions\-focused. You are process\-oriented and always looking for ways to drive innovation, improvement, and change with a can\-do attitude.
* Trustworthy. You share responsibility, provide encouragement, and foster open communication. You support others and demonstrate high ethical business practices in everyday actions. You have a strong understanding of executive\-level support, with experience handling high priority requests.
* An excellent communicator. You have excellent written, verbal communication, and presentation skills. You communicate broadly and often, providing clear purpose, direction, goals, and measures.
**Requirements**
* 10\+ years of hands\-on experience in program management support, preferably for large\-scale events in the technology industry, both in the US and globally.
* Proven ability to manage multiple projects and deadlines in a fast\-paced, global environment, with a strong emphasis on virtual teamwork and conference calls.
* Strong track record managing multiple programs, supporting team and task interdependencies, timelines, and budgets.
* Excellent interpersonal, communication (written and verbal), organizational, and time management skills.
* Strong Excel, PowerPoint, SharePoint, Webex, and Cvent skills are required.
* Demonstrates discretion in handling highly confidential and sensitive information.
* Ability to work US business hours.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$208,000\.00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$239,200\.00
**Non\-Metro New York State \&amp; Washington State**
 $145,000\.00 \- $210,200\.00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99">
      <c r="A99" t="inlineStr">
        <is>
          <t>li-4331109716</t>
        </is>
      </c>
      <c r="B99" t="inlineStr">
        <is>
          <t>Tech Infrastructure Program Manager - AV , IT Services - CIS</t>
        </is>
      </c>
      <c r="C99" t="inlineStr">
        <is>
          <t>Amazon</t>
        </is>
      </c>
      <c r="D99" t="inlineStr">
        <is>
          <t>linkedin</t>
        </is>
      </c>
      <c r="E99" t="inlineStr"/>
      <c r="F99" t="inlineStr"/>
      <c r="G99" t="inlineStr">
        <is>
          <t>Seattle, WA</t>
        </is>
      </c>
      <c r="H99" t="inlineStr"/>
      <c r="I99" t="inlineStr">
        <is>
          <t>**Description**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A3114622</t>
        </is>
      </c>
    </row>
    <row r="100">
      <c r="A100" t="inlineStr">
        <is>
          <t>li-4368669951</t>
        </is>
      </c>
      <c r="B100" t="inlineStr">
        <is>
          <t>Event Marketing Manager, Global Event Services – Executive Meeting Program Manager (Remote US)</t>
        </is>
      </c>
      <c r="C100" t="inlineStr">
        <is>
          <t>Cisco</t>
        </is>
      </c>
      <c r="D100" t="inlineStr">
        <is>
          <t>linkedin</t>
        </is>
      </c>
      <c r="E100" t="inlineStr"/>
      <c r="F100" t="inlineStr"/>
      <c r="G100" t="inlineStr">
        <is>
          <t>San Jose, CA</t>
        </is>
      </c>
      <c r="H100" t="inlineStr"/>
      <c r="I100" t="inlineStr">
        <is>
          <t>The application window is expected to close on: 03/03/2026
**Job posting may be removed earlier if the position is filled or if a sufficient number of applications are received** 
 .
 We are open to candidates in any remote US location.
 We are looking for a Meetings Program Manager responsible for supporting and coordinating Executive meetings for Global Event Services. Working closely with GES leadership and executive stakeholders, you will facilitate the delivery of impactful meeting experiences to drive business growth.
 Reporting to the Global Operations Manager, you will provide program management expertise for the delivery of a new executive meetings services offering. You will help to streamline processes, support service delivery, manage budgets, and utilize your superior planning, organization, and communication skills to keep executive events on track.
**Specific Responsibilities Include**
* Provide dedicated, high\-level program management support for executive meetings, coordinating GES services.
* Serve as the main point of contact for Executive Leadership Team (ELT) Executive Assistants (EAs), quickly turning broad requests into actionable plans with multiple options.
* Coordinate and partner on service delivery across GES support for venue sourcing, activities, contracting, housing, technical, and on\-site logistics needs suitable for executive requirements.
* Collaborate with event stakeholders through clear and frequent communication.
* Identify risk and work to proactively solve challenges before they arise.
**You Are**
* A doer. You enjoy working in a fast\-paced, global organization and have proven experience in building a high\-performing practice. You adapt quickly to provide flexible, tailored support.
* A leader. You have the capacity to lead others to solve complex problems, use sophisticated analytical thought to exercise judgment, and identify innovative solutions.
* An event professional. You have a strong background in the event and experience sector including event strategy, planning, production, budget management, and reporting.
* Solutions\-focused. You are process\-oriented and always looking for ways to drive innovation, improvement, and change with a can\-do attitude.
* Trustworthy. You share responsibility, provide encouragement, and foster open communication. You support others and demonstrate high ethical business practices in everyday actions. You have a strong understanding of executive\-level support, with experience handling high priority requests.
* An excellent communicator. You have excellent written, verbal communication, and presentation skills. You communicate broadly and often, providing clear purpose, direction, goals, and measures.
**Requirements**
* 10\+ years of hands\-on experience in program management support, preferably for large\-scale events in the technology industry, both in the US and globally.
* Proven ability to manage multiple projects and deadlines in a fast\-paced, global environment, with a strong emphasis on virtual teamwork and conference calls.
* Strong track record managing multiple programs, supporting team and task interdependencies, timelines, and budgets.
* Excellent interpersonal, communication (written and verbal), organizational, and time management skills.
* Strong Excel, PowerPoint, SharePoint, Webex, and Cvent skills are required.
* Demonstrates discretion in handling highly confidential and sensitive information.
* Ability to work US business hours.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$208,000\.00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$239,200\.00
**Non\-Metro New York State \&amp; Washington State**
 $145,000\.00 \- $210,200\.00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01">
      <c r="A101" t="inlineStr">
        <is>
          <t>li-4368681962</t>
        </is>
      </c>
      <c r="B101" t="inlineStr">
        <is>
          <t>Assistant Program Manager - Hillcrest</t>
        </is>
      </c>
      <c r="C101" t="inlineStr">
        <is>
          <t>Devereux</t>
        </is>
      </c>
      <c r="D101" t="inlineStr">
        <is>
          <t>linkedin</t>
        </is>
      </c>
      <c r="E101" t="inlineStr"/>
      <c r="F101" t="inlineStr"/>
      <c r="G101" t="inlineStr">
        <is>
          <t>Rutland, MA</t>
        </is>
      </c>
      <c r="H101" t="inlineStr"/>
      <c r="I101" t="inlineStr">
        <is>
          <t>**Are you interested in working for a human services agency where the sky is the limit for growth potential?**
**Do you enjoy working with children in need and making a difference in their lives?**
**If you answered YES to either of these questions, then consider joining our Devereux Advanced Behavioral Health team!**
 The pay for this position starts at $22\.79/hour, with additional compensation added for higher education and/or years of relevant experience up to $26\.98/hour.
 This position is located in Rutland, MA.
 The available schedule for this position is Monday, Tuesday, Wedneday and Saturday; 1pm \- 11pm.
**$1,000 Sign\-on Bonus**
**Devereux Massachusetts** 
 serves students with various complex psychological, emotional, and behavioral disorders, including but not limited to Autism Spectrum Disorder. Devereux's Hillcrest program serves males 12\-21 with various Autism Specturm levels, co\-occurring psychiatric disorders and behavioral disorders. With 1 staff to 3 students ratio, this program is focused on increasing independence, coping and social skills, and preparing individuals to move on from Devereux.
**As An Assistant Program Manager, You Will**
* Be passionate about working with and helping youth.
* Provide and ensure therapeutic interventions in a compassionate and safe environment.
* Collaborate with the Program Manager/Director to create program vision and a positive working environment.
* Assist with the planning and implementation of programing for individuals.
* Assist with staffing and other aspects of program management as needed.
* Possess a high level of organizational and communication skills.
**Being an Assistant Program Manager at Devereux has its advantages!**
 You Will Work With Other Dedicated Professionals Who Share Your Passion For Helping Individuals In Need. We Offer You The Privilege Of Being Able To Work Closely With Some Of The Most Vulnerable People In Our Community, Help Build Their Strengths, And Truly Make a Contribution To Improving Their Lives, As Well As
* A fun, fast paced, and supportive environment with opportunities to learn and grow in the Behavioral Healthcare field.
* Being part of an interactive team that includes nursing, education, therapists, psychiatrists and you!
* The ability to have influence in our kid's treatment plans.
* The opportunity to teach at\-risk youth valuable life skills.
**Learn More About Devereux Massachusetts**
**Full\-time benefits include but are not limited to:**
* 192 PTO hours/year and 64 sick hours/year
* 403b retirement account with guaranteed 3% employer contribution and potential for additional 2% match
* Free Life Insurance up to 2x annual salary, not to exceed $200,000
* Blue Cross Health Insurance plans
* Short \&amp; Long Term Disability, Dental, Vision, Accident, Identity Theft, Pet, and more insurance options
* Free Employee Assistance Program for help with mental health, work\-life balance, general\-wellbeing, and more
* Discounts on Hotels, Rental Cars, Theme Parks, Electronics, and more
* Devereux's custom ASCEND career\-accelerator program! You deserve to work somewhere that gives back to you! Devereux is proud to offer ASCEND, the first career\-accelerator program exclusively designed to give behavioral healthcare workers the career guidance, one\-on\-one coaching, skills, and financial assistance you need to reach your full potential. This program includes 100% of tuition covered, up to $15,000 annually for undergraduate and $25,000 annually for graduate, and student loan repayment through SAVI up to $5,200/year, among other benefits!
**Learn More About ASCEND**
**Qualifications**
**Job Requirements**
* Must be 21 years of age or older
* Drivers license required.
* Bachelor’s degree in Rehabilitation Counseling or related degree require
* 1 year previous experience working with individuals with psychological, emotional and behavioral disorders, complex post\-traumatic stress disorder, co\-occurring mental health and substance abuse disorders, and/or autism spectrum disorders required.
* One year of relevant experience in a supervisory role preferred
* Must be willing to obtain MAP Certification within 90 days of hire.
**Schedule**
* 2 weeks New Hire Orientation, Monday \- Friday, 8AM \- 4PM, in Rutland, MA
* Monday, Tuesday, Wedneday and Saturday; 1pm \- 11pm.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102">
      <c r="A102" t="inlineStr">
        <is>
          <t>li-4368812928</t>
        </is>
      </c>
      <c r="B102" t="inlineStr">
        <is>
          <t>Product Manager</t>
        </is>
      </c>
      <c r="C102" t="inlineStr">
        <is>
          <t>Courted</t>
        </is>
      </c>
      <c r="D102" t="inlineStr">
        <is>
          <t>linkedin</t>
        </is>
      </c>
      <c r="E102">
        <f>HYPERLINK("https://www.linkedin.com/jobs/view/4368812928", "https://www.linkedin.com/jobs/view/4368812928")</f>
        <v/>
      </c>
      <c r="F102" t="inlineStr"/>
      <c r="G102" t="inlineStr"/>
      <c r="H102" t="inlineStr"/>
      <c r="I102" t="inlineStr">
        <is>
          <t>**About Courted** 
 Courted is the leading AI\-powered platform for real estate recruiting, retention, and market intelligence. We help brokerages and teams understand agent performance, recruit strategically, and retain top talent – all in one place.
 The real estate industry moves over $100B in annual commissions, and it’s still powered by spreadsheets, cold calls, and guesswork. We’re changing that with AI. Our platform combines data, workflow, and machine learning to make every recruiting and retention decision smarter.
 We’re a high\-growth SaaS company shipping fast, working smart, and building transformative tools for the next generation of real estate leaders.
**The Role** 
 We’re looking for a Product Manager to own Courted’s broker back office experience end\-to\-end. This is a strategic role where you’ll define the vision, roadmap, and execution for the tools that help brokerages run their operations \- from agent onboarding and transaction management to commission tracking and compliance workflows.
 You’ll work closely with brokers and ops leaders to deeply understand their pain points, then translate those insights into a product that delivers measurable value. This isn’t a role where you’ll be handed a spec \- you’ll be defining what we build and why.
 This is ideal for someone with 4\-6 years of product experience who wants meaningful ownership over a critical product area at an early\-stage company with strong product\-market fit and ambitious growth plans.
**What You’ll Do** 
* Own the broker back office product area end\-to\-end: strategy, roadmap, discovery, and delivery
* Conduct deep customer research with brokers and operations teams to understand workflows, pain points, and opportunities
* Define and prioritize features that drive real operational value, from agent onboarding to commission management
* Write clear product requirements and work with engineering and design to ship high\-quality features to automate manual workflows
* Analyze usage data and business metrics to inform roadmap decisions and measure success
* Collaborate with sales and customer success to understand market needs and support go\-to\-market
* Contribute to overall product strategy as a key member of the product team
**What You Bring** 
* 4–6 years of product management experience, ideally in B2B SaaS
* Proven track record of owning a product area end\-to\-end \- from discovery through launch and iteration
* Strong customer empathy and experience conducting user research to inform product decisions
* Ability to think strategically about where a product should go while also diving into execution details
* Excellent written and verbal communication
* Experience working cross\-functionally with engineering, design, and go\-to\-market teams
* Comfort with data and using metrics to inform decisions and measure outcomes
* Familiarity with modern product tools (Jira, Figma, analytics platforms)
* Bonus: Experience with real estate, fintech, or operationally complex B2B workflows
**Why Courted** 
* **Real ownership** 
 : You’ll own a critical product area from 0 to 1 (and beyond), with direct impact on revenue and customer success
* **Strategic influence** 
 : Shape the direction of a key business line, not just execute on someone else’s vision
* **AI \+ vertical depth** 
 : Build at the intersection of machine learning and a $100B\+ industry that’s ripe for transformation
* **High\-growth environment** 
 : Join a company with strong product\-market fit and ambitious scaling plans
* **Visibility** 
 : Work directly with founders and leadership to shape Courted’s future
**What It’s Like to Work Here** 
* We’re a small, focused team that values momentum, candor, and follow through. Everyone builds, and ideas don’t get kicked down the line
* We care a lot about the work and very little about titles. People here are competitive about outcomes, not credit
* We’re a high trust team that ships fast and sweats the details
* We debate ideas, not people, fix things in daylight, and try to keep a sense of humor while doing it
**The Details** 
* The team is NYC based and in office 3\-4 days per week
* Salary range: $130,000 \- $150,000
* Health, dental, and vision insurance
* 401k and generous PTO policy
 This salary range represents the minimum and maximum for this role based in New York, NY. The salary given for this position depends on multiple factors, including experience, interview performance, and anticipated responsibilities of the role. Base salary is one component of Courted’s competitive total package, which also includes retirement savings, premium health and wellness benefits, lunches in office, and more.
 Please note: Courted is unable to provide visa sponsorship at this time. Candidates must be authorized to work in the United States without sponsorship.</t>
        </is>
      </c>
    </row>
    <row r="103">
      <c r="A103" t="inlineStr">
        <is>
          <t>li-4354633276</t>
        </is>
      </c>
      <c r="B103" t="inlineStr">
        <is>
          <t>Product Manager</t>
        </is>
      </c>
      <c r="C103" t="inlineStr">
        <is>
          <t>Macy's</t>
        </is>
      </c>
      <c r="D103" t="inlineStr">
        <is>
          <t>linkedin</t>
        </is>
      </c>
      <c r="E103">
        <f>HYPERLINK("https://www.linkedin.com/jobs/view/4354633276", "https://www.linkedin.com/jobs/view/4354633276")</f>
        <v/>
      </c>
      <c r="F103" t="inlineStr"/>
      <c r="G103" t="inlineStr"/>
      <c r="H103" t="inlineStr"/>
      <c r="I103" t="inlineStr">
        <is>
          <t>**Product Manager** 
 New York, NY, United States
 Full time Schedule
 $117,960 \-$196,440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Product Manager brings a high\-energy approach to developing customer\-centric e\-commerce user experiences and features that grow the customer base, drive user engagement, and improve the overall site experience. The role develops and owns execution of the product roadmap for the assigned product area and collaborates with cross\-functional partners across design, engineering, analytics, and business throughout the product lifecycle, from ideation through execution. The Product Manager works in an agile environment focused on continuous improvement, where ideas and feedback are encouraged, and is empowered to make decisions that create memorable, loyalty\-building experiences for every Macy’s customer.
**What You Will Do**
* Develop and maintain a product roadmap aligned to business goals and product strategy by delivering key milestones and achieving defined KPIs.
* Communicate product vision, roadmap, and progress to partners across Macy’s.
* Identify and prioritize opportunities to improve customer experiences through cross\-functional collaboration, data analysis, and deep understanding of customer needs.
* Define product and customer experiences through clear, detailed, and timely artifacts, including product requirements and user stories.
* Collaborate with design, engineering, analytics, and other product managers to design, build, and launch product features that drive growth and engagement.
* Maintain a healthy, prioritized backlog of well\-groomed, insight\-driven user stories.
* Partner with engineering scrum teams and technical leads to refine requirements that support simple, intuitive user experiences.
* Define success metrics, ramp plans, and measurement criteria.
* Design and run experiments to test hypotheses and identify solutions that improve conversion, engagement, and customer loyalty.
* Foster an environment of acceptance and respect that strengthens relationships, and ensures authentic connections with colleagues, customers, and communities.
* In addition to the essential duties mentioned above, other duties may be assigned.
**Skills You Will Need**
**Product Strategy \&amp; Roadmap Ownership** 
 – Proven ability to define, maintain, and execute product roadmaps that align with business goals, product strategy, and KPIs while delivering measurable customer and commercial impact.
**Customer\-Centric Product Thinking** 
 – Deep commitment to understanding customer needs and behaviors, translating insights into intuitive, loyalty\-building e\-commerce experiences that improve engagement and satisfaction.
**Analytical Thinking \&amp; Data\-Driven Decisions** 
 – Strong analytical rigor and first\-principles problem\-solving skills, with the ability to define success metrics, run experiments, interpret data, and apply insights to optimize conversion, engagement, and retention.
**Cross\-Functional Leadership \&amp; Collaboration** 
 – Demonstrated ability to lead through influence and collaborate effectively with design, engineering, analytics, and business partners across the full product lifecycle.
**Execution Excellence in Agile Environments** 
 – Strong execution skills with experience managing backlogs, grooming user stories, partnering with scrum teams, and delivering high\-quality outcomes in an agile, fast\-paced environment.
**Business Acumen \&amp; E\-commerce Expertise** 
 – Solid understanding of retail and e\-commerce economics and business strategy frameworks, with the ability to balance customer value and commercial outcomes.
**Technical \&amp; Product Development Fluency** 
 – Working knowledge of technical concepts, agile methodologies, and modern product development practices to effectively partner with engineering teams and make informed trade\-offs.
**Innovation \&amp; Emerging Technology Awareness** 
 – Ability to stay ahead of emerging technologies and leverage them to build differentiated, scalable digital experiences.
**Communication \&amp; Stakeholder Influence** 
 – Confident written and verbal communication skills, with the ability to clearly articulate product vision, progress, and trade\-offs to cross\-functional partners and senior leaders.
**Continuous Learning \&amp; Growth Mindset** 
 – Curiosity\-driven, adaptable learner who actively seeks new methodologies, industry trends, and feedback to continuously improve products and ways of working.
**Who You Are**
* Candidates with a bachelor’s degree or equivalent work experience in a related field are encouraged to apply. Previous work experience related to product strategy, product management, design, engineering, site merchandising, or management consulting preferably in a retail or ecommerce company required.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t>
        </is>
      </c>
    </row>
    <row r="104">
      <c r="A104" t="inlineStr">
        <is>
          <t>li-4357780730</t>
        </is>
      </c>
      <c r="B104" t="inlineStr">
        <is>
          <t>Product Manager</t>
        </is>
      </c>
      <c r="C104" t="inlineStr">
        <is>
          <t>FanDuel</t>
        </is>
      </c>
      <c r="D104" t="inlineStr">
        <is>
          <t>linkedin</t>
        </is>
      </c>
      <c r="E104">
        <f>HYPERLINK("https://www.linkedin.com/jobs/view/4357780730", "https://www.linkedin.com/jobs/view/4357780730")</f>
        <v/>
      </c>
      <c r="F104" t="inlineStr"/>
      <c r="G104" t="inlineStr">
        <is>
          <t>Atlanta, GA</t>
        </is>
      </c>
      <c r="H104" t="inlineStr"/>
      <c r="I104" t="inlineStr">
        <is>
          <t>**THE POSITION**
 Our roster has an opening with your name on it.
 The Product Manager is responsible for the planning and execution of successful product initiatives. This includes understanding and prioritizing product and customer needs, defining product goals, and working closely with engineering, product owners, and business stakeholders to bring solutions to market. The Product Manager monitors product performance through market analysis, a deep understanding of customer needs, and objective data analysis and reporting.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Inform, shape, and drive execution of specific Core product initiatives
* Establish and maintain domain expertise on the product, market, and competitors
* Assess product opportunities and contribute meaningfully to ideation and prioritization for new initiatives and products
* Ensure transparency and alignment with organizational stakeholders
* Collaborate with engineering, product owners, marketing and operational functions to ensure successful product deliveries and launches
* Identify, prioritize, and execute post\-launch optimizations and improvements
* Track and report objectively on product performance, including an understanding of related incidents
* Be the “Canadian Champion” – always ensuring our Canadian customer preferences are considered and their requirements met
**THE STATS**
 What we're looking for in our next teammate
* Bachelor’s degree preferred
* Minimum 3\+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$101,000 \- $138,600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05">
      <c r="A105" t="inlineStr">
        <is>
          <t>li-4368832227</t>
        </is>
      </c>
      <c r="B105" t="inlineStr">
        <is>
          <t>Technical Product Owner</t>
        </is>
      </c>
      <c r="C105" t="inlineStr">
        <is>
          <t>The Value Maximizer</t>
        </is>
      </c>
      <c r="D105" t="inlineStr">
        <is>
          <t>linkedin</t>
        </is>
      </c>
      <c r="E105">
        <f>HYPERLINK("https://www.linkedin.com/jobs/view/4368832227", "https://www.linkedin.com/jobs/view/4368832227")</f>
        <v/>
      </c>
      <c r="F105" t="inlineStr"/>
      <c r="G105" t="inlineStr">
        <is>
          <t>South Carolina, United States</t>
        </is>
      </c>
      <c r="H105" t="inlineStr"/>
      <c r="I105" t="inlineStr">
        <is>
          <t>****Job Title:** 
 Technical Product Owner**
**Location:** 
 Fort Mill, SC
 **Employment Type:** 
 Full\-Time
**Role Overview**
 We are seeking a Technical Product Ownerwith strong experience in Financial Services, Banking, or Wealth Management domains. The ideal candidate will bridge business needs and technical execution, ensuring delivery of high\-quality products that meet regulatory and customer requirements.
**Key Responsibilities**
* Define and prioritize product backlog aligned with business objectives and technical feasibility
* Collaborate with engineering teams to translate business requirements into technical specifications
* Own end\-to\-end product lifecycle: ideation, development, testing, deployment, and maintenance
* Ensure compliance with financial regulations and security standards
* Conduct stakeholder meetings to gather requirements and communicate progress
* Drive API integration and backend system enhancements for financial platforms
* Monitor KPIs and product performance to inform future roadmap decisions
**Required Qualifications**
* 7\+ years of experience in Product Ownership or Business Analysis within Financial Services, Banking, or Wealth Management
* Strong understanding of financial products, payment systems, and regulatory frameworks
* Technical proficiency in:
* API design and integration
* Cloud platforms (AWS, Azure, or GCP)
* Agile/Scrum methodologies
* Excellent communication and stakeholder management skills
* Ability to write clear user stories and acceptance criteria
**Preferred Skills**
* Experience with digital banking platforms, wealth management tools, or trading systems
* Familiarity with data security, authentication protocols (OAuth2, JWT)
* Exposure to CI/CD pipelines, microservices architecture</t>
        </is>
      </c>
    </row>
    <row r="106">
      <c r="A106" t="inlineStr">
        <is>
          <t>li-4368847179</t>
        </is>
      </c>
      <c r="B106" t="inlineStr">
        <is>
          <t>Product Manager - Narmi Grow</t>
        </is>
      </c>
      <c r="C106" t="inlineStr">
        <is>
          <t>Narmi</t>
        </is>
      </c>
      <c r="D106" t="inlineStr">
        <is>
          <t>linkedin</t>
        </is>
      </c>
      <c r="E106">
        <f>HYPERLINK("https://www.linkedin.com/jobs/view/4368847179", "https://www.linkedin.com/jobs/view/4368847179")</f>
        <v/>
      </c>
      <c r="F106" t="inlineStr"/>
      <c r="G106" t="inlineStr">
        <is>
          <t>New York, NY</t>
        </is>
      </c>
      <c r="H106" t="inlineStr"/>
      <c r="I106" t="inlineStr">
        <is>
          <t>**About Us**
**About the Narmi Grow Team:**
**Responsibilities**
 As a Product Manager on the Deposits team at Narmi, you will play a pivotal role in shaping the future of our Narmi Grow products. Reporting to our Group Product Manager for Narmi Grow, you will be responsible for defining, executing, and continuously refining our product vision. You will own the product roadmap, ensuring seamless execution and innovation across the entire product lifecycle. Your work will involve deep collaboration with Design, Engineering, Sales, Business Development, and our Co\-Founders to determine the "what" and "why" of Narmi’s future products and features.At Narmi, how we work is just as important as what we build. We call this The Narmi Standard:
* High Ceiling: You go beyond the obvious, take initiative, and hold yourself to high standards with care.
* Low Ego: You put the mission above ourselves, share credit freely, and lead with curiosity.
* Alignment to Mission: You believe that helping community financial institutions win against Mega Banks and FinTechs is a worthy endeavor, and will use that belief as a northstar to anchor your efforts to that goal.
* High Commitment: You follow through, roll up your sleeves, and keep the bar high for yourself and others.
 What you'll do:
* Define and Execute Product Vision: Develop and own a clear, strategic roadmap that aligns with company goals, ensuring all stakeholders understand how individual projects connect to broader objectives related to driving Narmi Grow
* Stakeholder Collaboration: Identify and proactively address stakeholder concerns, ensuring alignment before reaching out. Escalate effectively when necessary.
* Strategic Product Development: Utilize multiple specs to define complex or interrelated functionalities, ensuring proper sequencing and consideration of impact across all devices and products.
* Data\-Driven Decision Making: Define and track key metrics, connecting project\-level outcomes to meaningful business goals. Formulate the right business questions to inform data\-driven decisions.
* Work with compliance, legal, and security teams to manage compliance around opening deposit accounts
* Collaborate with marketing and customer success to educate users on insights and drive adoption.
* Customer\-Centric Roadmapping: Engage deeply with customers to prioritize roadmap decisions based on user feedback, balancing their needs with business objectives
* Quality Assurance \&amp; Release Management: Assess the quality of releases efficiently, making informed decisions about when a product is ready to ship.
 What you'll bring:
* 4\+ years of experience in product management, software engineering, design, or related fields; at least 5 years in banking preferred.
* Strong analytical and technical background with the ability to assess effort levels and technical trade\-offs.
* Experience managing Tier 1 products across multiple platforms, with a track record of high\-quality execution and delivery.
* A deep understanding of product strategy, with the ability to articulate the impact of your work within the broader company context.
* A keen eye for UI/UX and the ability to translate product functionality into intuitive user experiences.
* Excellent written and oral communication skills, with the ability to gain buy\-in from senior leaders and cross\-functional teams.
 The expected annual base salary for this role is $120,000 \- $155,000\. Base salary is only part of your total compensation. In addition to base salary, you will receive an equity option grant, and are eligible for performance\-based cash and equity bonuses. Compensation included in an offer will be commensurate with the candidate’s skills, experience and geographic location. Compensation ranges for candidates located outside of New York City may differ. You will also receive a full benefits package.
 We believe that high\-performing teams include people from different backgrounds and experiences who can challenge each other's assumptions with fresh perspectives. To that end, we actively seek a diverse pool of applicants, including those from historically marginalized groups.
 Please note that all correspondence related to this role will come directly from Narmi (email addresses ending in @narmi.com or @narmitech.com), and not from a third party. If you receive correspondence from an individual claiming to represent Narmi please let us know immediately at \[email protected].</t>
        </is>
      </c>
    </row>
    <row r="107">
      <c r="A107" t="inlineStr">
        <is>
          <t>li-4368808371</t>
        </is>
      </c>
      <c r="B107" t="inlineStr">
        <is>
          <t>AI Agent Product Manager</t>
        </is>
      </c>
      <c r="C107" t="inlineStr">
        <is>
          <t>Hello Patient</t>
        </is>
      </c>
      <c r="D107" t="inlineStr">
        <is>
          <t>linkedin</t>
        </is>
      </c>
      <c r="E107">
        <f>HYPERLINK("https://www.linkedin.com/jobs/view/4368808371", "https://www.linkedin.com/jobs/view/4368808371")</f>
        <v/>
      </c>
      <c r="F107" t="inlineStr"/>
      <c r="G107" t="inlineStr">
        <is>
          <t>Austin, TX</t>
        </is>
      </c>
      <c r="H107" t="inlineStr"/>
      <c r="I107" t="inlineStr">
        <is>
          <t>**About The Role**
 Hello Patient is hiring a technical, high\-agency AI Agent Product Manager to own the end\-to\-end delivery of AI agents in real customer environments. We build AI\-powered voice, sms, and chat agents that integrate deeply into how healthcare practices actually operate.
 Every new customer deployment is a product launch—new workflows, new edge cases, new integration requirements, new ways the agent needs to behave in the real world. This role exists to own that launch from scoping through go\-live. You’ll also own the customer\-facing roadmap for each deployment—defining requirements, sequencing what gets built, and aligning stakeholders on tradeoffs.
 This role combines product ownership with hands\-on agent building — translating requirements into shipped agent behavior. You’ll gather requirements directly from customers, translate them into agent logic and workflows, and implement that behavior hands\-on using prompts, guardrails, tools, and evals.
 You’ll design Mia’s behavior, ship production\-ready multi\-agent workflows, and turn real\-world healthcare complexity into systems that actually hold up on live calls. This is a rare seat: you’ll get direct exposure to frontier LLM failure modes in production, and you’ll continuously iterate on agent performance using structured evaluation, testing, and real customer feedback.
**What You'll Do**
**Own customer deployments end\-to\-end**
* Lead delivery of net\-new AI agent deployments as the single accountable owner—from customer requirements through production go\-live
* Treat every deployment as a product launch: define scope, manage tradeoffs, hit timelines, ensure quality
* Own the customer\-facing roadmap for each deployment—what are we shipping, in what order, and why
**Build agents, not just specs**
* Gather requirements directly from customers and translate them into agent behavior yourself using our internal platform—prompts, tools, guardrails, multi\-agent workflows
* Do hands\-on prompt engineering using AI tools to build the components that make agents work: conversation flows, decision logic, edge case handling, integration behaviors
* Ship production\-ready agents that handle real healthcare complexity: scheduling logic, patient context, EMR data, practice\-specific edge cases
* Continuously improve agent performance using structured evals, live call review, and direct customer feedback
**Drive zero\-to\-one execution**
* Lead deployments for new workflows, integrations, and verticals where no playbook exists
* Identify unknowns early, derisk them, and make tradeoff decisions that keep launches on track
* When deployments require net\-new platform capabilities, own requirements and prioritization with the engineering team
**Work alongside Conversational Design and Customer Engineering**
* Conversational designers design and optimize agent behavior—they review real conversations, identify patterns, design conversation flows, and ship agent behavior
* Customer engineers build integrations into our customers' systems of record—EHRs, PMS, and PIMS
* You own everything else: integration scoping with Customer Engineering, cross\-team coordination, timeline management, stakeholder communication, and unblocking whatever's in the way
**Build toward repeatability**
* Identify patterns across launches and codify them into playbooks
* Know when a workflow or integration is ready to transition from zero\-to\-one ownership to steady\-state implementation
* Hand off proven patterns to implementation teams and move on to the next net\-new challenge
**What We're Looking For**
**Must have**
* 3\+ years in Product Management or a closely related role (e.g., technical program management at a product\-led company, founder/early employee wearing the PM hat) or a technical background (software engineer / forward\-deployed engineer) who has operated in a PM\-like capacity
* Strong technical product background—comfortable with APIs, integrations, and understanding how systems connect
* Experience shipping in ambiguous, fast\-moving environments where the playbook doesn't exist yet
* Proven ability to work across functions through influence, not authority
* Bias toward ownership and action—you'd rather make a call and course\-correct than wait for clarity
**Nice to have**
* Experience with AI\-native products, agents, LLMs, or automation platforms including hands\-on prompt/agent buildingBackground in healthcare, revenue cycle, or other legacy\-system\-heavy industries
* You’ve spent time playing with bots — building them, breaking them, and tweaking conversations to make them feel more natural.
* Founder, co\-founder, or early startup experience
* Familiarity with voice AI or real\-time orchestration systems
* Portfolio or examples of shipped conversational experiences (IVR, voice assistants, chatbots, SMS flows) and the rationale behind key design decisions
* Familiarity with evaluation practices for agent quality
**Compensation**
**Base salary:** 
 $160K–$200K
**Equity:** 
 Meaningful ownership in a fast\-growing healthtech startup
**About Hello Patient**
 Hello Patient is transforming healthcare communication through advanced conversational AI. Our founding team spent 3\.5 years scaling Carbon Health's technology during hypergrowth, where we saw firsthand how much clinical time gets wasted on basic communication—great clinicians buried in admin work, patients stuck in phone tag.
 Our AI platform proactively engages patients through perfectly timed calls and texts, resolving complex interactions end\-to\-end—from scheduling to billing to retention. Built with security and compliance at its core, our technology integrates with existing healthcare infrastructure to deliver 24/7 patient engagement.
 Backed by Scale and 8VC, we're building the future of healthcare communication, one conversation at a time.</t>
        </is>
      </c>
    </row>
    <row r="108">
      <c r="A108" t="inlineStr">
        <is>
          <t>li-4368822375</t>
        </is>
      </c>
      <c r="B108" t="inlineStr">
        <is>
          <t>Senior Product Manager (Remote)</t>
        </is>
      </c>
      <c r="C108" t="inlineStr">
        <is>
          <t>ECP</t>
        </is>
      </c>
      <c r="D108" t="inlineStr">
        <is>
          <t>linkedin</t>
        </is>
      </c>
      <c r="E108">
        <f>HYPERLINK("https://www.linkedin.com/jobs/view/4368822375", "https://www.linkedin.com/jobs/view/4368822375")</f>
        <v/>
      </c>
      <c r="F108" t="inlineStr"/>
      <c r="G108" t="inlineStr">
        <is>
          <t>Milwaukee, WI</t>
        </is>
      </c>
      <c r="H108" t="inlineStr"/>
      <c r="I108" t="inlineStr">
        <is>
          <t>**Senior Product Manager**
 ECP is the leading all\-in\-one software provider for senior living communities, offering eMAR, EHR, CRM, Move\-Ins, Billing and business intelligence solutions. Designed to enhance resident care, staff efficiency, and operational success, ECP's technology is trusted by over 8,000 communities nationwide. With a commitment to seamless integrations and data accessibility, ECP is making senior living software simpler and smarter.
 We're looking for an experienced Senior Product Manager that is excited to make an impact at a fast\-growing 150\-person company. This role will report to the VP of Product.
**Responsibilities**
* Develop deep expertise in senior living operations and become the go\-to authority on our products, customers, business, and market.
* Own the entire product development process (ideation, design, development, launch, iteration, growth) for a product or major feature set.
* Translate ideas into detailed requirements (PRDs) and prioritize features on the product roadmap, balancing short\-term needs with long\-term vision.
* Drive end\-to\-end success of assigned projects and products (e.g. solve customer pain points and meet business objectives).
* Ensure timely, high\-quality product releases, managing dependencies and coordinating efforts.
* Collaborate with cross\-functional teams to execute product planning, customer discovery, product discovery, product development and product launches.
**Requirements**
* 5\+ years of product management experience at a SaaS company
* A relevant degree or background (e.g. engineering, business, design, experience in healthcare or long\-term care)
* Passion for deeply understanding customer needs and turning them into a clear product strategy
* Track record of launching features that measurably improved retention and customer happiness
* Strong project management skills \&amp; attention to detail
* Excellent verbal and written communication skills
* SQL experience a plus</t>
        </is>
      </c>
    </row>
    <row r="109">
      <c r="A109" t="inlineStr">
        <is>
          <t>li-4368844331</t>
        </is>
      </c>
      <c r="B109" t="inlineStr">
        <is>
          <t>Development Product Owner - Life Reinsurance</t>
        </is>
      </c>
      <c r="C109" t="inlineStr">
        <is>
          <t>NuStar Technologies</t>
        </is>
      </c>
      <c r="D109" t="inlineStr">
        <is>
          <t>linkedin</t>
        </is>
      </c>
      <c r="E109">
        <f>HYPERLINK("https://www.linkedin.com/jobs/view/4368844331", "https://www.linkedin.com/jobs/view/4368844331")</f>
        <v/>
      </c>
      <c r="F109" t="inlineStr"/>
      <c r="G109" t="inlineStr">
        <is>
          <t>San Antonio, TX</t>
        </is>
      </c>
      <c r="H109" t="inlineStr"/>
      <c r="I109" t="inlineStr">
        <is>
          <t>Job Title : Development Product Owner \- Life Reinsurance
 Experience Required \- 8\+ Years
 Must Have Technical/Functional Skills
 8\+ Years of Life Reinsurance Domain expertise
 These SMEs will play a critical role in
 Defining and prioritizing product backlog items
 Translating business needs into functional requirements
 Collaborating with technology teams to deliver modernization objectives
 Roles \&amp; Responsibilities
 Customers are initiating a Reinsurance Modernization Program focused on Life and Annuity products.
 To ensure success, they are looking for experienced domain SMEs who can take on Product Owner roles and provide deep expertise in Life and Annuity Reinsurance processes, Reinsurance treaties, administration, and reporting Regulatory and compliance requirements
 Integration with policy administration and financial systems
 These SMEs will play a critical role in
 Defining and prioritizing product backlog items
 Translating business needs into functional requirements
 Collaborating with technology teams to deliver modernization objectives
 Salary Range \- $100000 to $150000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t>
        </is>
      </c>
    </row>
    <row r="110">
      <c r="A110" t="inlineStr">
        <is>
          <t>li-4368672757</t>
        </is>
      </c>
      <c r="B110" t="inlineStr">
        <is>
          <t>Senior Product Manager</t>
        </is>
      </c>
      <c r="C110" t="inlineStr">
        <is>
          <t>Travelport</t>
        </is>
      </c>
      <c r="D110" t="inlineStr">
        <is>
          <t>linkedin</t>
        </is>
      </c>
      <c r="E110">
        <f>HYPERLINK("https://www.linkedin.com/jobs/view/4368672757", "https://www.linkedin.com/jobs/view/4368672757")</f>
        <v/>
      </c>
      <c r="F110" t="inlineStr"/>
      <c r="G110" t="inlineStr">
        <is>
          <t>Denver, CO</t>
        </is>
      </c>
      <c r="H110" t="inlineStr"/>
      <c r="I110" t="inlineStr">
        <is>
          <t>Senior Product Manager \| Hybrid \| US Atlanta or Denver
**Travel obsessed? Big tech fan? Hey, you’re in good company. If you want to be part of the industry that makes the world go round, then look no further.** 
 Travelport is the brains behind lots of your travel bookings\- plane, car or hotel. Our technology is used to book that magical holiday, infamous bachelorette party or long overdue school reunion. While we can’t solve mosquito bites or lost luggage, we can simplify a lot of the technical parts of travel, and we’re looking for the best thinkers to help us do it.
 We’re hiring right now for a Senior Product Manager! Search for \#Travelport on LinkedIn and hear from our amazing team.
**How you’ll make an impact:** 
 The Senior Product Manager is responsible for driving product strategy and delivery across a complex, multi‑sided travel technology ecosystem. This role requires strong customer orientation, technical fluency, commercial acumen, and the ability to lead cross‑functional teams in an Agile environment.
**Your role in action:** 
**Customer \&amp; Market Orientation** 
* Develop a deep understanding of customer needs across travel agencies, suppliers, and developers.
* Serve as the internal voice of the customer and validate solutions through customer engagement and feedback loops.
* Balance agency, supplier, and platform needs in a multi‑sided marketplace.
**Technical \&amp; Platform Fluency (General \&amp; Galileo Host)** 
 Demonstrate strong technical understanding across platform capabilities, including onboarding, authentication, access management, and critical travel industry concepts (NDC, Orders, Ticketing, PNRs, PoS integration).
 Additionally, show deep fluency in host\-based travel operations and agency servicing workflows, including:
* Host‑based PNR lifecycle and servicing (creation/modification/commit workflows, segment status behaviors, audit and history awareness).
* Queueing and operational processes used for schedule changes, fulfillment follow‑ups, and post‑booking servicing.
* Ticketing and ancillary document lifecycles (ticket and EMD issuance, exchange/reissue, refund/void) and how document states impact downstream servicing.
* Operational messaging such as SSR, OSI, and remarks, with an understanding of how data quality affects servicing flows and customer experience.
**Agile Product Leadership \&amp; Delivery** 
* Lead Agile/Lean product delivery models.
* Prioritize roadmaps and backlogs to maximize customer and commercial impact.
* Collaborate closely with Product Owners, Engineering, UX, Data, and Commercial teams.
* Define acceptance criteria and provide feature‑level product acceptance at delivery.
**Commercial \&amp; Data‑Driven Decision\-Making** 
* Use analytics and quantitative reasoning to guide prioritization and product strategy.
* Track and report product KPIs (activation, adoption, ROAS, API usage, etc.).
* Ensure product decisions drive revenue, efficiency, and ROI while complying with commercial, security, billing, and regulatory considerations.
**Could this be you?** 
* Extensive experience with Jira to structure and manage epics, user stories, dependencies, and Agile workflows across distributed engineering teams.
* High proficiency in Confluence as a documentation and knowledge‑management hub, including PDDs, strategy docs, decision logs, and stakeholder‑ready updates.
* Ability to leverage Jira \+ Confluence together to:
* Translate product strategy into executable delivery plans.
* Ensure clarity of requirements and acceptance criteria.
* Strengthen collaboration between Product, Engineering, Design, and Commercial teams.
* Improve transparency, traceability, and delivery predictability at scale.
**Discover why our teams love working here:** 
 Where do we start! Our benefits package includes:
**Offer Salary: 130k \+ Benefits** 
 We believe all employees contribute to the success of the company and should be able to share in that success, which is why all jobs are eligible to participate in our bonus program with any payouts being subject to individual and company performance. We offer a comprehensive benefit program that includes medical, dental, vision, employer paid Disability and Basic Life Insurance, Voluntary life options, a competitive 401(k) match, as well as many other voluntary benefits to fit your specific needs. We make health and wellness a priority and offer a generous paid time off policy, hybrid working model, as well as contributing to our communities with an annual volunteer day off. We also offer a New Child leave policy, where the birthing parent receives 16 weeks of paid time off, and the non\-birthing parent receives 8\.
 Search for \#lifeattravelport for our employee stories on LinkedIn!
**Your journey at Travelport starts here.** 
**Our application process is quick, easy, and hassle\-free — apply in just a few minutes!** 
*We are an equal opportunities employer and will consider all qualified applicants purely on their skills and abilities.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needed.*</t>
        </is>
      </c>
    </row>
    <row r="111">
      <c r="A111" t="inlineStr">
        <is>
          <t>li-4368293051</t>
        </is>
      </c>
      <c r="B111" t="inlineStr">
        <is>
          <t>Product Manager</t>
        </is>
      </c>
      <c r="C111" t="inlineStr">
        <is>
          <t>Kindbridge Behavioral Health</t>
        </is>
      </c>
      <c r="D111" t="inlineStr">
        <is>
          <t>linkedin</t>
        </is>
      </c>
      <c r="E111">
        <f>HYPERLINK("https://www.linkedin.com/jobs/view/4368293051", "https://www.linkedin.com/jobs/view/4368293051")</f>
        <v/>
      </c>
      <c r="F111">
        <f>HYPERLINK("https://grnh.se/q5m2auod9us&amp;urlHash=INMd", "https://grnh.se/q5m2auod9us&amp;urlHash=INMd")</f>
        <v/>
      </c>
      <c r="G111" t="inlineStr"/>
      <c r="H111" t="inlineStr"/>
      <c r="I111" t="inlineStr">
        <is>
          <t>Kindbridge is expanding access to innovative behavioral health solutions. We are a dynamic, collaborative team dedicated to transforming mental health care for diverse populations. If you’re a hands\-on, strategic finance professional ready to shape the future of behavioral health, this is your opportunity to join a high\-growth, mission\-driven startup.
**Why This Role Matters**
 At Kindbridge, we’re on a mission to make behavioral health accessible to everyone. As a
 **Product Manager** 
 , you’ll play a key role in shaping and improving digital products that support client access, intake, and core clinical workflows. You’ll collaborate closely with senior product leadership and cross\-functional teams—including Clinical, Operations, Compliance, and Technology—to translate business and user needs into clear product requirements and meaningful product enhancements.
 In this role, you’ll help support the product roadmap, contribute to discovery and release efforts, monitor product performance, and maintain accurate product documentation. You’ll bring a strong foundation in product thinking and collaboration, along with the ability to balance user experience, operational efficiency, and compliance requirements to deliver effective, mission\-driven digital solutions.
**Key Responsibilities**
* Support the digital product roadmap focused on client access, intake, and core clinical workflows, in partnership with senior product leadership
* Translate stakeholder input into clear user stories, acceptance criteria, and product requirements
* Contribute to product discovery by gathering feedback, reviewing data, and documenting insights
* Help coordinate release planning, basic QA, and post\-release follow\-up for assigned features and enhancements
* Collaborate closely with Clinical, Operations, Compliance, Marketing, and Research teams to understand needs and refine requirements
* Participate in cross\-functional meetings, capturing requirements, decisions, and action items
* Provide regular status updates on assigned work, including timelines, risks, and dependencies
* Monitor website and intake funnel performance, identify issues, and escalate as needed
* Support improvements to booking and intake systems to enhance client experience and operational efficiency
* Assist with documenting workflows, system changes, feature configurations, and integrations
* Coordinate with third\-party technology vendors on defined tasks, tracking tickets, timelines, and deliverables
* Support basic data and reporting needs, including validating reports and dashboards used for outcomes tracking and quality improvement
* Partner with Compliance and Quality teams by providing documentation and support for audits and accreditation efforts
* Log, track, and help resolve technology\-related issues and risks raised by internal teams
**Qualifications**
* 5\+ years of experience in product management, product operations, business analysis, or a related role within a digital or technology\-driven environment
* Experience writing user stories, acceptance criteria, and basic functional requirements
* Strong organizational skills and attention to detail, with the ability to manage multiple small projects or workstreams simultaneously
* Ability to collaborate effectively with cross\-functional partners and translate business and user needs into clear, actionable requirements
* Experience using project and ticket management tools such as Jira, Asana, Trello, or similar platforms
* Basic understanding of technical development processes and systems architecture
* Exposure to websites, client portals, or booking and intake systems is a plus
* Familiarity with basic analytics or reporting tools (e.g., Google Analytics, dashboards, or BI tools) is a plus
* Knowledge of cybersecurity and data privacy best practices is a plus
* Demonstrated professionalism, integrity, and accountability in day\-to\-day work, with the ability to maintain appropriate boundaries and communicate effectively
* Reliability and responsiveness, including preparedness for scheduled work activities and timely communication with internal teams and leadership
**Why Join Kindbridge?**
* Benefit from a 401(k) plan with employer match
* Unlimited PTO to support your well\-being
* Comprehensive healthcare plans, including dental and vision
* Enjoy the flexibility of working remotely
* Be part of a collaborative and inclusive environment that fosters growth and innovation
* Have the opportunity to make a meaningful impact at a fast\-growing startup in behavioral telehealth
**Interested? Apply today and help us shape the future of behavioral health!**
 Wage or salary to be determined by the applicant’s education, experience, knowledge, skills, and abilities, as well as internal equity and alignment with market data.
 Remote pay range: $85,000 USD \- $95,000 USD</t>
        </is>
      </c>
    </row>
    <row r="112">
      <c r="A112" t="inlineStr">
        <is>
          <t>li-4368835254</t>
        </is>
      </c>
      <c r="B112" t="inlineStr">
        <is>
          <t>Lead Product Manager</t>
        </is>
      </c>
      <c r="C112" t="inlineStr">
        <is>
          <t>Bounteous</t>
        </is>
      </c>
      <c r="D112" t="inlineStr">
        <is>
          <t>linkedin</t>
        </is>
      </c>
      <c r="E112">
        <f>HYPERLINK("https://www.linkedin.com/jobs/view/4368835254", "https://www.linkedin.com/jobs/view/4368835254")</f>
        <v/>
      </c>
      <c r="F112" t="inlineStr"/>
      <c r="G112" t="inlineStr">
        <is>
          <t>Dallas, TX</t>
        </is>
      </c>
      <c r="H112" t="inlineStr"/>
      <c r="I112" t="inlineStr">
        <is>
          <t>**Job Title: Principal Product Leader** 
**Full\-time** 
 We are seeking a high\-impact Principal Product Leader to serve as the visionary architect and chief evangelist for our AI\-powered B2B MarTech suite. This is not a role for a traditional "feature manager." We need a growth\-minded owner who can bridge the gap between cutting\-edge Generative AI and enterprise\-scale revenue impact. You will define the roadmap, own the product’s commercial success, and evangelize the future of AI\-driven personalization to the world’s most sophisticated marketing organizations.
**Core Pillars of Responsibility** 
 1\. Product Evangelism \&amp; Market Leadership
* The Voice of AI: Act as the primary technical and strategic spokesperson for our AI suite. You will translate LLM complexities into a "value\-first" narrative for C\-suite stakeholders and enterprise clients. Customer Advocacy: Drive product\-led growth (PLG) by deeply understanding the "jobs to be done" for modern marketers and turning those insights into compelling market stories. Thought Leadership: Represent the product in industry forums and executive briefings, positioning our AI capabilities (RAG, content automation, predictive modeling) as the gold standard in MarTech.
 2\. Strategic Roadmap \&amp; Visionary Ownership
* The North Star: Own the multi\-year product vision. You aren't just shipping features; you are building a proprietary AI ecosystem that redefines content generation and personalization. High\-Stakes Prioritization: Balance aggressive innovation with technical feasibility, ensuring the roadmap focuses on high\-growth levers that drive ROI and enterprise retention. Governance \&amp; Ethics: Lead the charge on ethical AI, ensuring our roadmap adheres to global data privacy (GDPR, CCPA) while maintaining a competitive edge.
 3\. Product Growth \&amp; Lifecycle Velocity
* Growth Mechanics: Identify untapped opportunities within the MarTech stack (CDP, CRM, Creative Ops) to expand the product’s footprint and increase "stickiness" within enterprise workflows. Agile Experimentation: Lead a culture of "fail fast, scale faster." Use pilots and MVPs to validate AI models, then rapidly operationalize them for global scale. Commercial Impact: Define and own the KPIs that matter: Product\-Qualified Leads (PQLs), adoption velocity, and AI\-attributed revenue growth.
**Key Qualifications** 
* The AI Expert: You have a deep, intuitive understanding of LLMs, RAG, and NLP frameworks. You don't just know what they are; you know how to monetize them.
* The MarTech Veteran (nice to have): You’ve spent years navigating the Adobe/Salesforce/CDP ecosystems and know exactly where AI can disrupt traditional marketing silos.
* The Strategic Communicator: You possess the rare ability to command a room of engineers in the morning and a room of CMOs in the afternoon. The Growth Mindset: You have a proven track record of taking products from "experimental pilot" to "enterprise\-wide adoption.
 \_
 Bounteous is a premier end\-to\-end digital transformation consultancy dedicated to partnering with ambitious brands to create digital solutions for today’s complex challenges and tomorrow’s opportunities. With uncompromising standards for technical and domain expertise, we deliver innovative and strategic solutions in Strategy, Analytics, Digital Engineering, Cloud, Data \&amp; AI, Experience Design, and Marketing.
 Our Co\-Innovation methodology is a unique engagement model designed to align interests and accelerate value creation. Our clients worldwide benefit from the skills and expertise of over 4,000\+ expert team members across the Americas, APAC, and EMEA. By partnering with leading technology providers, we craft transformative digital experiences that enhance customer engagement and drive business success.</t>
        </is>
      </c>
    </row>
    <row r="113">
      <c r="A113" t="inlineStr">
        <is>
          <t>li-4368281535</t>
        </is>
      </c>
      <c r="B113" t="inlineStr">
        <is>
          <t>Product Manager</t>
        </is>
      </c>
      <c r="C113" t="inlineStr">
        <is>
          <t>Hanwha Vision America</t>
        </is>
      </c>
      <c r="D113" t="inlineStr">
        <is>
          <t>linkedin</t>
        </is>
      </c>
      <c r="E113">
        <f>HYPERLINK("https://www.linkedin.com/jobs/view/4368281535", "https://www.linkedin.com/jobs/view/4368281535")</f>
        <v/>
      </c>
      <c r="F113" t="inlineStr"/>
      <c r="G113" t="inlineStr">
        <is>
          <t>Carlsbad, CA</t>
        </is>
      </c>
      <c r="H113" t="inlineStr"/>
      <c r="I113" t="inlineStr">
        <is>
          <t>**Title:** 
 Sr. Product Manager – WAVE VMS \&amp; Recording Appliances
**Location:** 
 Carlsbad, CA
**Position Summary:** 
 Hanwha Vision America (HVA) is an affiliate of the Hanwha Group, a Fortune Global 500 company. HVA is an industry\-leading provider of advanced network video surveillance products, including IP cameras, storage devices, and video management systems, founded on world\-class technologies. We offer end\-to\-end security solutions and have achieved global success across a wide range of industry verticals, including retail, transportation, education, banking, healthcare, hospitality, and airports.
 We are seeking a results\-driven Product Manager to lead the software and hardware related to WAVE VMS. The ideal candidate will have a strong background in VMS and COTS products, as well as networking, throughput, and the related technologies that drive key specifications in recording devices (NVRs). A basic finance \&amp; math skillset is also needed to calculate business cases, profit, etc. Also key is a proven ability to collaborate across global cross\-functional teams to deliver high\-quality results.
**Key Responsibilities:** 
 • Coordinate WAVE software releases with our OEM provider as well as internal test teams, sales, and other stakeholders
 • Coordinate WAVE Recording Appliance releases with your counterparts in South Korea
 • Coordinate WAVE Recording Appliance releases with 3rd party OEM vendors
 • Based on market demand and specifically Hanwha customer demand, respond by introducing OEM recording appliances for the US Market
 • Act as an escalation point for issues related to WAVE VMS or Recording Appliances
 • Knowledge of Linux and Windows OS
 • Product Strategy \&amp; Roadmap: Developing and maintaining the product roadmap based on market research, customer feedback, and business objectives.
 • Requirements Gathering: Collaborating with stakeholders to define detailed product requirements and features.
 • Project Management: Coordinating with engineering and design teams to ensure the timely delivery of features, balancing scope, quality, and deadlines.
 • Market Analysis: Conducting competitor analysis and staying updated on industry trends to inform product decisions.
 • Product Launch \&amp; Lifecycle: Managing product launches, ensuring proper positioning, marketing strategies, and post\-launch support to enhance product performance and customer satisfaction.
**Preference will be given to candidates who can demonstrate:** 
 • 5\+ years in the video security industry
 • Strong track record of successfully leading the delivery of hardware or software products
 • Track record of continuous improvement across a product or service, whether internal or external
 • Strong technical acumen with the ability to articulate complex solutions to both technical and non\-technical audiences.
 • Flexibility to attend late\-night meetings with stakeholders in South Korea, where you will participate in discussions, provide updates, and collaborate with cross\-functional teams during hours that align with the Korea time zone.
 • Willingness to travel locally and internationally as required, up to 10%
**Physical Demands:** 
**Sitting/Travel:** 
 The role requires extended periods of sitting, including time spent traveling by car or plane, attending meetings, and working on a laptop or mobile devices while in offices, client locations, or remote settings. The position also involves periods of standing and walking during client visits and events.</t>
        </is>
      </c>
    </row>
    <row r="114">
      <c r="A114" t="inlineStr">
        <is>
          <t>li-4368691287</t>
        </is>
      </c>
      <c r="B114" t="inlineStr">
        <is>
          <t>Senior Product Manager (Agents)</t>
        </is>
      </c>
      <c r="C114" t="inlineStr">
        <is>
          <t>Kouper</t>
        </is>
      </c>
      <c r="D114" t="inlineStr">
        <is>
          <t>linkedin</t>
        </is>
      </c>
      <c r="E114">
        <f>HYPERLINK("https://www.linkedin.com/jobs/view/4368691287", "https://www.linkedin.com/jobs/view/4368691287")</f>
        <v/>
      </c>
      <c r="F114" t="inlineStr"/>
      <c r="G114" t="inlineStr">
        <is>
          <t>New York, NY</t>
        </is>
      </c>
      <c r="H114" t="inlineStr"/>
      <c r="I114" t="inlineStr">
        <is>
          <t>**About Kouper Health:**
 Kouper Health is leading the charge in transforming transitions of care. We are backed by General Catalyst, 25m Health, and leading health system partners. Our mission is to bridge the care transition gap and fundamentally improve the patient experience to help people live longer and better.
**Position Overview:**
 As a Senior Product Manager at Kouper, you’ll play a pivotal role in defining and delivering products that directly impact patient outcomes and provider efficiency. This is a high\-leverage, high\-judgment role. You will function as a key partner to the VP of Product, owning the product roadmap across our core software platform and agentic workflows. Success in this role will require close collaboration with engineering, operations, and customer\-facing teams to translate high\-level goals into impactful products.
**What You’ll Do**
* Product Strategy \&amp; Roadmap Ownership: Define and execute the roadmap for Kouper’s core products and agentic workflows, utilizing rigorous prioritization frameworks to balance company objectives with client needs
* Scalable Agentic Innovation: Drive the rapid scaling of agentic systems to support growing patient volumes and complex interactions, while defining quality measures and conducting experiments to optimize performance
* Discovery\-Driven Prototyping: Conduct deep market research and user interviews to identify pain points, rapidly prototyping and validating new features through an MVP\-first approach to ensure product\-market fit
* Cross\-Functional Leadership: Serve as the primary bridge between technical (Engineering, ML) and non\-technical (Operations, Sales, Marketing) teams to refine requirements and ensure high\-quality product delivery
**What You’ll Bring**
* Experience: 4\+ years of technical product management experience, with at least 2 years specifically shipping AI\-native or agentic products
* Equivalent Professional Experience: We value high\-leverage professional backgrounds; relevant experience in Investment Banking, Private Equity, or Management Consulting will be considered
* Scaling Expertise: Proven track record of scaling AI/data products to handle significant increases in users, data volume, and interaction complexity
* Technical Acumen: Ability to understand the architecture of agentic systems and a proven track record of building complex data products alongside engineering teams
* Metrics\-first Mindset: Strong analytical skills with experience in defining KPIs and using data to drive product decisions and measure success
* Stakeholder Communication: Exceptional written and verbal communication skills, with the ability to translate complex technical concepts for non\-technical stakeholders in Sales and Marketing
* Drive: A high\-ownership mindset, willing to step outside the traditional PM role to deliver the best possible patient experience
**Preferred Qualifications**
* Experience building and scaling products from 0\-to\-1 in fast\-moving or ambiguous environments
* Experience with API integrations and interoperable solutions (e.g., Epic or Cerner)
**What We Offer**
* Competitive Compensation: Salary and equity package commensurate with experience
* Comprehensive Benefits: Health and dental coverage and a flexible work environment
* Mission\-driven Culture: The opportunity to join a high\-growth startup at a high growth stage and impact the future of healthcare
* Professional Growth: A supportive environment where you will work alongside high\-achieving people and have a direct impact on the business
* Flexible hybrid work environment in NYC
* Expected Start Date: Feb 2026</t>
        </is>
      </c>
    </row>
    <row r="115">
      <c r="A115" t="inlineStr">
        <is>
          <t>li-4368227974</t>
        </is>
      </c>
      <c r="B115" t="inlineStr">
        <is>
          <t>Product Manager, Human.ai</t>
        </is>
      </c>
      <c r="C115" t="inlineStr">
        <is>
          <t>Human Ventures</t>
        </is>
      </c>
      <c r="D115" t="inlineStr">
        <is>
          <t>linkedin</t>
        </is>
      </c>
      <c r="E115">
        <f>HYPERLINK("https://www.linkedin.com/jobs/view/4368227974", "https://www.linkedin.com/jobs/view/4368227974")</f>
        <v/>
      </c>
      <c r="F115" t="inlineStr"/>
      <c r="G115" t="inlineStr">
        <is>
          <t>New York, NY</t>
        </is>
      </c>
      <c r="H115" t="inlineStr"/>
      <c r="I115" t="inlineStr">
        <is>
          <t>**About Human Ventures** 
**Human Ventures** 
 is a New York\-based holding company built on creating long\-term value in the new Attention Economy. With the core investment themes of human connection, experience, and trust in the age of AI, Human consists of three divisions:
 **Human VC** 
 , which invests in, acquires, and rebuilds undervalued assets;
 **Human AI** 
 , a dedicated studio building AI\-native companies; and
 **Human Network Partners** 
 , a partnerships and events platform.
 Founded by Heather Hartnett and Joe Marchese, Human is among the most connected capital partners; and has invested in and co\-built more than 65 companies, with key investments including Reserve (acquired), Komos Tequila, Adelaide, Kinema, Breakaway, and Evvy. To learn more, visit www.human.vc.
**The Opportunity** 
 We're looking for a
 **Product Manager** 
 to own and drive the development of
 **Human.ai** 
 from concept to market. Like a mutual best friend making introductions and connections, Human.ai is human before AI, leveraging technology for helping people better connect in real life.
 Reporting to the CEO, this role owns the end\-to\-end product management, development, and execution of bringing the product to market. This is a rare opportunity to sit at the intersection of product and community development. 
**What You'll Do** 
* Own the production strategy, roadmap, user experience, and GTM execution
* Drive progress against goals and milestones and GTM execution
* Coordinate testing, including pilot events and user feedback sessions
* Work hand in hand with our CTO to bring new features to life
* Ensure product strategy and user experience move as one
* Partner with the events team to implement Human AI at owned events; including attendee experience and IRL implementation
**Who You Are** 
* Drive progress relentlessly — you see what needs to happen and how to get there, while communicating effectively as you go
* Organized and versatile — you can task\-switch between product conversations, design feedback, event logistics, and strategic discussions while keeping multiple work streams moving
* Passionate about new technologies, community, media, emerging trends, and cultural shifts—curious about where the world is going with your finger on the pulse of culture
* Comfortable with ambiguity — energized by the process of building from the ground up, and enjoy the iteration flow of creating something brand new
* Understand design without being a designer — as a consumer\-first, you know what makes for a good user experience, and can articulate what good design means even if you are not a designer
* Have distinctive problem solving and analysis skills, combined with business judgment
* You enjoy working cross team, from engineering to sales to marketing and beyond in order to ideate
* NYC\-based and excited to work in person with a tight\-knit, collaborative team
**Qualifications** 
* 5\+ years of experience, must have early\-stage startup experience (the earlier the better!)
* Experience with agile product processes
* Experience working with engineers and designers to translate vision into reality
* Strong project management skills with ability to manage multiple concurrent workstreams
* Passion for human connection, events, and the intersection of technology and real\-world experiences
*Human Ventures is committed to building a diverse and inclusive workplace. We encourage candidates from all backgrounds to apply.*</t>
        </is>
      </c>
    </row>
    <row r="116">
      <c r="A116" t="inlineStr">
        <is>
          <t>li-4354557423</t>
        </is>
      </c>
      <c r="B116" t="inlineStr">
        <is>
          <t>Assistant Product Manager</t>
        </is>
      </c>
      <c r="C116" t="inlineStr">
        <is>
          <t>Macy's</t>
        </is>
      </c>
      <c r="D116" t="inlineStr">
        <is>
          <t>linkedin</t>
        </is>
      </c>
      <c r="E116">
        <f>HYPERLINK("https://www.linkedin.com/jobs/view/4354557423", "https://www.linkedin.com/jobs/view/4354557423")</f>
        <v/>
      </c>
      <c r="F116" t="inlineStr"/>
      <c r="G116" t="inlineStr"/>
      <c r="H116" t="inlineStr"/>
      <c r="I116" t="inlineStr">
        <is>
          <t>**Assistant, Product Manager** 
 New York, NY, United States
 Full time Schedule
 $78,720 \-$131,160
 Annually\*
 \* based on job, location, and schedule
 Job Description
**Be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to see details on benefits.</t>
        </is>
      </c>
    </row>
    <row r="117">
      <c r="A117" t="inlineStr">
        <is>
          <t>li-4368285043</t>
        </is>
      </c>
      <c r="B117" t="inlineStr">
        <is>
          <t>Product Manager- Marketplace</t>
        </is>
      </c>
      <c r="C117" t="inlineStr">
        <is>
          <t>Tech Mahindra</t>
        </is>
      </c>
      <c r="D117" t="inlineStr">
        <is>
          <t>linkedin</t>
        </is>
      </c>
      <c r="E117">
        <f>HYPERLINK("https://www.linkedin.com/jobs/view/4368285043", "https://www.linkedin.com/jobs/view/4368285043")</f>
        <v/>
      </c>
      <c r="F117" t="inlineStr"/>
      <c r="G117" t="inlineStr"/>
      <c r="H117" t="inlineStr"/>
      <c r="I117" t="inlineStr">
        <is>
          <t>*At Tech Mahindra* 
***(***
*Tech Mahindra \| Connected World, Connected Experiences), we live the philosophy of connected world and connected experiences. We thrive on change that is powered by the intelligent symphony of technology and humans designing meaningful and sustainable experiences. Consumer ‘experiences’ are driving and disrupting industries like never before. Businesses must build seamless yet simple enterprises that collaborate, synergize, and drive the change. Change that connects us all and empowers us to deliver experiences that span across the digital, the physical, the convergent, and everything in between. That’s when truly connected experiences manifest.* 
*Extraordinary is when experiences come together – a continuous convergence of digital technologies, touchpoints, and most importantly people. It’s time to reimagine, reinvent, and revolutionize business models \&amp; operations as well as to transform enterprises into living, breathing, and connected businesses. We are the Digital Change makers who strive to change the way the world, communities, businesses, and humans interact digitally. We are harnessing the power of change, brought in by technologies, that makes it the most exciting time to be alive in the human history. Our universe, as we build it, disrupt it, and redesign it, is powering the digital change.* 
*Tech Mahindra represents the connected world, offering innovative and customer\-centric information technology experiences, enabling Enterprises, Associates, and the Society to Rise. It has 150,000\+ professionals working for 1000\+ Global Customers (including Fortune 500 companies) in 90 Countries. We’re part of the esteemed Mahindra group, headquartered in India. Under a new CEO, Tech Mahindra is committed to a transformative journey with 'Scale @ Speed' as our guiding principle.* 
**About the Role:** 
*Lead the strategy, roadmap, and execution that connects dealers, consumers, lenders, and ecosystem partners. You will own outcomes end to end, from liquidity and conversion to risk, compliance, and partner growth, while launching and scaling a platform in a regulated financial environment.* 
**Key Responsibilities:** 
* Own marketplace strategy across buyer, seller, lender, and partner experiences, and define the multi\-year roadmap and quarterly OKRs.
* Build and optimize capabilities such as dealer onboarding, inventory ingestion, rate and term comparison, pre\-qual and pre\-approval flows, and liquidity management.
* Define and track marketplace KPIs, including conversion, match rates, partner participation, and revenue per transaction, and drive experimentation through A/B testing and feature flags.
* Lead cross\-functional delivery with engineering, design, data, risk, operations, and compliance, and ship iteratively at high quality.
* Shape decisioning and rules engines aligned to auto finance and consumer lending, and champion risk\-aware matching and pricing intelligence.
* Implement safeguards against fraud, platform abuse, and identity risk in collaboration with Risk and InfoSec.
**Qualifications and Skills:** 
**Education** 
* Bachelor’s degree in business or information technology, preferably M.B.A
**Experience** 
* 10\+ years in product management, including 5\+ years building two\-sided marketplaces or fintech products, with a track record of shipping 0→1 and scaling.
* Strong data fluency, including funnel analytics, cohorting, and KPI instrumentation.
* Domain depth in lending ecosystems and customer acquisition funnels, plus familiarity with U.S. consumer\-finance regulations (UDAAP, ECOA/Reg B, FCRA, GLBA, OFAC).
* Platform mindset across APIs, microservices, and event\-driven architectures, and experience with partner integrations for dealers, lenders, and data vendors.
* Excellent stakeholder leadership and communication in regulated, cross\-functional environments.
**Nice to have** 
* Auto retail or finance experience, including off\-lease remarketing, dealer systems, and titling or registration.
* Experience with marketplace liquidity management, personalization and ranking, and pricing intelligence.
 AI tools may assist in the recruitment process; however, all hiring decisions are made by the recruitment team based on a comprehensive evaluation of candidates.
*The pay range for this role is $120,000\- $150,000 per annum including any bonuses or variable pay. Tech Mahindra also offers benefits like medical, vision, dental, life, disability insurance and paid time off (including holidays, parental leave, and sick leave, as required by law). Ask our recruiters for more details on our Benefits package. The exact offer terms will depend on the skill level, educational qualifications, experience and location of the candidate*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ADA\_Accomodations@TechMahindra.com*</t>
        </is>
      </c>
    </row>
    <row r="118">
      <c r="A118" t="inlineStr">
        <is>
          <t>li-4367211814</t>
        </is>
      </c>
      <c r="B118" t="inlineStr">
        <is>
          <t>Sr Product Manager</t>
        </is>
      </c>
      <c r="C118" t="inlineStr">
        <is>
          <t>The Walt Disney Company</t>
        </is>
      </c>
      <c r="D118" t="inlineStr">
        <is>
          <t>linkedin</t>
        </is>
      </c>
      <c r="E118">
        <f>HYPERLINK("https://www.linkedin.com/jobs/view/4367211814", "https://www.linkedin.com/jobs/view/4367211814")</f>
        <v/>
      </c>
      <c r="F118" t="inlineStr"/>
      <c r="G118" t="inlineStr">
        <is>
          <t>Glendale, CA</t>
        </is>
      </c>
      <c r="H118" t="inlineStr"/>
      <c r="I118"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Content Platforms \&amp; Operations is responsible for the development and ongoing advancement of the technical and operational functions driving the worldwide distribution and monetization of Disney’s linear networks and theatrical content. This includes Disney’s media supply chain and storage, network and theatrical distribution operations, media localization, network transmission and origination, and more. The global team also plays a critical role as the primary collaboration point for Product \&amp; Technology with Disney’s EMEA, APAC, and LATAM regional business teams.
 We are the
 **Content Platforms** 
 team with a mission to “reimagine the technical ecosystem that empowers The Walt Disney Company to harness its unparalleled storytelling and distribute it around the world.” Content Platforms is part of DEEP\&amp;T which is responsible for The Walt Disney Company’s direct\-to\-consumer businesses globally, including the ESPN\+ sports streaming service, programmed in conjunction with ESPN; Disney\+, the Disney\-branded direct\-to\-consumer streaming service; global advertising sales and ad technology for all of Disney’s media properties, including ABC, ESPN, Hulu, Freeform, FX Networks, National Geographic and the Disney Channels; and Hotstar, the leading over\-the\-top streaming service in India.
**If You**
* Enjoy working with teams of talented and passionate people
* Have excellent communication skills
* Demonstrate determination in finding solutions to complex puzzles
* Have the curiosity and interests in how content goes from inception to consumers
* Employ positive thinking and are able to work constructively in a diverse team setting
* Enjoy transforming business strategy into innovative products \&amp; platforms
* Value learning and being exposed to new experiences
* Love working in a startup culture
* Find Media \&amp; Entertainment industry fascinating
 then Content Platforms team is the place for you. We are growing and investing in innovative technology to launch a state\-of\-the\-art content pipeline. Come be a part of the magic that makes The Walt Disney Company one of the “World’s Most Admired Companies”.
**Role Overview**
 The Content Platforms’ Rights Management Team is looking for a Product Manager to support the day\-to\-day activities of the Product Lifecycle. This individual will have the opportunity be a part of the team that will define and launch products supporting the distribution of The Walt Disney Company’s amazing content, including: Direct\-to\-Consumer (Disney\+, Hulu, etc.) Content Sales (licensing content to third party distribution partners), Transactional, Syndication, and Airlines. Rights Management is the practice of defining and managing the rights associated with media content, including who can use the content, in what format, where, when, and under what conditions. It ensures legal compliance, protects intellectual property, and enables content monetization across various channels. The Rights Management ecosystem is composed of several interconnected applications and platforms. Our primary Rights Management product is Rightsline and experience with this SaaS solution is preferred. Key product capabilities and concepts that the team supports include, but are not limited, to rights clearances, distribution rights\-in and informational restrictions, exclusivity and holdbacks, carves, distribution rights\-out, opportunity reporting, and conflict check.
 As the Product Manager, you will have the opportunity to dive deep into the business capabilities and learn the Disney processes. Your responsibilities include gathering \&amp; prioritizing business requirements and translating that into product specifications. Working in a cross\-functional team environment with design, engineering, infrastructure, and QA, you will help reimagine the product for the future business of The Walt Disney Company, with focus in maximizing automation, driving incremental revenue, operational improvements, and supporting the acceleration of our Direct\-to\-Consumer and Content Sales businesses.
**Responsibilities**
 Product Strategy \&amp; Vision
* Articulate product strategy and gain aligment from business stakeholders and cross\-functional technical teams
* Create product roadmaps that clearly link vision, strategy, objectives, and execution.
* Provide end\-to\-end product management for a specific product or platform within the Rights Management domain.
* Collaborate with business partners to evaluate the value proposition of enhancement requests and propose alternative solutions when necessary, ensuring alignment with the overall product strategy.
 Engagement \&amp; Collaboration
* Collaborate with business partners and cross\-functional teams to identify and clearly define business requirements
* Assist in process alignment and standardization
* Work with engineering and program managers to deliver solutions that support product and Content Platforms' strategy.
* Work closely with cross\-functional teams—including engineering, design, quality assurance, and product leadership—to optimize product features and improve business processes.
 Product Execution \&amp; Delivery
* Manage maintenance and prioritization of product backlog, ensuring transparent, well\-aligned, and justified prioritization within your area of responsibility
* Support the team in identifying, developing, and verifying appropriate solutions for issues, including assistance with complex problems when needed.
* Refine solutions into a practical minimum viable product that efficiently addresses the highest\-priority requirements.
* Coordinate major product releases
* Participate in daily scrum meetings, planning, reviews, and retrospectives
 Product Analysis \&amp; Decision\-Making
* Make thoughtful, well\-documented assumptions
* Own cost/benefit analysis and prepare lean business cases
* Define realistic product targets / KPIs / OKRs
* Leverage product frameworks and tools to document information in a structured way (user journey maps, flow, information architecture, etc.)
 User Focus \&amp; Experience
* Exhibit natural and intuitive user empathy
* Constantly seek out ways to improve the user experience and streamline business operations
* Own system processes, user guides, and training materials for product features as needed
**Basic Qualifications**
* Bachelor’s degree or equivalent experience
* 5\+ year of product management experience, preferably in digital media supply chain
* Demonstrate strong product understanding and platform familiarity
* Knowledge and experience in product management for content rights and availability
* Knowledge and experience in the first party, third party, and acquired content workflows for direct\-to\-consumer streaming service
* Self\-starter and can work independently under time constraints
* Demonstrate strong presentation skills and ability to clearly communicate goals, status, and issues
* Demonstrate strong technical writing skills
* Demonstrate ability to derive actionable insights or alternative solutions through user research
* Demonstrate ability to craft and validate problems
* Efficiently support experimentation execution and analysis, such as proof of concepts
* Demonstrate ability to define Product Roadmaps
* Demonstrate understanding of business modeling and analysis vis structured cost/benefit analysis
* Demonstrate understanding and ability to write and prioritize user stories
* Demonstrate ability to adjust and pivot as business strategy and product priorities shifts
* Experienced in leading and/or facilitating business workshops
* Exhibits a clear understanding of development process, methodologies, and tools
* Can provide informal guidance to junior team members
* Exhibits appreciation and experience in incorporating data science and analytics in holistic product solutions
**Preferred Qualifications**
* MBA or Masters in related technical field preferred
* Exposure or experience with Agile development tools, such as Jira, Airtable, Confluence
* Prior work experience in financial/accounting in content exploitation
* Strong understanding of financial systems, processes, and enhancements
* Established expertise in financial operations, financial controls, financial reporting, and financial systems
* Understanding of general ledger, hierarchies, and data structures
* Experience utilizing AI/ML to automate business processes and drive monetization opportunities
* Familiarity with Rightsline
* Familiarity with Workato
* Knowledge of or experience in Media \&amp; Entertainment industry
* Enthusiasm and interests in Disney brands
* Understanding of media production workflows, digital video workflows, or consumer\-facing video product features
 \#DISNEYTECH
 The hiring range for this position in Glendale, CA is $141,900 to $190,300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19">
      <c r="A119" t="inlineStr">
        <is>
          <t>li-4357725624</t>
        </is>
      </c>
      <c r="B119" t="inlineStr">
        <is>
          <t>Technical Product Manager</t>
        </is>
      </c>
      <c r="C119" t="inlineStr">
        <is>
          <t>Atos</t>
        </is>
      </c>
      <c r="D119" t="inlineStr">
        <is>
          <t>linkedin</t>
        </is>
      </c>
      <c r="E119">
        <f>HYPERLINK("https://www.linkedin.com/jobs/view/4357725624", "https://www.linkedin.com/jobs/view/4357725624")</f>
        <v/>
      </c>
      <c r="F119" t="inlineStr"/>
      <c r="G119" t="inlineStr">
        <is>
          <t>New York, NY</t>
        </is>
      </c>
      <c r="H119" t="inlineStr"/>
      <c r="I119" t="inlineStr">
        <is>
          <t>**Technical Proficiency** 
 Data Analytics; JIRA; PowerBI; Product Management
 This role is needed to ensure successful delivery of the Sentiment and Know Your Customer (KYC) strategy within the Colleague Experience portfolio. The demand for data\-driven insights has increased significantly with the expansion of CES survey results, and Nexthink analytics, along with new requirements for colleague segmentation and automated reporting for Gen AI products (Chat GPT \&amp; Copilot Chat) across Digital Workplace.
 This role will provide dedicated support to the Senior Product Manager by managing backlog activities, coordinating delivery across multiple technology and data teams, and ensuring that product features are prioritized and executed against strategic milestones. They will also help translate colleague insights into product requirements, oversee data validation, and manage stakeholder communication to ensure timely delivery of dashboards, analytics, and measurement frameworks.
 Without this role, the team will be unable to meet delivery expectations for key sentiment initiatives, KYC data integrations, and CES reporting cycles, limiting our ability to provide the insights required by senior leadership and the TLT for decision\-making.</t>
        </is>
      </c>
    </row>
    <row r="120">
      <c r="A120" t="inlineStr">
        <is>
          <t>li-4329767110</t>
        </is>
      </c>
      <c r="B120" t="inlineStr">
        <is>
          <t>Product Manager</t>
        </is>
      </c>
      <c r="C120" t="inlineStr">
        <is>
          <t>Vivantio</t>
        </is>
      </c>
      <c r="D120" t="inlineStr">
        <is>
          <t>linkedin</t>
        </is>
      </c>
      <c r="E120">
        <f>HYPERLINK("https://www.linkedin.com/jobs/view/4329767110", "https://www.linkedin.com/jobs/view/4329767110")</f>
        <v/>
      </c>
      <c r="F120" t="inlineStr"/>
      <c r="G120" t="inlineStr">
        <is>
          <t>Boston, MA</t>
        </is>
      </c>
      <c r="H120" t="inlineStr"/>
      <c r="I120" t="inlineStr">
        <is>
          <t>**Description** 
 We are seeking a Product Manager to play a pivotal role in defining Vivantio’s product future. This is an opportunity for someone who thrives on delivering high\-value, frequently used capabilities for customers who rely on the platform to run mission\-critical service operations every day.
 As Product Manager, you will own the full product lifecycle, from discovery through delivery. You will work closely with customers, internal stakeholders, and cross\-functional teams to refine and execute the product roadmap, define new capabilities, and ensure alignment with Vivantio’s strategic objectives. Operating within an agile environment, you will lead backlog refinement, support sprint and release planning, and translate customer and business needs into clear, actionable outcomes.
 You will also own broader platform initiatives, including UI modernization and the identification and adoption of AI\-driven opportunities that enhance usability, intelligence, and differentiation. Above all, you will act as a strong advocate for customer value, ensuring we deliver intuitive, scalable solutions that meet the needs of a diverse, global customer base.
 Click this link to learn more about our SaaS platform: https://www.vivantio.com/features/
**Requirements** 
 As a crucial part of the product management team, the Product Manager will collaborate with stakeholders, leadership and customers to help refine and drive our product roadmap and define innovative new features for our IT Service Management Platform.
**What you’ll do:** 
* Own and drive specific product roadmap initiatives for the Vivantio SaaS products, from discovery through delivery.
* Translate product priorities into clear, actionable requirements by writing user stories, maintaining and prioritizing the backlog, and working closely with developers on day\-to\-day execution.
* Act as the primary product interface for the engineering team, providing clarity, context, and fast decision\-making throughout the development process.
* Work closely with key stakeholders, customers, and partners to inform the product roadmap and evangelize the Vivantio application.
* Take a data\-informed approach to product decisions across roadmap, design, and development.
**What you’ll bring:** 
* 5\+ years of software product management experience with commercial product, preferably SaaS.
* Demonstrated understanding of AI\-driven product opportunities and how to operationalize them into usable features.
* Prior experience as a product manager and product owner in agile/scrum development environment.
* Prior experience collaborating with UX/UI designers on product features using design tools like Figma, Sketch, etc.
* Startup technology company experience, preferably for a SaaS offering.
* Experience working with a diverse team of engineers, marketers and product managers.
* Experience managing the development of extensions and integrations for a core product to other platforms.
* Customer\-centric mindset and passion for enhancing usability and workflow efficiency.
**Bonus Points:** 
* Experience in ITSM, Customer Management, automation or workflow\-oriented SaaS platforms.
* Exposure to AI technologies, machine learning concepts, or AI\-powered product development.
* Advance qualifications with an entrepreneurship or technical management background.
* BS in Computer Science and/or prior software development experience.
* Practical knowledge of querying databases.
* Prior product management experience for a product’s public API offering.</t>
        </is>
      </c>
    </row>
    <row r="121">
      <c r="A121" t="inlineStr">
        <is>
          <t>li-4351796912</t>
        </is>
      </c>
      <c r="B121" t="inlineStr">
        <is>
          <t>Product Owner</t>
        </is>
      </c>
      <c r="C121" t="inlineStr">
        <is>
          <t>TIFIN</t>
        </is>
      </c>
      <c r="D121" t="inlineStr">
        <is>
          <t>linkedin</t>
        </is>
      </c>
      <c r="E121">
        <f>HYPERLINK("https://www.linkedin.com/jobs/view/4351796912", "https://www.linkedin.com/jobs/view/4351796912")</f>
        <v/>
      </c>
      <c r="F121" t="inlineStr"/>
      <c r="G121" t="inlineStr">
        <is>
          <t>Boulder, CO</t>
        </is>
      </c>
      <c r="H121" t="inlineStr"/>
      <c r="I121" t="inlineStr">
        <is>
          <t>**WHO WE ARE** 
 TIFIN builds AI\-powered financial technology that personalizes and improves financial advice across consumers, advisors, workplaces, and institutions. Our modular platform embeds finance\-tuned AI to deliver dynamic, tailored guidance at scale—without added complexity. Combining proprietary models, specialized data, and a fast\-paced engineering culture, we create secure, compliant tools that power real outcomes. Other differentiators include:
* **Speed:** 
 Our ability to stand up businesses at 2\-4x the speed of typical fintech companies (building MVPs in 3 months and production\-ready products in 6\-12 months)
* **Track Record:** 
 Previous exits include 55ip (acquired by J.P. Morgan) and Paralel
* **Strategic Partners:** 
 Partners include J.P. Morgan, Franklin Templeton, Morningstar, Broadridge, Hamilton Lane, Motive Partners and SEI.
* **World\-Class Team:** 
 Complimentary financial services \&amp; technical expertise from Google, Microsoft, Uber, PayPal, eBay, Techstars, BlackRock, LPL, Franklin Templeton, Morgan Stanley, Broadridge and more.
**OUR VALUES: Go with your GUT** 
* **Grow at the Edge.** 
 We are driven by personal growth fueled by a beginner’s mindset. We get out of our comfort zone and keep egos aside. With self\-awareness and integrity we strive to be the best we can possibly be. No excuses.
* **Understanding through Listening and Speaking the Truth.** 
 We communicate with authenticity, precision and integrity to create a shared understanding. We identify opportunities within constraints and propose solutions in service to the team.
* **I Win for Teamwin.** 
 We believe in staying within our genius zones to succeed and taking accountability for driving results. We are all individual contributors first and always thinking about what can be better.
**ROLE OVERVIEW** 
 We are looking for a product owner for our AI financial assistant for the workplace,
 TIFIN@Work
 , designed to provide personalized financial and benefits guidance for employees and growth for advisors. You will own the technical and production vision from architecture through delivery, including direct responsibility for engineering direction across AI, LLM systems and platform architecture. You will report directly to the CEO and shape company strategy, platform investment and technical direction in order to create magic for our customers.
**PROJECTS** 
* **AI Agent Orchestrator:** 
 Design and delivery of multi\-agent systems coordinating planning, reasoning, execution and tool use.
* **Human\-in\-the\-Loop Collaboration:** 
 Architect systems with a clear separation of automation vs advisor or employee decision making for compliance and trust.
* **LLM Systems and Model Engineering:** 
 Purpose\-tuned models for financial services to handle complex, multi\-turn interactions with actionability in low\-latency environments.
* **Enterprise Platform and Integration:** 
 Integrate with enterprise CRMs, data warehouses, identity systems and legacy financial platforms.
**WHAT YOU’LL DO** 
* Live and breathe the product. Own all aspects to launch new products and features with a highly detailed and thoughtful testing approach.
* Direct engineering and LLM teams across platform development, AI systems, and production infrastructure.
* Define and prioritize technical roadmaps, including model strategy, platform architecture, and system scalability.
* Establish engineering and AI quality bars, including evaluation, testing, monitoring, and reliability.
* Ensure systems meet enterprise requirements for security, compliance, auditability, and data segmentation.
* Act as a technical leader across the organization, raising the bar for execution and decision\-making.
**WHAT YOU’LL BRING** 
* 7\+ years of hands\-on experience in product management with a track record shipping AI systems that operate reliably under real\-world constraints
* Experience directly leading and influencing senior engineers and AI/LLM specialists
* Strong understanding of LLM behavior, failure modes, hallucination mitigation, and evaluation techniques
* Ability to manage the product roadmap from scratch through to production.
* Swift, high\-quality decision making informed by data but not paralyzed without it.
* Ability to plan for future work while maintaining the current delivery with rapidly changing priorities.
* Resilience and adaptability \- experience working at early\-stage startups is a plus.
**COMPENSATION RANGE** 
 $150,000 \- $200,000 USD
 In addition to cash compensation, a meaningful equity stake is a significant part of the overall package. Package also includes benefits program eligibility: Comprehensive health, dental and vision coverage, retirement benefits and flexible PTO.
*TIFIN is proud to be an equal opportunity workplace and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 
*Please see more details on our privacy practices in our Privacy Notice
 here.*</t>
        </is>
      </c>
    </row>
    <row r="122">
      <c r="A122" t="inlineStr">
        <is>
          <t>li-4299648630</t>
        </is>
      </c>
      <c r="B122" t="inlineStr">
        <is>
          <t>Senior Product Manager, Team Tooling</t>
        </is>
      </c>
      <c r="C122" t="inlineStr">
        <is>
          <t>BetterUp</t>
        </is>
      </c>
      <c r="D122" t="inlineStr">
        <is>
          <t>linkedin</t>
        </is>
      </c>
      <c r="E122">
        <f>HYPERLINK("https://www.linkedin.com/jobs/view/4299648630", "https://www.linkedin.com/jobs/view/4299648630")</f>
        <v/>
      </c>
      <c r="F122">
        <f>HYPERLINK("https://jobs.ashbyhq.com/betterup/a3fceee3-9a92-49cd-9a1e-9961caefb616?utm_source=linkedin_promoted&amp;urlHash=dbGn", "https://jobs.ashbyhq.com/betterup/a3fceee3-9a92-49cd-9a1e-9961caefb616?utm_source=linkedin_promoted&amp;urlHash=dbGn")</f>
        <v/>
      </c>
      <c r="G122" t="inlineStr">
        <is>
          <t>San Francisco, CA</t>
        </is>
      </c>
      <c r="H122" t="inlineStr"/>
      <c r="I122"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123">
      <c r="A123" t="inlineStr">
        <is>
          <t>li-4368282751</t>
        </is>
      </c>
      <c r="B123" t="inlineStr">
        <is>
          <t>Senior Product Manager</t>
        </is>
      </c>
      <c r="C123" t="inlineStr">
        <is>
          <t>Stott and May</t>
        </is>
      </c>
      <c r="D123" t="inlineStr">
        <is>
          <t>linkedin</t>
        </is>
      </c>
      <c r="E123">
        <f>HYPERLINK("https://www.linkedin.com/jobs/view/4368282751", "https://www.linkedin.com/jobs/view/4368282751")</f>
        <v/>
      </c>
      <c r="F123">
        <f>HYPERLINK("https://find.stottandmay.com/job/senior-product-manager-76142?source=LinkedInJobsWrapper&amp;urlHash=Tqmg", "https://find.stottandmay.com/job/senior-product-manager-76142?source=LinkedInJobsWrapper&amp;urlHash=Tqmg")</f>
        <v/>
      </c>
      <c r="G123" t="inlineStr">
        <is>
          <t>New York, United States</t>
        </is>
      </c>
      <c r="H123" t="inlineStr"/>
      <c r="I123" t="inlineStr">
        <is>
          <t>**Job Description**
 Senior Product Manager (Growth)
**Location:** 
 New York, NY (Hybrid)
**Salary:** 
 Up to
 **$204,000 base \+ equity**
 The Company
 A high\-growth consumer fintech platform serving millions of users, focused on improving access to financial services through intuitive, data\-driven products.
 The Role
 You’ll lead growth\-focused product initiatives aimed at user acquisition, activation, and early engagement. Partnering closely with senior stakeholders, you’ll own the roadmap across onboarding, incentives, referrals, and customer communications.
 What You’ll Do
* Define and execute a growth\-focused product roadmap
* Identify opportunities through user research and data analysis
* Partner with Marketing to optimise acquisition channels
* Lead feature ideation, delivery, and experimentation
* Collaborate with Design, Engineering, and Data teams
* Measure impact and iterate based on results
 What We’re Looking For
* 6\+ years of Product Management experience (B2C)
* Strong analytical and experimentation mindset
* Experience shipping impactful, data\-driven features
* Comfortable working hands\-on in fast\-paced environments
* Technically confident and outcome\-focused
 Package
* Up to $204,000 base salary \+ equity
* Bonus and 401(k)
* 100% employer\-paid Medical, Dental \&amp; Vision (incl. dependents)
* Flexible time off, parental leave, wellness \&amp; commuter benefits
* Modern NYC office with catered lunches
 If you are interested please email you CV to \[email protected] for immediate consideration</t>
        </is>
      </c>
    </row>
    <row r="124">
      <c r="A124" t="inlineStr">
        <is>
          <t>li-4304462566</t>
        </is>
      </c>
      <c r="B124" t="inlineStr">
        <is>
          <t>Product Manager – Customer Experience</t>
        </is>
      </c>
      <c r="C124" t="inlineStr">
        <is>
          <t>Gen</t>
        </is>
      </c>
      <c r="D124" t="inlineStr">
        <is>
          <t>linkedin</t>
        </is>
      </c>
      <c r="E124">
        <f>HYPERLINK("https://www.linkedin.com/jobs/view/4304462566", "https://www.linkedin.com/jobs/view/4304462566")</f>
        <v/>
      </c>
      <c r="F124" t="inlineStr"/>
      <c r="G124" t="inlineStr">
        <is>
          <t>Phoenix, AZ</t>
        </is>
      </c>
      <c r="H124" t="inlineStr"/>
      <c r="I124" t="inlineStr">
        <is>
          <t>**About the Role:**
 Did you know there is a victim of identity theft every 3 seconds in the US? Companies and Cyberthieves track, target and profile you online; your name, address, websites you visit, location, passwords, bank accounts and credit cards are just some of the pieces of data you can leave behind or expose online.  Gen’s Identity team protects the personal data of millions of customers around the world from being abused or stolen.  Working in small, high\-energy, driven teams of engineers, designers, go\-to\-market, and product owners you will develop innovative products to meet the dynamic threat landscape and leverage key technologies like AI to launch new services rapidly.   You will be responsible for the end\-to\-end customer experiences that maximize customer and company value, finding the balance of new product offerings, and the ongoing performance of a suite of services.
**What You Will Do in This Role:**
* End\-to\-End Customer Experience: Drive an end\-to\-end customer experience strategy that leverages AI to unlock productivity and accelerate innovation. Identify strategic opportunities through comprehensive research, market analysis, and a deep understanding of the identity theft protection landscape. Orchestrate the entire lifecycle—from concept testing and validation through research and rapid experimentation, to the launch of minimum viable products (MVPs) for market validation, and ultimately, full\-scale rollout and expansion across platforms and geographies. By integrating AI\-powered insights and automation, ensure every stage of the journey is focused on creating customer value while enabling teams to operate with greater speed, precision, and impact.
* Product Lifecycle Ownership: Strategically manage the product roadmap to optimize customer and company value, striking a balance between launching new services and enhancing existing ones. Collaborate closely with commercial teams to drive acquisition and retention, placing a strong emphasis on Net Promoter Score (NPS) and customer satisfaction metrics.
* Leadership: Lead a group of Researchers, Design, Engineering, Marketing, and other PM peers across teams to innovate, design, spec, and build solutions that align to customer needs to drive growth and retention for the Identity Protection business. Additionally, inform executives of progress, impediments, solutions and opportunities through presentations, memos on a regular basis.
* Collaboration: Work closely with product leaders to influence overall product vision, strategy and prioritization using qualitative and quantitative data to support your position.
**What You’ll Need to be Successful in this Role**
 This role requires a self\-starter who enjoys working in a collaborative environment that emphasizes working in small cross\-functional teams with UX and engineering teammates as one unit.
* A track record of bringing consumer products to market and to achieve business growth over the past 5\+ years.
* Experience working with regulated products and features.
* Having experience growing a DTC business.
**Business Case Development:**
* Ability to perform a range of business analytics ranging from problem/root cause identification to defining new business economics.
* Experience securing resources and funding for products with ROI\-based business cases.
* Proficient in synthesizing insights and making informed decisions in situations where data may be incomplete or unavailable, with the ability to clearly articulate the rationale behind data\-backed elements versus assumptions.
**Product Launches:** 
* Proven track record of successfully launching consumer\-facing products and features that resulted in significant increases in user acquisition, revenue generation, and/or notable improvements in engagement and adoption rates.
* Experience with rapid experimentation using prototypes, A/B testing, user story mapping, design sprints, and other product discovery techniques.
* Proven proficiency in identifying customer challenges – converting them into user stories – prioritizing them in sequence for scrum teams to ensure work focuses on those with maximum value that are aligned with learnings from prior sprints, team goals, and overall product vision.
**Product Management:**
* Ability to translate the strategic vision into discrete execution steps across engineering and business teams, collaborate with other PM leaders, engineering leaders, and peers across the business group to establish a successful rhythm of continuous execution.
* Experience in successfully working with new partners and with understanding regulations needed to launch a product.
* Ability to clearly define different delivery options and their respective tradeoffs.
**Stakeholder Management:** 
* High energy and ability to demonstrate clear vision.
* Strong facilitation and negotiation skills.
* Able to take complex data and distill it into a set of easily digestible KPI’s and presentations for the executive team.
* Ability to build credible relationships and influence with both highly technical stakeholders and non\-technical stakeholders.
**Professional Attributes:** 
* Thoughtful and methodical but biased towards action.
* Excellent communication skills (written, verbal, presentation and interpersonal) to both technical and non\-technical audiences.
* BS/BA in computer science, business or related discipline.
* Experience and passion for consumer technology, online safety, and privacy, is not required but is highly desirable.
 Salary Ranges:
 $150,000\.00 \- $165,000\.00
 The pay range depicts a base salary range for all positions except commission\-based roles. The pay range for commission\-based roles represents On Target Earnings (annual base salary \+ target annual commission). Additional compensation elements may be offered including an opportunity for bonus incentives and also competitive benefits package. Actual compensation offered will be determined by factors such as the external/internal market demand, location, level, job\-related knowledge, skills, and experience.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t>
        </is>
      </c>
    </row>
    <row r="125">
      <c r="A125" t="inlineStr">
        <is>
          <t>li-4368286753</t>
        </is>
      </c>
      <c r="B125" t="inlineStr">
        <is>
          <t>Associate Product Manager</t>
        </is>
      </c>
      <c r="C125" t="inlineStr">
        <is>
          <t>SciPro</t>
        </is>
      </c>
      <c r="D125" t="inlineStr">
        <is>
          <t>linkedin</t>
        </is>
      </c>
      <c r="E125">
        <f>HYPERLINK("https://www.linkedin.com/jobs/view/4368286753", "https://www.linkedin.com/jobs/view/4368286753")</f>
        <v/>
      </c>
      <c r="F125" t="inlineStr"/>
      <c r="G125" t="inlineStr">
        <is>
          <t>Santa Clara County, CA</t>
        </is>
      </c>
      <c r="H125" t="inlineStr"/>
      <c r="I125" t="inlineStr">
        <is>
          <t>Looking for:
 1\+ year of product management or product marketing
 Bachelor's Degree completed
 Medical Device Experience, Preferable in Spine or orthopedic organization
 Strong written or verbal communicator
 Able to work in high\-performing and fast paced team
 Knowledge of ISO 13485, FDA regulations and/or EU MDR
 Responsibilities:
* Drive the creation and execution of marketing plans that align with brand strategy, and ensure rapid sharing of best practices across teams and regions.
* Track brand and product performance, identify issues, and recommend actions within the annual operating plan. Support budgeting for travel, promotions, and advertising.
* Serve as the main recipient of customer and field feedback; evaluate post\-market issues, determine needed actions (e.g., technical bulletins), and document decisions.
* Continuously monitor competitors, customer needs, technology trends, and therapy adoption to inform updates to marketing strategy.
* Help develop core product marketing communications by refining messaging, partnering with cross\-functional teams, managing approvals, and tracking campaign effectiveness.
* Build strong KOL relationships, support sales and marketing teams, identify product champions, and participate in key customer events.
* Create global training goals with the training team, distribute marketing materials, and act as a resource for product inquiries.
* Manage content planning and creation for core initiatives, and measure sales team engagement with distributed materials.
* Coordinate with cross\-functional partners on strategy, customer targeting, sales training, co\-marketing, and technology priorities to ensure unified execution.
* Collaborate with engineering, regulatory, commercial teams, and design surgeons to develop and launch new products.
* Work with commercial and strategy teams to assess new market opportunities, partnerships, and growth initiatives; support market research, business cases, and go\-to\-market plans.</t>
        </is>
      </c>
    </row>
    <row r="126">
      <c r="A126" t="inlineStr">
        <is>
          <t>li-4368812061</t>
        </is>
      </c>
      <c r="B126" t="inlineStr">
        <is>
          <t>Sr. Product Owner Self Service &amp; Document Center</t>
        </is>
      </c>
      <c r="C126" t="inlineStr">
        <is>
          <t>Mercedes-Benz Financial Services USA LLC</t>
        </is>
      </c>
      <c r="D126" t="inlineStr">
        <is>
          <t>linkedin</t>
        </is>
      </c>
      <c r="E126">
        <f>HYPERLINK("https://www.linkedin.com/jobs/view/4368812061", "https://www.linkedin.com/jobs/view/4368812061")</f>
        <v/>
      </c>
      <c r="F126" t="inlineStr"/>
      <c r="G126" t="inlineStr">
        <is>
          <t>Fort Worth, TX</t>
        </is>
      </c>
      <c r="H126" t="inlineStr"/>
      <c r="I126" t="inlineStr">
        <is>
          <t>Aufgaben
 About Us:
 Who is Mercedes\-Benz Financial Services?
 Mercedes\-Benz Financial Services, part of the global company Mercedes\-Benz Mobility AG is the captive financing and mobility solutions company of the global luxury automobile manufacturer, Mercedes\-Benz AG. We offer a comprehensive range of automotive financial and insurance products that make it easy for our customers to drive their dream Mercedes\-Benz vehicle.
 Why work at Mercedes\-Benz Financial Services?
 Working at Mercedes\-Benz Financial Services is more than a job – it’s an opportunity to join an innovative team where you are valued for your contributions. As an employee, you will experience career development in a positive, employee\-centric environment. We’re a global company that not only offers best\-in\-class products to our customers but also best\-in\-class benefits to our employees. Our employees experience a comfortable, friendly environment and relaxed, inclusive culture.
**Benefits**
 When working at Mercedes\-Benz Financial Services, you will enjoy a comprehensive and amenity\-rich benefits package offering something for every employee at each stage of their life.
 As a new employee, you will have the opportunity to take advantage of the following benefits that go beyond – beginning day one:
 Get Rewarded! Competitive salary plus an annual bonus based on company performance and/or personal yearly performance
 Need a vacation? How about just some time for YOU! In addition to our vacation time, you’ll receive fifteen (15\) additional corporate holidays, which will allow you to celebrate religious holidays or escape to the spa! Designed to be flexible, we let you decide which days are most important to you!
 Ride in Style \- All employees are eligible to participate in the Mercedes\-Benz Employee Lease Program
 We want you to be healthy! Outstanding medical, dental, and vision insurance, employer\-paid short and long term disability plus on\-site exercise facilities
 Is your family growing? Enjoy generous paid Family Leave Programs \- Six Weeks for New Parents; Adoption Expense Reimbursement Programs \- up to $6k per child
 Want to go back to school? Tuition Assistance Scholar Program \- receive up to $8k in vouchers to complete business\-related coursework
* $6k for undergraduate
* $8k for graduate
 Job Overview:
 We are seeking a Senior Product Owner to lead a portfolio of digital platforms that power customer self\-service and agent\-assisted service experiences across North America.
 This role owns the product strategy, roadmap, and execution for multiple interconnected applications that support high\-volume, regulated customer interactions across web, mobile, and contact center channels. You will operate at the intersection of customer experience, agent efficiency, compliance, and operational resilience, partnering closely with Technology, Operations, Compliance, and Vendor teams.
 This is a highly visible role for a product leader who thrives in complex environments, enjoys balancing strategic vision with operational excellence, and can lead cross\-functional teams to deliver measurable customer and business outcomes.
 Lead, coach, and supervise direct reports, driving performance, accountability, and added value for customers. In addition, will be required to work weekends for monthly releases and support system outages during Operations defined hours of operations.
 Responsibilities:
* Product Strategy \&amp; Outcomes: own the product vision and roadmap for customer self\-service and agent\-assisted service platforms spanning multiple applications. Translate customer, agent, and business needs into prioritized product investments that improve customer satisfaction, self\-service containment, agent efficiency, and operational stability. Define and track success metrics (customer experience, adoption, efficiency, reliability, compliance) and continuously optimize based on data and feedback. Balance trade\-offs across customer experience, regulatory requirements, cost, and operational impact. (25%)
* Product Execution \&amp; Delivery: Serve as the primary product owner for assigned platforms, accountable for requirements definition, backlog prioritization, and release readiness.
* Operational \&amp; Platform Leadership: Provide product leadership for platform stability, performance, and resilience, including incident response and root\-cause remediation.
* Stakeholder \&amp; People Leadership: Serve as a trusted product partner to Operations, Contact Center leadership, Compliance, IT, and Business stakeholders across the U.S., Canada, and Mexico. Communicate product strategy, roadmap, and trade\-offs clearly to executive and operational audiences. Lead, coach, and develop 1–5 direct reports, fostering accountability, product thinking, and continuous improvement. (25%)
 Qualifikationen
 Qualifications:
 Applicants must be legally authorized to work in the U.S. at the time of application. Relocation assistance will be provided for this position.
 This position requires a minimum of 8\+ years of overall work experience. Preferred experience includes:
* Business\-General: 5\+ years
* Customer Service: 5 years
* Information Technology: 3\+ years
* Strategy: 5 years
 Education:
 High School Diploma/(GED) is required, Bachelor's Degree is preferred. Recommended majors include:
* Business Administration
* Computer/Information Systems
 Additional Knowledge:
* Bachelor's Degree Strongly Preferred
* 8\+ years of experience in Product Management, Product Ownership, or equivalent roles.
* Proven ownership of multiple digital products or platforms in complex, regulated environments.
* Strong experience with customer self\-service platforms, agent tooling, contact center systems, or omnichannel CX ecosystems.
* Demonstrated ability to balance strategy, execution, and operational accountability.
* Experience working with cross\-border or global teams is a plus.
 Skills:
* Analytical skills
+ Ability to collect data and establish facts and identify trends and variances
* PC skills
+ Microsoft Office
* Presentation skills
* Problem solving skills
* Project management skills
+ Project leader
+ Team Member
 Additional Skills:
* Strong product discovery, requirements definition, and prioritization skills.
* Data\-driven decision making with the ability to connect product changes to business outcomes.
* Excellent stakeholder management and communication skills.
* Comfortable leading through ambiguity, incidents, and competing priorities.
* Working knowledge of Agile product development practices.
 Recommended Prerequisites:
* Product Owner or Associate Product Owner; Product Manager / Digital Product Manager; Business Analyst (Customer Platforms / Digital Channels); Customer Experience (CX) or Customer Journey Manager; Platform or Portal Manager; Operations or Process Improvement Lead (Digital Enablement); Support or Contact Center Product Liaison
 Posting Statement
 If you were not re\-directed successfully after clicking the “Apply for this job” button, please click the following link to search and apply for the role on the local career portal: https://daimler.taleo.net/careersection/ex/jobsearch.ftl
 Mercedes\-Benz Financial Services offers competitive salary, performance\-based bonuses and a full suite of benefits including 401(K) with match, generous vacation and personal time, a Mercedes\-Benz car program as well as flexible work arrangements.
 EEO/Minorities/Females/Disabled/Vets
**Benefits**
 Mit­arbeiter Events
 Mit­arbeiter­rabatte möglich
 Mit­arbeiter­handy möglich
 Mobilitäts­angebote
 Betrieb­liche Alters­ver­sorgung
 Gesund­heits­maß­nahmen
 Coaching
 Kantine, Café
 Park­platz
 Barriere­frei­heit
 KontaktMercedes\-Benz Financial Services USA LLC
 14372 Heritage Pkwy76177 Fort WorthDetails zum Standort
 NAFTA SSC E\-Mail: nafta\_ssc\_recruiting@mercedes\-benz.com
 Bewerben</t>
        </is>
      </c>
    </row>
    <row r="127">
      <c r="A127" t="inlineStr">
        <is>
          <t>li-4330245924</t>
        </is>
      </c>
      <c r="B127" t="inlineStr">
        <is>
          <t>Product Manager, Women's Swim</t>
        </is>
      </c>
      <c r="C127" t="inlineStr">
        <is>
          <t>PACSUN</t>
        </is>
      </c>
      <c r="D127" t="inlineStr">
        <is>
          <t>linkedin</t>
        </is>
      </c>
      <c r="E127">
        <f>HYPERLINK("https://www.linkedin.com/jobs/view/4330245924", "https://www.linkedin.com/jobs/view/4330245924")</f>
        <v/>
      </c>
      <c r="F127" t="inlineStr"/>
      <c r="G127" t="inlineStr">
        <is>
          <t>Anaheim, CA</t>
        </is>
      </c>
      <c r="H127" t="inlineStr"/>
      <c r="I127" t="inlineStr">
        <is>
          <t>**Join the Pacsun Community** 
 Pacsun is dedicated to delivering an exclusive collection of the most relevant brands and styles to a community of inspired youth. Through partnerships with brands such as adidas, Brandy Melville, Essentials Fear of God, our own brands, and many more.
 Our Pacsun community believes in and understands the importance of using our voice, platform, and resources to inspire and bring about positive development. Our program PacCares supports and partners with organizations that align with our internal and external initiatives surrounding mental health, diversity, and equality. Join the Pacsun Community.
 Learn more here: LinkedIn\- Our Community
**About the Job:** 
 Develop and deliver a strategic sourcing plan to meet design vision, merchant requirements and company financial goals. Ensure all products achieve the cost, delivery, construction and quality requirements to meet customer expectations, brand positioning and are aligned with Design and Merchandising objectives.
**A day in the life, what you’ll be doing:** 
 •Guide the sourcing process to contribute to the commercialization and engineering of the product to meet design, vision, merchant requirements and company financial goals
 •Manage the product development process for the Department under direction of Director; execute the commercialization and engineering of the product to meet design vision, merchant requirements and company financial goals.
 •Manage development, planning and execution in alignment with the corporate calendar.
 •Consistent evaluation of vendor’s base and region to support evolving business needs.
 •Establish and communicate seasonal direction to the team.
 •Establish relationship with vendors to drive business objectives throughout the product development and production cycle.
 •Select Vendors that can execute the aesthetic requirements and deliver on time while meeting company financial goals. Counter Source costing and sampling with multiple Vendor options as needed.
 •Manage costing, commitment, timing and execution in alignment with the corporate calendar.
 •Report style costing for key meeting milestones: Assortment Review and Buy Meetings and additionally as requested by management.
 •Own Production cycle to drive timely resolution of production issues in order to deliver on\-time.
 •Own Sourcing and Production Planning to balance Vendor base allocation.
 •Evaluate Mill and Vendor Performance. Work within Production and Fabric to implement necessary course correction to ensure deliverables are met.
 •Negotiate final style cost and deliveries to meet company financial goals and sales timing requirements.
 •Report seasonal Wrap\-up information to leaders. Final IMU by business and outstanding issues with timeline for resolution.
 •Champion effective internal and external partnerships and actively promote cross\-functional collaboration to ensure business goals are achieved.
**What it takes to Join:** 
 •4\-year college degree.
 •3 \- 6 years' experience in product development, production or sourcing.
 •Demonstrated ability to work in a multi\-cultural environment.
 •Exceptionally strong problem solving and negotiating skills.
 •Strong written and verbal communication skills.
 •Travel potentially required
**Developing the Community/ Leadership Qualities:** 
 •Operate with the highest level of conduct, integrity, and confidentiality; setting the example for leaders and associates.
 •Develop and nurture strong cross functional partnerships; driving business results and inspiring a culture of transparency, collaboration, and accountability.
 •Serve as a Pacsun advocate in the industry and marketplace.
 •Recruit, identify, develop, and retain talent that delivers performance excellence.
 •As a manager, serve as a leader of company culture, norms, and conduct.
 •Ability to balance a strong management presence with a high level of approachability, encouraging and eliciting associate feedback and interaction.
**Salary Range:** 
 $91,534\-$110,791
**Pac Perks:** 
 •Dog friendly office environment
 •On\-site Cafe
 •On\-site Gym
 •$1,000 referral incentive program
 •Generous associate discount of 30\-50% off merchandise online and in\-stores
 •Competitive long term and short\-term incentive program
 •Immediate 100% vested 401K contributions and employer match
 •Calm Premium access for all employees
 •Employee perks throughout the year
**Physical Requirements:** 
 The physical demands described here are representative of those that are required by an associate to successfully perform the essential functions of this job.
 • While performing the duties of this job, the associate is regularly required to talk or hear. The associate is frequently required to sit; stand; walk; use hands to finger, handle or feel; as well as reach with hands and arms.
 • Specific vision abilities required by this job include close vision, distance vision, depth perception and ability to adjust focus.
 • Ability to work in open environment with fluctuating temperatures and standard lighting.
 • Ability to work on computer and mobile phone for multiple hours; with frequent interruptions.
 • Required to travel in elevator or stairwells to attend meetings and engage with associates on multiple floors throughout building.
 • Hotel, Airplane, and Car Travel may be required.
**Position Type/Expected Hours of Work:** 
 This is a full\-time position. As a National Retailer, occasional evening and/or weekend work may be required during periods of high volume. This role operates in a professional office environment and routinely uses standard office equipment. Other Considerations: Please note this job description is not designed to cover or contain a comprehensive listing of activities, duties or responsibilities that are required of the associate for this job. Duties, responsibilities and activities may change at any time with or without notice. Reasonable accommodations may be made to qualified individuals with disabilities to enable them to perform the essential functions of the role.</t>
        </is>
      </c>
    </row>
    <row r="128">
      <c r="A128" t="inlineStr">
        <is>
          <t>li-4299649575</t>
        </is>
      </c>
      <c r="B128" t="inlineStr">
        <is>
          <t>Senior Product Manager, Team Tooling</t>
        </is>
      </c>
      <c r="C128" t="inlineStr">
        <is>
          <t>BetterUp</t>
        </is>
      </c>
      <c r="D128" t="inlineStr">
        <is>
          <t>linkedin</t>
        </is>
      </c>
      <c r="E128">
        <f>HYPERLINK("https://www.linkedin.com/jobs/view/4299649575", "https://www.linkedin.com/jobs/view/4299649575")</f>
        <v/>
      </c>
      <c r="F128">
        <f>HYPERLINK("https://jobs.ashbyhq.com/betterup/a3fceee3-9a92-49cd-9a1e-9961caefb616?utm_source=linkedin_promoted&amp;urlHash=dbGn", "https://jobs.ashbyhq.com/betterup/a3fceee3-9a92-49cd-9a1e-9961caefb616?utm_source=linkedin_promoted&amp;urlHash=dbGn")</f>
        <v/>
      </c>
      <c r="G128" t="inlineStr">
        <is>
          <t>Texas, United States</t>
        </is>
      </c>
      <c r="H128" t="inlineStr"/>
      <c r="I128"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129">
      <c r="A129" t="inlineStr">
        <is>
          <t>li-4368244582</t>
        </is>
      </c>
      <c r="B129" t="inlineStr">
        <is>
          <t>Product Manager</t>
        </is>
      </c>
      <c r="C129" t="inlineStr">
        <is>
          <t>Haystack</t>
        </is>
      </c>
      <c r="D129" t="inlineStr">
        <is>
          <t>linkedin</t>
        </is>
      </c>
      <c r="E129">
        <f>HYPERLINK("https://www.linkedin.com/jobs/view/4368244582", "https://www.linkedin.com/jobs/view/4368244582")</f>
        <v/>
      </c>
      <c r="F129" t="inlineStr"/>
      <c r="G129" t="inlineStr"/>
      <c r="H129" t="inlineStr"/>
      <c r="I129" t="inlineStr">
        <is>
          <t>**Vice President, POM Technical Product Management \| UNITED STATES, NY \| $68,000 \- $179,000** 
 We're working with BNY on this exciting opportunity.
 Join BNY, a leading global financial services company, at the forefront of innovation! We're seeking a visionary Vice President of Technical Product Management to drive transformative solutions using cutting\-edge AI and breakthrough technologies, shaping the future of finance.
**The Role** 
 • Develop a compelling product "North Star" strategy, considering diverse business needs and competitive landscapes.
 • Lead the full product development lifecycle across multiple teams, prioritizing backlogs and integrating feedback.
 • Spearhead product roll\-outs, ensuring seamless coordination with broader platform and partner releases.
 • Drive continuous product improvement and adoption, aligning with strategic OKRs and maximizing impact.
 • Mentor and develop product owners, fostering best practices in product management.
**What You'll Need** 
 • Bachelor's degree in Finance, Business, Computer Science, or a related field (MBA desirable).
 • Minimum 5 years of proven experience in product management, ideally within financial services or fintech.
 • Strong understanding of digital technologies, including web and mobile applications, APIs, and data analytics.
 • A keen design\-first sensibility throughout the product development lifecycle and a commitment to exceptional user experiences.
 • Excellent communication, analytical, and leadership skills.
**What's On Offer** 
 • Highly competitive compensation, benefits, and wellbeing programs.
 • Access to flexible global resources and tools for career growth and development.
 • Generous paid leaves, including paid volunteer time.
 • A strong culture of excellence and a pay\-for\-performance philosophy.
**Apply via Haystack today!**</t>
        </is>
      </c>
    </row>
    <row r="130">
      <c r="A130" t="inlineStr">
        <is>
          <t>li-4368669897</t>
        </is>
      </c>
      <c r="B130" t="inlineStr">
        <is>
          <t>Sr. Product Manager (Product Consulting)</t>
        </is>
      </c>
      <c r="C130" t="inlineStr">
        <is>
          <t>Eightfold AI</t>
        </is>
      </c>
      <c r="D130" t="inlineStr">
        <is>
          <t>linkedin</t>
        </is>
      </c>
      <c r="E130">
        <f>HYPERLINK("https://www.linkedin.com/jobs/view/4368669897", "https://www.linkedin.com/jobs/view/4368669897")</f>
        <v/>
      </c>
      <c r="F130">
        <f>HYPERLINK("https://app.eightfold.ai/careers/job/68759387236?utm_source=linkedin&amp;domain=volkscience.com&amp;urlHash=7_oz", "https://app.eightfold.ai/careers/job/68759387236?utm_source=linkedin&amp;domain=volkscience.com&amp;urlHash=7_oz")</f>
        <v/>
      </c>
      <c r="G130" t="inlineStr">
        <is>
          <t>Santa Clara, CA</t>
        </is>
      </c>
      <c r="H130" t="inlineStr"/>
      <c r="I130" t="inlineStr">
        <is>
          <t>Eightfold is a global leader in an
 **AI\-native enterprise talent platform** 
 , trusted by the world’s largest \&amp; most respected Fortune 500 organizations. Our platform is built from the ground up, operating at scale across Azure and AWS, deployed in multiple regions globally, including IL4\-compliant environments for the US Government, supporting users in 100\+ countries and 30\+ languages. Today, Eightfold is at the forefront of agentic AI, delivering intelligent agents that actively drive outcomes across hiring and talent workflows, while much of the industry is still experimenting with prototypes. Backed by over $410M in funding and valued at $2B\+, we are defining the next era of agentic talent systems.
 What sets Eightfold apart is not just the technology \&amp; our mission, but the team behind it. We are a deeply technical, execution\-driven organization that values ownership, collaboration, and high standards. Our engineers, product leaders, and go\-to\-market teams work closely together — in person and across functions — to build systems that scale in the real world. If you’re excited to work on hard problems, move with urgency, raise the bar every day, and help build agentic systems that transform how the world works, Eightfold is the place to do it.
**About The Team**
 The Platform and AI team at Eightfold is responsible for developing and managing core AI algorithms and data sources that provide a competitive edge in the skills and HR technology space. This team is inherently AI\-native, focusing on building data\-driven products that leverage advanced machine learning techniques. We expect Product Managers to align closely with AI\-driven insights and to be adept at conducting data evaluations, both of which are critical to the team's success.
**About The Role**
 We are looking for a Senior Product Manager to drive strategy and execution across our AI Platform and AI Governance stack, powering mission\-critical capabilities such as match scoring, skills intelligence, and AI interviewing.
 This role is ideal for candidates with consulting background who enjoy translating ambiguous business problems into scalable, compliant AI systems. You will operate at the intersection of AI platform strategy, data quality, model governance, and customer impact, partnering closely with engineering, analytics, legal/compliance, and enterprise customers.
 You will help shape how AI is built, governed, and trusted—at scale.
**Responsibilities**
* Develop and implement strategies to improve the quality of AI platforms and products data quality
* Develop and expand key AI products like match score, skills engine, AI interviewing which are core to EF offerings
* Monitor key data metrics with help of annotators and analyst team. Identify opportunities to improve data coverage and quality
* Improving product features through customer feedback sessions and sales feedback
* Work with partners / service providers to take feedback on data quality and align product direction accordingly
* Partner with engineering to develop and launch new features
* Identify and implement opportunities to improve the efficiency and effectiveness of the products
* Represent the data quality and AI team at company\-wide meetings, events and to customers
* Develop and implement strategies to enhance the quality of AI \&amp; data
**﻿Qualifications**
* Bachelor’s degree in Computer Science, Engineering, or a related technical field; MBA is a plus
* 5\+ years of experience in management consulting with exposure to AI, data, platform, or digital transformation programs.
* Proven analytical and data science skills, ideally with prior engineering experience
* Experience working with or alongside engineering, data science, or analytics teams
* Familiarity with AI governance, compliance, fairness, or risk management frameworks is a strong plus.
* Exceptional written and verbal communication abilities, capable of effectively conveying complex technical concepts to diverse audiences
 ﻿We are a team of self\-starters who excel in their fields. We believe in giving you responsibility, not a task. We want you to have ownership and pride in your work and see your work's positive impact on your colleagues, our customers, and the world. We believe in providing transparency and support so you can do the best work of your career.
**Hybrid Work @ Eightfold:** 
 At Eightfold, we believe our best work happens when we collaborate closely, learn from one another, and build together. We follow a hybrid work model that combines flexibility with a strong emphasis on in\-person collaboration to foster innovation, culture, and rapid execution.
 Employees based near our Santa Clara, London, Bangalore, and Noida offices are expected to work from the office three days per week, as we believe regular in\-person engagement is essential to how we build high\-impact products and strong teams.
 Eightfold.ai provides equal employment opportunities (EEO) to all employees and applicants for employment without regard to race, color, religion, sex, sexual orientation, gender identity, national origin, age, veteran or disability status.
 Experience our comprehensive benefits with family medical, vision and dental coverage, a competitive base salary, and eligibility for equity awards and discretionary bonuses or commissions.
**Please note that this role is only available in our designated hub locations: \[Greater NYC, NY, Greater Chicago, IL, Greater Atlanta, GA, and Santa Clara, CA]. All roles are hybrid.**
* Please note this role is open to \[all US locations, or list location(s)] and categorized as \[remote or hybrid]. The base salary ranges below are provided for pay transparency. Base pay is only one piece of our total compensation package as this role may be eligible for \[bonuses or commissions], and equity awards. Compensation varies depending on a number of factors including qualifications, skills, competencies, and experience. Zones are determined by location.
 Zone A Base annual salary base range: $156,683 to $208,910 \+ discretionary bonus up to 15% \+ preIPO equity (stock options).
 Our customer stories\- https://eightfold.ai/customers/customer\-stories/
 Press\- https://eightfold.ai/about/press</t>
        </is>
      </c>
    </row>
    <row r="131">
      <c r="A131" t="inlineStr">
        <is>
          <t>li-4368680445</t>
        </is>
      </c>
      <c r="B131" t="inlineStr">
        <is>
          <t>Associate Product Manager</t>
        </is>
      </c>
      <c r="C131" t="inlineStr">
        <is>
          <t>LHH</t>
        </is>
      </c>
      <c r="D131" t="inlineStr">
        <is>
          <t>linkedin</t>
        </is>
      </c>
      <c r="E131">
        <f>HYPERLINK("https://www.linkedin.com/jobs/view/4368680445", "https://www.linkedin.com/jobs/view/4368680445")</f>
        <v/>
      </c>
      <c r="F131" t="inlineStr"/>
      <c r="G131" t="inlineStr">
        <is>
          <t>Park Ridge, IL</t>
        </is>
      </c>
      <c r="H131" t="inlineStr"/>
      <c r="I131" t="inlineStr">
        <is>
          <t>LHH Recruitment Solutions is working with a long\-time client who is looking to hire an Associate Product Manager. Our client is a manufacturing organization with a domestic and international reach.
 In this role, you'll represent the interests of the market, supporting the company in developing market\-driven products, review country\-specific standards and support in obtaining appropriate approvals when necessary.
**Requirements:** 
* Min 2\-3 years of experience in product management of consumer or B2B industrial products (tech/SaaS products will not translate)
* Bachelor's degree in Business, Engineering, Marketing or similar discipline
* MS Office proficiency
**What You'll Do:** 
* Provide competitive analysis, feature benefit analysis, market and price positioning for new/existing products.
* Aid in the development of list pricing strategies with consideration of costs, competitive landscape, and margins. Regularly review prices based on field input and competitive information.
* Process technical customer inquiries and inquiries from the technical advisory service.
* Ensure products are listed in tender documents and tariffs of the relevant professional associations and institutions.
* Ensure correct product data is in the appropriate IT systems for internal/external customers.
* Assist in identifying and executing national trade shows.
* Develop technical documentation (assembly manual, planning manuals, catalog, spare parts catalog, order blocks, product posters).
* Support marketing communications in the development of customer facing communications i.e. brochures, flyers, case studies.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132">
      <c r="A132" t="inlineStr">
        <is>
          <t>li-4368244799</t>
        </is>
      </c>
      <c r="B132" t="inlineStr">
        <is>
          <t>Senior Product Manager</t>
        </is>
      </c>
      <c r="C132" t="inlineStr">
        <is>
          <t>Haystack</t>
        </is>
      </c>
      <c r="D132" t="inlineStr">
        <is>
          <t>linkedin</t>
        </is>
      </c>
      <c r="E132">
        <f>HYPERLINK("https://www.linkedin.com/jobs/view/4368244799", "https://www.linkedin.com/jobs/view/4368244799")</f>
        <v/>
      </c>
      <c r="F132" t="inlineStr"/>
      <c r="G132" t="inlineStr"/>
      <c r="H132" t="inlineStr"/>
      <c r="I132" t="inlineStr">
        <is>
          <t>**Senior Product Manager, Measurement \&amp; Experimentation \| Remote** 
 We're working with Best Buy on this exciting opportunity.
 Are you a data\-driven product leader passionate about shaping measurement and experimentation strategies? Join Best Buy's Retail Media Network to drive significant impact through innovative A/B testing, media mix modeling, and collaboration with brilliant minds in data science and analytics. This is your chance to lead the charge in understanding advertising effectiveness and influencing critical business decisions.
**The Role** 
 • Own the roadmap for incrementality measurement and experimentation across advertising products
 • Design and support advanced testing strategies, including A/B, geo\-holdout, and synthetic control
 • Partner with analytics and data science to build and validate robust media mix models
 • Collaborate with product and engineering teams to embed experimentation into product launches
 • Standardize measurement methodologies across diverse advertising channels, evaluating third\-party tools as needed
**What You'll Need** 
 • 7\+ years in product management, analytics, or data science roles
 • 3\+ years experience with media mix modeling, incrementality measurement, causal inference, and experimental design
 • 3\+ years experience with A/B testing platforms, geo\-experiments, customer\-holdouts, and lift studies
 • 2\+ years experience setting up, running, and analyzing incrementality tests on platforms like Google Ad Manager, Meta, GoogleAds, and DV360
 • Bachelor's Degree in a Quantitative field (e.g., Statistics, Data Science, Economics, Computer Science)
**What's On Offer** 
 • Competitive pay and generous employee discounts
 • Comprehensive physical and mental well\-being support
 • A culture committed to supporting and valuing employees, fostering unique career possibilities
 • The opportunity to bring your full, authentic self to work in a purpose\-driven organization
**Apply via Haystack today!**</t>
        </is>
      </c>
    </row>
    <row r="133">
      <c r="A133" t="inlineStr">
        <is>
          <t>li-4368849327</t>
        </is>
      </c>
      <c r="B133" t="inlineStr">
        <is>
          <t>Product Manager</t>
        </is>
      </c>
      <c r="C133" t="inlineStr">
        <is>
          <t>Alpha Omega</t>
        </is>
      </c>
      <c r="D133" t="inlineStr">
        <is>
          <t>linkedin</t>
        </is>
      </c>
      <c r="E133">
        <f>HYPERLINK("https://www.linkedin.com/jobs/view/4368849327", "https://www.linkedin.com/jobs/view/4368849327")</f>
        <v/>
      </c>
      <c r="F133" t="inlineStr"/>
      <c r="G133" t="inlineStr">
        <is>
          <t>Vienna, VA</t>
        </is>
      </c>
      <c r="H133" t="inlineStr"/>
      <c r="I133" t="inlineStr">
        <is>
          <t>Job Details
**Description**
**Job Title: Product Manager**
**Clearance Required: DHS Public Trust EOD (Secret or above preferred)**
**Work Location: Remote**
 Alpha Omega is looking for experienced Product Managers to join our team. On the team, it is traditionally the responsibility of the product manager to be the voice of the business. In this case, the “business” is most likely RAIO. Due to the projects close relationship with colleagues at RAIO IDEA, product teams often have close collaboration with a representative(s) of the business. Therefore, the projects Product Managers are less needed to voice the needs of the business and more needed to balance the needs of the business, users, and technology. This balancing of business, user, and technology needs constitutes
 **whole product thinking** 
 .
 Product Managers are ultimately responsible for advocating for the product. They are more concerned about whether the team is building the right software to solve the right problem than if what they are building is “on schedule” or meeting requirements. Product Managers constantly ask themselves the question, “Is my team focusing on the most valuable thing for the product?”
**Key Responsibilities**
* Owns product strategy; Creates and continuously updates an outcome\-oriented product roadmap that reflects current product priorities
* Acts as the main conduit of information between the product team and stakeholders; communicates how the product will or does deliver business and user value
* Manages stakeholder expectations
* Prioritize what the product team should focus on by balancing business, user, and product needs
* Identifies, evaluates, and implements mitigations to product risks
* Runs “Lean Experiments” to test product assumptions, with a bias towards running those experiments in user interviews or deployed software environments
* Participates in user research efforts; encourages human\-centered design thinking
* Writes small user stories with detailed acceptance criteria that engineers can implement into product features
* Advocates for frequent releases to production; supports continuous delivery by quickly conducting acceptance testing on user stories
* Measures success of features and product value by gathering metrics; values outcomes over outputs
**Role:
 *Facilitates Lean product delivery (***
***Build, Measure, Learn cycle***
***)***
* Build
+ Writes small user stories with detailed acceptance criteria that engineers can implement into product features
+ Advocates for frequent releases to production; supports continuous delivery by quickly conducting acceptance testing on user stories
* Measure
+ Measures success of features and product value by gathering metrics; values outcomes over outputs
* Learn
+ Participates in user research efforts; encourages human\-centered design thinking
+ Adjusts strategy, roadmap, and backlog based on learning from user research
* Product strategy and roadmaps
+ Owns product strategy; creates and continuously updates an outcome\-oriented product roadmap that reflects current product priorities
+ Runs “\[Lean Experiments](https://www.shortform.com/blog/lean\-experimentation\-lean\-startup\-experiments/ to test product assumptions, with a bias towards running those experiments in user interviews or deployed software environments (as opposed to validating those assumptions only with stakeholders or in mock situations)
+ Identifies, evaluates, and implements mitigations to product risks
* Prioritization
+ Prioritize what the product team should focus on by balancing business, user, and product needs and reassess product priorities frequently
* Stakeholder management
+ Acts as the main conduit of information between the product team and stakeholders; communicates how the product will or does deliver business and user value
+ Manages stakeholder expectations
**Required Qualifications**
* Experience/Skills:
+ 5 years’ experience as a Product Manager \&amp;/or Product Designer
+ Can distinguish between questions for which they can find the answer, and those that require an expert
+ Lean Mindset: Thinks in small, incremental changes to the product rather than major milestones
+ Easily builds trust with product teams and stakeholders
+ Can differentiate between stakeholder ideas, business requests, and legal/policy considerations; understands that “specifications” or “requirements” are not validated features
+ Can understand complex business domains and policy, synthesizes that information quickly and identifies patterns
+ Can translate technical considerations to a non\-technical audience
+ Can identify when a product requires additional resources to achieve business goals and communicates those needs early to leadership
+ Intellectually curious and open to learning
+ Enjoys making sense of complex domains and wonky policy
+ Flexible to changing priorities, especially those based on new policies or executive orders
+ Forms strong opinions backed by research, but is open to changing those opinions with new evidence
+ Works as a member of a balanced product team rather than as a team manager; enjoys working in a collaborative environment
**Preferred Experience/Skills**
* Bachelor’s Degree
* Active or recent previous DHS experience highly desired
**Salary And Benefit Information**
 The likely salary range for this position is $120,000 \- $150,000\. This is not, however, a guarantee of compensation or salary. There are multiple factors that are considered in determining final pay for a position, including, but not limited to, relevant work experience, skills, certifications and competencies that align to the specified role, education and certifications as well as contract provisions regarding labor categories that are specific to the position and could fall outside of this range.
**Application Deadline:** 
 April 24, 2026
**Benefits**
 Joining the Alpha Omega team entitles you to participate in all retirement benefits, plans of deferred compensation, health and insurance benefits, and other such benefits as set forth in the company’s policy and benefits manuals. See below, to name a few:
* PTO including paid parental, military, and bereavement leave
* Eleven (11\) paid Federal holidays, five of which are floating holidays (as designated by the company’s holiday schedule each year)
* Health and Dental Insurance (including 100% employer paid premiums for employee coverage under the HDHP health plan)
* Life Insurance, STD/LTD term disability coverage, with employer paid premiums
* 401 (k) plan with a match that is 100% vested after you complete two years of service
* FSA/DFSA/HSA flexible benefit plans
* Annual Tuition \&amp; Professional Development Reimbursement benefit
 We regularly review our Total Rewards package to ensure our offerings are competitive and reflect what our employees have told us they value most.
**Culture And Values**
 Guided by our core values—Harmony, Engagement, Accountability, Resourcefulness, and Tenacity (HEART)— we foster a culture of innovation, collaboration, and continuous learning and are committed to delivering high\-impact solutions. We recognize and reward hard work.
 Through our H.E.A.R.T. Awards Program, colleagues and managers can recognize each other for actions that exemplify these values. Recognized employees receive a detailed nomination highlighting their contributions, which is shared with their manager. Each quarter, select nominees have the opportunity to receive a monetary bonus as an extra thank\-you for their impact.
**Our Company**
 Alpha Omega is an award\-winning Federal IT solutions provider dedicated to delivering mission\-enabling technology and strategic solutions across the National Security, Federal Financial, Healthcare, and Space \&amp; Science domains. Since our founding in 2016, we have grown to over 800 employees nationwide with $230m in revenue. With the January 2025 acquisitions of SeKON and Macro Solutions, we have expanded our capabilities to further support our customers in digital modernization, artificial intelligence, and cybersecurity.
 We Are Committed To Supporting Our Agency Partners As They Transform Their Operations, Delivering On Our Purpose To Ensure The Safety, Security, And Well\-being Of Future Generations
* National Security – Supporting agencies such as the Department of Homeland Security (DHS) and the Department of State.
* Federal Financial – We bring deep expertise in enterprise financial systems, supporting agencies like the Securities and Exchange Commission (SEC) and the Federal Deposit Insurance Corporation (FDIC).
* Healthcare – Our Health IT capabilities, enhance health outcomes for the warfighter via the Defense Health Agency (DHA) and support public health initiatives at the Centers for Disease Control and Prevention (CDC), National Institutes of Health (NIH), and the Substance Abuse and Mental Health Services Administration (SAMHSA).
* Space \&amp; Science – We leverage technology to advance agricultural sustainability, secure our nation’s food supply, and prepare for natural disasters, working with the National Oceanic and Atmospheric Administration (NOAA) and the United States Department of Agriculture (USDA).
 Through strategic partnerships, intellectual property, and relentless drive for innovation, Alpha Omega is shaping the future of government technology. We are proud to be a Virginia Best Places to Work 8 times, an Inc. 5000 honoree 7 times, and a Washington Post Top Workplaces 4 times. Join us in driving transformation that secures the nation's future.
*Alpha Omega Integration, LLC (Alpha Omega) is an Equal Opportunity Employer. All qualified applicants will receive consideration for employment without regard to race, color, religion, sex, sexual orientation, gender identity, national origin, disability, or veteran status, or any other protected class.*
*\#dice*</t>
        </is>
      </c>
    </row>
    <row r="134">
      <c r="A134" t="inlineStr">
        <is>
          <t>li-4316671957</t>
        </is>
      </c>
      <c r="B134" t="inlineStr">
        <is>
          <t>Product Manager</t>
        </is>
      </c>
      <c r="C134" t="inlineStr">
        <is>
          <t>Arena</t>
        </is>
      </c>
      <c r="D134" t="inlineStr">
        <is>
          <t>linkedin</t>
        </is>
      </c>
      <c r="E134">
        <f>HYPERLINK("https://www.linkedin.com/jobs/view/4316671957", "https://www.linkedin.com/jobs/view/4316671957")</f>
        <v/>
      </c>
      <c r="F134">
        <f>HYPERLINK("https://job-boards.eu.greenhouse.io/arenaai/jobs/4696411101&amp;urlHash=HBbT", "https://job-boards.eu.greenhouse.io/arenaai/jobs/4696411101&amp;urlHash=HBbT")</f>
        <v/>
      </c>
      <c r="G134" t="inlineStr">
        <is>
          <t>New York, United States</t>
        </is>
      </c>
      <c r="H134" t="inlineStr"/>
      <c r="I134" t="inlineStr">
        <is>
          <t>**Who We Are**
 Arena is on a mission to accelerate hardware innovation that powers human progress. Our name is inspired by Theodore Roosevelt's 'Citizenship in a Republic' speech. To us, entering the Arena means committing fully and accepting the risk of failure in pursuit of an audacious, worthy cause. We believe the future belongs to those brave enough to build it.
 Our team of 50 combines AI engineering and applied physics expertise with deep experience in enterprise deployments. We're headquartered in NYC with presences in San Francisco and Los Angeles, backed by $62M from Initialized, Founders Fund, Goldcrest Capital, Fifth Down Capital, and Shield Capital.
 If you're ready to do the most important work of your career, join us in the Arena.
**What We Do**
 At Arena, we're building foundational intelligence for modern hardware. Our AI platform Atlas operationalizes physics\-grounded intelligence to verify, debug, and optimize hardware across its lifecycle. Atlas is already trusted globally by the world's most advanced hardware companies, including AMD and Bausch \&amp; Lomb, for applications across R\&amp;D, integration testing, production assembly, and field repair.
**About The Role**
 As a Product Manager, you will drive the build of new Atlas platform features from 0 to 1, collaborating closely with members of Arena's engineering, forward deployed, and GTM teams. Working on fast timelines, you'll conduct user research and translate insights into product specs. You'll embed deeply with customers and spend significant time with users for new feature discovery, usability testing, and feedback sessions.
 This is a unique opportunity to gain hands\-on experience driving innovation across some of the world's most vital industries—ideal for those aspiring to become founders or product leaders.
**How You Will Contribute**
**Launch new platform features** 
 \- Drive the end\-to\-end launch of new platform features, from concept to release. Partner closely with design and engineering to define requirements, guide development, and ensure smooth implementation and successful launch.
**Drive feature adoption** 
 \- Drive feature adoption by partnering with deployment strategists during rollouts, gathering user feedback, and conducting onsite research to understand workflows and identify improvement opportunities.
**Manage Product Backlog** 
 \- Prioritize features, write tickets, and drive sprint planning with engineering leadership.
**Travel domestically and internationally** 
 (up to 30% of your time)
**Work in person at Arena's NYC headquarters** 
 when not traveling
**You Have**
* 5\+ years of professional experience in product management, experience in AI or hardware\-adjacent industries preferred
* Full\-stack technical literacy \- you are comfortable discussing technical architectures, APIs, AI agents, and system design to work effectively with our engineering team, and have a degree is Computer Science
* Proven product execution \- you’ve shipped impactful features from 0 to 1 and driven user adoption. You’ve led prioritization and roadmap trade\-offs, aligned design and engineering on clear goals, and executed end\-to\-end from concept to launch with measurable results.
* Platform thinking \- strong ability to understand how platform features create value across multiple use cases and customer segments
* Excellent communication \- you can write clear PRDs, present roadmaps to stakeholders, and facilitate cross\-functional alignment across engineering, design, and GTM teams
**Benefits \&amp; Perks Include**
* 100% of the monthly premium for Aetna medical insurance, plus vision and dental coverage
* 401(k) Retirement Plan
* Unlimited PTO
* Lunch every day from local restaurants via Sharebite
* Relocation support provided
*The base salary range for this position is $150,000 \- $230,000 yr. However, base pay offered may vary depending on job\-related knowledge, skills, and experience. In addition to base salary, we also offer competitive equity and benefits packages.*</t>
        </is>
      </c>
    </row>
    <row r="135">
      <c r="A135" t="inlineStr">
        <is>
          <t>li-4368801695</t>
        </is>
      </c>
      <c r="B135" t="inlineStr">
        <is>
          <t>Digital Product Owner, Target Discovery</t>
        </is>
      </c>
      <c r="C135" t="inlineStr">
        <is>
          <t>Sanofi</t>
        </is>
      </c>
      <c r="D135" t="inlineStr">
        <is>
          <t>linkedin</t>
        </is>
      </c>
      <c r="E135">
        <f>HYPERLINK("https://www.linkedin.com/jobs/view/4368801695", "https://www.linkedin.com/jobs/view/4368801695")</f>
        <v/>
      </c>
      <c r="F135" t="inlineStr"/>
      <c r="G135" t="inlineStr">
        <is>
          <t>Cambridge, MA</t>
        </is>
      </c>
      <c r="H135" t="inlineStr"/>
      <c r="I135" t="inlineStr">
        <is>
          <t>**Job Title:** 
 Digital Product Owner, Target Discovery
**Location:** 
 Cambridge, MA
**About The Job**
 Join the digital engine driving Sanofi’s transformation \- where AI, automation, and bold experimentation power faster science and smarter decisions. Here, you’ll help build the first biopharma company powered by AI at scale.
 Digital \&amp; Data is at the heart of Sanofi: our ambition is to be the leading digital healthcare platform to develop \&amp; deliver medicine faster, enable healthcare professionals to improve treatments and help patients improve their health. Our scale, strong connections within health ecosystems across the world, and ability to leverage Sanofi's capabilities make us the best place to push the boundaries of medicine through technology.
**Why joining Sanofi Digital**
* Executive sponsorship and governance, with newly appointed CDO \&amp; leadership team
* Digital \&amp; data culture in place with agile ways of working and a strong ecosystem (Sanofi Ventures, BD Partnerships)
* Unique diversity of medical \&amp; technical challenges, with mobility opportunities
 The
 **Digital In Silico Research** 
 team is a key innovation engine within Digital R\&amp;D, dedicated to pioneering next\-generation digital products that reshape how R\&amp;D discovers, designs, and develops new medicines. We harness cutting\-edge AI, machine learning, and computational modeling to build transformative in\-silico solutions—empowering scientists with predictive insights, streamlining complex workflows, and turning data into decisive action. Our team plays a critical role in accelerating and transforming drug discovery and translational research by building AI\-powered, in\-silico solutions that empower scientists, enhance decision\-making, and connect data to action.
 As
 **Digital Product Owner – Target Discovery** 
 you will be responsible for owning and developing AI\-powered target discovery and validation products that help Sanofi identify and prioritize novel therapeutic targets. You will own the product vision and backlog for specific target discovery solutions, working closely with development teams to deliver capabilities that combine advanced AI, machine learning, and data integration with experimental techniques. Working at the intersection of computational biology, AI/ML, and drug discovery, you will translate scientific requirements into actionable product features that accelerate the path from disease understanding to therapeutic intervention.
 You will collaborate with computational biologists, data scientists, and wet\-lab researchers to ensure that target discovery products meet scientific needs and integrate effectively into research workflows. Your expertise will help build robust AI/ML solutions that enable scientists to leverage multi\-omics data, genetic evidence, and biological pathway knowledge to identify and validate promising therapeutic targets.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**Product Ownership \&amp; Development:**
* Own the product vision and backlog for specific target discovery AI/ML products
* Create and maintain detailed product roadmaps aligned with scientific priorities
* Write clear user stories and acceptance criteria for development teams
* Manage sprint planning, backlog grooming, and product iterations in an Agile environment
* Prioritize features and requirements based on scientific impact and technical feasibility
**Scientific Requirements \&amp; Delivery**
* Gather and analyze requirements from scientific stakeholders
* Translate complex biological needs into clear technical specifications
* Work directly with development teams to ensure successful feature delivery
* Validate that delivered solutions meet scientific user needs
* Drive continuous product improvement based on user feedback
**Stakeholder Collaboration**
* Build strong relationships with computational biologists and wet\-lab scientists
* Facilitate communication between scientific users and technical teams
* Partner with data scientists to implement effective ML models
* Work with IT teams to ensure robust data pipelines and infrastructure
* Engage with scientific stakeholders to understand evolving research needs
**Product Adoption \&amp; Success**
* Drive user adoption through training and documentation
* Monitor product usage metrics and gather user feedback
* Identify and address barriers to adoption
* Demonstrate product value through scientific use cases
* Support users in integrating tools into their research workflows
**Experience**
**About You**
* Bachelors Degree required, minimum 3\-5 years of experience in life sciences product/project management, computational biology, bioinformatics, or related fields within pharmaceutical R\&amp;D or biotech, advanced degree in life sciences discipline strongly preferred
**Required Skills**
**Technical Skills:**
* AI/ML Fundamentals \- Understanding of machine learning concepts, model types (supervised/unsupervised learning, deep learning), and their applications in drug discovery
* Target Discovery Domain Knowledge \- Familiarity with target identification and validation processes, disease biology, biological pathways, and the drug development pipeline – hands\-on experience with a variety of small, large, and macromolecule experimental methods ideal
* Biological Data Literacy \- Understanding of omics data (genomics, proteomics, transcriptomics), biological databases, and biomarkers
* Bioinformatics \&amp; Computational Biology \- Knowledge of common tools, platforms, and workflows used in computational target discovery
* Data Architecture \&amp; Management \- Understanding of data pipelines, data quality, integration of diverse biological datasets, and cloud platforms
* Product/Project Management Methodologies \- Proficiency in Agile/Scrum, roadmap planning, backlog management, and user story creation
* Pharma Regulatory Landscape \- Awareness of data privacy regulations (GDPR, HIPAA), validation requirements, and GxP considerations
* Technical Communication \- Ability to understand technical discussions with data scientists and translate requirements between technical and scientific teams
**Soft Skills**
* Stakeholder Management \- Building relationships with scientists, data scientists, IT, legal, and business leaders across the organization
* Scientific Translation \- Bridging the gap between computational scientists, wet\-lab researchers, and business stakeholders
* Strategic Thinking \- Aligning product vision with therapeutic area strategies and business objectives
* Prioritization \&amp; Decision\-Making \- Balancing competing priorities, managing trade\-offs, and making data\-driven decisions under uncertainty
* Change Management \- Driving adoption of AI tools in traditionally conservative scientific environments
* Communication \&amp; Influence \- Articulating complex technical concepts clearly and persuading without direct authority
* Adaptability \- Navigating the rapidly evolving AI landscape and shifting organizational priorities
* Collaborative Leadership \- Facilitating cross\-functional teams and fostering a culture of innovation and experimentation
**Additional Qualifications**
* Experience in or good understanding of Pharma R\&amp;D portfolio optimization in large pharma, or demonstrated ability to learn the business quickly
* Strong networking, influencing and negotiating skills and superior problem\-solving skills
* Demonstrated experience leading design\-thinking and ideation workshops with diverse groups of stakeholders
* Experience in leading cross\-functional teams and managing complex projects or programs
* Excellent ability to listen to stakeholders and end users, ensuring products are built to address their specific needs and use cases
* Passion for leveraging AI and computational approaches to accelerate drug discovery and improve patient outcomes
**Why Choose Us?**
* Bring the miracles of science to life alongside a supportive, future\-focused team.
* Discover endless opportunities to grow your talent and drive your career, whether it’s through a promotion or a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\#GD\-SA
 \#vhd
 All compensation will be determined commensurate with demonstrated experience. Employees may be eligible to participate in Company employee benefit programs, and additional benefits information can be found here.</t>
        </is>
      </c>
    </row>
    <row r="136">
      <c r="A136" t="inlineStr">
        <is>
          <t>li-4327978964</t>
        </is>
      </c>
      <c r="B136" t="inlineStr">
        <is>
          <t>Senior Product Manager, BNPL</t>
        </is>
      </c>
      <c r="C136" t="inlineStr">
        <is>
          <t>Clover</t>
        </is>
      </c>
      <c r="D136" t="inlineStr">
        <is>
          <t>linkedin</t>
        </is>
      </c>
      <c r="E136">
        <f>HYPERLINK("https://www.linkedin.com/jobs/view/4327978964", "https://www.linkedin.com/jobs/view/4327978964")</f>
        <v/>
      </c>
      <c r="F136" t="inlineStr"/>
      <c r="G136" t="inlineStr">
        <is>
          <t>Berkeley Heights, NJ</t>
        </is>
      </c>
      <c r="H136" t="inlineStr"/>
      <c r="I136"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Product Manager, BNPL
**What does a successful Product Manager for BNPL do at Fiserv?**
 Every day, Clover, a Fiserv company powers payment services for hundreds of thousands of merchants in multiple countries around the world. Behind the scenes, we operate a cloud platform providing payment processing, storage, and collaboration for merchants, application developers, service providers, and our merchants' customers. Our devices and platform form the backbone of millions of payment interactions between merchants and their customers daily. We’ve built a reputation as a leading innovator by being first to market with important new payment capabilities, and we're committed to continuing that trend by offering cutting\-edge solutions like Buy Now Pay Later (BNPL) at the point of sale.
 As a Product Manager for BNPL Payments, you'll be responsible for managing the suite of BNPL products and integrations that Clover provides to merchants, enabling them to offer flexible payment options to their customers. You'll play a pivotal role in expanding Clover's payment capabilities, allowing merchants to increase sales and customer satisfaction by adopting this rapidly growing buy now pay later payment method.
 You'll be responsible for understanding the evolving landscape of BNPL providers, merchant needs, and consumer preferences. This includes creating product plans to integrate and optimize BNPL solutions within the Clover ecosystem, ensuring they are seamless for both merchants and their customers. You’ll have the opportunity to work in one of the fastest\-growing segments of the payments industry, helping to drive the development, integration into multiple BNPL providers and commercial launch of BNPL products, create compelling product marketing materials, educate various sales channels about new features, and contribute to the success of the product.
 This role requires you to be technically conversant with payment integrations, APIs, and the underlying technology supporting BNPL solutions. You will work closely with third\-party BNPL providers, and must be comfortable with the technical aspects of integration technologies. At the same time, you must have an ability to think strategically about how BNPL offerings relate to Clover’s overall business and market position. In addition, you must also understand the current landscape of payment industry players, including issuers, acquirers, processors, gateway providers, payment networks, and crucially, BNPL providers. Finally, you must possess well\-honed communication skills, and be comfortable presenting to executives, customers, and partners.
**What You Will Do**
* Track payments industry trends, standards, and competition as they relate to Buy Now Pay Later (BNPL) solutions, merchant adoption, and consumer behavior.
* Own the product strategy and roadmap for BNPL payment options at Clover.
* Help build business cases for new BNPL products, services, and features.
* Define detailed user stories and requirements for your BNPL products and services, focusing on merchant and consumer experience.
* Collaborate with BNPL providers, engineering, quality assurance, operations and other stakeholders to define, deliver and maintain the roadmap for robust BNPL payment products.
* Work with marketing staff to effectively package your BNPL products and create marketing collateral and other materials.
* Train sales channels on your BNPL products and their value proposition for potential merchants.
* Consult with merchants and partners to create combined solutions that effectively integrate BNPL into their operations.
* Analyze merchant and consumer feedback to continually improve the BNPL experience on Clover, focusing on ease of use and conversion.
* Define and track KPIs as they relate to merchant adoption, usage, and the overall success of your BNPL payment products.
**What You Need To Have**
* 5\+ years of experience in product management, with a focus on payment technologies
* Degree in Computer Science, Technology, or Business in related fields, MBA preferred
* Experience with or deep understanding of Buy Now Pay Later (BNPL) solutions and providers
* Experience with Agile development methodologies
* Experience creating and nurturing corporate partnerships, especially with payment providers
* Ability to clearly communicate complex technical specifications to clients and implementation teams
* Ability to clearly communicate product descriptions, value propositions, and roadmaps to business personnel
* Capability to analyze data and make data\-driven decisions
****Travel required:****
 An ability to travel locally and internationally on occasion (10%)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37">
      <c r="A137" t="inlineStr">
        <is>
          <t>li-4327929798</t>
        </is>
      </c>
      <c r="B137" t="inlineStr">
        <is>
          <t>Senior Product Manager</t>
        </is>
      </c>
      <c r="C137" t="inlineStr">
        <is>
          <t>Clover</t>
        </is>
      </c>
      <c r="D137" t="inlineStr">
        <is>
          <t>linkedin</t>
        </is>
      </c>
      <c r="E137">
        <f>HYPERLINK("https://www.linkedin.com/jobs/view/4327929798", "https://www.linkedin.com/jobs/view/4327929798")</f>
        <v/>
      </c>
      <c r="F137" t="inlineStr"/>
      <c r="G137" t="inlineStr">
        <is>
          <t>Berkeley Heights, NJ</t>
        </is>
      </c>
      <c r="H137" t="inlineStr"/>
      <c r="I13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Product Manager
****What does a successful Sr. Product Manager do at Fiserv?****
 Every day, Clover powers payment services for hundreds of thousands of merchants in multiple countries around the world. Behind the scenes, we operate a cloud platform providing payment processing, storage, and collaboration for merchants, application developers, service providers, and our merchants' customers. Our devices and platform form the backbone of millions of payment interactions between merchants and their customers daily. We’ve built a reputation as a leading innovator by being first to market with important new payment capabilities, and we are now exploring and building new strategic opportunities to leverage our platform to create additional value and revenue streams.
 As a Product Manager within the payments team, you’ll be responsible for identifying, developing, and managing innovative advertising solutions that leverage Clover's extensive platform and reach. You will focus on building products that enable effective engagement and deliver measurable value for advertisers, while ensuring a seamless and non\-intrusive experience for our merchants and their customers.
 You’ll be responsible for understanding the evolving landscape of digital advertising, identifying market opportunities, and creating product plans to build and integrate advertising capabilities. You’ll have the opportunity to work in a dynamic intersection of Fintech and advertising, helping to drive the development and commercial launch of new monetization products. You’ll help create compelling product marketing materials, educate various sales channels about new features, and contribute to winning strategic deals with advertising partners.
 This role requires you to be technically conversant in digital advertising platforms, data analytics, and integration technologies. You will work closely with external advertising agencies, technology partners, and internal engineering teams, and must be comfortable with the technical aspects of ad serving, targeting, measurement, and reporting. At the same time, you must have an ability to think strategically about new business models, partnerships, and how advertising solutions relate to Clover’s overall business objectives and market position. In addition, you must also understand the current landscape of payment industry players, and crucially, the broader advertising technology ecosystem. Finally, you must possess well\-honed communication skills, and be comfortable presenting to executives, customers, and partners.
**What You Will Do**
* Track advertising industry trends, emerging technologies, and competitive landscape as they relate to platform monetization and digital advertising.
* Own the product strategy and roadmap for advertising technology products at Clover.
* Collaborate with engineering, data science, product managers, and other stakeholders to define and maintain the roadmap for advertising technology products.
* Help build robust business cases for new advertising products, services, and features, focusing on revenue generation and value creation.
* Define detailed user stories and requirements for your advertising products and services, covering aspects like ad content management, scheduling, targeting, and performance measurement.
* Collaborate closely with engineering, documentation, quality assurance, and operations colleagues to deliver scalable and reliable advertising technology products and services.
* Consult with advertising partners and internal teams to create effective solutions that leverage our platform for successful advertising campaigns.
* Analyze performance data and feedback from advertisers and internal stakeholders to continually improve the effectiveness and value of advertising solutions.
* Define and track key performance indicators (KPIs) related to advertising revenue, campaign performance, and platform utilization.
**What You Need To Have**
* 5\+ years of experience in product management within the payment space.
* Demonstrated experience working projects like digital advertising, platform monetization or BNPL.
* Degree in Computer Science, Technology, or Business in related fields, MBA preferred.
* Experience managing integrations with third\-party platforms and APIs.
* Experience with Agile development methodologies.
* Experience creating and nurturing corporate partnerships, especially with advertising agencies or ad tech providers.
* Ability to clearly communicate product descriptions, value propositions, and roadmaps to business.
* Capability to analyze data and make data\-driven decisions, particularly related to advertising performance and analytics.
****Travel required:****
 An ability to travel locally and internationally on occasion (10%)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38">
      <c r="A138" t="inlineStr">
        <is>
          <t>li-4362181755</t>
        </is>
      </c>
      <c r="B138" t="inlineStr">
        <is>
          <t>Product Manager - Shared Branching</t>
        </is>
      </c>
      <c r="C138" t="inlineStr">
        <is>
          <t>Velera</t>
        </is>
      </c>
      <c r="D138" t="inlineStr">
        <is>
          <t>linkedin</t>
        </is>
      </c>
      <c r="E138">
        <f>HYPERLINK("https://www.linkedin.com/jobs/view/4362181755", "https://www.linkedin.com/jobs/view/4362181755")</f>
        <v/>
      </c>
      <c r="F138">
        <f>HYPERLINK("https://velera.wd5.myworkdayjobs.com/VeleraCareers/job/Remote-USA/Product-Manager\u002d\u002d-Shared-Branching_8965?source=LinkedIn&amp;urlHash=bQOb", "https://velera.wd5.myworkdayjobs.com/VeleraCareers/job/Remote-USA/Product-Manager\u002d\u002d-Shared-Branching_8965?source=LinkedIn&amp;urlHash=bQOb")</f>
        <v/>
      </c>
      <c r="G138" t="inlineStr"/>
      <c r="H138" t="inlineStr"/>
      <c r="I138"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We are seeking a talented
 **Product Manager** 
 who is responsible for the tactical product management effort for various Velera products and services. The incumbent will serve as a liaison and subject matter expert to internal and external customers on Velera’s products and services. Product manager will handle efficiencies, monitor product compliance and mandates, analyze product penetration, define the market release process, and bridge the gaps between different functions within the company and aligning the strategic teams.
**Day In The Life**
* Lead the analysis and review product enhancement requests from various sources and oversee the creation of business requirements for these enhancements.
* Serve as an escalation point, both internally and externally, related to assigned products and applications.
* Collaborate with appropriate functional areas (e.g., Training, Operations, Information Technology, Administration, and Finance) to develop and provide comprehensive product definitions, objectives, and goals that are responsive to the needs of the end user.
* Work closely with Velera’s departments in executing product strategies on assigned products and services.
* Identify risks throughout feasibility studies and development process and communicate issues to senior product management and leadership for evaluation; develop market test scenarios and ensure approval from the end\-user for product rollout.
* Development of product documentation, procedures, and training in all pertinent platforms.
* Report and routinely update product and solution performance information to the strategic product manager.
* Lead research efforts, analyze and ascertain required modifications and impacts to existing products and services. Communicate to affected areas.
* Assist in the coordination and presentation of seminars and training for Velera personnel, prospective clients, trade associations, current members and other entities as assigned.
* Conduct and lead meetings to support the development process and track and communicate progress.
* Attend and participate in various Velera sponsored events and industry events, as needed.
* Serve as the primary liaison to Operational Support departments for assigned products.
* Maintain proficiency in departmental operations to assist as a backup for other products and services.
* Work as a member and/or leader of a cross\-functional team that addresses the development and implementation of new and/or enhanced products and services within determined deadlines.
* Oversee and review mandate and industry product impacts. Partner with marketing to communicate internally and externally on pertinent bulletins.
* Direct and oversee maintenance, mandate, industry requirement, or vendor replacement product commercialization duties in conjunction with internal teams. Use commercialization process to execute on system readiness with partners both internal and external.
* Maintain, lead and respond to product\-focused servicing ticket inquiries through the defined channel.
* Perform other duties as assigned.
**Qualifications**
* Bachelor’s degree in Business, Marketing, Technology, or related field or equivalent combination of education and experience required.
* Combined four (4\) years of product management, technical product implementations, and/or business systems analysis supporting technical products experience required.
* Experience with the financial, credit union industry and core or account processing required.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$84,900\.00 \- $108,200\.00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139">
      <c r="A139" t="inlineStr">
        <is>
          <t>li-4368814807</t>
        </is>
      </c>
      <c r="B139" t="inlineStr">
        <is>
          <t>Product Manager, Functional Test</t>
        </is>
      </c>
      <c r="C139" t="inlineStr">
        <is>
          <t>Circuit Check Inc.</t>
        </is>
      </c>
      <c r="D139" t="inlineStr">
        <is>
          <t>linkedin</t>
        </is>
      </c>
      <c r="E139">
        <f>HYPERLINK("https://www.linkedin.com/jobs/view/4368814807", "https://www.linkedin.com/jobs/view/4368814807")</f>
        <v/>
      </c>
      <c r="F139" t="inlineStr"/>
      <c r="G139" t="inlineStr">
        <is>
          <t>Maple Grove, MN</t>
        </is>
      </c>
      <c r="H139" t="inlineStr"/>
      <c r="I139" t="inlineStr">
        <is>
          <t>**About The Job**
**Who we are:**
 Circuit Check is a global leader in automated test systems for complex electronics. Our
 **Technology and Solutions Group (TSG)** 
 is driving innovation across hardware, software, and data to define the next generation of intelligent, scalable test platforms.
 We’re seeking a
 **Product Manager, Functional Test** 
 who will own the definition and evolution of Circuit Check's functional test platform \- bringing together instrumentation, control software, and system integration into a cohesive, scalable offering for our customers.
 This role requires both technical depth and commercial insight: someone who understands ATE design, customer production challenges, and how to convert engineering capability into standardized, repeatable test solutions.
 Our design staff includes electrical, software, mechanical engineers, and project managers. Our systems are supported by staff throughout the United States, Canada, Mexico, Europe, Malaysia, and China.
**Position Summary**
 The Product Manager, Functional Test will serve as the architect and champion of Circuit Check's custom test system development platform, ensuring that our tools, architectures, and processes deliver consistent performance and reliability across industries. You will work closely with design engineers, system integrators, and customers to define our standard toolset and hardware platform, balancing innovation with manufacturability and supportability.
 This position is ideal for someone who thrives at the intersection of engineering, product strategy, and customer engagement \- with approximately 25% travel to customer sites,, vendors, and Circuit Check facilities.
**Key Responsibilities**
* Platform Ownership: Define and maintain the roadmap for Circuit Check’s functional test system platform, including instrumentation, hardware interfaces, and software architecture
* Customer Engagement: Collaborate directly with customers to understand testing needs, production environments, and industry trends, translating insights into platform improvements
* System Integration: Lead cross\-functional efforts to align mechanical, electrical, and software teams around a unified architecture for test solutions
* Toolset Development: Standardize and continuously improve Circuit Check’s toolset for ATE system development, from hardware frameworks to software integration and documentation
* Technology Evaluation: Assess and integrate technologies from National Instruments, Rohde \&amp; Schwarz, Keysight, and Tektronix, as well as test executives (e.g., LabVIEW/TestStand) and emerging automation tools
* Quality \&amp; Scalability: Ensure that test platforms meet the highest standards for reliability, maintainability, and calibration traceability
* Training \&amp; Evangelism: Act as an internal and external advocate for functional test excellence — enabling sales, training engineers, and supporting customers.
**Required Qualifications**
* Bachelor’s degree in electrical engineering, computer engineering, or related technical field
* Minimum 5 years of experience in functional test or ATE system design, integration, or product management
* Deep familiarity with instrumentation from National Instruments, Rohde \&amp; Schwartz, Keysight, and Tektronix
* Demonstrated experience with LabVIEW, TestStand or other Test Executive environments
* Proven ability to synthesize information from engineering, customer feedback, and market trends into coherent product direction
* Excellent communication skills and the ability to work cross\-functionally with design, manufacturing, and commercial teams
* Willingness to travel approximately 25% for customer collaboration and platform deployment.
**Preferred Attributes**
* Experience building or managing modular test platforms for high\-mix or high\-reliability electronics
* Understanding of calibration, traceability, and compliance standards (ISO, IPC, MIL\-STD, etc.)
* Demonstrated ability to mentor teams on test strategy, fixture design, or measurement best practices
* Strong customer orientation and ability to translate complex engineering concepts into business value
* Strong systems thinking and ability to bridge business needs with technical design
* Clear communicator who thrives in a cross\-functional engineering culture.
**Pay And Benefits**
 CCI is committed to offering competitive pay and benefits, including, but not limited to:
* Flexible work hours
* Paid Time Off (PTO) and Paid Holidays
* Medical, Dental, and Vision Insurance Plans
* HSA and FSA
* Life Insurance
* 401(k) with match
* Tuition Reimbursement
* Pet Insurance
* Identity Theft Insurance
* Medical Bridge/Critical Care/Cancer/Accident Insurance
*This job description reflects management’s assignment of key responsibilities; it does not prescribe or restrict the tasks that may be assigned.*
 Individual base pay is based on various factors, including work location, relevant experience and skills, the responsibility of the role, and job duties/requirements. For this role, our current pay range is $120,000 \- $200,000\.
 Listed range represents the full earning potential in this position. Starting salaries for well\-qualified new hires are typically around the midpoint of the range. This range was determined by a market\-based compensation approach; we used data from trusted third\-party compensation sources to set equitable, consistent, and competitive ranges. We also evaluate compensation annually, identify any changes in the market and make adjustments to our ranges and existing employee compensation as needed.
 Base pay is only one element of an employee's total compensation at Circuit Check. Employees (and their dependents in most plans) are covered by medical, dental, vision, basic life, short\- and long\-term disability and accidental death and dismemberment insurance. Employees are able to enroll in Circuit Check’s 401k plan, in which the Company will match 50% of your contributions up to 6% with a maximum contribution. Paid time off includes vacation and sick time along with paid holidays. A summary of benefits can be provided by request via email to hr@circuitcheck.com.
 Circuit Check, Inc. is proud to be an Equal Opportunity Employer. We do not discriminate based on identity, race, color, religion, national origin or ancestry, sex (including sexual identity), age, physical or mental disability, pregnancy, veteran or military status, genetic information, sexual orientation, marital status, or any other legally recognized protected basis under federal, state, or local law. Because Circuit Check is a federal contractor, we participate in the E\-Verify program in certain locations, as required by law. Applicants must be legally authorized to work in the United States without needing sponsorship for an employment visa (e.g., H1B status).
 If you need a reasonable accommodation for any part of the employment process, please contact us by email at hr@circuitcheck.com and let us know the nature of your request and your contact information. We'll do all we can to ensure you're set up for success during our interview process while upholding your privacy, including requests for accommodation.</t>
        </is>
      </c>
    </row>
    <row r="140">
      <c r="A140" t="inlineStr">
        <is>
          <t>li-4368235653</t>
        </is>
      </c>
      <c r="B140" t="inlineStr">
        <is>
          <t>Senior Product Manager, Matching</t>
        </is>
      </c>
      <c r="C140" t="inlineStr">
        <is>
          <t>Hinge</t>
        </is>
      </c>
      <c r="D140" t="inlineStr">
        <is>
          <t>linkedin</t>
        </is>
      </c>
      <c r="E140">
        <f>HYPERLINK("https://www.linkedin.com/jobs/view/4368235653", "https://www.linkedin.com/jobs/view/4368235653")</f>
        <v/>
      </c>
      <c r="F140" t="inlineStr"/>
      <c r="G140" t="inlineStr">
        <is>
          <t>New York, NY</t>
        </is>
      </c>
      <c r="H140" t="inlineStr"/>
      <c r="I140" t="inlineStr">
        <is>
          <t>**Hinge is the dating app designed to be deleted** 
 In today's digital world, finding genuine relationships is tougher than ever. At Hinge, we’re on a mission to inspire intimate connection to create a less lonely world. We’re obsessed with understanding our users’ behaviors to help them find love, and our success is defined by one simple metric– setting up great dates. With millions of users across the globe, we’ve become the most trusted way to find a relationship, for all.
**About the Role:** 
 This role sits at the center of Hinge’s mission: helping people form meaningful relationships. We’re looking for a Senior Product Manager to reimagine how people express themselves and engage with profiles, driving a shift away from endless swiping toward more intentional, personalized dating.
 You’ll lead a critical part of the Hinge experience, shaping how identity, self\-expression, and personalization come together to improve dating outcomes. You’ll collaborate closely with engineering, design, research, and data science to ship emotionally resonant, high\-impact products.
**Responsibilities** 
- Own end\-to\-end product strategy for Hinge’s profiles and discovery surfaces
- Redesign self\-expression on Hinge to promote depth, clarity, and authenticity
- Explore new interaction patterns that reduce fatigue and increase match quality
- Use personalization to adapt the experience to user intent and dating context
- Turn ambiguous opportunities into shipped features through close cross\-functional collaboration
- Communicate product vision, tradeoffs, and decisions clearly to partners and leadership
- Input into the broader Dating Outcomes strategy
**What We’re Looking For** 
- 6\+ years of product management experience, ideally in consumer tech
- Experience with personalization, discovery, recommendations, or matching systems
- Background includes both: A scaled B2C product (social, marketplace, or content\-based)
 **and** 
 a startup or fast\-paced environment with high ambiguity and ownership
- History of working on core user experiences (not just internal tools or monetization)
- Comfortable running fast experiments and making decisions with incomplete data
- Cultural curiosity (especially around dating and core segments like Gen Z) and the ability to translate insight into thoughtful product direction
- Strong product intuition, shaped by deep user empathy
- Creative, strategic thinker who brings fresh ideas and challenges assumptions
- Clear communicator who simplifies complex ideas and tradeoffs
- Resourceful and proactive — can move forward without perfect data or direction
- High product taste, with a deep interest in emotional nuance and human behavior
- Collaborative and action\-oriented, with a bias toward clarity over consensus
- Motivated by Hinge’s mission to help people meet meaningfully
 Studies show that some people, especially women and underrepresented groups, are less likely to apply unless they meet every qualification. If you’re passionate about helping people find meaningful connection and think you’d excel in this role, we’d love to hear from you — even if your experience doesn’t align perfectly with every point.
**As a member of our team, you’ll enjoy:** 
**401(k) Matching:** 
 We match 100% of the first 10% of pre\-tax 401(k) contributions you make, up to a maximum of $10,000 per year.
**Professional Growth:** 
 Get an annual Learning \&amp; Development stipend once you’ve been with us for three months. You also get free access to Udemy, an online learning and teaching marketplace with over 6000 courses, starting your first day.
**Parental Leave \&amp; Planning:** 
 When you become a new parent, you’re eligible for 100% paid parental leave (20 paid weeks for both birth and non\-birth parents.)
**Fertility Support:** 
 You’ll get easy access to fertility care through Carrot, from basic treatments to fertility preservation. We also provide a stipend towards fertility preservation. You and your spouse/domestic partner are both eligible.
**Date Stipend:** 
 All Hinge employees receive a $100 monthly stipend for epic dates– Romantic or otherwise. Hinge Premium is also free for employees and their loved ones.
**ERGs:** 
 We have eight Employee Resource Groups (ERGs)—Asian, Unapologetic, Disability, LGBTQIA\+, R
 aices
 , Women/Nonbinary, Parents —that hold regular meetings, host events, and provide dedicated support to the organization \&amp; its community.
**At Hinge, our core values are…** 
**Authenticity:** 
 We share, never hide, our words, actions and intentions.
**Courage:** 
 We embrace lofty goals and tough challenges.
**Empathy:** 
 We deeply consider the perspective of others.
**Diversity inspires innovation** 
 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
***If you require reasonable accommodation to complete a job application, pre\-employment testing, or a job interview or to otherwise participate in the hiring process, please let your Talent Acquisition partner know.***
*\#Hinge* 
 Factors such as scope and responsibilities of the position, candidate's work experience, education/training, job\-related skills, internal peer equity, as well as market and business considerations may influence base pay offered. This salary range is reflective of a position based in New York City. This salary will be subject to a geographic adjustment (according to a specific city and state), if an authorization is granted to work outside of the location listed in this posting.</t>
        </is>
      </c>
    </row>
    <row r="141">
      <c r="A141" t="inlineStr">
        <is>
          <t>li-4368275891</t>
        </is>
      </c>
      <c r="B141" t="inlineStr">
        <is>
          <t>Senior Product Manager, Ads Manager - Seattle</t>
        </is>
      </c>
      <c r="C141" t="inlineStr">
        <is>
          <t>TikTok</t>
        </is>
      </c>
      <c r="D141" t="inlineStr">
        <is>
          <t>linkedin</t>
        </is>
      </c>
      <c r="E141">
        <f>HYPERLINK("https://www.linkedin.com/jobs/view/4368275891", "https://www.linkedin.com/jobs/view/4368275891")</f>
        <v/>
      </c>
      <c r="F141" t="inlineStr"/>
      <c r="G141" t="inlineStr">
        <is>
          <t>Seattle, WA</t>
        </is>
      </c>
      <c r="H141" t="inlineStr"/>
      <c r="I141" t="inlineStr">
        <is>
          <t>**Responsibilities**
 Team Introduction:
 TikTok is seeking an experienced Product Manager to develop ads platform products that streamline the ad creation process and improve the overall user journey. This team focuses on enhancing the workflow within TikTok Ads Manager, specifically supporting both Content \&amp; Service verticals, including performance ads product such as App ads and Lead ads. You will work on optimizing the ads trafficking experience to meet the needs of advertisers within these verticals, driving efficiency, performance and growth on the platform.
 Responsibilities:
 \- Lead the development and optimization of features within TikTok Ads Manager, focusing on improving the ads creation and reporting for performance ads verticals.
 \- Collaborate with cross\-functional teams to identify challenges, define product strategies, and set objectives that align with the needs of Content \&amp; Service advertisers.
 \- Leverage customer feedback, user research, competitor research and data analytics to identify opportunities for growth and continuous improvement in the ad creation process.
 \- Stay up\-to\-date with ad tech trends and emerging technologies, applying this knowledge to keep TikTok at the forefront of advertising solutions.
 \- Track and analyze key product metrics to inform product decisions and drive iterative improvements to the ads platform.
**Qualifications**
 Minimum Qualifications:
 \- BA/BS degree.
 \- Medium written and oral proficiency in Mandarin required. Both English and Mandarin skill sets are required to support clients in APAC and to communicate with stakeholders
 \- 3\+ years of experience as a Product Manager, managing full product cycles, integrating customer feedback, and driving prioritization.
 \- Strong knowledge of the online advertising ecosystem, including ad creation, optimization, and bidding.
 \- Strong problem\-solving and analytical skills, with the ability to use data to guide product decisions and improve performance.
 \- Proven ability to collaborate cross\-functionally with engineering, design, data science, and other teams.
 \- Excellent communication skills, capable of articulating complex product concepts to both technical and non\-technical stakeholders.
 Preferred Qualifications:
 \- 5\+ years of experience as a PM, building and launching ad interface or platform products.
 \- An understanding of performance ads, particularly within Content and Service verticals such as app ads, lead generation, gaming, and entertainment.
 \- Experience in fast\-paced environments, particularly within startups or rapidly evolving industries.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$199500 \- $393300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42">
      <c r="A142" t="inlineStr">
        <is>
          <t>li-4368690870</t>
        </is>
      </c>
      <c r="B142" t="inlineStr">
        <is>
          <t>Global Product Manager - Aftermarket Par</t>
        </is>
      </c>
      <c r="C142" t="inlineStr">
        <is>
          <t>Rehlko</t>
        </is>
      </c>
      <c r="D142" t="inlineStr">
        <is>
          <t>linkedin</t>
        </is>
      </c>
      <c r="E142">
        <f>HYPERLINK("https://www.linkedin.com/jobs/view/4368690870", "https://www.linkedin.com/jobs/view/4368690870")</f>
        <v/>
      </c>
      <c r="F142">
        <f>HYPERLINK("https://de.jobsyn.org/B6260A7D3C934B21988F122839F3FC2F5044&amp;urlHash=LyVK", "https://de.jobsyn.org/B6260A7D3C934B21988F122839F3FC2F5044&amp;urlHash=LyVK")</f>
        <v/>
      </c>
      <c r="G142" t="inlineStr">
        <is>
          <t>Kohler, WI</t>
        </is>
      </c>
      <c r="H142" t="inlineStr"/>
      <c r="I142" t="inlineStr">
        <is>
          <t>JOB REQUIREMENTS: Why Work at Rehlko Our work is guided by our purpose:
 creating an energy\-resilient world for a better future. This purpose
 embodies the legacy we bring, with more than 100 years as the global
 leader in energy resilience, delivering solutions critical to sustain
 and improve life. Our teams have the opportunity to provide a critical
 resource \- energy \- that ensures safety, security, and independence for
 people around the world. Our team members are focused on pushing
 boundaries, continuing to innovate in an ever\-changing landscape, and
 keeping up with the pace required to create solutions for today\\'s world
 demands. Our product range includes engines, generators, power
 conversion, UPS systems, EV components and electrification solutions,
 microgrid controls and management, and clean energy solutions that serve
 a broad spectrum of OEM, residential, industrial, and commercial
 customers. At Rehlko, you have the freedom to identify, create, and
 deliver solutions \- large and small \- that help people and communities
 thrive in the moments that matter. At Rehlko, our team members are the
 essential energy that powers our organization\\'s success. We are
 committed to fostering a safe and sustainable work environment where
 safety is everyone\\'s responsibility. We empower every team member to
 actively participate in our Zero Is Possible safety culture by
 encouraging open communication, proactively reporting hazards, following
 protocols, and suggesting improvements. Join us in creating an energy
 resilient world for a better future! What We Offer At Rehlko, our Total
 Rewards programs are designed to accelerate growth, energize
 performance, and support a culture of inclusion at every stage of life
 and work. We offer total rewards that are easily understood, recognize
 results, enable career mobility, and reflect our commitment to valuing
 diverse needs in a fast\-moving world. We provide: \\\* Competitive
 compensation and benefits \\\* Work\-life flexibility \\\* Recognition and
 rewards \\\* Development and career opportunities \\\* A safe and inclusive
 workplace Why You Will Love this Job The Global Product Manager \-
 Aftermarket Parts\-Industrial Engines combines strategic vision with the
 ability to implement tactical strategies for profitable growth. The
 Global Product Manager \- Aftermarket Parts\-Industrial Engines will
 develop an all\-make aftermarket parts product portfolio; conducting
 market research; generating product requirements; determining
 specifications, production timetables, pricing, and time\-integrated
 plans for product introduction; developing marketing strategies for
 Industrial Engines in the Aftermarket Parts group globally. Work mode:
 Remote or Hybrid (2\-4 days onsite) if within 50 miles of Kohler WI
 Travel: 20% travel US and Global Applicants must be authorized to work
 in the US without requiring sponsorship now or in the future.
 Responsibilities: \\\* Manages the product development of all\-makes
 aftermarket parts product portfolio to support Rehlko Industrial service
 organizations. \\\* Data analysis is used to develop global strategic
 goals. \\\* Direct the implementation of the global product line strategic
 plan to prioritize and maximize company and product line profitability
 and investments. \\\* Determines customers\\' needs and desires by
 specifying the research needed to obtain market information. \\\* Assesses
 market competition by comparing the company\\'s product to competitors\\'
 products. \\\* Drives the highest value products into the market at
 maximum profit and sales. \\\* Prepares and coaches the parts and service
 organizations on product application information, product initiatives,
 and profitability equations. \\\* Recomm To view the full job description
 please use the link below.
 https://www.aplitrak.com/?adid\=YmJnZW5lcmljLjQ5OTYyLjg3NzBAa29obGVyZW5lcmd5Y29tcC5hcGxpdHJhay5jb20
 \\\*\\\*\\\*\\\*\\\* APPLICATION INSTRUCTIONS: Apply Online:
 https://www.aplitrak.com/?adid\=YmJnZW5l mljLjQ5OTYyLjg3NzBAa29obGVyZW5lcmd5Y29tcC5hcGxpdHJhay5jb20</t>
        </is>
      </c>
    </row>
    <row r="143">
      <c r="A143" t="inlineStr">
        <is>
          <t>li-4368837898</t>
        </is>
      </c>
      <c r="B143" t="inlineStr">
        <is>
          <t>Product Manager - Hubs</t>
        </is>
      </c>
      <c r="C143" t="inlineStr">
        <is>
          <t>Procore Technologies</t>
        </is>
      </c>
      <c r="D143" t="inlineStr">
        <is>
          <t>linkedin</t>
        </is>
      </c>
      <c r="E143">
        <f>HYPERLINK("https://www.linkedin.com/jobs/view/4368837898", "https://www.linkedin.com/jobs/view/4368837898")</f>
        <v/>
      </c>
      <c r="F143" t="inlineStr"/>
      <c r="G143" t="inlineStr">
        <is>
          <t>Austin, TX</t>
        </is>
      </c>
      <c r="H143" t="inlineStr"/>
      <c r="I143" t="inlineStr">
        <is>
          <t>We’re looking for a
 **Product Manager** 
 to join Procore’s Hubs Platform team. In this role, you’ll build the next generation of Procore’s centralized experience, ensuring it becomes the scalable, configurable, and deeply personalized "front door" for every user across the construction lifecycle.
 As a Product Manager, you’ll partner with customers and internal product teams to deliver a transformative UI architecture. You will turn Hubs into central connection points that prioritize relevant information and drive meaningful action. This position requires platform thinking, customer centricity, and exceptional collaboration skills to make Procore's Hubs the most efficient workspace in the industry.
**This position reports to the Group Product Manager and will be based in our Austin office. We’re looking for someone to join us immediately.**
**What you’ll do:**
* Own the roadmap for the Hubs Platform, building a configurable UI architecture that allows for tailored, personalized experiences.
* Develop a deep understanding of our users and their needs from Hubs, making it easier for them to take action on their highest priority items from a centralized place.
* Collaborate with other Product Managers to define and build specialized Hub pages that serve their specific solution areas (e.g., Risk and Safety).
* Collaborate with stakeholders across Sales, Customer Success, and Marketing to launch Hubs and drive global adoption.
* Lead cross\-functional teams through all phases of product development, from discovery through delivery and iterative refinement.
* Define and track success metrics, and communicate product vision, plans, and progress effectively to stakeholders at all levels of the company.
**What we’re looking for:**
* 3\-5 years of product management or equivalent experience, ideally in B2B SaaS or a platform PM role.
* An experienced platform thinker who thrives in complex, interconnected systems and can bridge technical depth with structured, cross\-functional execution.
* Strong ability to translate strategy into executable, prioritized plans and build\-ready artifacts (PRD, user stories, AI generated prototypes).
* Demonstrated ownership and accountability for complex, multi\-team, end\-to\-end initiatives.
* Proven experience influencing across Product, Engineering, Design, and other stakeholders without directory authority.
* Deep customer obsession and the ability to synthesize qualitative and quantitative research to bring new ideas and support hypotheses.
* Comfort operating in ambiguity and navigating organizational complexity.
* Excellent written and verbal communication skills.
**Additional Information**
**Base Pay Range:**
 140,960\.00 \- 193,820\.00 USD Annual
**For Los Angeles County (unincorporated) Candidates:**
 Procore will consider for employment all qualified applicants, including those with arrest or conviction records, in accordance with the requirements of applicable federal, state, and local laws, including the City of Los Angeles’ Fair Chance Initiative for Hiring Ordinance, the Los Angeles County Fair Chance Ordinance for Employers, and the California Fair Chance Act.
 A criminal history may have a direct, adverse, and negative relationship on the following job duties, potentially resulting in the withdrawal of the conditional offer of employment: 1\. appropriately managing, accessing, and handling confidential information including proprietary and trade secret information, as well as accessing Procore's information technology systems and platforms; 2\. interacting with and occasionally having unsupervised contact with internal/external customers, stakeholders, and/or colleagues; and 3\. exercising sound judgment.</t>
        </is>
      </c>
    </row>
    <row r="144">
      <c r="A144" t="inlineStr">
        <is>
          <t>li-4368270419</t>
        </is>
      </c>
      <c r="B144" t="inlineStr">
        <is>
          <t>Product Manager</t>
        </is>
      </c>
      <c r="C144" t="inlineStr">
        <is>
          <t>firstPRO, Inc</t>
        </is>
      </c>
      <c r="D144" t="inlineStr">
        <is>
          <t>linkedin</t>
        </is>
      </c>
      <c r="E144">
        <f>HYPERLINK("https://www.linkedin.com/jobs/view/4368270419", "https://www.linkedin.com/jobs/view/4368270419")</f>
        <v/>
      </c>
      <c r="F144" t="inlineStr"/>
      <c r="G144" t="inlineStr">
        <is>
          <t>Waltham, MA</t>
        </is>
      </c>
      <c r="H144" t="inlineStr"/>
      <c r="I144" t="inlineStr">
        <is>
          <t>firstPRO is now accepting resumes for a Product Manager in Waltham, MA. This is a direct hire position and onsite.
 The Biotechnology Sales Product Line Manager is responsible for growing sales worldwide while managing the portfolio's biotechnology/fermentation/university research products throughout the products’ lifecycles. This includes high\-level technical presentations in support of corporate sales opportunities; development of product requirements based on documented customer needs; defining product vision; working closely with cross functional teams including R\&amp;D, Sales, Marketing, Finance, Technical Applications and Support to deliver winning products that exceed corporate revenue and customer satisfaction goals.
**What you’ll do** 
* In conjunction with customers/KOLs/sales representatives/R\&amp;D, Applications/others (US and International) develop market requirements documents and product requirements documents
* Maintain expertise with respect to market dynamics, product performance, customer satisfaction, market trends and competition
* In conjunction with Sales, develop product line forecasts
* Analyze product line extensions and product line improvements
* Develop core positioning and messaging for products
* Develop sales tools and collateral
**What we are looking for in you** 
* Biotechnology development background is required. Advanced degree preferred.
* Solid understanding of Biotechnology nutrient, metabolite, gas and cell counting systems currently available in the and their associated industrial utility.
* Solid understanding of pharmaceutical Quality Control, Quality Assurance, GMP, and FDA Validation requirements
* A solid understanding of statistical data is required.
* Requires a person willing to travel within the Unites States and Internationally approximately 50% of the time.
* BA/BS Degree required</t>
        </is>
      </c>
    </row>
    <row r="145">
      <c r="A145" t="inlineStr">
        <is>
          <t>li-4357840754</t>
        </is>
      </c>
      <c r="B145" t="inlineStr">
        <is>
          <t>Associate Product Manager-Satellite Inflight Connectivity</t>
        </is>
      </c>
      <c r="C145" t="inlineStr">
        <is>
          <t>Gogo</t>
        </is>
      </c>
      <c r="D145" t="inlineStr">
        <is>
          <t>linkedin</t>
        </is>
      </c>
      <c r="E145">
        <f>HYPERLINK("https://www.linkedin.com/jobs/view/4357840754", "https://www.linkedin.com/jobs/view/4357840754")</f>
        <v/>
      </c>
      <c r="F145" t="inlineStr"/>
      <c r="G145" t="inlineStr"/>
      <c r="H145" t="inlineStr"/>
      <c r="I145" t="inlineStr">
        <is>
          <t>We will be accepting applications through February 27, 2026 or until filled.
 \-\-\- \-\-\- \-\-\-
 The Gogo
 **Associate** 
**Product Manager – Satellite Inflight Connectivity** 
 will play a key role in the continued development and evolution of satellite based in flight connectivity platform and service offerings. Through planning, execution and optimization of key metrics, the Product Manager will increase the market penetration and increase the revenue streams built on top of Gogo Business Aviation's market\-leading aviation products and network. You will work with sales, customers and third\-party partners to understand and represent the market opportunities and evangelize these needs to the development team and be the advocate for a high\-quality product management process.
 This is an exciting position that will coordinate with fellow hardware and services product managers to provide a single, consolidated effort for all items that impact Gogo’s leading in\-flight connectivity products. Are you someone who can lay out product roadmaps and direct priorities for an organization with ease?
 Then come on board the Gogo Product Management Team!
**How will you make a difference?**
* Develop and evangelize clear product vision, strategy, value proposition and roadmaps for in\-cabin network solutions in line with company strategy and market needs
* Manage overall product lifecycle from conception to obsolescence.
* Work with a cross functional team to define new product features, guide product design, development and integration.
* Manage strong relationships with key stakeholders including customers, aircraft manufacturers, channel partners and vendors to meet their expectations.
**Qualifications**
* Bachelor’s Degree in engineering or aerospace or a related field. MBA preferred
* 1\-3 years of relevant product or program management is preferred
**Required Skills, Experience And Talents**
* Strong communication and interpersonal skills
* Able to develop cohesive plans for products through analyzing data, gathering information from customers, sales and support staff, and reviewing available market data.
* Ability to develop trade\-studies and product analysis to determine the best path forward
**Preferred Skills, Experience And Talents**
* Industry knowledge of business aviation industry, including regulations, standards and best practices
* Understanding of Lean Problem Solving and Operational Excellence
* Knowledge of wireless technologies is a plus
* Demonstrated ability to understand and discuss technical concepts and manage trade\-offs
* Analytical and critical thinking skills
* Solid interpersonal skills, presentation skills, strong work ethic, and self\-motivated
* Effective in cross\-functional team environments
* Curious and energetic personality
**Equal Pay Disclosure(s)**
**Base Pay**
 88,000\.00 \- 110,000\.00 USD Annual
**Target Annual Short\-Term Incentive**
 Bonus Plan at 5% (% of Annualized Base Pay)
**Eligible For Incentive Stock Program**
 Yes
**Benefits**
 Gogo offers competitive benefits including medical, dental and vision coverage with plans that can fit each employee’s needs. We offer an immediate vesting 401k plan, paid time off and volunteer time off. Employees have the option to participate in an Employee Stock Purchase Plan. Visit the Careers page on our website for more information at www.gogoair.com/careers.
 \-\-\- \-\-\- \-\-\-
 Gogo is an Equal Opportunity and Affirmative Action employer, working in compliance with both federal and state laws. We are committed to the concept of Equal Employment opportunity.
 Qualified candidates will be considered for employment regardless of race, color, religion, age, sex, national origin, marital status, medical condition, or disability.
 The EEO is the law and is available
 **here** 
 . Gogo participates in E\-Verify (
 **English** 
 and
 **Spanish** 
 ). Right to Work Statement (
 **English** 
 and
 **Spanish** 
 ).</t>
        </is>
      </c>
    </row>
    <row r="146">
      <c r="A146" t="inlineStr">
        <is>
          <t>li-4334249623</t>
        </is>
      </c>
      <c r="B146" t="inlineStr">
        <is>
          <t>Product Manager, Data Solutions</t>
        </is>
      </c>
      <c r="C146" t="inlineStr">
        <is>
          <t>Abacus Insights</t>
        </is>
      </c>
      <c r="D146" t="inlineStr">
        <is>
          <t>linkedin</t>
        </is>
      </c>
      <c r="E146">
        <f>HYPERLINK("https://www.linkedin.com/jobs/view/4334249623", "https://www.linkedin.com/jobs/view/4334249623")</f>
        <v/>
      </c>
      <c r="F146">
        <f>HYPERLINK("https://grnh.se/l8bguxbs2us&amp;urlHash=Zn7u", "https://grnh.se/l8bguxbs2us&amp;urlHash=Zn7u")</f>
        <v/>
      </c>
      <c r="G146" t="inlineStr"/>
      <c r="H146" t="inlineStr"/>
      <c r="I146" t="inlineStr">
        <is>
          <t>**About Us**
 Abacus Insights is transforming how data works for health plans. Our mission is simple: make healthcare data usable, so the people responsible for care and cost decisions can act faster, with confidence.
 We help health plans break down data silos to create a single, trusted data foundation. That foundation powers better decisions —so plans can improve outcomes, reduce waste, and deliver better experiences for members and providers alike.
 Backed by $100M from top investors, we’re tackling big challenges in an industry that’s ready for change. Our platform enables GenAI use cases by delivering clean, connected, and reliable healthcare data that can support automation, prioritization, and decision workflows—and it’s why we are leading the way.
 Our innovation begins with people. We are bold, curious, and collaborative—because the best ideas come from working together. Ready to make an impact? Join us and let's build the future together.
**About The Role**
 We are seeking an experienced
 **Data Product Manager** 
 to lead the strategy, development, and optimization of payment integrity data products for healthcare payers, with focus on both prospective and retrospective solutions that enhance claims accuracy, prevent improper payments, accelerate payment recovery, and support regulatory compliance. The ideal candidate will have deep expertise in payment integrity operations and analytics, 3\-5 years of data product management experience, be knowledgeable of the application of GenAI to payment integrity use cases and have a demonstrated history of successfully delivering payment integrity solutions to healthcare payers. You will be responsible for leading a cross\-functional team to deliver innovative data products that solve data usability challenges, accelerate business value, and improve efficiency for US healthcare payers.
**Your Day To Day**
* Product Strategy and Vision: Develop and execute product strategy for assigned data products in alignment with company objectives and payer business needs. Define and prioritize product roadmap and features aligned to business objectives.
* Domain and Subject Matter Expertise: Leverage your experience and expertise in US healthcare payer data, payment integrity operations and analytics, and US health insurance markets to oversee and manage the product development lifecycle for payment integrity data products.
* Cross\-Functional Leadership: Coordinate with cross\-functional team members, including Subject\-matter Experts, Data modeling, Data quality and telemetry, Sales, and Customer Success, to deliver data products on time and within scope. Foster a collaborative environment and ensure effective communication across all functions.
* Stakeholder Management: Engage with key stakeholders (internal and clients) to gather requirements, understand business needs, and align product features with unmet buyer needs and client expectations. Communicate product vision, updates, and performance metrics clearly and effectively to all stakeholders.
* Performance Monitoring: Establish and track key performance indicators (KPIs) to measure data solutions’ success and identify opportunities for improvement. Use data\-driven insights to inform decision\-making and drive continuous enhancement of data solutions.
**What You Bring To The Team**
* Product Management Experience: 3\+ years of product management experience including product strategy execution, data analytics proficiency, agile delivery, and relevant technologies and tools.
* Domain Expertise: US healthcare payer data, payer operations and/or analytics, Medicare, Medicaid, Marketplace, and Commercial health insurance programs.
* Subject Matter Expertise. Healthcare payment integrity including both prospective and retrospective approaches and hands\-on experience with relevant data sources and datasets (e.g. claims, provider, member, enrollment, contracts/fee schedules, notes, etc.).
* Communication Skills: Excellent written and oral communication skills, with the ability to clearly articulate complex concepts, tell a story, and engage effectively with stakeholders at all levels.
* Collaborative Approach: Proven ability to lead cross\-functional teams and coordinate efforts across multiple roles and functions to achieve product objectives.
* Self\-starter. Demonstrated ability to drive workstreams independently, leader with influence, and manage risks with strong compass on when to escalate issues.
* Agility. Demonstrated ability to thrive in a fast\-paced, maturing start\-up environment.
**What We Would Like To See, But Not Required**
* Background/demonstrable experience in application of GenAI to operational and/or analytic payment integrity use cases.
* Relevant certification: Product Management, Big Data, Data Analytics (e.g., Certified Scrum Product Owner, Google Data Analytics Professional Certificate).
* Experience with data analytics, data management and visualization tools (e.g. SQL, Power BI, Tableau)
* Experience with Agile methodologies and product management tools.
* Advanced degree in a relevant field (e.g., Data Science, Business Administration, Healthcare Management).
**Compensation:** 
 Compensation for this role is based on experience, skills, and location, and includes base salary plus eligibility for performance bonuses and equity grants.
**What You’ll Get In Return**
* Unlimited paid time off – recharge when you need it
* Work from anywhere – flexibility to fit your life
* Comprehensive health coverage – multiple plan options to choose from
* Equity for every employee – share in our success
* Growth\-focused environment – your development matters here
* Home office setup allowance – one\-time support to get you started
* Monthly cell phone allowance – stay connected with ease
**Our Commitment as an Equal Opportunity Employer**
 As a mission\-led technology company helping to drive better healthcare outcomes, Abacus Insights believes that the best innovation and value we can bring to our customers comes from diverse ideas, thoughts, experiences, and perspectives. Therefore, we dedicate resources to building diverse teams and providing equal employment opportunities to all applicants. Abacus prohibits discrimination and harassment regarding race, color, religion, age, sex, national origin, disability status, genetics, protected veteran status, sexual orientation, gender identity or expression, or any other characteristic protected by federal, state, or local laws.
 At the heart of who we are is a commitment to continuously and intentionally building an inclusive culture—one that empowers every team member across the globe to do their best work and bring their authentic selves. We carry that same commitment into our hiring process, aiming to create an interview experience where you feel comfortable and confident showcasing your strengths. If there’s anything we can do to support that—big or small—please let us know.</t>
        </is>
      </c>
    </row>
    <row r="147">
      <c r="A147" t="inlineStr">
        <is>
          <t>li-4368808722</t>
        </is>
      </c>
      <c r="B147" t="inlineStr">
        <is>
          <t>Product Manager - Customer Data and Gen AI</t>
        </is>
      </c>
      <c r="C147" t="inlineStr">
        <is>
          <t>Duke Energy Corporation</t>
        </is>
      </c>
      <c r="D147" t="inlineStr">
        <is>
          <t>linkedin</t>
        </is>
      </c>
      <c r="E147">
        <f>HYPERLINK("https://www.linkedin.com/jobs/view/4368808722", "https://www.linkedin.com/jobs/view/4368808722")</f>
        <v/>
      </c>
      <c r="F147">
        <f>HYPERLINK("https://dukeenergy.wd1.myworkdayjobs.com/Search/job/Charlotte-NC/Product-Manager\u002d\u002d-Customer-Data-and-Gen-AI_R38283?source=LinkedIn&amp;urlHash=lPXx", "https://dukeenergy.wd1.myworkdayjobs.com/Search/job/Charlotte-NC/Product-Manager\u002d\u002d-Customer-Data-and-Gen-AI_R38283?source=LinkedIn&amp;urlHash=lPXx")</f>
        <v/>
      </c>
      <c r="G147" t="inlineStr">
        <is>
          <t>Charlotte, NC</t>
        </is>
      </c>
      <c r="H147" t="inlineStr"/>
      <c r="I147" t="inlineStr">
        <is>
          <t>**Important Application Submission Information**
 In order to ensure your application is successfully received before the job posting expires, please submit your application by 11:59 PM on Thursday, February 5, 2026
 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**Position Summary**
 Directly responsible for multiple products within a portfolio and/or management responsibilities of Product Owners aligned to a specific value\-stream, workflow, customer journey or product family.
 Provides leadership and has accountability for successfully defining and delivering products that anticipate the needs of customers/workers/users, delivering results against P\&amp;L objectives.
 This position is highly involved in the funding management and budgeting processes for portfolio.
**Responsibilities**
* May perform management duties related to the supervision of Product Owners and Product Analysts
* Lead the product planning process. Gathers input from users/customers/stakeholders to create long\-term strategy. Sets direction and priority.
* Performs stakeholder management, user/market segmentation, competitive analysis, product funding requests, release planning and business case realization (product P\&amp;L).
* Collaborate with the organization on vision, strategy, decisioning, tactical execution, and measurement systems
* Develop and implement new product introduction and roll\-out strategy, plans, and content with cross\-functional teams and leaders.
* Effectively communicate the value of the workflow/journey/family, and the products within it, to stakeholders
**Required/Basic Qualifications**
* Bachelor’s degree
* In addition to required degree, six (6\) or more years related work experience
* In lieu of Bachelor’s degree(s) AND six (6\) or more years related work experience listed above, High School/GED AND ten (10\) or more years related work experience
**Additional Preferred Qualifications**
* 7 or more years working in the utility industry
* Experience as a Senior or Lead Product Owner
* Agile Product Owner certification
* SAFe certification, preferably SAFE 6\.0\+
* Experience leading delivery of data lakes of massive scale on Cloud infrastructure
* Experience leading delivery of machine learning or AI models
* Experience leading and supporting customer\-facing digital technologies
* Experience leading integration of vendor technologies in SaaS and/or COTS models.
* Familiarity with Customer Technology PMO artifacts and expectations
* "Black Belt" Six Sigma certification
**Working Conditions**
* Office environment mostly, often with research, analysis or engagement conducted in plants or field
**Specific Requirements**
* Entrepreneurial with a strong inclination towards action, preferably with experience shipping software
* Ability to communicate complex and innovative concepts to a new product development team
* Clear passion for topics of technology products and an ability to identify possibilities to innovate
* Ability to be self\-directed and to proactively anticipate problems and seek opportunities
* Excellent communication skills including the ability to build relationships and effectively influence across all management and organizational levels
* Strong understanding of the SDLC process and the ability to work in an agile environment with bi\-weekly releases
* Ability to educate and communicate to leaders across the Company on effective use of digital tools
* Ability to quickly understand business, evaluate priorities and assess value of product features
* Ability to be self\-directed and to proactively anticipate problems and seek opportunities
* Two or more years’ experience with relevant new product or technology development experience working in a fast\-paced environment
* Experience operating in an environment driven by KPIs where you have the accountability to determine the best course of action to meet your goals
****Travel Requirements****
 5\-15%
 Relocation Assistance Provided (as applicable)
 No
 Represented/Union Position
 No
 Visa Sponsored Position
 No
 Please note that in order to be considered for this position, you must possess all of the basic/required qualifications.
 Privacy
 Do Not Sell My Personal Information (CA)
 Terms of Use
 Accessibility</t>
        </is>
      </c>
    </row>
    <row r="148">
      <c r="A148" t="inlineStr">
        <is>
          <t>li-4368688298</t>
        </is>
      </c>
      <c r="B148" t="inlineStr">
        <is>
          <t>Product Manager II - Platform, Travel Rule</t>
        </is>
      </c>
      <c r="C148" t="inlineStr">
        <is>
          <t>Coinbase</t>
        </is>
      </c>
      <c r="D148" t="inlineStr">
        <is>
          <t>linkedin</t>
        </is>
      </c>
      <c r="E148">
        <f>HYPERLINK("https://www.linkedin.com/jobs/view/4368688298", "https://www.linkedin.com/jobs/view/4368688298")</f>
        <v/>
      </c>
      <c r="F148">
        <f>HYPERLINK("https://grnh.se/364eb8021us?gh_src=20687b321us&amp;source=LinkedIn&amp;urlHash=wTyl", "https://grnh.se/364eb8021us?gh_src=20687b321us&amp;source=LinkedIn&amp;urlHash=wTyl")</f>
        <v/>
      </c>
      <c r="G148" t="inlineStr">
        <is>
          <t>San Francisco, CA</t>
        </is>
      </c>
      <c r="H148" t="inlineStr"/>
      <c r="I148"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**Team/ Role** 
* The Travel Rule is a global FATF regulation requiring Virtual Asset Service Providers (VASPs) to share customer information for crypto transactions above certain thresholds. Coinbase operates TRUST (Travel Rule Universal Solution Technology), the world's leading Travel Rule solution with 100\+ VASP members including major exchanges.
* As Travel Rule DRI, you'll own the Travel Rule Platform (APIs, backend infrastructure, TRUST network) while partnering closely with Consumer and Insto PGs who own their respective front\-end experiences. You'll also be responsible for growing TRUST's market position against competitors like Notabene and Sumsub.
**What you’ll be doing (ie. job duties):** 
* Own company\-wide Travel Rule strategy and execution as the single\-threaded DRI, partnering with Consumer and Insto PGs on their front\-end implementations
* Grow TRUST market share by signing new VASPs, expanding network/asset support, and driving go\-to\-market efforts
* Own Travel Rule Platform APIs and backend infrastructure that Consumer and Insto integrate with
* Support international expansion by enabling new entities and jurisdiction\-specific requirements (e.g. India, EU, UK)
* Strengthen TRUST's privacy and security posture to reinforce Coinbase's 'Most Trusted' position
* Drive program health and stakeholder alignment across a complex, multi\-PG domain
**What we look for in you (ie. job requirements):** 
* 5\+ years of product management experience
* Experience building platform or API products that other teams integrate with
* Demonstrated ability to drive cross\-functional alignment across multiple stakeholders without owning the end\-to\-end UX
* Experience with compliance, regulatory, or risk products in fintech or financial services
* Strong analytical skills and experience defining success metrics
* Business development or partnership experience preferred
**Nice to haves:** 
* Crypto, blockchain, or AML/KYC experience
* Experience with open source or industry\-wide protocols/standards
* Experience operating with international teams across time zones
* Payment networks or platforms experience
* Experience with self\-custody wallets or stablecoins
 Job\# P69685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49">
      <c r="A149" t="inlineStr">
        <is>
          <t>li-4368232816</t>
        </is>
      </c>
      <c r="B149" t="inlineStr">
        <is>
          <t>Product Owner Fintech &amp; Payments</t>
        </is>
      </c>
      <c r="C149" t="inlineStr">
        <is>
          <t>Jobs via Dice</t>
        </is>
      </c>
      <c r="D149" t="inlineStr">
        <is>
          <t>linkedin</t>
        </is>
      </c>
      <c r="E149">
        <f>HYPERLINK("https://www.linkedin.com/jobs/view/4368232816", "https://www.linkedin.com/jobs/view/4368232816")</f>
        <v/>
      </c>
      <c r="F149">
        <f>HYPERLINK("https://click.appcast.io/t/1PH8gTft3EXi9dFMqhbMMqlnGNC1opbS2EUUVOJW-Io=&amp;urlHash=S39V", "https://click.appcast.io/t/1PH8gTft3EXi9dFMqhbMMqlnGNC1opbS2EUUVOJW-Io=&amp;urlHash=S39V")</f>
        <v/>
      </c>
      <c r="G149" t="inlineStr">
        <is>
          <t>Sunnyvale, CA</t>
        </is>
      </c>
      <c r="H149" t="inlineStr"/>
      <c r="I149" t="inlineStr">
        <is>
          <t>Dice is the leading career destination for tech experts at every stage of their careers. Our client, Photon, is seeking the following. Apply via Dice today!
**Product Owner Fintech \&amp; Payments**
**Sunnyvale, CA (Onsite)**
**About Us:**
 For the past 20 years, we have powered many Digital Experiences for the Fortune 500\. Since 1999, we have grown from a few people to more than 4000 team members across the globe that are engaged in various Digital Modernization.Our current focus and innovation in Digital Hyper expansion TM offers nearly limitless opportunities for career growth.
**Role Summary
 Experience:** 
 10\-12\+ years (Fintech / Payments preferred)
 We are seeking an experienced Product Owner with strong Fintech and Payments domain expertise to own and drive the delivery of payment products and platforms. The ideal candidate will work closely with business stakeholders, engineering teams, and external partners to translate business needs into clear product requirements, ensuring scalable, secure, and compliant payment solutions.
**Key Responsibilities**
* Own and manage the product backlog for payment and money movement capabilities (cards, ACH, wires, RTP, wallets, digital payments).
* Translate business and regulatory requirements into epics, user stories, and acceptance criteria.
* Act as the primary interface between business stakeholders, engineering, QA, and architecture teams.
* Prioritize features based on business value, regulatory needs, risk, and technical dependencies.
* Lead sprint planning, backlog grooming, reviews, and demos in an Agile/Scrum environment.
* Ensure solutions comply with PCI\-DSS, SOX, KYC/AML, and other regulatory standards.
* Collaborate with external vendors, processors, and payment networks.
* Support UAT, defect triage, and release readiness.
* Track and report on product KPIs, delivery milestones, and risk items.
* Contribute to product roadmaps aligned with business and platform strategy.
**Required Skills \&amp; Experience**
**Domain Expertise**
* Strong experience in Payments \&amp; Fintech, including:
+ Card payments (Credit/Debit)
+ ACH, Wires, RTP, ISO 20022
+ Payment gateways and processors
+ Digital wallets and money movement platforms
**Product \&amp; Agile Skills**
* Proven experience as a Product Owner in Agile/Scrum teams
* Expertise in backlog management, story writing, and prioritization
* Hands\-on experience with Jira, Confluence, or similar tools
* Strong understanding of API\-based platforms and integrations
**Technical \&amp; Compliance Knowledge**
* REST APIs, event\-driven systems, and microservices
* Data mapping, data integrity, and reconciliation flows
* Familiarity with PCI, AML, KYC, and regulatory compliance
**Soft Skills**
* Excellent stakeholder communication and negotiation skills
* Strong analytical and problem\-solving ability
* Ability to work in fast\-paced, cross\-functional environments
**Preferred Qualifications**
* Experience working with banks, payment processors, or fintech startups
* Exposure to cloud platforms (AWS, Azure, Google Cloud Platform)
* Certified Scrum Product Owner (CSPO) or equivalent
* Experience with global or cross\-border payments
**Why Join Us**
* Work on mission\-critical payment platforms
* High\-impact role with ownership and visibility
* Opportunity to innovate in a fast\-growing fintech ecosystem</t>
        </is>
      </c>
    </row>
    <row r="150">
      <c r="A150" t="inlineStr">
        <is>
          <t>li-4357499963</t>
        </is>
      </c>
      <c r="B150" t="inlineStr">
        <is>
          <t>Senior Product Manager -Embedded</t>
        </is>
      </c>
      <c r="C150" t="inlineStr">
        <is>
          <t>Paychex</t>
        </is>
      </c>
      <c r="D150" t="inlineStr">
        <is>
          <t>linkedin</t>
        </is>
      </c>
      <c r="E150">
        <f>HYPERLINK("https://www.linkedin.com/jobs/view/4357499963", "https://www.linkedin.com/jobs/view/4357499963")</f>
        <v/>
      </c>
      <c r="F150">
        <f>HYPERLINK("https://careers.paychex.com/careers/jobs/38626?lang=en-us&amp;AdCode=PaychexLinkedIn&amp;iis=Job%2520Board&amp;iisn=Linkedin&amp;urlHash=Md9s", "https://careers.paychex.com/careers/jobs/38626?lang=en-us&amp;AdCode=PaychexLinkedIn&amp;iis=Job%2520Board&amp;iisn=Linkedin&amp;urlHash=Md9s")</f>
        <v/>
      </c>
      <c r="G150" t="inlineStr">
        <is>
          <t>Tempe, AZ</t>
        </is>
      </c>
      <c r="H150" t="inlineStr"/>
      <c r="I150" t="inlineStr">
        <is>
          <t>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SurePayroll is looking for a dynamic product manager (mid and senior levels) to support our product strategy and development. Sitting at the crossroads of engineering, design, and go\-to\-market teams, Product Management is responsible for identifying short and long\-term opportunities within our product platform and taking them to market. You have an entrepreneurial and innovation mindset, experience bringing initiatives forward through to execution, and a laser\-focus on value creation for our customers and our business. You are deeply curious, data\-driven, forward\-thinking, and nimble. The ideal candidate has a strong background in SaaS, a proven record of managing the full product lifecycle, and desire to join a team of like\-minded individuals to build best in class products.
**Responsibilities**
* Identify opportunities for our embedded/reseller offering, in line with our product strategy. Support product vision, strategy, roadmap, and full product lifecycle management in context of broader organizational goals and strategies.
* Prioritize strategies and tasks based on evolving needs; generate buy in across teams and communicate effectively for full awareness. Present roadmaps for our embedded offering, product enhancements, and recommended changes to senior management based on value and ROI.
* Plan, kick off, and develop initiatives, collaborating across Engineering, Design, Sales, and Service.
* Define features and communicate their function and requirements to stakeholders.
* Create clarity and structure in ambiguous situations.
* Monitors competition, identifies and analyzes significant market or internal data changes. Uses constructive thinking and innovative solutions to recognize trends and make impactful decisions.
* Focus on user experience; conduct user interviews as needed to deeply understand user needs. Ability to ideate with design and engineering. Sketch wireframes, write clear briefing/requirements docs, and coordinate resources to action.
* Defines success criteria and metrics for each release, evaluates in the post\-launch phase, and leverages data to guide and influence future product/feature investment and prioritization decisions.
* Maximize efficiency in a constantly evolving environment where process is fluid.
* Manages ongoing relationships with external partners and monitors industry for possible new partners.
**Qualifications**
* User research with partners, ability to understand unique needs of partners around reporting, administration, billing, in addition to core product functionality
* Experience with embedded SaaS products in fintech a plus
* Experience with white\-labeled systems, APIs
* Influencing cross functional partners, leading teams, managing stakeholders, getting buy\-in from leadership
* Execution rigor \- Thinking through end\-to\-end operations, detailed requirements for engineering, and can see around corners in execution preventing technical problems from arising at launch
* Sound business judgment as well as ability to think clearly, analyze quantitatively, problem\-solve, scope technical requirements and prioritize the most important products to launch.
* Must be able and willing to think and act strategically and tactically
* Experience building early stage products strongly preferred
**Compensation**
 In the spirit of pay transparency, we are excited to share that the starting base pay range for this position is $101,360\.00 \- $188,240\.00 Annually.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 Act with uncompromising integrity.
* Provide outstanding service and build trusted relationships.
* Drive innovation in our products and services and continually improve our processes.
* Work in partnership and support each other.
* Be personally accountable and deliver on commitments.
* Treat each other with respect and dignity.
**What's in it for you?**
* We value your well\-being: We provide over 21 comprehensive rewards, including medical coverage, virtual wellness classes, tuition reimbursement, 401(k) \+ employer match, adoption assistance, financial assistance, and much more.
* We value your time: From paid time off to company holidays, culture days, and comprehensive work\-life balance programs, we will ensure you have the flexibility you need to be your best.
* We value your development: Our award\-winning training and development programs empower our employees with ongoing learning opportunities to give you the building blocks to grow your career.
* We value your perspective: Our company culture reflects the diversity of our employees. We want you to be you and your voice to be heard.
* We value our communities: We offer paid time off for volunteerism and promote many company\-wide and local initiatives that benefit organizations you care about.
 Note: The benefits described apply to full\-time employees. Benefits for part\-time, contract, and intern roles may vary.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We are committed to fostering a respectful and inclusive workplace where all individuals are treated fairly and evaluated based on their qualifications, experience, and merit. We comply with all applicable federal, state, and local laws prohibiting discrimination in employment.</t>
        </is>
      </c>
    </row>
    <row r="151">
      <c r="A151" t="inlineStr">
        <is>
          <t>li-4368277270</t>
        </is>
      </c>
      <c r="B151" t="inlineStr">
        <is>
          <t>Principal Product Manager, Camera Platform &amp; Services</t>
        </is>
      </c>
      <c r="C151" t="inlineStr">
        <is>
          <t>SimpliSafe</t>
        </is>
      </c>
      <c r="D151" t="inlineStr">
        <is>
          <t>linkedin</t>
        </is>
      </c>
      <c r="E151">
        <f>HYPERLINK("https://www.linkedin.com/jobs/view/4368277270", "https://www.linkedin.com/jobs/view/4368277270")</f>
        <v/>
      </c>
      <c r="F151">
        <f>HYPERLINK("https://grnh.se/yjd0st631us?gh_src=db88fc841us&amp;urlHash=Zpy-", "https://grnh.se/yjd0st631us?gh_src=db88fc841us&amp;urlHash=Zpy-")</f>
        <v/>
      </c>
      <c r="G151" t="inlineStr">
        <is>
          <t>Boston, MA</t>
        </is>
      </c>
      <c r="H151" t="inlineStr"/>
      <c r="I151" t="inlineStr">
        <is>
          <t>**About SimpliSafe**
 We're a high\-tech home security company that's passionate about protecting the life you've built and our mission of keeping Every Home Secure. And we've created a culture here that cares just as deeply about the career you're building. Ours is a no ego culture of collaboration and innovation where those seeking their next challenge can find big opportunities and make a huge impact on the lives of all those who we protect. We don't just want you to work here. We want you to grow and thrive here.
 We're embracing a hybrid work model that enables our teams to split their time between office and home. Hybrid for us means we expect our teams to come together in our state\-of\-the\-art office on two core days, typically Tuesday, Wednesday, or Thursday – working together in person and choosing where they work for the remainder of the week. We all benefit from flexibility and get to use the best of both worlds to get our work done.
**Why are we hiring?**
 SimpliSafe is continuing to expand the capabilities of our connected security platform to support a growing ecosystem of devices, services, and customer experiences. We're looking for strong product managers to define and evolve the foundational platform capabilities that enable reliable, scalable, and intuitive end\-to\-end customer experiences.
 We are hiring a
 **Principal Product Manager, Camera Platform \&amp; Services** 
 to own the platform capabilities that power our camera portfolio. This role defines and drives the roadmap across camera hardware enablement, firmware and OTA systems, and video and media pipelines–with a focus on on\-device intelligence–to deliver camera experiences that are reliable, performant, and scale as customer needs evolve.
**About the Role**
 SimpliSafe cameras deliver customer experiences powered by end\-to\-end platforms spanning hardware, firmware, video services, and on\-device intelligence. Delivering consistent, high\-quality camera experiences in real\-world environments requires tight orchestration across these layers.
 As a Principal Product Manager for Camera Platform \&amp; Services, you will define the strategy and roadmap for the platform capabilities that power SimpliSafe's camera portfolio. You will own the core systems that enable consistent device behavior, secure and scalable video processing and delivery, and reliable on\-device intelligence across products.
 In this role, you will make platform decisions that balance reliability, performance, and long\-term flexibility that enable partner teams to build differentiated camera experiences on a stable, scalable foundation.
**What You'll Do**
**Own the Camera Platform Strategy**
* Own the roadmap and long\-term platform strategy across camera hardware, firmware and OTA systems, video and media services, and on\-device intelligence.
* Establish north\-star outcomes that anchor camera platform decisions around experience quality, reliability, performance, and customer trust.
**Define Device \&amp; Video Platform Standards**
* Establish durable platform requirements that set consistent expectations across the camera fleet.
* Define the vision and success criteria for video experiences to ensure predictable, high\-quality outcomes across camera products and use cases.
* Partner with Hardware, Firmware, and leadership to ensure video and media platform decisions (including on\-device versus cloud dependencies) align with long\-term platform goals, reduce complexity for feature teams, and enable safe system evolution.
**Lead Camera Platform Health \&amp; Evaluation**
* Define and own camera platform health metrics and success criteria, including reliability, performance, and experience quality, that reflect real\-world customer usage.
* Partner with engineering and data teams to ensure platform health signals can be effectively monitored and interpreted to rapidly detect and address issues.
* Ensure QA, rollout, and evaluation practices support safe platform evolution and predictable customer outcomes.
**Lead Cross\-Stack Execution**
* Partner closely with Firmware, Video/Media, Backend, and Edge/ML engineering teams to shape priorities and drive platform improvements.
* Define rollout strategies, compatibility requirements, and safety gates across device generations and firmware versions.
* Own end\-to\-end system behaviour across firmware, backend, and downstream experiences to ensure cohesive customer\-facing experiences.
**Enable Scalable Camera Capabilities**
* Influence platform\-level decisions about where functionality lives (on\-device vs. backend) to balance cost, latency, reliability, and experience quality.
* Define the platform capabilities and requirements, including intelligence\-driven capabilities, that enable new camera features to be delivered consistently across products.
* Ensure platform investments compound over time by advocating for reusable foundations rather than fragmented solutions.
**What You Bring**
* 8\+ years of product management experience working on camera systems, video platforms, embedded devices, or other platform\-oriented products.
* Strong systems\-level understanding of hardware, firmware, and video pipelines preferred.
* Experience defining platform capabilities and standards that enable multiple product and engineering teams to build consistently on shared infrastructure.
* Comfort partnering closely with ML and data teams on performance, latency, and deployment tradeoffs (no need to have trained your own models).
* Proven ability to align deeply technical teams around clear priorities and shared, measurable outcomes.
* Clear communicator who can bridge executive intent, engineering reality, and customer experience.
* Bonus experience with OTA platforms and on\-device or cloud\-based intelligence.
**Why This Role Matters**
 This role determines how effectively SimpliSafe's camera platform scales as capabilities and expectations grow. By owning the camera, video, and on\-device intelligence foundations, you enable faster innovation, higher reliability, and consistent customer experiences — while keeping cost, operational complexity, and system risk in check.
 If you want to build the platform that every SimpliSafe camera experience depends on — and ensure intelligence works reliably from device to cloud to customer — this role sits right at the center of it all.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$145,500 to $213,400 .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 
*.*</t>
        </is>
      </c>
    </row>
    <row r="152">
      <c r="A152" t="inlineStr">
        <is>
          <t>li-4358362458</t>
        </is>
      </c>
      <c r="B152" t="inlineStr">
        <is>
          <t>Product Manager, Data &amp; Analytics</t>
        </is>
      </c>
      <c r="C152" t="inlineStr">
        <is>
          <t>NBCUniversal</t>
        </is>
      </c>
      <c r="D152" t="inlineStr">
        <is>
          <t>linkedin</t>
        </is>
      </c>
      <c r="E152">
        <f>HYPERLINK("https://www.linkedin.com/jobs/view/4358362458", "https://www.linkedin.com/jobs/view/4358362458")</f>
        <v/>
      </c>
      <c r="F152" t="inlineStr"/>
      <c r="G152" t="inlineStr">
        <is>
          <t>Miami, FL</t>
        </is>
      </c>
      <c r="H152" t="inlineStr"/>
      <c r="I152"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The
 **Product Manager – Data \&amp; Analytics** 
 will own the product\-side data lifecycle for Universal\+—from event taxonomy and instrumentation to validated, decision\-grade datasets. The Product Manager – Data \&amp; Analytics will also ensure privacy alignment, data governance, and trusted, consistent, verifiable data across all sources, including partner integrations, analytics, attribution, and customer engagement platforms. This role will also manage gate releases on data readiness and uphold data standards across the product.
**Responsibilities:**
* **Data Contracts \&amp; Instrumentation:** 
 Define and maintain event taxonomy, tagging plans, and data contracts across platforms (mobile/CTV/web), partner SDKs/APIs, attribution, and engagement platforms; version and document schemas.
* **Data Quality Ownership:** 
 Establish data SLOs (Service Level Objectives) for coverage, accuracy, and freshness; run pre\-/post\-release instrumentation QA, reconciliations (e.g., entitlements vs. events), anomaly alerts, and a data defect log with SLAs (Service Level Agreements) to resolution.
* **QoE Monitoring:** 
 Define and monitor Quality of Experience (QoE) telemetry and thresholds (e.g., playback errors, start\-up time, buffering, ad experience) and coordinate remediation with the Product Owner, QA, and partners/vendors.
* **Integration Stewardship:** 
 Partner with internal teams, vendors, and distribution partners to ensure implementations meet data requirements (identity/consent propagation, campaign/offer attribution, metadata mapping).
* **Attribution \&amp; Engagement Flows:** 
 Own product requirements for attribution and lifecycle messaging data flows (link routing, campaign parameters, event pass\-through, audience syncs) to ensure reliable downstream analytics.
* **Delivery \&amp; Governance:** 
 Run the data workstream plan and RAID (Risks, Assumptions, Issues, Dependencies); gate launches on data readiness (Definition of Ready/Done for tracking). Translate privacy policies (consent, retention/deletion, IRR—Individual Rights Requests) into technical requirements and tests.
* **Data Handoffs:** 
 Publish validated datasets, lineage, and documentation; align on KPI definitions and data availability/freshness expectations; support ad hoc investigations into data integrity.
* **Vendors \&amp; Tooling:** 
 Lead evaluations/PoCs for analytics, tag management, attribution, and observability/monitoring tools; manage integration roadmaps and deprecation/change control with partners and vendors.
* **Data Compliance:** 
 Ensure adherence to company data management standards, data deletion requirements, and data retention policies.
**Qualifications**
**Basic Qualifications:**
* 5\+ years in product analytics, data product/program management, or technical program management for consumer apps/streaming.
* Hands\-on experience defining tracking plans and validating telemetry via SDKs/tag managers; familiarity with multi\-platform (mobile, CTV, web) data capture.
* Practical knowledge of analytics, attribution, customer engagement, tag management, data warehouse/ETL, and BI/visualization tooling.
* Proven delivery execution (plans, RAID, release gating) and excellent written/spoken communication with technical and non\-technical stakeholders.
**Desired Characteristics:**
* Working SQL familiarity; comfort collaborating on schemas, pipelines, and data checks with engineers/vendors.
* Experience with experimentation (A/B), funnel/retention analysis, and audience segmentation; privacy\-by\-design mindset.
* Organized, detail\-oriented, effective in fast\-paced, multi\-partner environments.
* Bilingual English/Spanish preferred.
**Additional** 
**Requirements:**
* Interested candidate must submit a resume/CV through www.nbcunicareers.com to be considered.
* Must be 18 years or older
* Must be willing to submit to a background investigation
* Must have unrestricted work authorization to work in the United States
* Must be covered by Solutions, NBCU’s Alternative Dispute Resolution Program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153">
      <c r="A153" t="inlineStr">
        <is>
          <t>li-4368505016</t>
        </is>
      </c>
      <c r="B153" t="inlineStr">
        <is>
          <t>Product Manager</t>
        </is>
      </c>
      <c r="C153" t="inlineStr">
        <is>
          <t>CAI</t>
        </is>
      </c>
      <c r="D153" t="inlineStr">
        <is>
          <t>linkedin</t>
        </is>
      </c>
      <c r="E153">
        <f>HYPERLINK("https://www.linkedin.com/jobs/view/4368505016", "https://www.linkedin.com/jobs/view/4368505016")</f>
        <v/>
      </c>
      <c r="F153" t="inlineStr"/>
      <c r="G153" t="inlineStr">
        <is>
          <t>Pittsburgh, PA</t>
        </is>
      </c>
      <c r="H153" t="inlineStr"/>
      <c r="I153" t="inlineStr">
        <is>
          <t>**Req Number**
 R7085
**Employment Type**
 Full time
**Worksite Flexibility**
 Onsite
**Who We Are**
 CAI is a global technology services firm with over 8,500 associates worldwide and a yearly revenue of $1 billion\+. We have over 40 years of excellence in uniting talent and technology to power the possible for our clients, colleagues, and communities. As a privately held company, we have the freedom and focus to do what is right—whatever it takes. Our tailor\-made solutions create lasting results across the public and commercial sectors, and we are trailblazers in bringing neurodiversity to the enterprise.
**Job Summary**
 We are looking for a motivated Product Manager ready to take us to the next level! If you have 5\+ years of experience in product management and RFP development, and are looking for your next career move, apply now.
**Job Description**
 We are looking for a
 **Product Manager** 
 to lead high\-impact initiatives that strengthen how our partners deliver public services. This position will be
 **full\-time** 
 and
 **onsite** 
 .
**What You’ll Do**
* Partner with internal and external stakeholders to identify pain points, define problems, and align on goals for high\-priority projects
* Lead product discovery, scoping, and delivery—translating complex processes into intuitive, user\-centered solutions
* Manage multiple concurrent projects that may vary in size, scope, and level of technical maturity
* Guide cross\-functional teams (engineering, UX, data, operations) to deliver and refine working solutions
* Support or lead vendor selection and procurement processes, including developing requirements, evaluating proposals, and managing implementation
* Use rapid prototyping, workflow design, or low\-tech pilots to validate concepts before scaling
* Communicate goals, decisions, and progress clearly to both technical and nontechnical audiences
**Required**
**What You'll Need**
* 5\+ years of product management experience, including full lifecycle delivery from discovery through launch
* Strong facilitation and communication skills—able to translate between the needs of program staff, community partners, and technical teams
* Experience leading projects that involve external vendors, from RFP development through implementation
* Comfort navigating ambiguous, cross\-sector problems and balancing strategic vision with practical implementation
* Skilled at identifying the smallest viable product or process change that can deliver learning or impact
**Preferred**
* Experience designing or implementing technology\-enabled public or nonprofit programs
* Commitment to improving how government and community systems work for the people they serve
**Physical Demands**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$110,000 \- $120,000 per year
 The pay range for this position is listed above. Exact compensation may vary based on several factors, including location, experience, and education. Benefit packages include medical, dental, and vision insurance, as well as 401k retirement account access. Employees in this role receive paid time off and may also be entitled to paid sick leave and/or other paid time off as provided by applicable law.</t>
        </is>
      </c>
    </row>
    <row r="154">
      <c r="A154" t="inlineStr">
        <is>
          <t>li-4368822738</t>
        </is>
      </c>
      <c r="B154" t="inlineStr">
        <is>
          <t>Product Owner - Digital Products / MS Dynamics - Remote</t>
        </is>
      </c>
      <c r="C154" t="inlineStr">
        <is>
          <t>Pratt &amp; Whitney</t>
        </is>
      </c>
      <c r="D154" t="inlineStr">
        <is>
          <t>linkedin</t>
        </is>
      </c>
      <c r="E154">
        <f>HYPERLINK("https://www.linkedin.com/jobs/view/4368822738", "https://www.linkedin.com/jobs/view/4368822738")</f>
        <v/>
      </c>
      <c r="F154" t="inlineStr"/>
      <c r="G154" t="inlineStr">
        <is>
          <t>East Hartford, CT</t>
        </is>
      </c>
      <c r="H154" t="inlineStr"/>
      <c r="I154" t="inlineStr">
        <is>
          <t>**Date Posted:**
 2026\-02\-03
**Country:**
 United States of America
**Location:**
 US\-CT\-EAST HARTFORD\-OBG \~ 400 Main St \~ BLDG OBG
**Position Role Type:**
 Remote
**U.S.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
**Security Clearance Type:**
 None/Not Required
**Security Clearance Status:**
 Not Required
 Pratt \&amp; Whitney is working to once again transform the future of flight—designing, building and servicing engines unlike any the world has ever seen. And because transformation begins from within, we’re seeking the people to drive it.
 **So, calling all curious.**
 Come ready to explore and you’ll find a place where your talent takes flight—beyond the borders of title, a country or your comfort zone. Bring your passion and commitment and we’ll welcome you into a tight\-knit team that takes our mission personally. Channel your drive to make a difference into shaping an organization and an industry that’s evolving fast to the future.
 At Pratt \&amp; Whitney, the difference you make is on display every day. Just look up.
 **Are you ready to go beyond?**
**What You Will Do:**
* As a Product Owner with the Customer Support Operations team (CS Ops), you will play a pivotal role in supporting internal customers, driving product improvements and advancing our MS Dynamics portfolio of applications. You will define the strategic roadmap for on or several products withing the MS Dynamics platform. Your work will contribute to enhancing the efficiency and effectiveness of our internal users and business teams.
* Own the product vision, strategy, and roadmap for Microsoft Dynamics applications, aligning with business objectives.
* Collaborate with stakeholders to gather, prioritize, and refine requirements into actionable user stories.
* Partner with development teams to ensure timely, high\-quality delivery of features and enhancements.
* Act as the primary liaison between business units, technical teams, and vendors.
* Monitor product performance, user adoption, and feedback to drive continuous improvement.
* Define data and analytics requirements and identify opportunities for the business to use this data to create value and enhance decision making.
* Collaborate with the D\&amp;A team to develop Power BI dashboards.
* Drive iterative improvements using Scrum and Agile methodologies.
* Maintain Agile tools including Jira, Confluence to monitor execution progress and support Program tracking. Analyze data to improve performance, communication and program performance.
* Coordinate cross\-team dependencies and ensure alignment with system\-level activities.
* Support/lead Agile events such as retro's, demos, stand\-ups and planning sessions.
* Define impact of change and develop change management plans in collaboration with the business and CM lead.
* Stay informed on Microsoft Dynamics updates, trends, and best practices to maximize platform value.
**What You Will Learn:**
 This role offers opportunities for mentorship and professional growth in Agile program execution and leadership. Candidates may have the opportunity to own multiple products and interact with all levels, including Sr. management.
**You Will Gain:**
* Hands\-on experience in Agile at scale within a high\-visibility, commercial environment
* Exposure to leading edge technology and providers (ie. Microsoft)
* A collaborative culture that emphasizes delivering value, continuous improvement and personal development
**Qualifications You Must Have:**
* Bachelor’s degree in Business, Information Systems, or related field and 8 years experience to include Product Ownership of a digital application; Or an Advanced Degree and 5 years of experience as listed
* Strong understanding of Agile/Scrum methodologies
* Familiarity with tools such as Jira and Confluence for tracking project progress and managing backlog
* Ability to lead sessions that gather requirements from stakeholders and end users
* Ability to write effective user stories for developers
* Proficiency in analyzing user data, market research and performance metrics for making informed decisions
**Qualifications We Prefer:**
* Ability to work cross functionally across a team
* A collaborative and growth\-oriented mindset with a self\-starter and innovative approach
* Strong communication will the ability to present status updates to stakeholders and SR leaders
* SAFe or Agile certifications (SA, SSM, RTE, or equivalent)
* Familiarity with Agile roles \- Scrum Master, QA, Developers, etc.
* Experience with MS Dynamics and/or Power BI
* Coding skills (SQL, DAX)
* Knowledge of UI/UX design principles and tools like Figma
**Learn More \&amp; Apply Now::**
**What is my role type?** 
 In addition to transforming the future of flight, we are also transforming how and where we work. We’ve introduced role types to help you understand how you will operate in our blended work environment.
**This role is:**
**Remote:** 
 Employees who are working in Remote roles will work primarily offsite (from home). Candidates will learn more about role type and current site status throughout the recruiting process. For onsite and hybrid roles, commuting to and from the assigned site is the employee’s personal responsibility.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55">
      <c r="A155" t="inlineStr">
        <is>
          <t>li-4365350984</t>
        </is>
      </c>
      <c r="B155" t="inlineStr">
        <is>
          <t>Product Manager - Public API</t>
        </is>
      </c>
      <c r="C155" t="inlineStr">
        <is>
          <t>State Street</t>
        </is>
      </c>
      <c r="D155" t="inlineStr">
        <is>
          <t>linkedin</t>
        </is>
      </c>
      <c r="E155">
        <f>HYPERLINK("https://www.linkedin.com/jobs/view/4365350984", "https://www.linkedin.com/jobs/view/4365350984")</f>
        <v/>
      </c>
      <c r="F155" t="inlineStr"/>
      <c r="G155" t="inlineStr">
        <is>
          <t>Burlington, MA</t>
        </is>
      </c>
      <c r="H155" t="inlineStr"/>
      <c r="I155" t="inlineStr">
        <is>
          <t>****Who We Are Looking For****
 We are seeking a Product Manager to lead our integration technology products for Charles River Development (“CRD”), focused on ETL and Public API product/strategies. The ideal candidate possesses exceptional communication skills, can translate complex technical concepts for both technical and non\-technical audiences, and excels at collaborating with cross\-functional teams. They are tech\-savvy, highly organized, and have a proven track record of building and executing detailed roadmaps in fast\-paced environments and establishing a suite of standard data integration protocols on the platform. This role will work side\-by\-side with Engineering Team Leads, Architecture, Relationship Managers, other Product owners and Clients to oversee the build, execution, and delivery of initiatives that enhance the Charles River integration platform.
****What You Will Be Responsible For****
* Help establish strategic roadmap for public APIs and ETL integrations for consistent data integration methodologies at platform level
* Drive innovation and expansion of CRD’s Public API offerings, ensuring solutions align with market trends and client needs.
* Expand and innovate CRD ETL capabilities and tools for various application technology backends
* Gather and prioritize customer, market and internal requirement
* Produce and oversee high quality APIs and ETL feeds as well as data domain documentation
* Collaborate with engineering, architecture, and client\-facing teams to define detailed product specifications and guide delivery efforts.
* Define product specifications and lead engineering teams
* Analyze competitor offerings and trends
* Represent the Platform Product team across the organization and externally with clients and vendors
* Ensure API and ETL performance, scalability, and security best practices are embedded throughout the API lifecycle.
* 
* Proven experience in leading product management, business analysis, and software engineering teams to deliver high\-impact solutions.
* Hands on experience in building API and/or ETL products as well as data modeling
* Strong technical background with experience in cloud platforms (AWS, Azure, GCP) and microservices architecture, particularly in designing and scaling API services.
* Strong technical background with experience in various ETL technologies and vendors
* Deep understanding of API standards such as Open API and REST, as well as experience with webhooks, ETL processes, and real\-time data integration.
* Experience with API management platforms (e.g., Azure API, Kong) and API security best practices, including OAuth, rate limiting, and encryption.
* Experience integrating APIs and ETL tools into CI/CD pipelines, with an understanding of DevOps tools and principles (e.g., Jenkins, GitLab, Docker, Kubernetes).
* Expertise in monitoring, scaling, and optimizing API and ETL performance, including latency reduction and throughput optimization.
* Experience in managing data integration, including knowledge of data formats (JSON, XML) and data consistency models in distributed systems.
* Proven experience working within Agile development frameworks (e.g., Scrum, Kanban), leading sprints, and using tools like Jira or Trello.
* Familiarity with API analytics and monitoring tools (e.g., Postman, Swagger, Datadog) to track performance, usage, and error rates.
* Experience in user\-centric API design and improving developer experience, including creating well\-documented and user\-friendly API portals.
* Experience in building exception management functionality for ETL tools
* Proven leadership in cross\-functional team settings, fostering collaboration between engineering, product, and external stakeholders.
* Knowledge of regulatory requirements (e.g., GDPR, CCPA, PSD2\) and compliance considerations for API and ETL development in financial services.
* Experience managing via influence
* Experience in Financial Services is preferred
* Minimum 5\+ years managing software development projects
 The position is based in Burlington, MA.
**Why this role is important to us**
 You will join the Charles River Investment Management Solution (CRIMS) and State Street Alpha team, playing a key role in building a cutting\-edge, end\-to\-end investment management platform that serves the global financial community. Your contributions will directly shape the future of our public API and ETL strategies, enabling seamless integration across front, middle, and back\-office systems.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 We make all efforts to create a great work environment. Our benefits packages are competitive and comprehensive. Details vary in location, but you may expect generous medical care, insurance and savings plans among other perks. You’ll have access to flexible Work Program to help you match your needs. And our wealth of development programs and educational support will help you reach your full potential.
**Inclusion, Diversity and Social Responsibility.**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Discover more at StateStreet.com/careers
****Salary Range:****
 $115,000 \- $190,000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R\-773163</t>
        </is>
      </c>
    </row>
    <row r="156">
      <c r="A156" t="inlineStr">
        <is>
          <t>li-4368245220</t>
        </is>
      </c>
      <c r="B156" t="inlineStr">
        <is>
          <t>Senior Product Manager - Payments</t>
        </is>
      </c>
      <c r="C156" t="inlineStr">
        <is>
          <t>LTIMindtree</t>
        </is>
      </c>
      <c r="D156" t="inlineStr">
        <is>
          <t>linkedin</t>
        </is>
      </c>
      <c r="E156">
        <f>HYPERLINK("https://www.linkedin.com/jobs/view/4368245220", "https://www.linkedin.com/jobs/view/4368245220")</f>
        <v/>
      </c>
      <c r="F156">
        <f>HYPERLINK("https://ltim.ripplehire.com/s/cLRUa&amp;urlHash=Wh-T", "https://ltim.ripplehire.com/s/cLRUa&amp;urlHash=Wh-T")</f>
        <v/>
      </c>
      <c r="G156" t="inlineStr">
        <is>
          <t>Berkeley Heights, NJ</t>
        </is>
      </c>
      <c r="H156" t="inlineStr"/>
      <c r="I156"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Senior Product Manager Payments
**Work Location** 
 Toronto, Ontario, Canada
**Job Description:** 
 We are looking for a Senior Product Manager with experience working in a fast paced client focused environment You will be working in a cross functional team of designers developers and QA to build a worldclass platform payments product focused on the B2B2C space We welcome candidates with proven experience building established fintech products specifically in payment facilitation acquiring or full stack payment solutions for platforms marketplaces
 Responsibilities
* Work with various stakeholders including Product Legal Marketing Customer Support to understand and execute on the product roadmap
* Work with external partners to integrate third party services into the core platform
* Design and build platform payment solutions that create great business and cardholder experiences and solve user pains
* Gather requirements and create specifications for the engineering team
* Own the product roadmap and define and report on KPIs
* Own the product backlog and prioritize work in sprints
* Write user stories and groom them for sprint planning
* Remove roadblocks for the engineering team at a business level to help with day\-to\-day delivery
* Work with customer support to identify priority and resolve production issues
* Document functional nonfunctional requirements and release notes for internal external stakeholders
* Look at product analytics and user feedback to iterate upon existing features and to inform key product decisions
* Perform user research to understand cardholder behavior and pains
* Hold product demos for internal external stakeholders
 Qualifications and Skills
* 8\-10 years of work experience in product management
* Ability to dive into technical details as required
* Proven experience as a product manager working on mobile and web applications building and managing acquiring payment facilitation or full stack payment solutions for platforms
* Experience building in payments or at established fintech’s
* Strong written and verbal communication and presentation skills with the ability to communicate with technical and nontechnical audiences
* Ability to execute high value projects while dealing with competing priorities
* Ability to think strategically and solve short term problems while continuing to focus on long term needs of the business
* Technology and design focused individual with a strong understanding of agile development processes
* Degree in engineering computer science or equivalent and product management experience
 Benefits/perks listed below may vary depending on the nature of your employment with LTIMindtree Canada (“LTIMC”):
**Benefits And Perks:** 
* Comprehensive Medical Plan Covering Medical, Dental, Vision
* Health Care Spending Account
* Short Term and Long\-Term Disability Coverage
* Life Insurance
* Annual vacation and other Paid Leaves
* Maternity Leave Top Up Pay
 The range displayed on each job posting reflects the total compensation range for the position across all Canada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**Accessibility and Reasonable Accommodation** 
 : LTIMindtree has an accommodation process in place and provides accommodations for applicants with disabilities. If you require a specific accommodation because of a disability or a medical need, please write to us at so that arrangements can be made for the appropriate accommodations to be in place.</t>
        </is>
      </c>
    </row>
    <row r="157">
      <c r="A157" t="inlineStr">
        <is>
          <t>li-4361351611</t>
        </is>
      </c>
      <c r="B157" t="inlineStr">
        <is>
          <t>Sr. Staff Technical Program Manager, Product Services Marketplaces</t>
        </is>
      </c>
      <c r="C157" t="inlineStr">
        <is>
          <t>LinkedIn</t>
        </is>
      </c>
      <c r="D157" t="inlineStr">
        <is>
          <t>linkedin</t>
        </is>
      </c>
      <c r="E157">
        <f>HYPERLINK("https://www.linkedin.com/jobs/view/4361351611", "https://www.linkedin.com/jobs/view/4361351611")</f>
        <v/>
      </c>
      <c r="F157" t="inlineStr"/>
      <c r="G157" t="inlineStr">
        <is>
          <t>Mountain View, CA</t>
        </is>
      </c>
      <c r="H157" t="inlineStr"/>
      <c r="I15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Our Products and Services Marketplace (PSM) vision is to become the definitive B2B commerce platform for all organizations worldwide, empowering marketers, sellers, buyers, users and customers to drive better outcomes for themselves and their businesses. The PSM strategy recognizes that we will continue to deliver value to our LMS and LSS businesses, and that the lion’s share of our investment will be going to directly drive growth in these two areas. In addition, we have identified two focus areas: Marketing and Sales solutions for our customers. We are looking for a Senior Staff Technical Program Manager (TPM) to join our team to drive R\&amp;D initiatives across LMS, LSS and partner orgs.
 Successful candidates will have a solid track record of program and project management and will have demonstrated excellent leadership, along with superior organizational and communication skills in leading teams and programs to deliver successful outcomes. In addition, the right candidate will possess superior B2B business strategy sense, product intuition, and technical understanding to fully integrate with product development teams and contribute at any level of depth. This position will report into technical program management leadership within LinkedIn's engineering team.
 Responsibilities:
* Drive program and portfolio planning, engineering operations, and strategic execution for LinkedIn’s Products and Services Marketplaces (PSM).
* Lead end\-to\-end technical programs, navigating from conception and planning to delivery and measurable business impact.
* Foster collaboration across cross\-functional technical teams to achieve objectives in fast\-paced, complex environments.
* Build strong partnerships with engineering, product management, and VP\-level leadership to ensure alignment with PSM's broader business goals.
* Define and manage a unified program roadmap, aligning team priorities with organizational strategy.
* Take ownership of driving holistic decision\-making by analyzing risks, anticipating challenges, and implementing effective mitigation strategies.
* Enhance organizational processes and agile methodologies while championing continuous improvement and innovation across teams.
* Mentor and coach teams in technical program management, fostering a culture of mastery, autonomy, and excellence.
* Advocate for technical vision and guide teams through ambiguous challenges, integrating creative problem\-solving into program delivery.
* Act as a bridge between diverse teams, empowering stakeholders to collaborate and drive outcomes that align with LinkedIn’s vision of economic opportunity for the global workforce.
**Qualifications**
 Basic Qualifications:
* B.S./B.A. Engineering, Computer Science or related technical field, or equivalent practical experience
* 8\+ years professional experience in an engineering or technical team, of which at least 6\+ years are managing technical programs/projects
* 5\+ years of experience in Agile Methods through multiple teams (Scrum, Kanban)
 Preferred Qualifications:
* Experience with large Consumer Products and Enterprise initiatives
* Experience in driving Ads domain programs and initiatives
* Experience establishing organization\-wide processes and communication framework for R\&amp;D initiatives
* 2\+ years of hands\-on software development experience
* Experience in a technical project management capacity to drive large technical initiatives including all aspects of process development and execution.
* Knowledge of complex technical ecosystems and technical depth
* Experience managing multiple major and concurrent projects/programs executed through multiple geographic locations
* Experience working with software engineering leadership, technical teams and individual contributors
* Ability to quickly adapt to faster pace, shifting priorities, demands, and timelines through analytical and problem\-solving capabilities
 Suggested Skills
* Cross Functional Collaboration
* Agile Methodologies
* Program Management
**Additional Information**
 Linkedin is committed to fair and equitable compensation practices.
 The pay range for this role is $166,000 to $271,000\.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8">
      <c r="A158" t="inlineStr">
        <is>
          <t>li-4368400414</t>
        </is>
      </c>
      <c r="B158" t="inlineStr">
        <is>
          <t>Technical Product Manager - Kubernetes and Containers</t>
        </is>
      </c>
      <c r="C158" t="inlineStr">
        <is>
          <t>Hewlett Packard Enterprise</t>
        </is>
      </c>
      <c r="D158" t="inlineStr">
        <is>
          <t>linkedin</t>
        </is>
      </c>
      <c r="E158">
        <f>HYPERLINK("https://www.linkedin.com/jobs/view/4368400414", "https://www.linkedin.com/jobs/view/4368400414")</f>
        <v/>
      </c>
      <c r="F158" t="inlineStr"/>
      <c r="G158" t="inlineStr"/>
      <c r="H158" t="inlineStr"/>
      <c r="I158"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Leads and drives the end to end strategy and operational product roadmap for one or more products.
* Defines the value proposition, target customer segments, and business case to bring one or more innovative and disruptive products to market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Advises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8\+ years of work experience in related field.
* Technical understanding and knowledge of the relevant industry.
**Knowledge And Skills**
* Expert team skills and ability to cross functionally drive/influence work through others, ability to mentor and lead teams to achieve results for complex, ambiguous projects.
* Expert skills in cost efficient solution building, financial performance metric creation and analysis.
* Expert business acumen and knowledge of root cause analysis and problem detection.
* Technical understanding and knowledge of the relevant industry and ability to provide product specific technical training to the team.
 \#unitedstates \#hybrid\-LI \#kubernetes \#k8's \#containers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
**Job**
 Engineering
**Job Level**
 TCP\_04
 "The expected salary/wage range for this position is provided below. Actual offer may vary from this range based upon geographic location, work experience, education/training, and/or skill level.
 – United States of America: Annual Salary USD 126,500 \- 240,500 in Colorado
 The listed salary range reflects base salary. Variable incentives may also be offered."
 Information about employee benefits offered in the US can be found at https://myhperewards.com/main/new\-hire\-enrollment.html
 The estimated job application period closure is April 27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59">
      <c r="A159" t="inlineStr">
        <is>
          <t>li-4368269842</t>
        </is>
      </c>
      <c r="B159" t="inlineStr">
        <is>
          <t>Product Owner</t>
        </is>
      </c>
      <c r="C159" t="inlineStr">
        <is>
          <t>Jobs via Dice</t>
        </is>
      </c>
      <c r="D159" t="inlineStr">
        <is>
          <t>linkedin</t>
        </is>
      </c>
      <c r="E159">
        <f>HYPERLINK("https://www.linkedin.com/jobs/view/4368269842", "https://www.linkedin.com/jobs/view/4368269842")</f>
        <v/>
      </c>
      <c r="F159" t="inlineStr"/>
      <c r="G159" t="inlineStr">
        <is>
          <t>Charlotte, NC</t>
        </is>
      </c>
      <c r="H159" t="inlineStr"/>
      <c r="I159" t="inlineStr">
        <is>
          <t>Dice is the leading career destination for tech experts at every stage of their careers. Our client, Innova Solutions, Inc, is seeking the following. Apply via Dice today!
 A client of Innova Solutions is immediately hiring for a
 **Product Owner**
 Position type: Full time, Contract
 Duration: 12\+ months
 Location: 3 days onsite in a week in Charlotte, NC
 As a Product Owner, you will:
**Required Skills \&amp; Qualifications:**
 The Product Owner will support Treasury data management as part of the Strategy, Analysis, and Design team. This role owns the program backlog, translates complex treasury business needs into prioritized features, and works closely with design, architecture, and agile delivery teams to ensure solutions align with customer needs, PI objectives, and enterprise data standards.
**Must\-Have Skills**
* 5\+ years of hands\-on Treasury domain expertise (DDA, Liquidity, Payments, Receivables, Billing, Trade Finance).
* Strong understanding of the Banking and Treasury value chain.
* Proven experience supporting technical delivery in Agile / SAFe environments.
* Deep knowledge of Master Data Management principles and applications.
**Required Skills**
* Business analysis: requirements elicitation, process flows, and system/technical documentation.
* Backlog ownership and prioritization of epics, features, and PI objectives.
* Ability to bridge business and technology, clearly articulating problems and solutions.
* Stakeholder influence and communication across large, complex organizations.
* Reviewing and validating technical designs for alignment with business capabilities.
 Qualified candidates should
 **APPLY NOW** 
 for immediate consideration!
**This position is only open to applicants who can be engaged on a W\-2 basis.**
 Please hit APPLY to provide the required information, and we will be back in touch as soon as possible.
 We are currently interviewing to fill this and other similar positions. If this role is not a fit for you, we do offer a referral bonus program for referrals that we successfully place with our clients, subject to program guidelines.
 **ASK ME HOW.**
 Thank you!
 Pragya Tiwari
 (\+1\)
 PAY RANGE AND BENEFITS:
**Pay Range\*:** 
 $56 \- $61 per hour
* 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 Named One of America’s Best Employers for New Grads by Forbes (2024
* Named One of the Best Companies to Work for by U.S. News \&amp; World Report (Private Companies List, 2024\-2025\)
* One of the Largest IT Staffing Firms in the US – Ranked \#3 by Staffing Industry Analysts (SIA, 2024\)
* One of the Largest Staffing Firms in the US – Ranked \#13 by Staffing Industry Analysts (SIA, 2024; includes Innova Solutions, Volt, \&amp; HireGenics)
* Named One of the Top Ten Private Companies in Atlanta by the Atlanta Business Chronicle (2023\)
* One of the Largest Certified Minority Business Enterprises (MBEs) in the United States (NMSDC, 2024\)
* AWS Advanced Tier Services Partner with 100\+ certifications
 Website:
 Innova Solutions offers a referral bonus for qualified Ambassadors who refer eligible referrals. Submit referrals at and earn $250\-$1,000 per referral.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or .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laws. By applying for this job, you agree to receive calls, AI\-generated calls, text messages, or emails from Innova Solutions and its affiliates, and contracted partners. Frequency varies for text messages. Message and data rates may apply. Carriers are not liable for delayed or undelivered messages. You can reply STOP to cancel and HELP for help. You can access our privacy policy at Privacy Policy \- innovasolutions. Thank you.</t>
        </is>
      </c>
    </row>
    <row r="160">
      <c r="A160" t="inlineStr">
        <is>
          <t>li-4368290298</t>
        </is>
      </c>
      <c r="B160" t="inlineStr">
        <is>
          <t>Sr. Product Manager, Clinical Content</t>
        </is>
      </c>
      <c r="C160" t="inlineStr">
        <is>
          <t>NextGen Healthcare</t>
        </is>
      </c>
      <c r="D160" t="inlineStr">
        <is>
          <t>linkedin</t>
        </is>
      </c>
      <c r="E160">
        <f>HYPERLINK("https://www.linkedin.com/jobs/view/4368290298", "https://www.linkedin.com/jobs/view/4368290298")</f>
        <v/>
      </c>
      <c r="F160">
        <f>HYPERLINK("https://nextgen.wd5.myworkdayjobs.com/NextGen_Careers/job/Remote-GA/Sr-Product-Manager\u002d\u002dClinical-Content_R-101503&amp;urlHash=VfUB", "https://nextgen.wd5.myworkdayjobs.com/NextGen_Careers/job/Remote-GA/Sr-Product-Manager\u002d\u002dClinical-Content_R-101503&amp;urlHash=VfUB")</f>
        <v/>
      </c>
      <c r="G160" t="inlineStr"/>
      <c r="H160" t="inlineStr"/>
      <c r="I160" t="inlineStr">
        <is>
          <t>The
 **Sr. Product Manager, Clinical Content** 
 will lead the success of our healthcare ambulatory software product portfolio. This role involves driving the execution of complex product strategies and ensuring our solutions meet the evolving needs of outpatient care environments. The Sr. Product Manager, Clinical Content will have full ownership of the product roadmap for your solutions. This role will work closely with leadership to define long\-term goals, oversee the product lifecycle, and ensure alignment with company objectives for your solutions.
**Preferred experience in specialties such as Orthopedics, Therapy, Ophthalmology and other specialties will be considered an advantage** 
* Develop and drive the long\-term product roadmap for healthcare software solutions.
* Work closely with other product managers and cross\-functional teams to achieve product goals and deliver innovative solutions.
* Create and develop business cases for product initiatives
* Play a significant role in owning the entire product lifecycle from ideation to product sunset, ensuring alignment with strategic objectives and regulatory requirements in healthcare IT.
* Establish and maintain relationships with key stakeholders, including healthcare providers, industry experts, and partners.
* Oversee market analysis, user research, and competitive benchmarking to guide product development and positioning.
* Define and manage product roadmaps, ensuring alignment with business objectives and market demands.
* Drive key initiatives to enhance product performance, business outcomes, user satisfaction, and market share.
* Engage with leadership to provide product insights and influence strategic direction.
* Represent the company and product plans to internal and external stakeholders, including customers, partners, and industry forums.
* Be accountable and responsible for business objectives and results.
* Mentor junior product managers and champion the product management discipline and processes across the organization.
* Perform other duties that support the overall objective of the position.
**Education Required:** 
* Bachelor's degree in business, marketing, software engineering discipline, or a related field.
* Or, any combination of education and experience which would provide the required qualifications for the position.
**Experience Required:** 
* 10\+ years of direct healthcare industry experience and product knowledge.
* 10\+ years of experience in healthcare setting, preferably in practice management and in product management.
* 5\+ years of experience with enterprise customers.
* Experience in leading cross\-functional teams and managing multiple projects.
* Previous experience in a senior product management role with a focus on ambulatory care solutions or EHR systems is preferred.
**Knowledge, Skills \&amp; Abilities:** 
* Knowledge of: Deep understanding of the healthcare industry, including regulatory and compliance issues. Expertise in agile methodologies and product management best practices. Advanced knowledge of healthcare technology trends and innovations is preferred.
* Skill in: Strong strategic thinking and problem\-solving skills. Excellent communication, presentation, and leadership skills.
* Ability to: Proven ability to drive product roadmaps and achieve business outcomes.
 The company has reviewed this job description to ensure that essential functions and basic duties have been included. It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This document does not represent a contract of employment, and the company reserves the right to change this job description and/or assign tasks for the employee to perform, as the company may deem appropriate.
 NextGen Healthcare is an equal opportunity employer. We celebrate diversity and are committed to creating an inclusive environment for all employees.</t>
        </is>
      </c>
    </row>
    <row r="161">
      <c r="A161" t="inlineStr">
        <is>
          <t>li-4368265482</t>
        </is>
      </c>
      <c r="B161" t="inlineStr">
        <is>
          <t>Technical Product Owner- SAP FICO</t>
        </is>
      </c>
      <c r="C161" t="inlineStr">
        <is>
          <t>Schneider Electric</t>
        </is>
      </c>
      <c r="D161" t="inlineStr">
        <is>
          <t>linkedin</t>
        </is>
      </c>
      <c r="E161">
        <f>HYPERLINK("https://www.linkedin.com/jobs/view/4368265482", "https://www.linkedin.com/jobs/view/4368265482")</f>
        <v/>
      </c>
      <c r="F161" t="inlineStr"/>
      <c r="G161" t="inlineStr">
        <is>
          <t>Nashville, TN</t>
        </is>
      </c>
      <c r="H161" t="inlineStr"/>
      <c r="I161" t="inlineStr">
        <is>
          <t>For this U.S. based position, the expected compensation range is $139,200 \- $208,800 per year, which
 includes base pay and short\-term incentive.
 The compensation range for this full\-time position applies to candidates located within the United
 States. Our salary ranges are determined by reviewing roles of similar responsibility and level. Within
 the salary range, individual pay is determined by several factors including performance, knowledge, jobrelated skills, experience, and relevant education or training. Schneider Electric also offers a
 comprehensive benefits package to support our employees, inclusive of medical (with member reward
 points), dental, vision, and basic life insurance, Benefit Bucks (credits to apply towards your benefits)
 flexible work arrangements, paid family leaves, 401(k) \+ match, well\-being and recognition (including
 service anniversary) programs, 12 holidays per year, 15 days of paid time off per year (pro\-rated in the
 first year of employment based on start date), opportunity to purchase company stock (eligibility
 depends on start date), and military leave benefits.
 You must submit an online application to be considered for the position. The Company will accept
 applications on an ongoing basis until the position is filled.
 If you believe this job posting is not compliant with applicable state pay transparency laws in the U.S.,
 please notify the Company as soon as possible upon discovery by completing this form Job Posting
 Compliance Form.
 We’re looking for a senior SAP FICO functional lead to drive finance and controlling across the GSC landscape supporting the digital transformation within Schneider Electric’s North America Market (NAM). As a member of NAM Digital and team you’ll translate business requests into scalable enhancements, owning requirements, functional design, and SAP FICO configuration and partnering with our technical team for custom development when needed. This role focuses on solutioning and Level‑3 escalations (not ticket queue support), collaborating closely with manufacturing, logistics, and order execution. US hub locations preferred (Nashville ideal); travel is as needed for go‑lives and critical workshops, up to \~20%.
**Responsibilities**
* Engage business stakeholders to capture requirements; convert them into clear functional specs and end‑to‑end solution designs.
* Provide leading practice on design and scope decisions and drive to resolution with Product Managers/Owners and Solution Architects.
* Lead SAP FICO process and configuration (Accounts Payable/Receivable, Profit Center, Cost Center, costs/settlement, Chart of Accounts, General Ledger, Reporting) and coordinate testing (Unit/UAT) through business sign‑
* Participates and supports Scrum teams in Sprint planning, execution, user story facilitation, and documenting.
* Serve as a Level‑3 expert troubleshooter for persistent issues, facilitate swarming, root‑cause analysis, corrective enhancements, and prevention plans.
* Collaborate with our technical team for any custom development that complements the functional solution.
* Align with program deployments (entity and plant SAP transformations) and absorb post‑go‑live run‑state enhancements, and maintain lightweight, useful documentation.
* Partner with cross‑functional teams (Logistics, Manufacturing, Order Execution) to ensure data, process, and compliance readiness for releases.
* Champion continuous improvement, standardization, best practices, and clearing roadblocks across the FICO landscape.
**Qualifications**
* Experience: 7\-10 years in SAP FICO with 2\+ years on S/4HANA; proven delivery across design/build/rollout/support on complex programs.
* Education: Bachelor’s degree (or equivalent experience), preferable in Finance / Business administration domain (or equivalent).
* FICO Configuration: Expertise in Accounts Payable/Receivable, Profit Center, Cost Center, costs/settlement, Chart of Accounts, General Ledger, reporting.
* Process expertise: Deep understanding of finance processes and demonstrated experience of playing leading role in multiple complex SAP implementation projects.
* SAP Business acumen: Strong knowledge of Finance, Controlling, and Financial Supply Chain Management (FSCM) capabilities within SAP ECC/S4HANA including Credit Management, Dispute Management, Collections Management; strong stakeholder communication; ability to frame trade‑offs and drive adoption.
* Implementation Methodology: Strong knowledge and understanding of Software Development Lifecycle and SAP Project Implementation Methodology, Project management tools and techniques. Understanding of Agile principles and frameworks, including Scrum and/or Kanban frameworks, practices, and theory. SAFe experience highly desired.
* Integration literacy: Practical knowledge of IDOC input/outputs and use
* Travel: Ability to travel for go‑lives/critical meetings (up to \~20%).
* Plus factors: Manufacturing/plant exposure; touchpoints with manufacturing and order execution; familiarity with taxation; experience working with onshore/offshore teams.
**PLEASE REVIEW PRIOR TO APPLYING:**
* This role is preferred to be onsite in Franklin, TN, however we are now open to other Hubs and potentially remote in the US. Hubs include: Carrolton TX, Westmonth, IL, Raleigh, NC, Boston, MA
* We are unable to consider any contractors or consultants. We are only hiring for direct hire employees.
* We are not currently considering candidates who will require any immigraiton assistance now or in the future. Must be eligible to work in the US on a permanent basis.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162">
      <c r="A162" t="inlineStr">
        <is>
          <t>li-4331370241</t>
        </is>
      </c>
      <c r="B162" t="inlineStr">
        <is>
          <t>Senior Product Manager - TiDB Cloud</t>
        </is>
      </c>
      <c r="C162" t="inlineStr">
        <is>
          <t>TiDB, powered by PingCAP</t>
        </is>
      </c>
      <c r="D162" t="inlineStr">
        <is>
          <t>linkedin</t>
        </is>
      </c>
      <c r="E162">
        <f>HYPERLINK("https://www.linkedin.com/jobs/view/4331370241", "https://www.linkedin.com/jobs/view/4331370241")</f>
        <v/>
      </c>
      <c r="F162">
        <f>HYPERLINK("https://job-boards.greenhouse.io/pingcap/jobs/4029900009&amp;urlHash=eoGd", "https://job-boards.greenhouse.io/pingcap/jobs/4029900009&amp;urlHash=eoGd")</f>
        <v/>
      </c>
      <c r="G162" t="inlineStr">
        <is>
          <t>California, United States</t>
        </is>
      </c>
      <c r="H162" t="inlineStr"/>
      <c r="I162" t="inlineStr">
        <is>
          <t>**About the role:** 
 We are hiring a dedicated
 Senior Product Manager – TiDB Cloud to lead the TiDB Cloud offering. You will define the strategy and deliver a secure, compliant, and highly automated deployment model that runs TiDB in customers' cloud accounts while being managed from TiDB Cloud. You will partner closely with engineering, security, solutions, and GTM teams to take the product from 0 to 1 and scale it globally across AWS, Azure, and other clouds.
**Responsibilities:** 
* **Strategy, roadmap, and product management.** 
 Define the product strategy, positioning, and multi\-cloud roadmap; translate customer and market needs into crisp PRDs for day 0/1/2 operations; align with architecture and enterprise requirements (sovereignty, isolation, control); shape pricing, packaging, and FinOps guardrails with business partners.
* **Technical architecture, security, and deployability.** 
 Own end\-to\-end requirements for secure networking and compliance (VPC/VNet topologies, PrivateLink/Private Endpoint, IAM/RBAC, KMS, audit logging, least\-privilege) aligned to SOC 2/ISO 27001; deliver a remotely managed, upgrade\-safe control/management/data\-plane model with first\-class telemetry and diagnostics (CloudWatch, Azure Monitor, Prometheus, Grafana); productize repeatable IaC patterns and "golden" blueprints (Terraform/CloudFormation/Bicep), enable SSO (SAML/OIDC), and integrate with customer key, networking, and logging stacks.
* **Customer leadership, GTM, and performance.** 
 Run private previews/EAPs with lighthouse customers; equip field teams with solution guides, runbooks, and migration playbooks; drive ICP, messaging, and competitive differentiation across launches; define and iterate on KPIs (time\-to\-provision, time\-to\-first\-value, SLO attainment, upgrade success, cost accuracy, NRR, NPS) to steer continuous improvement.
**Qualifications:** 
* Bachelor’s degree in Computer Science, Engineering, or a related field; advanced degree is a plus.
* 7\+ years of product management experience building cloud infrastructure, databases, or managed services for enterprises.
* Strong technical depth with major clouds, especially one or more of: AWS (VPC, IAM, KMS, PrivateLink, TGW), Azure (VNet, Managed Identities, Key Vault, Private Endpoint), or equivalent.
* Hands on familiarity with infrastructure as code and deployment patterns (Terraform, CloudFormation, or Bicep) and with Kubernetes based services.
* Solid understanding of security and compliance requirements for customer managed environments, including encryption, least privilege access, auditing, and change management.
* Experience defining day 2 operations for stateful services: upgrades, backups, PITR, DR, and SLOs.
* Ability to lead cross functional initiatives and work directly with enterprise customers and partners.
* Excellent written and verbal communication; can author clear PRDs, solution guides, and executive level narratives.
**Nice to Have:** 
* Background with distributed databases, OLTP or HTAP systems, or large scale data platforms.
* Experience delivering customer managed, or hybrid control plane products.
* Knowledge of CDC and data movement ecosystems (for example Kafka, Debezium), and observability stacks.
* Financial and pricing acumen related to usage\-based products and cloud cost management.
**Salary Range:** 
 The annual anticipated base salary range for U.S. candidates for this role is USD $200,000 to $230,000K. Four zones are applied with different levels of the pay range. More details of the Geo Differential Pay Policy will be discussed during the HR conversation. The actual individual base pay will depend on various factors such as the complexity and responsibility of the role, work locations, job levels, and relevant experience and skills. This role is also eligible to participate in TiDB's Bonus and Equity Plan, as well as our Sales Compensation Plan if it is a sales role. In order to comply with local legislation and provide greater transparency to candidates, we share base salary ranges on all US job postings regardless of desired hiring location. Please note that actual salaries may vary and fall outside of this range depending on factors such as a candidate's qualifications, geographic location, skills, experience, and competencies. Other benefits include health insurance, flexible vacation time, paid holidays, and parental leave. Salaries for candidates outside the U.S. will vary based on local compensation structures.</t>
        </is>
      </c>
    </row>
    <row r="163">
      <c r="A163" t="inlineStr">
        <is>
          <t>li-4357725557</t>
        </is>
      </c>
      <c r="B163" t="inlineStr">
        <is>
          <t>Senior Product Manager, New Products</t>
        </is>
      </c>
      <c r="C163" t="inlineStr">
        <is>
          <t>Jerry</t>
        </is>
      </c>
      <c r="D163" t="inlineStr">
        <is>
          <t>linkedin</t>
        </is>
      </c>
      <c r="E163">
        <f>HYPERLINK("https://www.linkedin.com/jobs/view/4357725557", "https://www.linkedin.com/jobs/view/4357725557")</f>
        <v/>
      </c>
      <c r="F163">
        <f>HYPERLINK("https://jobs.ashbyhq.com/Jerry.ai/2d7ba23d-c7b1-4da4-b5e1-c909a30d8b42?utm_source=6Vdva5VPyD&amp;urlHash=PFqF", "https://jobs.ashbyhq.com/Jerry.ai/2d7ba23d-c7b1-4da4-b5e1-c909a30d8b42?utm_source=6Vdva5VPyD&amp;urlHash=PFqF")</f>
        <v/>
      </c>
      <c r="G163" t="inlineStr">
        <is>
          <t>Palo Alto, CA</t>
        </is>
      </c>
      <c r="H163" t="inlineStr"/>
      <c r="I16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4">
      <c r="A164" t="inlineStr">
        <is>
          <t>li-4357733841</t>
        </is>
      </c>
      <c r="B164" t="inlineStr">
        <is>
          <t>Senior Product Manager, New Products</t>
        </is>
      </c>
      <c r="C164" t="inlineStr">
        <is>
          <t>Jerry</t>
        </is>
      </c>
      <c r="D164" t="inlineStr">
        <is>
          <t>linkedin</t>
        </is>
      </c>
      <c r="E164">
        <f>HYPERLINK("https://www.linkedin.com/jobs/view/4357733841", "https://www.linkedin.com/jobs/view/4357733841")</f>
        <v/>
      </c>
      <c r="F164">
        <f>HYPERLINK("https://jobs.ashbyhq.com/Jerry.ai/2d7ba23d-c7b1-4da4-b5e1-c909a30d8b42?utm_source=6Vdva5VPyD&amp;urlHash=PFqF", "https://jobs.ashbyhq.com/Jerry.ai/2d7ba23d-c7b1-4da4-b5e1-c909a30d8b42?utm_source=6Vdva5VPyD&amp;urlHash=PFqF")</f>
        <v/>
      </c>
      <c r="G164" t="inlineStr">
        <is>
          <t>New York, NY</t>
        </is>
      </c>
      <c r="H164" t="inlineStr"/>
      <c r="I16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65">
      <c r="A165" t="inlineStr">
        <is>
          <t>li-4352307554</t>
        </is>
      </c>
      <c r="B165" t="inlineStr">
        <is>
          <t>Technical Product Manager - Cloud Products &amp; Patterns</t>
        </is>
      </c>
      <c r="C165" t="inlineStr">
        <is>
          <t>Jobs via eFinancialCareers</t>
        </is>
      </c>
      <c r="D165" t="inlineStr">
        <is>
          <t>linkedin</t>
        </is>
      </c>
      <c r="E165">
        <f>HYPERLINK("https://www.linkedin.com/jobs/view/4352307554", "https://www.linkedin.com/jobs/view/4352307554")</f>
        <v/>
      </c>
      <c r="F165">
        <f>HYPERLINK("https://click.appcast.io/t/LVDD0cLfBgtWKv2wCT72hl-wrK2UpwLQ_tI7ddDLmDY=&amp;urlHash=7aKc", "https://click.appcast.io/t/LVDD0cLfBgtWKv2wCT72hl-wrK2UpwLQ_tI7ddDLmDY=&amp;urlHash=7aKc")</f>
        <v/>
      </c>
      <c r="G165" t="inlineStr">
        <is>
          <t>Charlotte, NC</t>
        </is>
      </c>
      <c r="H165" t="inlineStr"/>
      <c r="I165"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more than half located in Asia Pacific. LSEG's ticker symbol is LSEG.
**OUR PEOPLE:**
 People are at the heart of what we do and drive the success of our business. Our culture of connecting, creating opportunity and delivering excellence shape how we think, how we do things and how we help our people fulfil their potential. We embrace diversity and actively seek to attract individuals with unique backgrounds and perspectives. We break down barriers and encourage teamwork, enabling innovation and rapid development of solutions that make a difference. Our workplace generates an enriching and rewarding experience for our people and customers alike. Our vision is to build an inclusive culture in which everyone feels encouraged to fulfil their potential.
 We know that real personal growth cannot be achieved by simply climbing a career ladder \- which is why we encourage and enable a wealth of avenues and interesting opportunities for everyone to broaden and deepen their skills and expertise. As a global organisation spanning 70 countries and one rooted in a culture of growth, opportunity, diversity and innovation, LSEG is a place where everyone can grow, develop and fulfil your potential with meaningful careers!!
**ROLE SUMMARY:**
 As the
 **Technical Product Manager** 
 you will join our Cloud Products \&amp; Patterns team here at LSEG. You will play a pivotal role in defining, owning, and evolving a suite of Azure\-based infrastructure patterns delivered as Infrastructure\-as\-Code (IaC) using Terraform, to help accelerate application migrations to Azure. These patterns are tailored to meet our business and user requirements, enabling scalable, secure, and efficient cloud adoption across the enterprise.
 You will lead the product lifecycle\-from discovery to delivery\-of Azure Cloud Products and Infrastructure Patterns for use within LSEG, ensuring alignment with business needs and seamless integration into CI/CD pipelines to support application migrations to Azure.
**WHAT YOU'LL BE DOING:**
* Product Ownership \&amp; Strategy
+ Define and maintain the product roadmap for Azure Cloud Products \&amp; Infrastructure Patterns.
+ Lead feature discovery and define functional and non\-functional requirements.
+ Drive adoption of patterns through the Cloud Product Framework (CPF), a business framework for delivering infrastructure patterns through collecting user requirements
* Delivery \&amp; Implementation
+ Oversee the design, implementation, and lifecycle of reusable infrastructure patterns.
+ Ensure patterns are production\-ready, secure, and aligned with LSEG enterprise standards.
+ Support LSEG application teams in migrating workloads to Azure using these patterns.
* Governance \&amp; Standards
+ Contribute to the definition of policies, controls, and standards for infrastructure patterns and to enable cloud product consumption.
+ Ensure pattern compliance with internal governance and security requirements.
* Technical Leadership
+ Provide hands\-on expertise in Azure services, Terraform, and CI/CD practices.
+ Resolve engineering, coding, security, and architectural challenges.
+ Lead PoCs, evaluate tools, and provide recommendations.
* Enablement \&amp; Community
+ Create and maintain a library of reusable infrastructure patterns, templates and modules.
+ Deliver training, documentation, and mentoring to development teams.
+ Promote adoption, self\-service and reusability across the organization.
**What You'll Deliver**
* A well\-defined and maintained roadmap for Azure Cloud Products \&amp; Infrastructure Patterns.
* Standardized templates and scripts for IaC and CI/CD orchestration.
* A scalable service catalog of Azure cloud products and infrastructure patterns \- customised for use in LSEG.
* Educational materials and enablement sessions for internal teams.
* A consistent, compliant, and developer\-friendly pattern adoption experience.
**WHAT YOU'LL BRING:**
* Proven experience in product management or technical leadership roles in cloud infrastructure.
* Deep understanding of Azure architecture, services, and governance.
* Hands\-on experience with Terraform (or similar IaC tools) and CI/CD pipelines.
* Familiarity with Agile methodologies (Scrum, Kanban).
* Strong analytical and problem\-solving skills.
* Excellent communication and stakeholder management abilities.
**Preferred Qualifications**
* Azure Solutions Architect certification (or equivalent).
* Experience with multi\-cloud environments.
* Background in enterprise\-scale cloud migrations.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166">
      <c r="A166" t="inlineStr">
        <is>
          <t>li-4368277686</t>
        </is>
      </c>
      <c r="B166" t="inlineStr">
        <is>
          <t>Technical Product Manager - Redmond, WA - Hybrid - 67228</t>
        </is>
      </c>
      <c r="C166" t="inlineStr">
        <is>
          <t>Jobs via Dice</t>
        </is>
      </c>
      <c r="D166" t="inlineStr">
        <is>
          <t>linkedin</t>
        </is>
      </c>
      <c r="E166">
        <f>HYPERLINK("https://www.linkedin.com/jobs/view/4368277686", "https://www.linkedin.com/jobs/view/4368277686")</f>
        <v/>
      </c>
      <c r="F166">
        <f>HYPERLINK("https://click.appcast.io/t/QnRZtZYOUDiwh7Ni4md7OhRsllX2yDSv42BKVb64tZY=&amp;urlHash=21VK", "https://click.appcast.io/t/QnRZtZYOUDiwh7Ni4md7OhRsllX2yDSv42BKVb64tZY=&amp;urlHash=21VK")</f>
        <v/>
      </c>
      <c r="G166" t="inlineStr">
        <is>
          <t>Redmond, WA</t>
        </is>
      </c>
      <c r="H166" t="inlineStr"/>
      <c r="I166" t="inlineStr">
        <is>
          <t>Dice is the leading career destination for tech experts at every stage of their careers. Our client, PRIMUS Global Services Inc., is seeking the following. Apply via Dice today!
**Technical Product Manager \- 67228**
 We have an immediate long\-term opportunity with one of our prime clients for a position of
 **Technical Product Manager** 
 to work in
 **Redmond, WA** 
 on Hybrid basis.
**Pay Rate: $60\- $62/hr**
**Must have skills:**
* Strong e\-Commerce background is required
* 10\-15 years experience in feature development or product management.
* Understanding of backend services, REST APIs, and system interactions.
* Experience working on consumer webecommerce flows (browse, cart, checkout, payments, auth, etc.).
* Strong ability to make tradeoffs and break complex problems into detailed scenarios.
* Ability to write clear, structured, engineeringready documentation
**Detailed Job Description:**
* Define product requirements, user stories, and acceptance criteria for web and ecommerce features.
* Partner with backend engineering to understand service behavior, API contracts, data flows, and integration needs.
* Create concise technical specs, including flows, API requirements, and error scenarios.
* Manage feature delivery endtoend planning, sprint execution, validation, and rollout.
* Analyze customer scenarios, identify gaps, and prioritize features using datadriven decision making.
* Minimum years of experience: 10\-15 years
* Education: Bachelor's or Master of Engineering
**Bhoomika**
**PRIMUS Global Services**
 Phone: Desk Ext. 403
 Direct \-
 Email:</t>
        </is>
      </c>
    </row>
    <row r="167">
      <c r="A167" t="inlineStr">
        <is>
          <t>li-4356564809</t>
        </is>
      </c>
      <c r="B167" t="inlineStr">
        <is>
          <t>Product Manager, Bioproduction Analytics &amp; AI Intiaitives (Maryland)</t>
        </is>
      </c>
      <c r="C167" t="inlineStr">
        <is>
          <t>Thermo Fisher Scientific</t>
        </is>
      </c>
      <c r="D167" t="inlineStr">
        <is>
          <t>linkedin</t>
        </is>
      </c>
      <c r="E167">
        <f>HYPERLINK("https://www.linkedin.com/jobs/view/4356564809", "https://www.linkedin.com/jobs/view/4356564809")</f>
        <v/>
      </c>
      <c r="F167" t="inlineStr"/>
      <c r="G167" t="inlineStr">
        <is>
          <t>Mount Airy, MD</t>
        </is>
      </c>
      <c r="H167" t="inlineStr"/>
      <c r="I167"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68">
      <c r="A168" t="inlineStr">
        <is>
          <t>li-4361364303</t>
        </is>
      </c>
      <c r="B168" t="inlineStr">
        <is>
          <t>Commercial Loan Product Manager</t>
        </is>
      </c>
      <c r="C168" t="inlineStr">
        <is>
          <t>First Horizon Bank</t>
        </is>
      </c>
      <c r="D168" t="inlineStr">
        <is>
          <t>linkedin</t>
        </is>
      </c>
      <c r="E168">
        <f>HYPERLINK("https://www.linkedin.com/jobs/view/4361364303", "https://www.linkedin.com/jobs/view/4361364303")</f>
        <v/>
      </c>
      <c r="F168" t="inlineStr"/>
      <c r="G168" t="inlineStr">
        <is>
          <t>Birmingham, AL</t>
        </is>
      </c>
      <c r="H168" t="inlineStr"/>
      <c r="I168" t="inlineStr">
        <is>
          <t>**Location:** 
 Onsite in Memphis, TN, Nashville, TN, Charlotte, NC, Raleigh, NC, Miami, FL, Birmingham, AL, New Orleans, LA, Baton Rouge, LA, Lafayette, LA, or Houston, TX
**Summary:**
 The Loan Product Manager is responsible for end\-to\-end management of the bank’s loan product portfolio, ensuring alignment with corporate strategies and objectives. This strategic role leads the development, implementation, ongoing enhancement, and performance analysis of loan products and related systems, focusing on driving growth, maximizing client satisfaction, and maintaining operational excellence. The manager collaborates extensively across teams and participates in merger\-related activities including mapping, conversion, staff enablement, and client communications.
**Key Responsibilities:**
* Lead the ideation, design, and launch of new loan products or existing loan product enhancements, ensuring competitiveness and compliance with market, regulatory, and internal standards.
* Partner with Marketing and Sales to develop positioning, value propositions, and go\-to\-market strategies.
* Oversee the full lifecycle of loan products, including market trends, internal performance, risk assessment, pricing, profitability, operational setup, and ongoing review.
* Serve as subject matter expert on product\-focused initiatives and cross\-functional projects impacting platforms, processes, or systems.
* Facilitate coordination with Operations, Legal, Compliance, Credit, Information Technology, Risk, Training, and other teams to deliver product solutions that meet bank and client needs.
* Participate in merger and acquisition activities, including mapping and aligning loan products, driving operational conversions, training associates, and supporting change communications for clients.
* Develop and deliver training to associates on product features, benefits, updates, and sales campaigns.
* Respond to ad\-hoc requests, investigations, and resolve service or quality issues related to loan products.
**Required Qualifications:**
* Bachelor’s degree from a four\-year college or university, OR a combination of education and relevant experience.
* 3\-5 years of experience in loan product management, banking, or a similar financial services role.
* Strong understanding of product management, lending operations, banking technology, process optimization, and regulatory considerations.
* Demonstrated track record of managing complex projects and cross\-functional teams.
* Proficiency in Microsoft Office Suite (Excel, PowerPoint, Word, Outlook); experience with reporting/dashboarding tools (e.g., Tableau, Power BI) is a plus.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169">
      <c r="A169" t="inlineStr">
        <is>
          <t>li-4356624846</t>
        </is>
      </c>
      <c r="B169" t="inlineStr">
        <is>
          <t>Product Manager, Bioproduction Analytics &amp; AI Intiaitives (Maryland)</t>
        </is>
      </c>
      <c r="C169" t="inlineStr">
        <is>
          <t>Thermo Fisher Scientific</t>
        </is>
      </c>
      <c r="D169" t="inlineStr">
        <is>
          <t>linkedin</t>
        </is>
      </c>
      <c r="E169">
        <f>HYPERLINK("https://www.linkedin.com/jobs/view/4356624846", "https://www.linkedin.com/jobs/view/4356624846")</f>
        <v/>
      </c>
      <c r="F169" t="inlineStr"/>
      <c r="G169" t="inlineStr">
        <is>
          <t>Baltimore, MD</t>
        </is>
      </c>
      <c r="H169" t="inlineStr"/>
      <c r="I169"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70">
      <c r="A170" t="inlineStr">
        <is>
          <t>li-4356414919</t>
        </is>
      </c>
      <c r="B170" t="inlineStr">
        <is>
          <t>Product Manager, Bioproduction Analytics &amp; AI Intiaitives (Maryland)</t>
        </is>
      </c>
      <c r="C170" t="inlineStr">
        <is>
          <t>Thermo Fisher Scientific</t>
        </is>
      </c>
      <c r="D170" t="inlineStr">
        <is>
          <t>linkedin</t>
        </is>
      </c>
      <c r="E170">
        <f>HYPERLINK("https://www.linkedin.com/jobs/view/4356414919", "https://www.linkedin.com/jobs/view/4356414919")</f>
        <v/>
      </c>
      <c r="F170">
        <f>HYPERLINK("https://jsv3.recruitics.com/redirect?rx_cid=3436&amp;rx_jobId=R-01340742_1001&amp;rx_url=https%3A%2F%2Fjobs.thermofisher.com%2Fglobal%2Fen%2Fjob%2FR-01340742%2FProduct-Manager-Bioproduction-Analytics-AI-Intiaitives-Maryland%3Frx_ch%3Djobpost%26rx_id%3Df943794c-fca4-11f0-841c-df859c76599a%26rx_job%3DR-01340742_1001%26rx_medium%3Dpost%26rx_paid%3D0%26rx_r%3Dnone%26rx_source%3Dlinkedin%26rx_ts%3D20260203T164034Z%26rx_vp%3Dlinkedindirectindex%26utm_medium%3Dpost%26utm_source%3Drecruitics_linkedindirectindex&amp;refId=34jd24&amp;urlHash=iH1Z", "https://jsv3.recruitics.com/redirect?rx_cid=3436&amp;rx_jobId=R-01340742_1001&amp;rx_url=https%3A%2F%2Fjobs.thermofisher.com%2Fglobal%2Fen%2Fjob%2FR-01340742%2FProduct-Manager-Bioproduction-Analytics-AI-Intiaitives-Maryland%3Frx_ch%3Djobpost%26rx_id%3Df943794c-fca4-11f0-841c-df859c76599a%26rx_job%3DR-01340742_1001%26rx_medium%3Dpost%26rx_paid%3D0%26rx_r%3Dnone%26rx_source%3Dlinkedin%26rx_ts%3D20260203T164034Z%26rx_vp%3Dlinkedindirectindex%26utm_medium%3Dpost%26utm_source%3Drecruitics_linkedindirectindex&amp;refId=34jd24&amp;urlHash=iH1Z")</f>
        <v/>
      </c>
      <c r="G170" t="inlineStr">
        <is>
          <t>Grand Island, NY</t>
        </is>
      </c>
      <c r="H170" t="inlineStr"/>
      <c r="I170"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71">
      <c r="A171" t="inlineStr">
        <is>
          <t>li-4356574937</t>
        </is>
      </c>
      <c r="B171" t="inlineStr">
        <is>
          <t>Product Manager, Bioproduction Analytics &amp; AI Intiaitives (Maryland)</t>
        </is>
      </c>
      <c r="C171" t="inlineStr">
        <is>
          <t>Thermo Fisher Scientific</t>
        </is>
      </c>
      <c r="D171" t="inlineStr">
        <is>
          <t>linkedin</t>
        </is>
      </c>
      <c r="E171">
        <f>HYPERLINK("https://www.linkedin.com/jobs/view/4356574937", "https://www.linkedin.com/jobs/view/4356574937")</f>
        <v/>
      </c>
      <c r="F171">
        <f>HYPERLINK("https://jsv3.recruitics.com/redirect?rx_cid=3436&amp;rx_jobId=R-01340742_1004&amp;rx_url=https%3A%2F%2Fjobs.thermofisher.com%2Fglobal%2Fen%2Fjob%2FR-01340742%2FProduct-Manager-Bioproduction-Analytics-AI-Intiaitives-Maryland%3Frx_ch%3Djobpost%26rx_id%3Dfe324a74-fca4-11f0-841c-21bc7e95e3a0%26rx_job%3DR-01340742_1004%26rx_medium%3Dpost%26rx_paid%3D0%26rx_r%3Dnone%26rx_source%3Dlinkedin%26rx_ts%3D20260203T164034Z%26rx_vp%3Dlinkedindirectindex%26utm_medium%3Dpost%26utm_source%3Drecruitics_linkedindirectindex&amp;refId=34jd24&amp;urlHash=ERpu", "https://jsv3.recruitics.com/redirect?rx_cid=3436&amp;rx_jobId=R-01340742_1004&amp;rx_url=https%3A%2F%2Fjobs.thermofisher.com%2Fglobal%2Fen%2Fjob%2FR-01340742%2FProduct-Manager-Bioproduction-Analytics-AI-Intiaitives-Maryland%3Frx_ch%3Djobpost%26rx_id%3Dfe324a74-fca4-11f0-841c-21bc7e95e3a0%26rx_job%3DR-01340742_1004%26rx_medium%3Dpost%26rx_paid%3D0%26rx_r%3Dnone%26rx_source%3Dlinkedin%26rx_ts%3D20260203T164034Z%26rx_vp%3Dlinkedindirectindex%26utm_medium%3Dpost%26utm_source%3Drecruitics_linkedindirectindex&amp;refId=34jd24&amp;urlHash=ERpu")</f>
        <v/>
      </c>
      <c r="G171" t="inlineStr">
        <is>
          <t>Sparks, MD</t>
        </is>
      </c>
      <c r="H171" t="inlineStr"/>
      <c r="I171"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72">
      <c r="A172" t="inlineStr">
        <is>
          <t>li-4356574936</t>
        </is>
      </c>
      <c r="B172" t="inlineStr">
        <is>
          <t>Product Manager, Bioproduction Analytics &amp; AI Intiaitives (Maryland)</t>
        </is>
      </c>
      <c r="C172" t="inlineStr">
        <is>
          <t>Thermo Fisher Scientific</t>
        </is>
      </c>
      <c r="D172" t="inlineStr">
        <is>
          <t>linkedin</t>
        </is>
      </c>
      <c r="E172">
        <f>HYPERLINK("https://www.linkedin.com/jobs/view/4356574936", "https://www.linkedin.com/jobs/view/4356574936")</f>
        <v/>
      </c>
      <c r="F172">
        <f>HYPERLINK("https://jsv3.recruitics.com/redirect?rx_cid=3436&amp;rx_jobId=R-01340742_1003&amp;rx_url=https%3A%2F%2Fjobs.thermofisher.com%2Fglobal%2Fen%2Fjob%2FR-01340742%2FProduct-Manager-Bioproduction-Analytics-AI-Intiaitives-Maryland%3Frx_ch%3Djobpost%26rx_id%3Dfbe2b530-fca4-11f0-841c-df037c4fbcbc%26rx_job%3DR-01340742_1003%26rx_medium%3Dpost%26rx_paid%3D0%26rx_r%3Dnone%26rx_source%3Dlinkedin%26rx_ts%3D20260203T164034Z%26rx_vp%3Dlinkedindirectindex%26utm_medium%3Dpost%26utm_source%3Drecruitics_linkedindirectindex&amp;refId=34jd24&amp;urlHash=TkWb", "https://jsv3.recruitics.com/redirect?rx_cid=3436&amp;rx_jobId=R-01340742_1003&amp;rx_url=https%3A%2F%2Fjobs.thermofisher.com%2Fglobal%2Fen%2Fjob%2FR-01340742%2FProduct-Manager-Bioproduction-Analytics-AI-Intiaitives-Maryland%3Frx_ch%3Djobpost%26rx_id%3Dfbe2b530-fca4-11f0-841c-df037c4fbcbc%26rx_job%3DR-01340742_1003%26rx_medium%3Dpost%26rx_paid%3D0%26rx_r%3Dnone%26rx_source%3Dlinkedin%26rx_ts%3D20260203T164034Z%26rx_vp%3Dlinkedindirectindex%26utm_medium%3Dpost%26utm_source%3Drecruitics_linkedindirectindex&amp;refId=34jd24&amp;urlHash=TkWb")</f>
        <v/>
      </c>
      <c r="G172" t="inlineStr">
        <is>
          <t>Elkridge, MD</t>
        </is>
      </c>
      <c r="H172" t="inlineStr"/>
      <c r="I172" t="inlineStr">
        <is>
          <t>**Work Schedule**
 Standard (Mon\-Fri)
**Environmental Conditions**
 Office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73">
      <c r="A173" t="inlineStr">
        <is>
          <t>li-4368678344</t>
        </is>
      </c>
      <c r="B173" t="inlineStr">
        <is>
          <t>Senior Technical Program Manager</t>
        </is>
      </c>
      <c r="C173" t="inlineStr">
        <is>
          <t>Swooped</t>
        </is>
      </c>
      <c r="D173" t="inlineStr">
        <is>
          <t>linkedin</t>
        </is>
      </c>
      <c r="E173">
        <f>HYPERLINK("https://www.linkedin.com/jobs/view/4368678344", "https://www.linkedin.com/jobs/view/4368678344")</f>
        <v/>
      </c>
      <c r="F173" t="inlineStr"/>
      <c r="G173" t="inlineStr"/>
      <c r="H173" t="inlineStr"/>
      <c r="I173" t="inlineStr">
        <is>
          <t>**About Our Client** 
 Modern software delivery was supposed to be the foundation for a thriving digital business but reality has proven otherwise. Slow, inefficient development cycles, costly outages, and fragmented customer experiences are preventing developers from building their best software.
 The platform helps developers innovate on new features faster while protecting them with a safety valve to instantly rewind when things go wrong. Developers can target product experiences to any customer segment and maximize the business impact of every feature. By gradually rolling out new application components, they escape nightmare "big\-bang" technology migrations.
**About The Role** 
 Our client is seeking an experienced
 **Senior Technical Program Manager** 
 to drive complex, cross\-functional engineering initiatives across its platform and product organization. This role will be instrumental in defining and optimizing processes, ensuring effective communication, and successfully delivering critical, high\-impact technical programs that shape the future of the product and business.
**Key Responsibilities** 
* **Program Leadership:** 
 Own and drive the end\-to\-end execution of large, complex technical programs (e.g., core platform migrations, security and compliance initiatives, new product launches) across multiple engineering and product teams.
* **Planning and Scoping:** 
 Work closely with Engineering, Product, and Design leadership to define program scope, objectives, success metrics, and realistic delivery schedules.
* **Process Optimization:** 
 Implement, refine, and champion lightweight, effective program management best practices and development processes (e.g., agile methodologies, release management) to increase engineering efficiency and predictability.
* **Risk Management:** 
 Proactively identify, prioritize, and mitigate program risks and dependencies, ensuring alignment and clear accountability across all stakeholders.
* **Communication:** 
 Serve as the central communication hub, providing regular, clear, and concise status updates to executive leadership, engineering teams, and cross\-functional partners.
* **Cross\-Functional Collaboration:** 
 Facilitate effective decision\-making and alignment among diverse teams, including Product Management, Sales, Marketing, and Customer Success.
**Required Qualifications** 
* 8\+ years of experience as a Technical Program Manager, Engineering Manager, or similar role driving technical programs within a fast\-paced, high\-growth technology company.
* Demonstrated experience managing large\-scale, complex software engineering projects, particularly in a SaaS, cloud\-native, or distributed systems environment.
* Deep understanding of software development life cycles (SDLC) and program management methodologies (e.g., Agile, Scrum, Kanban).
* Exceptional communication, presentation, and interpersonal skills, capable of influencing and negotiating with technical and non\-technical stakeholders, including senior leadership.
* Proven ability to establish and maintain strong relationships with engineering teams, serving as a trusted partner and advisor.
* Proficiency with program and project management tools (e.g., Jira, Asana, Google Workspace).
**Preferred Qualifications** 
* Experience in the Feature Flagging, DevOps, CI/CD, or Developer Tools space is a plus.
* A strong technical background, having previously worked as a software engineer or in a highly technical role.
* Experience driving programs with compliance and regulatory requirements (e.g., SOC 2, ISO 27001\).
**Pay** 
 Target pay ranges based on Geographic Zones for Level 4:
* Zone 1: San Francisco/Bay Area or NYC Metropolitan Area, Boston, Seattle \-
 **$171,200 \- $235,400**
* Zone 2: Irvine, LA, Monterey, Santa Barbara, Santa Rosa, Austin, Portland, Philadelphia, Chicago \-
 **$154,100 \- $211,860**
* Zone 3: All other US locations \-
 **$145,500 \- $200,090**
 The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74">
      <c r="A174" t="inlineStr">
        <is>
          <t>li-4368241772</t>
        </is>
      </c>
      <c r="B174" t="inlineStr">
        <is>
          <t>Strategic Program Manager - Data Center at ADB Companies Inc</t>
        </is>
      </c>
      <c r="C174" t="inlineStr">
        <is>
          <t>hackajob</t>
        </is>
      </c>
      <c r="D174" t="inlineStr">
        <is>
          <t>linkedin</t>
        </is>
      </c>
      <c r="E174">
        <f>HYPERLINK("https://www.linkedin.com/jobs/view/4368241772", "https://www.linkedin.com/jobs/view/4368241772")</f>
        <v/>
      </c>
      <c r="F174" t="inlineStr"/>
      <c r="G174" t="inlineStr"/>
      <c r="H174" t="inlineStr"/>
      <c r="I174" t="inlineStr">
        <is>
          <t>***hackajob** 
 is collaborating with
 **Archer** 
 to connect them with exceptional tech professionals for this role.*
 To be a team member at ADB Companies, or as we call it, part of the A\-Team, you must be
 **ALL IN** 
 to support the company’s mission, vision, and values.
**OUR MISSION:** 
 We are a customer\-centric partner providing innovative solutions. The safety, well\-being, and career growth of our team members are the benchmarks of our success.
**POSITION TITLE:** 
 Strategic Program Manager (Data Center)
**CLASSIFICATION:** 
 Exempt
**Position Overview**
 ADB is a Nationwide full turnkey provider of technology infrastructure solutions including Wireline, Wireless, Technology, and Engineering. Our centric approach has ensured long term relationships with commercial clients, service providers, local, state, and federal government organizations. We recognize our team members as our greatest asset ensuring that their safety, well\-being, and career growth are always our number one priority. Our
 **ALL IN** 
 culture includes a focus on Safety, Wellness, Learning, Diversity and Inclusion, and giving back to our Communities.
 ADB is seeking a Strategic Program Manager to provide executive level leadership to multiple size and scope telecommunications projects that could include complex, large\-scale data center construction and technology (ISP) projects. The Strategic Program Manager will manage all aspects of the program such as executive reporting requirements, executive communications, program schedules, RAID (Risk, Action Items, Issues, and Decisions), lessons learned, project/program status reports, inventory and cost\-to\-complete (CTC) reports. There is a large focus on data center construction, OSP, ISP, and technology projects. The ideal candidate will have proven experience and success leading major telecom fiber builds, have a high level of business acumen and professionalism, be forward thinking and strategic, with a strong work ethic and
 **ALL IN** 
 attitude to achieve results.
**Roles And Responsibilities**
* Strategically leads program functions including production of project plans, requirement documents, site trackers, budget management processes, and overall workflows for large enterprise Programs nationwide
* Manages all aspects of programs which can include executive reporting, RAID, program status reports, inventory management, and financial health
* Expert ability to review and understand large enterprise program Contracts, Statements of Work, Master Service Agreements, and Change Orders
* Create the foundation for the program to be successful by proactively making recommendations and generating innovative ideas as the program is launched
* Develop program playbooks and workflows covering all departments impacted or affected by the program
* Defines and implements governance and controls across the program
* Strategic and forward\-thinking leader; Drives and participates in the strategic planning process. Monitors, manages, and drives solutions for all program KPI’s including financial metrics, customer experience, quality standards, and profitability
* Proactively manages changes in project scopes and/or financials; can effectively forecast delays and/or issues and create solutions for any strategic changes that need to occur to ensure the overall project success
* Expert relationship builder; acts as the liaison for all stakeholders involved in a successful program and is engaged and proactive driving plans and innovative approaches for all including construction, splicing, engineering, finance, permitting, etc.
* High level of business acumen and customer centricity; is an expert problem solver and main point of escalation for program issues in various stages and of various sizes; drives the solution for all stakeholders involved to ensure a positive customer experience
* Supports all stakeholders in staffing and generating resources for projects; assists with org design and resource planning throughout the entire program lifecycle
* Ensures the success of the project close out process, drives accountability amongst the team and offers expert level solutions and action plans on any gaps, delays, issues that may arise
* Leads the change order process; collaborates with internal operations team and PMO team to provide a presentation to the customer on any change order needs; can effectively work through any issues that may arise with the customer
* Provides mentorship and coaching to other team members within the PMO team on a regular basis, offering indirect leadership to onboard and train other department team members
* Accountable, Self\-Motivated, and Self\-Managed to complete tasks within deadlines provided and holds others accountable to same expectations; ensures processes are complete with a high level of follow through and follow up
* Performs other position duties when requested
**SUCCESS FACTORS:**
* Ability to travel up to 75% Nationwide
* A strong belief in ZERO\- Being Safe 100% of the time is the expectation
* Alignment with company mission, vision, and values
* Strong work ethic with an ALL IN attitude
* A high level of customer centricity
* Strong team player with the ability to adapt to diverse team members
* Ability to perform in a fast\-paced work environment
* A high level of time management, accountability, and prioritization skills
* Self\-motivated, goal\- oriented, and driven to accomplish department goals
* Ability to be organized, problem solve, and be solution oriented
* Strong ability to influence desired outcomes by master relationship building
* High level of professionalism and business acumen
* Proficient with Microsoft Office (Power Point, Word, Excel,)
* Advanced level knowledge of various PMO software/tracking tools required
**WORK ENVIRONMENT:**
* Regularly works out of a controlled office environment; office may be in a warehouse where yard space is near allowing dirt, gravel, etc. to enter close to or within workspaces
* This role routinely uses standard office equipment such as laptop computers, copy machines, and smartphones
* Will visit construction project sites. Must wear common PPE and safety equipment such as safety glasses, hard hats, safety vests, steel toed boots, etc
**EXPERIENCE AND EDUCATION:**
* 10\+ years of end\-to\-end customer Project Management (PMO) experience within the Technology, Data Center, and/or Utility Construction industry required
* 5\+ years of proven success in a high\-level Program Management executive position required
* Extensive experience successfully managing, tracking, and launching multiple large\-scale programs
* One to three years prior sales/business development experience is preferred
* PMP Certification (or equivalent experience) required
* Bachelor’s degree in Business or IT required; Master’s degree preferred
 ADB Companies, LLC is an equal opportunity employer. All candidates agree to complete a selection assessment and pre\-employment drug screen.
 Equal Opportunity Employer
 This employer is required to notify all applicants of their rights pursuant to federal employment laws. For further information, please review the Know Your Rights notice from the Department of Labor.</t>
        </is>
      </c>
    </row>
    <row r="175">
      <c r="A175" t="inlineStr">
        <is>
          <t>li-4357770844</t>
        </is>
      </c>
      <c r="B175" t="inlineStr">
        <is>
          <t>Senior Program Manager IV</t>
        </is>
      </c>
      <c r="C175" t="inlineStr">
        <is>
          <t>IBSS</t>
        </is>
      </c>
      <c r="D175" t="inlineStr">
        <is>
          <t>linkedin</t>
        </is>
      </c>
      <c r="E175">
        <f>HYPERLINK("https://www.linkedin.com/jobs/view/4357770844", "https://www.linkedin.com/jobs/view/4357770844")</f>
        <v/>
      </c>
      <c r="F175" t="inlineStr"/>
      <c r="G175" t="inlineStr">
        <is>
          <t>Silver Spring, MD</t>
        </is>
      </c>
      <c r="H175" t="inlineStr"/>
      <c r="I175" t="inlineStr">
        <is>
          <t>**Job Title:** 
 Senior Program Manager IV
**Location:** 
 Silver Spring, MD (On Site)
**Clearance Required:** 
 Public Trust Eligible
**Salary Range:** 
 $120K\-$140K
**Application Deadline** 
 : February 28, 2025
**To apply,** 
 please follow these steps:
* Visit https://ibsscorp.com/careers/ .
* Select the position you are interested in.
* Review the job details, then click Apply Now.
* Complete and submit your application.
**Description:**
 IBSS Corporation is seeking an experienced and strategic
 **Senior Program Manager** 
 IV to lead efforts in support of the
 **Automated Surface Observing System (ASOS) Service Life Extension Program (SLEP)** 
 . This key role provides programmatic leadership, business process guidance, technical oversight, and lifecycle management in close coordination with Government stakeholders. The Senior Program Manager will work across technical domains—systems engineering, deployment, telecom, and budgeting—to modernize and sustain ASOS nationwide. This position is contingent upon successful award of the contract.
**Key Responsibilities:**
**Program Leadership \&amp; Strategy**
* Serve as the lead contractor program interface with the Government ASOS Program Management Office (PMO).
* Support the modernization and evolution of ASOS systems in accordance with NOAA/NWS policies, directives, and life cycle processes.
* Provide expert\-level guidance in the planning, integration, testing, deployment, and sustainment of ASOS SLEP components.
**Business Process Development \&amp; Oversight**
* Develop and refine business process analysis and improvement plans to increase program efficiency and transparency.
* Lead efforts to define, track, and manage communications between production contractors and Government teams.
* Support the Government in managing warranty claims, system deployment logistics, and transition planning under the EIS contract vehicle.
**Technology Research \&amp; Risk Management**
* Perform market research and technology assessments to support acquisition decisions and combat component obsolescence.
* Conduct and support security planning and risk assessments to meet federal standards and ensure system integrity.
**Program Planning \&amp; Execution**
* Develop and maintain a resource\-loaded Integrated Master Schedule (IMS) to align activities across engineering, field deployment, and program reporting.
* Oversee program planning, procurement, budgeting, invoice reconciliation, and financial forecasting efforts.
* Provide administrative and strategic support for the preparation of status briefings, milestone reviews, and program documentation.
**Stakeholder Coordination**
* Work closely with engineers, analysts, deployment managers, and web developers to ensure integrated program delivery.
* Facilitate coordination between cross\-functional contractor teams and NOAA/NWS technical leads.
**Required Skills \&amp; Qualifications:**
* Bachelor's degree in Communications or Electronics Engineering
* 10 years related experience
* Demonstrated experience managing large\-scale federal programs, preferably in meteorological systems, aviation, or telecommunications
* Experience manager $10M\+ in Dollar value
* Experience managing a team of 10\+ direct reports
* Proven expertise in lifecycle planning, schedule and risk management, and systems integration
* Strong understanding of government acquisition and program management principles
* Excellent verbal and written communication skills; ability to lead cross\-disciplinary teams and present to senior stakeholders
* Proficient in Microsoft Project, Office Suite, and related scheduling and budgeting tools
* Electrical and/or Mechanical Engineering or Computer Engineering background.
* Experience with hardware and software engineering principles, (understanding of how the scientific instruments and the data\-processing units integrate together and disseminate the data after processing).
**Preferred Qualifications:**
* Master's degree in Engineering, Systems Management, or related field
* PMP certification
* Agile and Hybrid Project Management Framework Experience
* Familiarity with NOAA, FAA, or NWS systems and procedures
* Experience managing geographically dispersed deployments and multi\-vendor integration
**About IBSS Corp.**
 Since 1992, IBSS, a woman\-owned small business, has provided transformational consulting services to the Federal defense, civilian, and commercial sectors. Our services include cybersecurity and enterprise information technology, environmental science and engineering (including oceans, coasts, climate, and weather), and professional management services.
 Our approach is to serve our employees by investing in their growth and development. As a result, our employees bring greater capabilities and provide exceptional service to our clients. In addition to creating career development opportunities for our employees, IBSS is passionate about giving back to the community and serving the environment. We strive to leave something better behind for the next generation.
 We measure our success by the positive impact we have on our employees, clients, partners, and the communities we serve. Our tagline, Powered by Excellence, is a recognition of the employees that make up IBSS and ensures we deliver results with quality, applying industry best practices and certifications.
 IBSS offers a competitive benefits package that includes medical, dental, vision, and prescription drug coverage with a company\-paid deductible, paid time off, federal holidays, a matching 401K plan, tuition/professional development reimbursement, and Flex\-Spending (FSA)/Dependent Care Account (DCA) options.
 IBSS is an affirmative action and equal opportunity employer. All qualified applicants will be considered for employment without regard to race, color, religion, sex, disability, age, sexual orientation, gender identity, national origin, veteran status, or genetic information. Click https://www.eeoc.gov/poster to see that the EEO is the law. Please direct any inquiries to the HR Department email at HR@ibsscorp.com.
 If you require reasonable accommodation in completing this application, interviewing, completing any pre\-employment testing, or otherwise participating in the employee selection process, please direct your inquiries to the Talent Acquisition department at Recruiting@ibsscorp.com</t>
        </is>
      </c>
    </row>
    <row r="176">
      <c r="A176" t="inlineStr">
        <is>
          <t>li-4368280477</t>
        </is>
      </c>
      <c r="B176" t="inlineStr">
        <is>
          <t>Product Manager Infrastructure</t>
        </is>
      </c>
      <c r="C176" t="inlineStr">
        <is>
          <t>Jobs via Dice</t>
        </is>
      </c>
      <c r="D176" t="inlineStr">
        <is>
          <t>linkedin</t>
        </is>
      </c>
      <c r="E176">
        <f>HYPERLINK("https://www.linkedin.com/jobs/view/4368280477", "https://www.linkedin.com/jobs/view/4368280477")</f>
        <v/>
      </c>
      <c r="F176">
        <f>HYPERLINK("https://click.appcast.io/t/NDv0JvXYuIc27baxSoiAE6JvhHDgRSRSvhzIv2oCL1E=&amp;urlHash=ub_v", "https://click.appcast.io/t/NDv0JvXYuIc27baxSoiAE6JvhHDgRSRSvhzIv2oCL1E=&amp;urlHash=ub_v")</f>
        <v/>
      </c>
      <c r="G176" t="inlineStr">
        <is>
          <t>Minnesota, United States</t>
        </is>
      </c>
      <c r="H176" t="inlineStr"/>
      <c r="I176" t="inlineStr">
        <is>
          <t>Dice is the leading career destination for tech experts at every stage of their careers. Our client, York Solutions, LLC, is seeking the following. Apply via Dice today!
 he Product Manager over Databases, server storage, hosting platforms, and cloud provisioning \&amp; the people leadership aspects of approximately 5 others.
 This role is a senior product leader and people manager responsible for defining and executing a unified infrastructure strategy across cloud and legacy platforms. The ideal candidate brings deep technical fluency, strong organizational leadership, and experience breaking down silos in complex enterprises.
 Product Strategy \&amp; Portfolio Leadership (Must\-Have)
 Ownership of product strategy across multiple teams
 Experience managing platform or infrastructure portfolios
 Ability to align roadmaps across:
 Legacy/on\-prem systems
 Cloud\-native platforms
 Outcome\-driven mindset (value, not just delivery)
 People Management \&amp; Leadership (Must\-Have)
 Direct people management experience
 Experience overseeing multiple product teams simultaneously
 Strong judgment on when to:
 Be hands\-on
 Delegate and empower teams
 Coaching and development mindset
 Technical Fluency (Critical ? Not Hands\-On Coding)
 Strong understanding of:
 SDLC
**Benefits:**
 York Solutions Offers a generous benefits package for eligible full\-time employees:
* BCBS Medical with 3 Plans to choose from (PPO and High deductible PPO plans with Health Savings Program)
* Delta Dental plan with 2 free cleanings and insurance discounts
* Eye Med Vision with annual check\-ups and discounts on lens
* Life and Accidental Death Insurance paid by company
* John Hancock 401(k) Retirement Plan with discretionary company match
* Voluntary Insurance programs such as: Hospital Indemnity, Identity Protection, Legal Insurance, Long Term Care, and Pet Insurance.
* Flexible work environment with some remote working opportunities
* Strong fun and teamwork environment
* Learning, development, and career growth</t>
        </is>
      </c>
    </row>
    <row r="177">
      <c r="A177" t="inlineStr">
        <is>
          <t>li-4368265978</t>
        </is>
      </c>
      <c r="B177" t="inlineStr">
        <is>
          <t>Technical Product / Program Manager(E-Commerce)</t>
        </is>
      </c>
      <c r="C177" t="inlineStr">
        <is>
          <t>Jobs via Dice</t>
        </is>
      </c>
      <c r="D177" t="inlineStr">
        <is>
          <t>linkedin</t>
        </is>
      </c>
      <c r="E177">
        <f>HYPERLINK("https://www.linkedin.com/jobs/view/4368265978", "https://www.linkedin.com/jobs/view/4368265978")</f>
        <v/>
      </c>
      <c r="F177" t="inlineStr"/>
      <c r="G177" t="inlineStr"/>
      <c r="H177" t="inlineStr"/>
      <c r="I177" t="inlineStr">
        <is>
          <t>Dice is the leading career destination for tech experts at every stage of their careers. Our client, ISite Technologies Inc, is seeking the following. Apply via Dice today!
 Hello All,
 Hope Every One is Doing Great!
**Job Role: Technical Product / Program Manager(E\-Commerce)**
**Location: Remote**
**Job Description:**
 Technical Product / Program Manager
 Experience: 4\-6 years in product or feature development
 Domain: Web\-based / e\-commerce / backend\-integrated products
**Overview**
 We are looking for a Technical Product/Program Manager who can drive feature development, work closely with backend engineering teams, and deli consumer\-facing e\-commerce scenarios. The ideal candidate can make smart trade\-offs, scope detailed scenarios, and write clear, structured techr
**Responsibilities**
* Define product requirements, user stories, and acceptance criteria for web and e\-commerce features.
* Partner with backend engineering to understand service behavior, API contracts, data flows, and integration needs.
* Create concise technical specs, including flows, API requirements, and error scenarios.
* Manage feature delivery end\-to\-end: planning, sprint execution, validation, and rollout.
* Analyze customer scenarios, identify gaps, and prioritize features using data\-driven decisio/making.
* Drive cross\-team alignment and communicate progress, risks, and mitigation plans.
**Required Skills**
* 4\-6 years' experience in feature development or product management.
* Understanding of backend services, REST APIs, and system interactions.
* Experience working on consumer web/e\-commerce flows (browse, cart, checkout, payments, auth, etc.).
* Strong ability to make trade\-offs and break complex problems into detailed scenarios.
* Ability to write clear, structured, engineering\-ready documentation.
 Sample Technical Spec Elements
* User flow diagrams
* API request/response definitions
* Data model dependencies
* Edge cases \&amp; error handling
* Success metrics \&amp; validation steps</t>
        </is>
      </c>
    </row>
    <row r="178">
      <c r="A178" t="inlineStr">
        <is>
          <t>li-4368279316</t>
        </is>
      </c>
      <c r="B178" t="inlineStr">
        <is>
          <t>Channel Program Manager</t>
        </is>
      </c>
      <c r="C178" t="inlineStr">
        <is>
          <t>Quest Software</t>
        </is>
      </c>
      <c r="D178" t="inlineStr">
        <is>
          <t>linkedin</t>
        </is>
      </c>
      <c r="E178">
        <f>HYPERLINK("https://www.linkedin.com/jobs/view/4368279316", "https://www.linkedin.com/jobs/view/4368279316")</f>
        <v/>
      </c>
      <c r="F178">
        <f>HYPERLINK("https://careers-quest.icims.com/jobs/13170/channel-program-manager/job?in_iframe=1%3Fmode%3Djob&amp;iis=Job+Board&amp;iisn=LinkedIn&amp;mode=job&amp;urlHash=y_Jz", "https://careers-quest.icims.com/jobs/13170/channel-program-manager/job?in_iframe=1%3Fmode%3Djob&amp;iis=Job+Board&amp;iisn=LinkedIn&amp;mode=job&amp;urlHash=y_Jz")</f>
        <v/>
      </c>
      <c r="G178" t="inlineStr"/>
      <c r="H178" t="inlineStr"/>
      <c r="I178" t="inlineStr">
        <is>
          <t>**Overview**
 CHANNEL PROGRAM MANAGER
 Quest is an award\-winning IT management software provider offering a broad selection of solutions that solve some of the most common and most challenging IT problems. At Quest Software, we help organizations simplify IT management, enhance security, and maximize data potential. We are committed to fostering strong channel partnerships that drive business growth and deliver innovative solutions to our customers.
 We’re looking for a
 **Channel Program Manager** 
 to design, scale, and optimize our partner programs in a high\-growth SaaS environment. This role sits at the intersection of
 **partners, data, and revenue** 
 , owning the operational backbone of our channel ecosystem while using insights and analytics to drive performance, adoption, and growth.
 You’ll work cross\-functionally with Sales, Marketing, Product, and RevOps to ensure partners are enabled, motivated, and delivering measurable impact.
**Responsibilities**
**Channel Program Strategy \&amp; Execution**
* Own the end\-to\-end channel program lifecycle, including onboarding, enablement, incentives, and ongoing optimization
* Design and manage partner tiers, benefits, certifications, and performance criteria
* Scale repeatable, data\-backed partner motions aligned to company GTM strategy
**Data \&amp; Performance Management**
* Define, track, and report on channel KPIs (pipeline, revenue, activation, ROI, engagement)
* Build dashboards and reporting to provide visibility into partner performance and program effectiveness
* Use data to identify trends, gaps, and opportunities for program improvements
**Partner Enablement \&amp; Experience**
* Develop partner enablement materials, including playbooks, training, documentation, and onboarding flows
* Partner closely with Sales and Marketing to align messaging, campaigns, and co\-selling motions
* Act as the internal advocate for partner experience and operational efficiency
**Cross\-Functional Collaboration**
* Work with RevOps and Finance on forecasting, attribution, and partner compensation models
* Partner with Product to incorporate partner feedback and support integrations where relevant
* Ensure operational excellence across CRM, PRM, and other SaaS tools
**Qualifications**
* 8\+ years of experience in channel programs, partner operations, or partnerships, preferably in B2B SaaS
* Strong analytical mindset with hands\-on experience using data to drive decisions
* Experience working with CRM and partner tools (e.g., Salesforce, HubSpot, PRMs, BI tools)
* Proven ability to manage complex, cross\-functional initiatives
* Excellent communication and stakeholder management skills
* Experience supporting data, analytics, or platform SaaS products
* Background in RevOps, Sales Ops, or GTM analytics
* Familiarity with API\-based, marketplace, or integration partners
* Experience scaling partner programs in high\-growth environments
* Travel as needed
**Company Overview**
 Quest Software builds the foundation for enterprise AI with solutions in
 **data governance, cybersecurity, and platform modernization** 
 . More than 45,000 companies — including 90% of the Fortune 500 — trust Quest to solve their most critical IT challenges. From securing identities and modernizing platforms to preparing data for AI, we help enterprises unlock their full potential.
**Why Quest**
 At Quest, Your Work Makes An Impact. You’ll Help Organizations Get AI\-ready While Building Your Career With a Global Team Of Innovators. We Offer
* Competitive pay, annual bonuses, and top\-performer recognition.
* Comprehensive health, family, and retirement benefits.
* Flexible work options, generous PTO, and wellness programs.
* Professional growth through learning platforms, mentorship, and leadership programs.
* Inclusive teams that reflect the world we serve, supported by Employee Resource Groups and our Equality \&amp; Inclusion Council.
 Quest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Come join us. For more information, visit us on the web at Quest Careers \| Where next meets now. Join Quest.
 Job seekers should be aware of fraudulent job offers from online scammers and only apply to roles listed on quest.com/careers using our applicant system. Note: We do not use text messaging or third\-party messaging apps like Telegram to communicate with applicants, so please exercise caution if you are approached in this way and only interact with people claiming to be Quest employees if they have an email address ending in @quest.com or @oneidentity.com You can report job scams to the FTC (ReportFraud.ftc.gov) or your state attorney general.</t>
        </is>
      </c>
    </row>
    <row r="179">
      <c r="A179" t="inlineStr">
        <is>
          <t>li-4368830839</t>
        </is>
      </c>
      <c r="B179" t="inlineStr">
        <is>
          <t>Sr. Growth Program Manager</t>
        </is>
      </c>
      <c r="C179" t="inlineStr">
        <is>
          <t>Tungsten Automation</t>
        </is>
      </c>
      <c r="D179" t="inlineStr">
        <is>
          <t>linkedin</t>
        </is>
      </c>
      <c r="E179">
        <f>HYPERLINK("https://www.linkedin.com/jobs/view/4368830839", "https://www.linkedin.com/jobs/view/4368830839")</f>
        <v/>
      </c>
      <c r="F179" t="inlineStr"/>
      <c r="G179" t="inlineStr"/>
      <c r="H179" t="inlineStr"/>
      <c r="I179" t="inlineStr">
        <is>
          <t>**About The Role**
 The Growth Programs capability is the execution core of Tungsten's Strategy \&amp; Growth Operations organization, built to translate strategy into velocity by driving cross\-functional programs that accelerate growth, profitability, and operating discipline.
 Unlike traditional PMOs or transformation offices, the Growth Programs function:
* Owns impact, not activity: programs must deliver measurable business results.
* Operates as an internal accelerator: deploying elite program managers to drive end\-to\-end transformations across functions.
* Bridges strategic intent and operational reality: connecting product, go\-to\-market, operations, and finance into a single value delivery engine.
 As a Growth Program Manager, you'll be at the forefront of driving transformative change within Tungsten. You'll have the unique opportunity to spearhead high\-impact, cross\-functional programs that not only accelerate user acquisition and boost customer retention, but also ignite revenue growth. This is your chance to merge visionary strategy with hands\-on leadership—leveraging advanced data analytics and bold experimentation to discover, scale, and optimize the growth initiatives that will shape our business's future. In this role, you'll collaborate directly with top\-tier teams across product, marketing, sales, operations, and finance, ensuring that every project is perfectly aligned with Tungsten's strategic goals. Your work will be highly visible, delivering measurable business results and making a lasting impact on our organization's success. If you're ready to drive innovation, challenge the status quo, and help us reach new heights, this is the role for you.
**What You'll Do**
 Lead Strategic Initiatives That Drive Lasting Impact
* Take Full Ownership: Assume complete accountability for designated programs by guiding teams toward achieving specified business objectives, while maintaining high standards for deliverable quality and ensuring all deadlines are met.
* Deliver Tangible Results: Manage key milestones and drive outcomes tied to clear, quantifiable impact statements. Regularly showcase your achievements as you help shape the future trajectory of our business.
* Translate Strategy into Action: Collaborate closely with team leadership to deconstruct overarching growth objectives into clear, executable programs. Ensure these initiatives are structured to achieve measurable business outcomes, driving tangible impact.
* Engage Across Functions: Serve as the pivotal connector between project teams, and their leadership. You'll own all major program communication, keeping everyone aligned and informed on progress and strategy.
* Champion Innovation Through AI\-Driven Process Optimization: Foster a culture of experimentation, agility, and learning by actively leveraging AI and advanced analytics tools to identify opportunities, optimize processes, and drive innovation. Stay current with industry trends and best practices to maintain a competitive edge.
* Communicate at the Highest Level: Report program status, productivity, risks, and quality metrics that will be presented to executive leadership and Board\-level audiences. Your insights will help steer critical decisions at the top of the organization.
**About Our Platform**
 Tungsten Automations Intelligent Automation software platform helps government agencies transform information\-intensive business processes, reduce manual work and errors, minimize costs, and improve customer engagement. We combine Generative AI, Knowledge Management, Intelligent Document Processing, Process Orchestration, mobility and engagement, and analytics to ease implementations and deliver dramatic results that mitigate compliance risk and increase competitiveness, growth and profitability—particularly crucial for highly regulated industries facing complex compliance requirements. No other software vendor offers a platform of complementary technologies integrated into a scalable, manageable software platform, positioning us to grow and dominate the process automation space.
**While the job description describes what is anticipated as the requirements of the position, the job requirements are subject to change based upon any changing needs and requirements of the business.**
**Required Experience**
**WHAT YOU NEED TO SUCCEED**
* Bachelor's or Master's degree in a relevant field (e.g., Business, Marketing, Analytics)
* Proven experience in growth, program management, product, or marketing roles
* Strong analytical skills and proficiency with data analysis and experimentation tools
* Excellent project management and organizational abilities
* Effective communicator and collaborator, able to work cross\-functionally and influence stakeholders
* Results\-oriented, adaptable, and comfortable working in fast\-paced, dynamic environments
***Tungsten Automation is an Equal Opportunity Employer M/F/D/V***
***The base salary range for this role, across the US, is $108,040 \- $164,761\. Your actual base pay within this range will be determined by your work location as well as skills, qualifications, experience, and relevant education/training. The range provided reflects only the base salary for the role and does not include benefits.***</t>
        </is>
      </c>
    </row>
    <row r="180">
      <c r="A180" t="inlineStr">
        <is>
          <t>li-4368845482</t>
        </is>
      </c>
      <c r="B180" t="inlineStr">
        <is>
          <t>Program Manager (Real Property Accountable Officer (RPO))</t>
        </is>
      </c>
      <c r="C180" t="inlineStr">
        <is>
          <t>V2X Inc</t>
        </is>
      </c>
      <c r="D180" t="inlineStr">
        <is>
          <t>linkedin</t>
        </is>
      </c>
      <c r="E180">
        <f>HYPERLINK("https://www.linkedin.com/jobs/view/4368845482", "https://www.linkedin.com/jobs/view/4368845482")</f>
        <v/>
      </c>
      <c r="F180" t="inlineStr"/>
      <c r="G180" t="inlineStr">
        <is>
          <t>Washington, DC</t>
        </is>
      </c>
      <c r="H180" t="inlineStr"/>
      <c r="I180" t="inlineStr">
        <is>
          <t>**Overview**
*This position description is subject to change at any time as needed to meet the requirements of the program or company.*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V2X is seeking Program and Project Management professionals to provide Facilities and Technical support to our government customer in the DC Metro area, with potential for worldwide travel. Candidates for these roles must be highly qualified, possess an active Department of Defense (DoD)
 **Top Secret** 
 level Security Clearance (minimum), and demonstrate commitment to ensuring safe, reliable, and resilient facilities as well as a superior service experience for all agency employees.
 The Program Manager (Real Property Accountable Officer (RPO)) shall have experience with DoD real property management, to include leases and agreements, to support one of our Intelligence Community customers.
 Performance of this contract includes worldwide travel including the USCENTCOM AOR and other locations as required for completion of tasks directly related to this scope.
**This position is contingent upon successful contract award to V2X.**
**clearance**
**Responsibilities**
**Major Job Activities:**
* Maintain and verify recorded information is accurate, complete, and retained in accordance with applicable laws.
* Assist the government by reviewing, updating, and ensuring compliance related real property tenant occupancy agreements (leases) and support agreements.
* Advise the Real Property Officer (RPO) on expiring leases and agreements and help develop courses of action for disposition or renewal of such agreements.
* Work with the Facilities Business Management Team (BMT) through the existing Chief Financial Officer (CFO) processes and ensure we are appropriately tracking our facilities costs, to include lease / agreement costs, incidental costs, utilities, etc.
* Collaborate across departments to develop relevant data storage in ARCHIBUS to plan, program, and track budgets, execution, and effective real property asset management.
* Work with the ARCHIBUS team to help develop / automate the ability to track funds and lease / agreement information.
**Material \&amp; Equipment Directly Used**
* Proficiency in MS Office (Word, Excel, PowerPoint, Access, and Outlook), MS Project, ARCHIBUS, and BUILDER.
**Qualifications**
**Education / Certifications:**
* Bachelor's degree in a relevant discipline.
**Experience / Skills**
* 10\+ years of experience in Real Property management support for government customers and/or contracts.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row>
    <row r="181">
      <c r="A181" t="inlineStr">
        <is>
          <t>li-4360915473</t>
        </is>
      </c>
      <c r="B181" t="inlineStr">
        <is>
          <t>Program Manager</t>
        </is>
      </c>
      <c r="C181" t="inlineStr">
        <is>
          <t>Novax Recruitment Group</t>
        </is>
      </c>
      <c r="D181" t="inlineStr">
        <is>
          <t>linkedin</t>
        </is>
      </c>
      <c r="E181">
        <f>HYPERLINK("https://www.linkedin.com/jobs/view/4360915473", "https://www.linkedin.com/jobs/view/4360915473")</f>
        <v/>
      </c>
      <c r="F181" t="inlineStr"/>
      <c r="G181" t="inlineStr">
        <is>
          <t>Chesapeake, VA</t>
        </is>
      </c>
      <c r="H181" t="inlineStr"/>
      <c r="I181" t="inlineStr">
        <is>
          <t>📌
 **Program Manager (CVN – Nuclear Aircraft Carrier Programs)** 
 📍
 **Chesapeake \| On\-site \| Shipyard Environment** 
 💼
 **Industry: Naval Shipbuilding / Heavy Industrial Programs** 
 🚀
 **Why This Role Matters** 
 This role leads the execution of complex naval programs supporting nuclear aircraft carrier projects. You’ll be responsible for driving performance across cost, schedule, quality, and stakeholder coordination in a highly regulated, mission\-critical environment. Your leadership directly impacts successful delivery, customer confidence, and long\-term program success.
 🎯
 **Key Responsibilities** 
* Lead program planning, execution, and performance tracking across cost, schedule, and quality.
* Serve as the primary point of contact for customers and internal stakeholders.
* Coordinate cross\-functional teams to ensure program alignment and delivery.
* Identify and manage risks, issues, and recovery actions.
* Support contract execution, change management, and proposal development.
* Drive continuous improvement and ensure adherence to quality and compliance standards.
 ✅
 **Ideal Candidate Profile** 
* Bachelor’s degree with 5\+ years of program management experience (or equivalent experience).
* Strong background in industrial, engineering, or shipyard environments.
* Experienced in managing complex programs, cross\-functional teams, and stakeholders.
* Solid understanding of project controls, financials, and operational execution.
* Confident leader with strong communication and problem\-solving skills.
 Apply online or email your resume to jwest@novaxrecruitment.com</t>
        </is>
      </c>
    </row>
    <row r="182">
      <c r="A182" t="inlineStr">
        <is>
          <t>li-4368839493</t>
        </is>
      </c>
      <c r="B182" t="inlineStr">
        <is>
          <t>Staff Program Manager, Trailering</t>
        </is>
      </c>
      <c r="C182" t="inlineStr">
        <is>
          <t>General Motors</t>
        </is>
      </c>
      <c r="D182" t="inlineStr">
        <is>
          <t>linkedin</t>
        </is>
      </c>
      <c r="E182">
        <f>HYPERLINK("https://www.linkedin.com/jobs/view/4368839493", "https://www.linkedin.com/jobs/view/4368839493")</f>
        <v/>
      </c>
      <c r="F182" t="inlineStr"/>
      <c r="G182" t="inlineStr">
        <is>
          <t>Milford, MI</t>
        </is>
      </c>
      <c r="H182" t="inlineStr"/>
      <c r="I182" t="inlineStr">
        <is>
          <t>**Job Description**
**Staff Program Manager, Trailering**
**Hybrid:** 
 This role is categorized as hybrid. This means the successful candidate is expected to report to the Technical Innovation Center in Warren (MI) or Proving Ground in Milford (MI) three times per week, at minimum. This position can be located at either of these 2 locations.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Staff Program Manager for Trailering within our Infotainment \&amp; Connectivity PMO, you will play a critical role in orchestrating the delivery of complex Trailering features from chassis, in vehicle application, mobile \&amp; web. You will ensure seamless coordination across engineering, product, and design teams, driving operational excellence and enabling scalable processes that support GM’s vision for safe, reliable vehicles with a competitive trailering experience.
**What You’ll Do**
* Lead execution of complex, cross\-functional infotainment and connectivity programs, ensuring alignment on scope, resources, and timelines for the Trailering domain end to end.
* Develop and maintain operational plans, track milestones, and proactively manage risks to ensure on\-time delivery across all teams for trailering such as chassis, application, mobile \&amp; web.
* Coordinate across engineering, product management, and supply chain to support vehicle launch deliverables and resolve critical issues.
* Design and optimize operational workflows for software integration and vehicle interface systems, driving process efficiency.
* Facilitate change management and adoption of new tools, systems, and operational rhythms across teams.
* Lead recurring operational reviews, readiness checks, and launch alignment meetings; provide executive\-level reporting and dashboards.
* Forecast resource needs, monitor program risks, and ensure compliance with safety\-critical software development practices.
* Champion operational best practices and continuous improvement initiatives to scale processes and enhance program performance.
* Act as a trusted partner to leadership, providing insights on program status, dependencies, and strategic trade\-offs.
* Lead regular sync with program teams to ensure alignment on current tasks and future initiatives are understood.
* Travel will be required between Michigan and Markham locations (1\-2x per year)
**Your Skills \&amp; Abilities (Required Qualifications)**
* 7\+ years of experience in operations or program management roles in fast\-paced, technical environments
* 5\+ years leading complex software or systems programs with direct ownership of delivery execution across multiple functions
* Proven track record in aligning cross functional teams, including product, engineering, supply chain, and operations, toward shared outcomes
* Experience operating in matrixed organizations, with strong influence skills and executive presence
* Expertise in Agile and Waterfall methodologies; fluency with tools like JIRA, Confluence, and Smartsheet or similar platforms
* Exceptional organizational and communication skills, with the ability to present data\-driven insights to senior leadership
* Ability to operate effectively in high complexity product environments, particularly in automotive systems
**What Will Give You a Competitive Edge (Preferred Qualifications)**
* Bachelor's degree in Engineering, Systems, Operations, or related field; MBA or Master’s degree preferred
* Experience with IVI, Infotainment systems, or automotive interface software/hardware integration
* Background in technical program management in R\&amp;D, manufacturing, or automotive product development (Trailering background or experience a plus)
* Ability to scale operational systems and processes to support evolving technology roadmaps and launch targets
* Familiarity with systems engineering principles, validation cycles, and safety standards relevant to automotive domains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83">
      <c r="A183" t="inlineStr">
        <is>
          <t>li-4368807281</t>
        </is>
      </c>
      <c r="B183" t="inlineStr">
        <is>
          <t>Arte Publico Press Program Manager 2</t>
        </is>
      </c>
      <c r="C183" t="inlineStr">
        <is>
          <t>University of Houston</t>
        </is>
      </c>
      <c r="D183" t="inlineStr">
        <is>
          <t>linkedin</t>
        </is>
      </c>
      <c r="E183">
        <f>HYPERLINK("https://www.linkedin.com/jobs/view/4368807281", "https://www.linkedin.com/jobs/view/4368807281")</f>
        <v/>
      </c>
      <c r="F183">
        <f>HYPERLINK("https://careers.uh.edu/jobs/arte-publico-press-program-manager-2-houston-texas-united-states&amp;urlHash=7p3J", "https://careers.uh.edu/jobs/arte-publico-press-program-manager-2-houston-texas-united-states&amp;urlHash=7p3J")</f>
        <v/>
      </c>
      <c r="G183" t="inlineStr">
        <is>
          <t>Houston, TX</t>
        </is>
      </c>
      <c r="H183" t="inlineStr"/>
      <c r="I183" t="inlineStr">
        <is>
          <t>**Department** 
 : Arte Publico Press
 **Salary** 
 : 49,400 \- 56,200
**Description**
 Manages the day\-to\-day operations of a large university program or department, including the supervision of staff employees, student workers, programs or processes.
* Plans and develops procedures for administering a large or complex department or program.
* Manages fiscal activities, including procurement and budget analysis.
* Provides guidance to subordinate staff and evaluates performance.
* Prepares abstracts, research reports, funding proposals, operations and procedure manuals, and other written material and documentation.
* Creates and reviews reports of expenditures and activities.
* May administer grants and grant\-related related communications, scholarships and other operations.
* Develops, implements and maintains appropriate policies and procedures.
* May serve as property custodian for the department.
* Performs other job\-related duties as assigned.
 The Project Manager is responsible for coordinating the day\-to\-day operations of the Puerto Rican Literature Project.This position manages project timelines, budgets, documentation, social media, and reporting; helps secure permissions and rights for archival and published materials; and coordinates communication among faculty, staff, students, and external partners. The Project Manager uses Asana to track tasks, workflows, and deliverables, ensuring project activities align with institutional policies and project requirements, and supports digital and archival workflows while monitoring project progress and outcomes.
**Experience Will Be Considered In Lieu Of Education.**
**Education will be considered in lieu of experience.**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Requires a minimum of one (1\) year of directly job\-related experience. Certification/Licensing: None.
 All positions at the University of Houston\-System are security sensitive and will require a criminal history check.
 The University of Houston System and its universities are Equal Opportunity Institutions. Everyone is encouraged to apply.</t>
        </is>
      </c>
    </row>
    <row r="184">
      <c r="A184" t="inlineStr">
        <is>
          <t>li-4361505509</t>
        </is>
      </c>
      <c r="B184" t="inlineStr">
        <is>
          <t>Material Program Manager</t>
        </is>
      </c>
      <c r="C184" t="inlineStr">
        <is>
          <t>CesiumAstro</t>
        </is>
      </c>
      <c r="D184" t="inlineStr">
        <is>
          <t>linkedin</t>
        </is>
      </c>
      <c r="E184">
        <f>HYPERLINK("https://www.linkedin.com/jobs/view/4361505509", "https://www.linkedin.com/jobs/view/4361505509")</f>
        <v/>
      </c>
      <c r="F184" t="inlineStr"/>
      <c r="G184" t="inlineStr"/>
      <c r="H184" t="inlineStr"/>
      <c r="I184"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The
 **Material Program Manager (MPM)** 
 , supports advanced phased array technology product lines. The MPM will support all programs’ supply chain activities and is the liaison between the Program Manager(s), Engineering team, other functional leads, and the Supply Chain organization. Typically viewed as a specialist in multiple aspects of the supply chain, this role requires a broad knowledge of financial, project, and material management. The MPM is involved in the development, coordination, and execution of program material strategies, supply chain goals, and company objectives.
 Working closely with Engineering, Quality, and Operations to create schedules based on MRP, responsibilities span from the front end of the business supply chain activities through contract closure. The successful candidate will have excellent written and oral communication skills to influence and communicate effectively across multiple areas outside of one’s own job function as well as with parties external to the organization.
**Job Duties And Responsibilities**
* Developing and executing supply chain strategies and plans
* Risk and Opportunity management, briefing in customer forums, and the ability to work in cross\-functional teams.
* Creating, managing, and executing material program strategy and the material program plan.
* Providing comprehensive Supply Chain support for Gate activities and ensuring compliance for the programs and tailoring when applicable.
* Driving supplier management process including supplier performance, SCM metrics, international issues, Make/Buy Where strategy, strategic agreements, and communication of customer flow through requirements such as FAR/DFARS, ITAR, offset, quality, warranty, etc.
* Developing and leading supply chain proposal activities including task descriptions and basis of estimates
* Developing and executing risk/opportunity plans to meet program objectives
* Monitoring and proactively addressing performance and financial metrics including those related to cost, schedule, quality, and EVMS.
* Developing and tracking budgets, targets, working capital, and initiating and maintaining accurate sales forecasts, short\-range outlooks (SRO), material EACs, sales and operating Plans and Annual Operating Plans (AOP).
* Flowing down Supplier Management Best Practices to suppliers which include risk mitigation and subcontract management plans.
* Support supply chain management in the development of standard processes, tools, reports, and methods to drive overall product execution.
**Job Requirements And Minimum Qualifications**
* A Bachelor's degree and a minimum of 7 years of relevant experience, or a graduate degree in a related field and a minimum of 5 years of experience.
* Experience with supply chain and related systems, procurement, production control/material planning, receiving, cost estimating, logistics, and/or finance.
* Experience interfacing with external customers and all levels of internal organization.
* Experience translating customer terms and conditions into supplier requirements and reviewing statements of work for completeness and conformance to program requirements.
* Experience with Supplier management and/or Subcontract management.
* Work experience in Supply Chain within the Aerospace Defense industry.
* Knowledge of US Government acquisition laws and regulations.
* Experience supporting proposal efforts.
 $121,500 \- $182,000 a year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5">
      <c r="A185" t="inlineStr">
        <is>
          <t>li-4367279754</t>
        </is>
      </c>
      <c r="B185" t="inlineStr">
        <is>
          <t>Program Manager - Member Networks</t>
        </is>
      </c>
      <c r="C185" t="inlineStr">
        <is>
          <t>Vizient, Inc</t>
        </is>
      </c>
      <c r="D185" t="inlineStr">
        <is>
          <t>linkedin</t>
        </is>
      </c>
      <c r="E185">
        <f>HYPERLINK("https://www.linkedin.com/jobs/view/4367279754", "https://www.linkedin.com/jobs/view/4367279754")</f>
        <v/>
      </c>
      <c r="F185" t="inlineStr"/>
      <c r="G185" t="inlineStr">
        <is>
          <t>Irving, TX</t>
        </is>
      </c>
      <c r="H185" t="inlineStr"/>
      <c r="I185"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support the day\-to\-day activities for a portfolio of peer networks offerings, industry content and services that advance member education, knowledge exchange, collaboration and elevate the overall member experience. You will support the pharmacy member network and pharmacy executive groups to support overall member engagement.
**Responsibilities**
* Maintain and build knowledge of member network and Vizient offerings to keep members informed through network events and interactions, member e\-mails, newsletters, and digital content.
* Recommend actions to improve member engagement, track and monitor network participation, satisfaction, and engagement metrics and provide analytics insight on trends.
* Manage virtual Community Platform, and member network rosters in customer relationship management database (CRM). Coordinate new member orientation communications. Analyze engagement; recommend and own improvement strategies.
* Manage and optimize Network calendar for rolling 3\-years, coordinating dates with members, leading communication (e.g. calendar invitations, attendance confirmations, etc.)
* Spearhead and actively engage in internal workgroups aimed at process improvement, member engagement strategy and enhanced team efficiency.
* Analyzes meeting content summaries and results, captures meeting follow\-up actions.
* Develop network budget forecasts, track and manage meeting expenses.
* Audit accuracy of member engagement and network participation reports.
* Plan and execute in\-person and virtual meetings (e.g. project workplan, logistics, SMEs, content, prep, calendar management, member experience, communications, etc.)
**Qualifications**
* Relevant degree preferred.
* 2 or more years of experience in program management or equivalent is required.
* Health care experience preferred, including leading teams and projects.
* Strong interpersonal relationship and client management experience required, including building collaborative internal stakeholder connections and relationships.
* Demonstrated ability to initiate, manage deadlines, multiple projects and timelines.
* Proficiency using Salesforce or similar CRM tool preferred.
* Proven written and verbal communication skills.
* Working use of ChatGPT, digital meeting engagement tools/software and other AI technology required.
* Advanced experience with excel, and related analytics to insight is required.
* Willingness to travel.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$68,500\.00 to $116,300\.00\.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86">
      <c r="A186" t="inlineStr">
        <is>
          <t>li-4368267865</t>
        </is>
      </c>
      <c r="B186" t="inlineStr">
        <is>
          <t>Technical Program Manager</t>
        </is>
      </c>
      <c r="C186" t="inlineStr">
        <is>
          <t>Jobs via Dice</t>
        </is>
      </c>
      <c r="D186" t="inlineStr">
        <is>
          <t>linkedin</t>
        </is>
      </c>
      <c r="E186">
        <f>HYPERLINK("https://www.linkedin.com/jobs/view/4368267865", "https://www.linkedin.com/jobs/view/4368267865")</f>
        <v/>
      </c>
      <c r="F186" t="inlineStr"/>
      <c r="G186" t="inlineStr">
        <is>
          <t>Almont, CO</t>
        </is>
      </c>
      <c r="H186" t="inlineStr"/>
      <c r="I186" t="inlineStr">
        <is>
          <t>Dice is the leading career destination for tech experts at every stage of their careers. Our client, Russell, Tobin \&amp; Associates, is seeking the following. Apply via Dice today!
 Technical Program Manager
**12\-Month W2 Contract \| Remote**
**Pay Rate:** 
 $65–$75/hour (W2, depending on experience)
**Location:** 
 Remote (CST or EST strongly preferred)
 Russell Tobin is supporting a
 **large, well\-known retail organization** 
 in the search for an experienced
 **Technical Program Manager (TPM)** 
 to lead complex, large\-scale technology initiatives. This role is ideal for a senior TPM with deep experience in
 **retail, consumer\-facing products, and product lifecycle management (PLM)** 
 who thrives in highly cross\-functional environments.
**What You’ll Do**
* Lead complex, cross\-functional technical programs from concept through delivery, ensuring alignment across engineering, product, business, and vendor teams
* Own program planning and execution, including scope definition, timelines, milestones, dependencies, and resource allocation
* Drive risk identification and mitigation, proactively addressing issues before they impact delivery
* Serve as a strong agile advocate, promoting best practices across multiple agile teams
* Facilitate quarterly planning, dependency management, and cross\-team coordination
* Ensure program\-level visibility through clear status reporting, forecasts, and metrics
* Partner closely with vendors, including selection, onboarding, and ongoing management
* Support continuous integration and delivery by removing impediments and enabling collaboration across teams
* Ensure quality standards through effective testing, validation, and governance processes
**Required Experience \&amp; Skills**
* 10\+ years of experience as a Technical Program Manager leading large, complex technical programs
* Strong background in retail or consumer product–focused organizations (companies that deliver physical or digital products to customers)
* Proven success delivering enterprise\-scale initiatives with multiple teams and stakeholders
* Experience working within or alongside PLM (Product Lifecycle Management) systems and processes
* Exceptional leadership and stakeholder management skills across technical and non\-technical audiences
* Expertise in:
+ Program and project planning (scope, timelines, milestones, resources)
+ Risk management and mitigation strategies
+ Resource forecasting and actualization tracking in PM systems
+ Vendor management and coordination
* Hands\-on experience with JIRA, Smartsheet, and similar planning/execution tools
* Strong knowledge of agile methodologies, including facilitating agile ceremonies and removing blockers
* Demonstrated ability to drive continuous improvement in tools, processes, and delivery practices
**Nice to Have**
* Background as a Software Development Engineer (SDE) or other technical role prior to moving into TPM
* Experience supporting multiple agile teams aligned to shared program goals
* Prior work in large, matrixed enterprise environments
**Why This Role?**
* Long\-term 12\-month W2 contract with a globally recognized retail organization
* Fully remote with strong work\-life flexibility
* Competitive hourly rate with consistent, full\-time work
* Opportunity to influence high\-impact, customer\-facing technology initiatives
*Russell Tobin / Pride Global offers eligible employee’s comprehensive healthcare coverage (medical, dental, and vision plans), supplemental coverage (accident insurance, critical illness insurance, and hospital indemnity), a 401(k)\-retirement savings plan, life \&amp; disability insurance, an employee assistance program, legal support, auto \&amp; home insurance, pet insurance, and employee discounts with preferred vendors.*
*\#RTA*
*\#JD\-E2EProf*</t>
        </is>
      </c>
    </row>
    <row r="187">
      <c r="A187" t="inlineStr">
        <is>
          <t>li-4368235910</t>
        </is>
      </c>
      <c r="B187" t="inlineStr">
        <is>
          <t>Senior Program Manager</t>
        </is>
      </c>
      <c r="C187" t="inlineStr">
        <is>
          <t>Benchmark</t>
        </is>
      </c>
      <c r="D187" t="inlineStr">
        <is>
          <t>linkedin</t>
        </is>
      </c>
      <c r="E187">
        <f>HYPERLINK("https://www.linkedin.com/jobs/view/4368235910", "https://www.linkedin.com/jobs/view/4368235910")</f>
        <v/>
      </c>
      <c r="F187" t="inlineStr"/>
      <c r="G187" t="inlineStr">
        <is>
          <t>Nashua, NH</t>
        </is>
      </c>
      <c r="H187" t="inlineStr"/>
      <c r="I187" t="inlineStr">
        <is>
          <t>At Benchmark, we are driven by our purpose: to innovate for a healthier, safer, and better\-connected world to create a brighter future. When you join us, you become part of a team passionate about making a meaningful impact across various sectors, including commercial aerospace, defense, advanced computing, next\-generation communications, complex industrials, medical, and semiconductor capital equipment. You’ll be part of a collaborative, diverse, and inclusive team that values your ideas and contributions.
**Summary:** 
 The program manager is responsible for the execution of customer strategies related to one or more customers including all products/programs from new product introduction through volume production. He/she is responsible for achieving high customer satisfaction, driving profitable business relationships and sales growth and providing strong leadership to the customer focus teams to ensure achievement of customer commitments.
**Responsibilities:** 
* Leader of the customer focus team (CFT). Prioritize and monitors all CFT activities.
* Acts as primary day\-to\-day customer point of contact and functions as the primary Customer contact in resolution management and responsible for the overall health of the customer relationship.
* Ensures successful new product introduction:
* Executes to NPI standard process
* Understands and monitors S\&amp;OP
* Sets appropriate expectations with customers
* Manages pricing and ECO prioritization during the process
* Understands and maintains customer product knowledge and roadmap
* Gains understanding of customer market and competition
* Establishes and monitors KPI’s related to E\&amp;O, PPV and inventory turns
* Manages recurring pricing activities. Uses contract, pricing model and updated costs to present new pricing to customers. Negotiates to successful completion.
* Monitors and investigates technical, scheduling, financial and quality metrics, which deviate from established requirements; determines cause, and, takes corrective action.
* Schedules Executive Business Reviews (EBR) and Quarterly Business Reviews (QBR)
* Sets meeting objectives, develops agendas and tools to accomplish objective
* Provides timely notification to GMs and global program managers of critical problems encountered, action taken, and anticipated effect on project objectives;
* Accountable for driving objectives related to continuous improvements
* Accountable to ensure the build and delivery schedules by working with the customer, internal supply chain, and operations.
* Works with SCA to ensure resolution of excess and obsolete inventory issues.
* Ensures the recovery for costs related to ECO activity, Non\-Recurring Expenses (NRE) and other miscellaneous.
* Meets and manages customer demand in accordance with contract, site inventory objectives, equipment and personnel capacity
* Ensures customer demand (PO and Forecast) is managed and well understood by CFT members
* Communicates updated data to close gap between customer request and Benchmark commitment (manage expectations)
* Tracks, trends and reports On\-Time Delivery to customer request and Benchmark commitment
* Monitors customer revenue plan through demand outlook
* Understands contractual obligations of the contract related to:
* Flexibility allowances and manages requests for pull\-ins and push\-outs or cancellations
* Payment terms and invoicing
* Any potential penalties from customer
* Cost reduction obligations/targets and communicates to organization
* Excess and obsolete terms, recovery and escalation path as required
* Warranty terms, recall and epidemic failure qualifiers
* Ensures execution to contract terms and conditions to meet Benchmark’s obligations.
* Communicates contract requirements internally.
* Conducts monthly Program Reviews utilizing Benchmark standard process.
* Executes customer quotation requests
* Assesses risk utilizing and the Risk/Liability Tool
* Ensures accuracy of quotations to protect gross margin
* Validates the establishment of quotes to actuals costs comparisons
* Coordinates with procurement organization to develop supply chain strategy which aligns with customer contract and site goals
* Identifies risk of inventory exposure, coordinates reserve with site controller
* Manages inventory days of sales
* Establish standard cost for parts based on customer’s influence, material, labor standard changes or inventory days
* Ensures Positive Price Variances alignment to site goals at the point of sale
* Reviews Supply Chain data related to component lead\-time, MOQ, and impacts to total inventory exposure
* Responsible to determine if customer will be responsible for negative PPV and or associated procurement costs and if so, collect money from customer
* Develops an understanding of DFx philosophy including Design for manufacturing, Design for Test, and Design for BOM or Cost and promotes with the customer and coordinates with the appropriate Benchmark function.
* Accountable for and ensures receipt and distribution of customer documentation packages.
* Coordinates collection and distribution of customer quality data.
* Ensures ECO process and impacts are captured and reported to customer.
* Monitors customer DPPM, DPU or DPMO with customer focus team to ensure quality measurements are within contract and customer required limits
* Monitors customer escapes events and lead customer focus team to root cause and corrective action driving closer of issues
* Monitors customer COPQ and works with CFT to reduce
* Participates in MRB activities to drive rapid resolution of issues
* Embraces change and adapts quickly to a new way of working
* Actively uses analytical skills to solve problems by gathering data, analyzing it and drawing concise solutions.
* Actively uses, applies and promotes problem solving tools (root cause, 8D, 5 Why's, 6Ms, etc.) in daily activities to recognize and define problems, analyze data, develop and implement solutions, and evaluate outcome.
* Possess sound negotiating ability. Effectively explores alternatives and positions to reach mutually beneficial sales agreements that gain customers’ acceptance and commitment. Effectively explores alternatives to reach mutually beneficial agreements that gain customers’ acceptance and commitment.
* Exhibits solid understanding of the concepts and how to positively impact OI and RONA levers.
* Where applicable, recruits, interviews and hires team members. Continuously assesses individual and team strengths and development needs. Coaches and mentor subordinates. Creates and manages succession plans.
* Establishes clear measurable goals and objectives by which to assess individual and team results (i.e. metrics, results against project timelines, training documentation, knowledge of roles and responsibilities, personal development goals). Drives individuals and teams to continuously improve in key metrics and the achievement of organizational goals. Ensures that the responsibilities, authorities, and accountability of all direct subordinates are defined and understood.
* Drives a lean culture. Identifies creative ways to reduce cost by streamlining processes and systems (i.e. modification of responsibilities or consolidation of tasks, elimination of non\-value\-added processes, or complete re\-engineering of processes and systems).
**Qualifications:** 
* Effective organization and prioritization skills
* Demonstrate high attention to detail
* Ability to work with minimal supervision and guidance, exercising discretion and independent judgment.
* Demonstrated leadership and people management skills including ability to effectively coach and mentor employees at all levels.
* Enthusiastic and motivational communicator with multi\-cultural experience.
* Excellent interpersonal skills with the ability to interact and influence individuals, internally and externally, across all levels, functions and geographies.
* Use of discretion with the ability to gain trust of business leaders and others to discuss and respond to sensitive and business critical issues.
* Effective negotiation and problem\-solving skills.
* Collaborate and influence cross functional peer leaders in order to obtain support for process improvements
* Solid financial understanding, risk analysis ability, relationship building and project management.
**Additional Specific Qualifications for this position:** 
* Ability to support a global business operation as required
* Manage, understand and present data for monthly program reviews
* Solid financial understanding, risk analysis ability, relationship building and project management
* Available for travel up to 25% of the time, including day, overnight and internationally, as required
* 8\+ years of program management experience, 5\+ years in a leadership role
* Experience with more complex and larger customer accounts
**Education:** 
 4\-year degree in engineering discipline or business
**Geographical Location: New Hampshire: Nashua** 
**Physical Location: Nashua, NH** 
**Shift: Shift 1** 
**Work Schedule: M\-F 0800\-1700** 
**Full Time** 
**Export Control:** 
 This job position may include access to controlled information or technology covered under applicable U.S. export control laws. As such, employment for this job position may be contingent on either verification that an applicant falls under the definition of a “U.S. Person” (which includes U.S. citizens, U.S. lawful permanent residents, and those granted U.S. asylum or refugee status)or on the Company timely obtaining any necessary export license required under federal laws. The Company evaluates such export license situations on a case\-by\-case basis and may decline to proceed with a job applicant in its sole discretion since export license applications can take many weeks to be processed.
 Benchmark is an equal opportunity employer. We are bringing together a diverse workforce with unique talents, life experiences, cultures, and perspectives to promote an innovative, collaborative, and creative place to work. If you need assistance or an accommodation due to a disability, please email us at
 careers@bench.com
 .</t>
        </is>
      </c>
    </row>
    <row r="188">
      <c r="A188" t="inlineStr">
        <is>
          <t>li-4357725153</t>
        </is>
      </c>
      <c r="B188" t="inlineStr">
        <is>
          <t>Operations Program Manager II</t>
        </is>
      </c>
      <c r="C188" t="inlineStr">
        <is>
          <t>BAE Systems, Inc.</t>
        </is>
      </c>
      <c r="D188" t="inlineStr">
        <is>
          <t>linkedin</t>
        </is>
      </c>
      <c r="E188">
        <f>HYPERLINK("https://www.linkedin.com/jobs/view/4357725153", "https://www.linkedin.com/jobs/view/4357725153")</f>
        <v/>
      </c>
      <c r="F188">
        <f>HYPERLINK("https://jobs.baesystems.com/global/en/job/BAE1US120579BREXTERNAL/Operations-Program-Manager-II?utm_source=linkedin&amp;utm_medium=phenom-feeds&amp;urlHash=f_dB", "https://jobs.baesystems.com/global/en/job/BAE1US120579BREXTERNAL/Operations-Program-Manager-II?utm_source=linkedin&amp;utm_medium=phenom-feeds&amp;urlHash=f_dB")</f>
        <v/>
      </c>
      <c r="G188" t="inlineStr">
        <is>
          <t>Nashua, NH</t>
        </is>
      </c>
      <c r="H188" t="inlineStr"/>
      <c r="I188" t="inlineStr">
        <is>
          <t>**Job Description**
 F\-35 Block 4 Development is seeking an Operations Program Manager to join our dynamic team and play a critical role in driving the future of F35 portfolio. The ideal candidate will be supporting critical deliverables including:
* Achieving critical program milestones for internal/external customers
* Collaborating with cross\-functional teams, including operations, factory, program, and supply chain stakeholders to drive program success
* Proactively managing budgets and overseeing Control Account Management (CAM) responsibilities to ensure effective resource allocation and cost control
 This role is key to providing the warfighter critical capabilities in a timely manner while ensuring the long\-term success of the F35 product line.
**Required Education, Experience, \&amp; Skills**
* Bachelor's Degree, and six or more years of experience
* Strong communication, collaboration, and problem\-solving skills, with the ability to influence and lead teams.
* Ability to work in a fast\-paced environment, manage complex issues, and drive teams to meet deadlines and implement solutions.
* Strong organizational and time management skills, with ability to prioritize, multi\-task, and manage major projects
* Proficiency in MS Office (Excel, PowerPoint, Word)
**Preferred Education, Experience, \&amp; Skills**
* Aerospace/Defense experience, with focus areas in Operations, Supply Chain Planning, and/or Manufacturing
* experience with cost account management (CAM)
* Master’s Degree, PMP
**Pay Information**
 Full\-Time Salary Range: $118095 \- $200762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89">
      <c r="A189" t="inlineStr">
        <is>
          <t>li-4368234798</t>
        </is>
      </c>
      <c r="B189" t="inlineStr">
        <is>
          <t>Project/Program Manager - Project/Program Manager I</t>
        </is>
      </c>
      <c r="C189" t="inlineStr">
        <is>
          <t>Jobs via Dice</t>
        </is>
      </c>
      <c r="D189" t="inlineStr">
        <is>
          <t>linkedin</t>
        </is>
      </c>
      <c r="E189">
        <f>HYPERLINK("https://www.linkedin.com/jobs/view/4368234798", "https://www.linkedin.com/jobs/view/4368234798")</f>
        <v/>
      </c>
      <c r="F189">
        <f>HYPERLINK("https://click.appcast.io/t/ZO0mbT5Rr8hi9qMezQ6s4tb3ew9tEqsyGStmanUWK1Q=&amp;urlHash=kAKC", "https://click.appcast.io/t/ZO0mbT5Rr8hi9qMezQ6s4tb3ew9tEqsyGStmanUWK1Q=&amp;urlHash=kAKC")</f>
        <v/>
      </c>
      <c r="G189" t="inlineStr">
        <is>
          <t>Seattle, WA</t>
        </is>
      </c>
      <c r="H189" t="inlineStr"/>
      <c r="I189" t="inlineStr">
        <is>
          <t>Dice is the leading career destination for tech experts at every stage of their careers. Our client, Apex Systems, is seeking the following. Apply via Dice today!
**Job\#: 3020565**
**Job Description:**
**JOB TITLE:** 
**Project/Program Manager I**
**DURATION: 8 MONTHS**
**LOCATION: ONSITE IN SEATTLE, WA**
**PAY RATE: $31 \- $41 HOURLY**
**Job Description:** 
 Warehousing Data Input Management on Smartsheet
* Program needs 2 independent contractors
* They will need to be able to use smartsheet to add/edit data
* They will need to be able to work with transportation coordinates for shipment update
* Hands on excel proficiency to filter/sort/basic formulas
* Must be able to use web to find/search information
 1\-2 yrs supply chain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190">
      <c r="A190" t="inlineStr">
        <is>
          <t>li-4368500044</t>
        </is>
      </c>
      <c r="B190" t="inlineStr">
        <is>
          <t>Leadership Development Program Manager</t>
        </is>
      </c>
      <c r="C190" t="inlineStr">
        <is>
          <t>ACCO Engineered Systems</t>
        </is>
      </c>
      <c r="D190" t="inlineStr">
        <is>
          <t>linkedin</t>
        </is>
      </c>
      <c r="E190">
        <f>HYPERLINK("https://www.linkedin.com/jobs/view/4368500044", "https://www.linkedin.com/jobs/view/4368500044")</f>
        <v/>
      </c>
      <c r="F190">
        <f>HYPERLINK("https://ekkt.fa.us2.oraclecloud.com/hcmUI/CandidateExperience/en/job/6522/?utm_medium=jobshare&amp;urlHash=IiKe", "https://ekkt.fa.us2.oraclecloud.com/hcmUI/CandidateExperience/en/job/6522/?utm_medium=jobshare&amp;urlHash=IiKe")</f>
        <v/>
      </c>
      <c r="G190" t="inlineStr">
        <is>
          <t>Pasadena, CA</t>
        </is>
      </c>
      <c r="H190" t="inlineStr"/>
      <c r="I190" t="inlineStr">
        <is>
          <t>**Job Summary**
**JOB DESCRIPTION**
 The Leadership Development Program Manager is responsible for designing, building, and managing ACCO’s leadership development programs, with primary ownership of core leadership programs (IC → Manager → Senior Manager) and shared leadership of Executive Leadership Development initiatives.
 This role requires hands\-on ownership of both leadership program strategy and the development of core learning content, including the ability to build key elements internally and to effectively direct, review, and coach external vendors when deeper production support is required.
 While external partners may be used for large\-scale or executive\-level initiatives, this role owns the learning strategy, core design decisions, and quality of all leadership development content. The Program Manager works closely with the Director of Training \&amp; Development for alignment and final approval.
**Essential Duties And Responsibilities**
 Leadership Program Design \&amp; Delivery
* Design, launch, and manage leadership development programs aligned with ACCO’s leadership philosophy, Core Values, and ACCO Advantage.
* Translate business priorities and leadership expectations into clear program architectures and learning journeys.
* Ensure programs are practical, behavior\-focused, and connected to business outcomes.
 Program Ownership \&amp; Management
* Serve as the primary owner for manager\-level leadership programs, including roadmap, content, delivery model, and evaluation.
* Manage program operations including scheduling, enrollment, cohort management, and facilitation coordination.
* Establish and maintain program calendars aligned with business needs.
 Executive Leadership Development (Strategic Partnership)
* Partner with the Director of Training \&amp; Development to architect and launch executive leadership development programs.
* Support discovery, design decisions, and program architecture for executive initiatives.
* Lead engagement with external vendors and consultants, ensuring quality and alignment.
* Review, critique, and refine vendor\-developed content.
 Instructional Design \&amp; Content Development
* Design and build core instructional assets as needed, including slide decks, facilitator guides, participant materials, and leadership toolkits.
* Apply adult learning principles to create engaging, relevant, and scalable learning experiences.
* Collaborate with Instructional Designers on advanced or media\-rich development while maintaining design ownership.
 Stakeholder Engagement \&amp; Measurement
* Partner with senior leaders, HR, and business stakeholders to align programs with talent strategies.
* Communicate program intent, progress, and outcomes clearly.
* Define success metrics, track participation and outcomes, and use data to improve programs.
**Position Requirements (Work Experience, Skills, Licenses, Etc.)**
* Bachelor’s degree in Business, Education, Organizational Development, or related field.
* 5\+ years of experience in leadership development, learning \&amp; development, or talent development.
* Demonstrated experience designing and delivering leadership development programs.
* Strong facilitation, communication, and stakeholder management skills.
* Proven ability to manage multiple initiatives simultaneously.
**Desired**
* Master’s degree in Organizational Development, Education, or related field.
* Experience working with external vendors or consultants.
* Experience designing and building leadership learning content independently.
* Working knowledge of instructional design tools; exposure to Vyond or Articulate Storyline is a plus.
* Experience in construction, engineering, or operationally complex organizations.
**ACCO Competencies**
* Proactivity/Initiative: Recognizes what needs to be done and accomplishes it in a manner appropriate for one’s level/position and with minimal supervision.
* Perseverance: Shows wherewithal to fight for difficult goals despite challenges and to bounce back from adversity.
* Motivation/Dedication: Commits to excellence in pursuing unselfish goals. Initiates action with collective goals, takes responsibility, and shows personal humility.
* Technical Curiosity/Willingness to Learn: Interest in seeking out new experiences, knowledge, and candid feedback; demonstrating an openness to learning and change.
* Insight: The ability to gather and make sense of information that suggests new possibilities.
* Engagement: Shows a knack for using emotion and logic to communicate a persuasive vision and connect with people.
* People Skills: Is approachable and gains the mutual trust and respect of others. Understands people’s strengths \&amp; weaknesses and actively seeks to understand other perspectives.
* Communication: Fosters open, honest, candid and respectful communication. Effectively assesses, defines and communicates issues in a timely manner, both written and verbal.
* Teamwork: The ability to effectively work toward common goals with others by supporting, encouraging, and sharing information in an authentic and approachable manner.
* Big Picture: Understands and contributes to the organizations’ short\- and long\-term business strategy. On a personal level has independently developed a vision for short\- and long\-term career success.
* Problem\-Solver: Ability to identify, analyze, and solve problems in support of personnel, group, department, or organizational objectives.
* Execution: Effectively takes a vision and translates into action by including the right people. Identify and remove barriers, when possible, to achieve results. Demonstrates appropriate compromise, effective time management, prioritization practices and holds team members (including themselves) accountable for their performance/conduct.
* Professionalism: Respectfully observes and challenges the status quo with intent for improvement. Can take direction, accept feedback, and take full responsibility for their actions. Lead by example through positive influence and ethical leadership with consideration of the entire organization.
**Job Responsibility Level**
 No direct reports
**Travel Requirements**
 Travel required 5\-10 % of the time to other office locations.
**Hours**
 This is an exempt position. Workdays are scheduled from Monday through Friday. Typically, work hours begin and end between 7:00 am and 5:00 pm as scheduled with the position's supervisor. Work outside of regular hours may occasionally be necessary to meet business needs.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Must frequently lift and/or move up to x pounds and occasionally lift and/or move up to x pounds.
* Specific vision abilities required by this job include close vision and ability to adjust focus.
* Prolonged sitting.
* Frequently required to reach with hands and arms.
* Occasionally required to stand; walk and stoop, kneel, crouch.
**Competitive Wages**
 $106,000 to $143,000 annually.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\#ACCO</t>
        </is>
      </c>
    </row>
    <row r="191">
      <c r="A191" t="inlineStr">
        <is>
          <t>li-4366935150</t>
        </is>
      </c>
      <c r="B191" t="inlineStr">
        <is>
          <t>Strategic Accounts Program Manager</t>
        </is>
      </c>
      <c r="C191" t="inlineStr">
        <is>
          <t>Allied Universal</t>
        </is>
      </c>
      <c r="D191" t="inlineStr">
        <is>
          <t>linkedin</t>
        </is>
      </c>
      <c r="E191">
        <f>HYPERLINK("https://www.linkedin.com/jobs/view/4366935150", "https://www.linkedin.com/jobs/view/4366935150")</f>
        <v/>
      </c>
      <c r="F191">
        <f>HYPERLINK("https://click.appcast.io/t/RmQMzkqIr-04LEqq3RkC17-3rzZIYwZX6DXowyJ9J3Q=&amp;urlHash=ocAV", "https://click.appcast.io/t/RmQMzkqIr-04LEqq3RkC17-3rzZIYwZX6DXowyJ9J3Q=&amp;urlHash=ocAV")</f>
        <v/>
      </c>
      <c r="G191" t="inlineStr">
        <is>
          <t>Sunnyvale, CA</t>
        </is>
      </c>
      <c r="H191" t="inlineStr"/>
      <c r="I191" t="inlineStr">
        <is>
          <t>**Overview**
 Company Overview:
 Join Allied Universal® Technology Services, a global leader in transforming the security industry. We integrate advanced technology \- video surveillance, electronic access control, alarm monitoring and augmented solutions with physical security to help people feel safe. Whether you're an installation technician, service technician, engineer, or project manager, you'll discover rewarding opportunities to grow your career as part of a valued team.
 Apply today and be phenomenal\-build a meaningful career while protecting what matters most through innovative security technology.
**Job Description**
 Allied Universal® Technology Services is hiring a Program Manager with the Strategic Accounts Team. The Program Manager functions to ensure that the program to which they are assigned is successful and arrives at a profitable completion. Responsible for overall program progress, contract management, cost control, financial reporting, scheduling, quality assurance and control, and safety.
**Responsibilities**
* Manage the development of strategic plans, budgets, reports, and financial forecasts
* Update, develop, and implement processes while planning, organizing, and facilitating meetings with consistent follow\-up and clear communication to all stakeholders
* Ensures that the requirements of the contract and customer are met
* Serve as the primary customer contact for all contract and construction\-related matters
* Enforce a strict safety program focused on accident prevention and maintaining a safe work environment for employees, subcontractors, visitors, and the public
* Facilitate and confirm all program activities protect company assets and align with company policies and procedures
* Lead, manage and direct the program, as well as staffing activities including training, evaluating and coaching
* Support Business Development and Project Development teams by identifying and pursuing new opportunities and preparing estimates and proposals for potential work
**Qualifications (must Have)**
* Must possess one or more of the following:
+ Bachelor's degree in construction management or engineering
+ Technical Associate's degree in electronics with 3 years of construction\-based experience
+ High school diploma or equivalent with 5 years of construction\-based work experience
* Current driver's license if driving a company vehicle, or personal vehicle in the course of conducting business (e.g., client visits, attending networking events)
* Ability to work various shifts and weekends, as dictated by the operational needs of the team
* Demonstrated ability to take initiative, successfully handle and prioritize multiple competing assignments, and effectively manage deadlines
* Minimum of five (5\) years of progressively more responsible field construction and management experience
* Minimum of two (2\) years of supervisory or management\-level experience
* Demonstrated ability to take initiative, successfully handle and prioritize multiple competing assignments, and effectively manage deadlines
* Highly proficient in Microsoft Office applications and able to effectively utilize all available office management technology
* Ability to successfully interact with internal and external stakeholders and as a team player required
**Preferred Qualifications (nice To Have)**
* Master's degree in Engineering, Construction Management, or related field
* Security experience with CCTV, card readers, security software, and security fencing or relatable
**Benefits**
* Medical, dental, vision, retirement plan, basic life, AD\&amp;D, and disability insurance
* Eight paid holidays annually, five sick days, and four personal days
* Vacation time is offered at an accrual rate of 3\.08 hours biweekly. Unused vacation is only paid out where required by law.
* Pay Range: $140,000\-$180,000 annually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difficulty using the online system and require an alternate method to apply or require an accommodation, please contact our local Human Resources department. To find an office near you, please visit: www.aus.com/offices.
 Requisition ID
 2026\-1522841</t>
        </is>
      </c>
    </row>
    <row r="192">
      <c r="A192" t="inlineStr">
        <is>
          <t>li-4368834204</t>
        </is>
      </c>
      <c r="B192" t="inlineStr">
        <is>
          <t>Program Manager PTA</t>
        </is>
      </c>
      <c r="C192" t="inlineStr">
        <is>
          <t>Aegis Therapies</t>
        </is>
      </c>
      <c r="D192" t="inlineStr">
        <is>
          <t>linkedin</t>
        </is>
      </c>
      <c r="E192">
        <f>HYPERLINK("https://www.linkedin.com/jobs/view/4368834204", "https://www.linkedin.com/jobs/view/4368834204")</f>
        <v/>
      </c>
      <c r="F192">
        <f>HYPERLINK("https://careers.aegistherapies.com/us/en/job/AETHUSR0044026/Program-Manager-PTA?utm_source=linkedin&amp;utm_medium=phenom-feeds&amp;urlHash=iLL4", "https://careers.aegistherapies.com/us/en/job/AETHUSR0044026/Program-Manager-PTA?utm_source=linkedin&amp;utm_medium=phenom-feeds&amp;urlHash=iLL4")</f>
        <v/>
      </c>
      <c r="G192" t="inlineStr">
        <is>
          <t>Washington, IA</t>
        </is>
      </c>
      <c r="H192" t="inlineStr"/>
      <c r="I192" t="inlineStr">
        <is>
          <t>**Physical Therapy Assistant \- Rehab Program Manager**
 Job Type: Full\-time
 Schedule: 40 hours per week
 Setting: Nursing Home, Skilled Nursing Facility
 Location: Halcyon House \- Washington, IA
 Pay: $27 to $35 per hour
 If you’re brimming with ambition and a desire to learn, a
 **Program Manager** 
 role with Aegis Therapies is right for you. This position is a steppingstone to management roles, and it allows you to gain management experience without being a direct supervisor.
**Aegis Therapies** 
 , one of the nation’s leading providers of rehabilitation and wellness services, is hiring a
 **Program Manager** 
 to join our supportive team and reap the benefits of some of the best career advantages in the industry.
**Why Aegis Therapies**
* Career Growth \&amp; Development: We invest in your future with specialized, ongoing training, career advancement opportunities and the strongest clinical support in the industry.
* Flexibility \- Redefining Work\-life Balance: We offer you the opportunity to maintain flexibility and a healthy work\-life balance, so you never have to choose between your career and the things that make life worth living.
* Impactful Work: Make a meaningful difference in the lives of our patients.
* Supportive Environment: Collaborate with teams that value your expertise and dedication.
**Benefits**
* Support, local clinical mentorship, clinical education and unlimited CEUs
* Create your own career path: clinically, management, etc.
* Flexible schedule, paid time off, plus one paid CEU day
* Licensure and professional membership reimbursement
* Interdisciplinary collaboration for providing the best patient care
* Medical, dental, vision within 30 days or less
* National opportunity to transfer while maintaining employment status
* Multiple settings nationwide: CCRC, SNF, Assisted Living, Outpatient Clinics, Home Health
* New Grads Welcomed!
* And much more
**Qualifications**
* Graduate from Therapy program
* Current license or ability to obtain as a Therapist in the state of practice
 As a lead in the building, you’ll treat patients while getting some experience with administrative tasks, such as scheduling and serving as a liaison for the Director of Rehab.
**If you love to make a difference in people’s lives and have big goals for yourself, apply today.**
 EEO Statement: Aegis Therapies and its Family of Companies is committed to a diverse workforce and is an Equal Opportunity Employer. For detailed information on your rights, Click Here OR https://aegistherapies.com/equal\-opportunity\-employer\-provider\-of\-healthcare\-services/.</t>
        </is>
      </c>
    </row>
    <row r="193">
      <c r="A193" t="inlineStr">
        <is>
          <t>li-4368677301</t>
        </is>
      </c>
      <c r="B193" t="inlineStr">
        <is>
          <t>Senior State Technical Officer/ State Program Manager (Health Systems Strengthening &amp; Governance)</t>
        </is>
      </c>
      <c r="C193" t="inlineStr">
        <is>
          <t>Jhpiego</t>
        </is>
      </c>
      <c r="D193" t="inlineStr">
        <is>
          <t>linkedin</t>
        </is>
      </c>
      <c r="E193">
        <f>HYPERLINK("https://www.linkedin.com/jobs/view/4368677301", "https://www.linkedin.com/jobs/view/4368677301")</f>
        <v/>
      </c>
      <c r="F193" t="inlineStr"/>
      <c r="G193" t="inlineStr">
        <is>
          <t>Marion County, IN</t>
        </is>
      </c>
      <c r="H193" t="inlineStr"/>
      <c r="I193" t="inlineStr">
        <is>
          <t>**Overview**
 Jhpiego is a global health leader and affiliate of Johns Hopkins University dedicated to strengthening health systems and improving health outcomes. In India, Jhpiego partners with national and state governments to strengthen health service delivery, governance, and systems, particularly through Comprehensive Primary Health Care (CPHC) platforms including HWCs and Ayushman Bharat initiatives. Our approach emphasizes institutional strengthening, quality of care, innovation, and sustainable health system interventions aligned with Government of India and state priorities. The position will be housed in the Secretary’s Office to support strategic coordination, deliver technical direction, and support the implementation of health systems strengthening and integrated primary health care initiatives.
 The Sr State Technical Officer will provide technical input and operational support to the Secretary, NHM Department, and Jhpiego’s Senior Program Manager in planning, implementation, monitoring, and governance of priority public health systems and primary care reform activities. The position will work closely with national and state teams to support planning, implementation, monitoring, and reporting of program activities, ensure coordination with government counterparts, facilitate technical exchanges, and contribute to data\-informed deliverables under strategic direction.
**Responsibilities**
* Strategic Support \&amp; Policy Guidance
 The State Technical Officer Will Provide Technical Input And Coordination Support On Policy, Planning, And Health System Strengthening Under The Guidance Of The Senior Program Manager
* Offer informed technical perspectives to assist the Secretary, NHM, and government counterparts on priority health systems strengthening, governance reforms, and CPHC areas.
* Support alignment of Maharashtra health priorities with relevant national frameworks (e.g., Ayushman Bharat, NHM, CPHC, NP\-NCD, quality assurance frameworks including NQAS).
* Support development of state\-specific roadmaps, work\-plans, briefs, technical summaries, policy inputs, evidence materials, and guidance documents needed for decision\-making.
* Facilitate evidence\-informed planning, including synthesis of best practices, operational guidelines, and integration of quality improvement approaches.
* Lead discussions and engagement around quality of care improvements at the primary care level (including but not limited to NQAS).
* Assist in promoting governance mechanisms to enhance institutional performance, accountability, monitoring, and coordinated action across sectors.
* Represent Jhpiego at national and state\-level meetings involving government and development partners.
**Program Oversight, Implementation Support \&amp; Coordination**
 The State Technical Officer Will Support Implementation And Coordination Under Strategic Direction From The Senior Program Manager With The Government Of Maharashtra And NHM
* Work closely with national and state teams to develop annual work plans for the program and support implementation and monitoring of activities per agreed plans and timelines.
* Work with state leads and government counterparts to develop, implement, and monitor state\-specific CPHC project activities, including roadmaps, work\-plans, activities, and reports.
* Support development, tracking, and refinement of operational work plans for health systems strengthening and integrated primary care activities, ensuring alignment with NHM/PIP processes and state strategies.
* Backstop project teams in providing technical assistance to state governments for operationalization of Health \&amp; Wellness Centers and for creating training ecosystems.
* Facilitate coordination with MoHFW officials and State Government/NHM officials for smooth project management and timely response to requests.
* Facilitate development of financial proposals for operationalization of HWCs jointly with state officials for incorporation into the state’s NHM Program Implementation Plan (PIP).
* Establish an innovative ecosystem for co\-designing, incubating, and testing local solutions to address key barriers affecting delivery of CPHC.
* Lead implementation and scale\-up of innovative solutions across the state.
* Provide hands\-on support and build capacity of project teams to achieve project goals.
**Capacity Strengthening \&amp; Technical Support**
 The State Technical Officer will contribute to strengthening institutional capacities under senior guidance:
* Support facilitation of capacity\-building activities for government teams on governance, performance monitoring, quality assurance, operational coordination, and related topics.
* Contribute technical content, tools, and resources for training, workshops, coaching sessions, and on\-site support activities implemented in partnership with government counterparts.
* Facilitate project activities, including trainings, onsite coaching, workshop planning, and logistics planning to ensure smooth implementation.
**General Responsibilities**
* Frequent travel to the state and districts as required by project needs.
 Perform other activities assigned by the supervisor to achieve organizational goals
**Required Qualifications**
**Essential Qualifications**
* MBBS with MD Community Medicine or MBBS/BAMS/BHMS with master’s degree in public health (MPH) in Health Policy \&amp; Management/Social Epidemiology/Health Systems, or equivalent.
* Professional training or certification in health governance, systems strengthening, or public administration is desirable.
**Experience**
* At least 7–9 years of progressively responsible experience in public health program implementation, coordination or technical support, with demonstrated work in health systems strengthening, governance reforms, or integrated primary health care at the state or national level.
* Experience working with government health departments (state health agencies, NHM, or related institutional partners) supporting planning, implementation, coordination, or monitoring of public health systems initiatives.
* Practical experience in policy implementation support, strategic planning processes (such as PIP), quality enhancement frameworks (e.g., NQAS), and engagement with cross\-sector stakeholders.
* Demonstrated experience supporting capacity building efforts, technical coordination, and operational planning within government or public health programs.
* Proven ability to assist in the preparation of technical briefs, reports, monitoring documentation for senior leadership, government planning cycles, or donor requirements.
**KEY COMPETENCIES**
* Technical Knowledge: Strong understanding of health systems strengthening, governance mechanisms, integrated service delivery, and comprehensive primary health care.
* Analytical \&amp; Problem\-Solving: Ability to analyze program data, support monitoring, and contribute to evidence\-informed recommendations.
* Government \&amp; Stakeholder Engagement: Ability to work collaboratively with government counterparts, NHM officials, and partners to support technical coordination.
* Communication: Clear and effective written and oral communication skills, including report preparation and documentation.
* Planning \&amp; Coordination: Competent in organizing tasks, supporting work plan execution, and coordinating technical activities within timelines.
* Teamwork \&amp; Adaptability: Works well in team settings, adaptable to evolving priorities, and responsive to guidance from Senior Program Manager.</t>
        </is>
      </c>
    </row>
    <row r="194">
      <c r="A194" t="inlineStr">
        <is>
          <t>li-4354806459</t>
        </is>
      </c>
      <c r="B194" t="inlineStr">
        <is>
          <t>EV Fleet Facilities Program Manager</t>
        </is>
      </c>
      <c r="C194" t="inlineStr">
        <is>
          <t>Turner &amp; Townsend</t>
        </is>
      </c>
      <c r="D194" t="inlineStr">
        <is>
          <t>linkedin</t>
        </is>
      </c>
      <c r="E194">
        <f>HYPERLINK("https://www.linkedin.com/jobs/view/4354806459", "https://www.linkedin.com/jobs/view/4354806459")</f>
        <v/>
      </c>
      <c r="F194">
        <f>HYPERLINK("https://jobs.smartrecruiters.com/TurnerTownsend/744000103297542-ev-fleet-facilities-program-manager&amp;urlHash=H0A8", "https://jobs.smartrecruiters.com/TurnerTownsend/744000103297542-ev-fleet-facilities-program-manager&amp;urlHash=H0A8")</f>
        <v/>
      </c>
      <c r="G194" t="inlineStr">
        <is>
          <t>San Francisco, CA</t>
        </is>
      </c>
      <c r="H194" t="inlineStr"/>
      <c r="I194"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**Turner \&amp; Townsend** 
 is seeking an
 **EV Fleet Facilities Program Manager** 
 to support a high\-tech client’s infrastructure and business growth. In this role, you will lead the strategic planning and execution of the EV Charging Program, ensuring that fleet facility deployments are scalable, efficient, and aligned with business objectives. You’ll manage evolving project requirements across areas such as Security, Networking, Operations, and Facility Management. Additionally, you’ll develop and implement standards, processes, tools, and dashboards, while serving as the primary point of contact for both internal teams and external partners.
**Responsibilities** 
 :
* Responsible for the project management oversight of EV Charging program, overseeing the implementation and pre\-construction activities for charger deployment nationwide as well as facility management requirements for daily operations.
* Responsible for business unit oversight for Vendor Owned Vendor Operated/Charging as a service (Chaas) projects and initiatives. Overseeing the pre\-construction phasing, which include schedule, budgeting, due diligence and onboarding, and ensuring alignment with client’s business strategy and roadmap.
* Collect program requirements from Product Operations and cross\-functional client teams for new technology, efficiencies, and operational enhancements to client’s EV fleet facility space and translate them into infrastructure needs to partners.
* Oversee due diligence efforts, including site visits, site selection, permitting investigation, and property/electrical due diligence performed by Partners, ensuring informed decision\-making while adapting to dynamic scope changes.
* Synthesize and present executive\-level business cases that address infrastructure and technological considerations.
* Build trusted relationships across the business, acting as a liaison to ensure alignment between various divisions, partners, and client’s investment and portfolio strategies.
* Collaborate closely with Global Places and Service (GPS), Product Operations, Business Development, Legal, Finance, Security, Network, and other partners to deliver successful projects.
* Create, innovate, and implement relevant systems of metrics to plan, manage, and measure performance pertaining to the Partnership Program and facility management for EV fleet facilities.
* SOX control responsibilities may be part of this role, which are to be adhered to where applicable.
**Qualifications**
* Minimum 8 years of real estate project management experience, specifically in EV charging facilities. A plus for industrial operations, R\&amp;D, lab, and commercial office spaces of at least 300,000 square feet.
* Expertise in business relationship management, balancing strategic goals across different divisions.
* Experience leading large\-scale real estate projects, orchestrating teams of stakeholders through deal flows valued at $20M each or greater.
* Exceptional project delivery skills, including navigating jurisdictional limitations, communicating recommendations effectively, and ensuring project success.
**Preferred Qualifications:**
* Experience in developing and implementing process improvements to streamline project delivery cycles.
* Proven track record of objective analysis in fast\-paced environments where speed, flexibility, and frugality are valued.
* Advanced financial reporting, analysis acumen, and budget management skills.
* Interest or experience in the automotive and/or rideshare sector is preferred.
* Drive to work in a startup environment, ideally within the tech industry.
**Additional Information**
**The salary range for this full\-time role is
 $140K\-$170K
 per year. Ranges are determined by role and level and represent a good faith effort to provide a fair and equitable salary. This range is a reflection of base salary only, not of a total compensation package.  Please note Turner \&amp; Townsend reserves the right to pay more or less than the posted range, depending on candidate’s experience and qualifications.**
**\*On\-site presence and requirements may change depending on our client's needs\***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*Turner \&amp; Townsend does not accept any speculative or unsolicited CV’s that have been sent to our internal recruitment team or hiring managers from agencies outside of our preferred supplier list. Any speculative or unsolicited CV’s will be treated as a direct application.* 
*It is strictly against Turner \&amp; Townsend policy for candidates to pay any fee in relation to our recruitment process. No recruitment agency working with Turner \&amp; Townsend will ask candidates to pay a fee at any time.*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2026-02-03T21:10:43Z</dcterms:created>
  <dcterms:modified xsi:type="dcterms:W3CDTF">2026-02-03T21:10:43Z</dcterms:modified>
</cp:coreProperties>
</file>