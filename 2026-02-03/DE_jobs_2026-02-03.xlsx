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in-ba813ff7e0c91072</t>
        </is>
      </c>
      <c r="B2" t="inlineStr">
        <is>
          <t>Data Engineer</t>
        </is>
      </c>
      <c r="C2" t="inlineStr">
        <is>
          <t>Voluble Systems LLC</t>
        </is>
      </c>
      <c r="D2" t="inlineStr">
        <is>
          <t>indeed</t>
        </is>
      </c>
      <c r="E2" t="inlineStr"/>
      <c r="F2" t="inlineStr"/>
      <c r="G2" t="inlineStr">
        <is>
          <t>Spring, TX, US</t>
        </is>
      </c>
      <c r="H2" s="2" t="n">
        <v>46056</v>
      </c>
      <c r="I2" t="inlineStr">
        <is>
          <t>**Job Title:\- Senior Data Engineer**  
**Location:\- Spring Texas (On\-Site)**  
**Job Type:\- Long Term** 
**W2 Contract**
**End Client: Oil \&amp; Gas Industry**
Oil \&amp; gas domain experience is Good to have
Responsibilities:  
The Senior Data Engineer will lead the design, development, automation, and optimization of scalable cloud and on premises data infrastructure supporting enterprise applications, advanced analytics, and AI/ML workloads. Operating within an agile environment, this role requires close collaboration with software engineering, infrastructure, and data science teams to deliver secure, reliable, and high performance data systems aligned with enterprise standards.  
Responsibilities
* Design, build, and optimize scalable ETL/ELT pipelines using Databricks, Delta Lake, Python, SQL, and related data engineering technologies.
* Demonstrate expert\-level proficiency in PySpark and Databricks Lakehouse architectures, including schema evolution, ACID transactions, data quality enforcement, and cost and performance optimized handling of large, complex datasets—aligned with upstream telemetry, SCADA\-scale data, and Client’s high throughput processing needs.
* Improve data ecosystem efficiency by implementing Lakehouse based bronze/silver/gold architectures, reducing processing times through optimization techniques, enforcing data quality frameworks such as Great Expectations, and enhancing storage and retrieval patterns.
* Collaborate with cross functional teams—data scientists, engineers, product owners, and business stakeholders—to translate business requirements into robust technical designs supporting AI/ML enablement, feature engineering, real time analytics, and production grade data workflows.
* Strengthen CI/CD and data governance practices through automation, version control, testing frameworks, and scalable deployment patterns for data pipelines and platform components.
Qualifications
* Strong background across Azure, Snowflake, Delta Lake, Databricks and CI/CD automation, bringing the cross cloud, governance minded, and automation driven engineering approach required for Client’s integrated enterprise scale data architecture.
Top 3 Skills:
* Azure
* Data Knowledge on Snowflake, Delta Lake and Databricks
* CI/CD
Pay: $60\.00 \- $65\.00 per hour
Work Location: In person</t>
        </is>
      </c>
    </row>
    <row r="3">
      <c r="A3" t="inlineStr">
        <is>
          <t>in-e4ce57699fb20412</t>
        </is>
      </c>
      <c r="B3" t="inlineStr">
        <is>
          <t>SIEM Data Engineer/Splunk</t>
        </is>
      </c>
      <c r="C3" t="inlineStr">
        <is>
          <t>Titan Technologies</t>
        </is>
      </c>
      <c r="D3" t="inlineStr">
        <is>
          <t>indeed</t>
        </is>
      </c>
      <c r="E3" t="inlineStr"/>
      <c r="F3" t="inlineStr"/>
      <c r="G3" t="inlineStr">
        <is>
          <t>Reston, VA, US</t>
        </is>
      </c>
      <c r="H3" s="2" t="n">
        <v>46056</v>
      </c>
      <c r="I3" t="inlineStr">
        <is>
          <t>Titan Technologies is hiring! We are actively seeking a SIEM Data Engineer/Splunk Engineer to support a government intelligence agency customer. The Chief Information Office (CIO) is responsible for planning, maintaining, and sustaining the global CIO enterprise that supports critical national security missions. Through the SITE III multi\-award IDIQ contract, the CIO delivers high\-impact solutions that strengthen how the Defense Intelligence Agency operates today and prepares it for the future.
SITE III supports warfighters, policymakers, and acquisition leaders across the Defense Intelligence Enterprise (DIE) by delivering a decisive Information and Communications Technology (ICT) advantage. Our teams provide strategic, technical, and program management expertise to modernize enterprise infrastructure, systems, and applications—ensuring they are secure, resilient, and mission\-ready.
This is not a staff augmentation program. SITE III focuses on managed services and outcome\-driven solutions that improve integration, enable seamless information sharing, and protect critical data. If you’re interested in solving complex problems, working at scale, and helping modernize mission\-critical systems, SITE III offers the opportunity to make a real difference.
**Job description**
The Splunk Engineer manages and enhances Splunk environments, designs and deploys infrastructure, develops dashboards, integrates data sources, monitors performance, collaborates with teams, and provides user training and support.
**Duties and Responsibilities:**
* Design, deploy, and manage Splunk infrastructure
* Develop and maintain Splunk dashboards, queries, and alerts
* Integrate Splunk with various data sources to ensure comprehensive data ingestion
* Monitor and troubleshoot Splunk performance issues
* Collaborate with cross\-functional teams to gather requirements and provide Splunk solutions
**You MUST have:**
* 2\+ years managing and configuring Splunk, 2\+ years in Splunk architecture (indexers, search heads, forwarders, deployment server), 1\+ year with Splunk REST API
* 2\+ years configuring Cribl sources, destinations, routes, and collectors
* 2\+ years building data pipelines and authoring configuration files
* 2\+ years in Linux and Windows administration
* 1\+ year with regex skills for field extraction and event breaking
* DoD 8570 IAT Level II certification, including Security\+ CE, CCNA\-Security, GSEC, SSCP, CySA\+, GICSP, or CND certification
* Must obtain a DoD 8570 Cyber Security Service Provider \- Infrastructure Support certification prior to start date
* Active TS/SCI clearance; willingness to take a polygraph exam
**It’s GREAT if you also have:**
* 1 year experience with DISA STIGs or other organizational hardening standards
* 2\+ years networking fundamentals and troubleshooting tools
* Knowledge of common log formats and scripting languages such as Python, Bash, or PowerShell
* Strong communication skills, load\-balancer fundamentals, Git, Ansible, and Python scripting knowledge
**Education:**
* Associate’s degree and 5\+ years supporting IT projects, or Bachelor’s degree and 3\+ years, or Master’s degree and 1\+ year, or 10\+ years in lieu of a degree
**Company Description:**
Titan Technologies, LLC and our wholly owned subsidiaries, TelaForce, LLC, Titan Facilities, Inc. and Zen Strategics, design, build, integrate, and manage innovative solutions and software applications. Our remarkable people, working collaboratively under a shared vision, have earned a reputation with our customers for delivering results with maximum impact. Sound intriguing? Consider Titan Technologies for the next step in your career journey and be part of an impactful team!
Titan is proud to be a Service\-Disabled Veteran Owned Business.</t>
        </is>
      </c>
    </row>
    <row r="4">
      <c r="A4" t="inlineStr">
        <is>
          <t>in-230987dc519d28b3</t>
        </is>
      </c>
      <c r="B4" t="inlineStr">
        <is>
          <t>Lead/Senior Data Engineer (Snowflake / DBT / SQL)</t>
        </is>
      </c>
      <c r="C4" t="inlineStr">
        <is>
          <t>primesoftinc</t>
        </is>
      </c>
      <c r="D4" t="inlineStr">
        <is>
          <t>indeed</t>
        </is>
      </c>
      <c r="E4" t="inlineStr"/>
      <c r="F4" t="inlineStr"/>
      <c r="G4" t="inlineStr">
        <is>
          <t>Remote, US</t>
        </is>
      </c>
      <c r="H4" s="2" t="n">
        <v>46056</v>
      </c>
      <c r="I4" t="inlineStr">
        <is>
          <t>Role: Lead/Senior Data Engineer (Snowflake / DBT / SQL)
Remote
Visa: USC Only
* Migrating out of a traditional EDW into Data Mesh.
* Breaking large, monolithic data models into smaller, modular data products.
* Implementing a modern ELT approach using DBT \+ Snowflake.
* Explicitly NOT Informatica and not traditional ETL.
Only senior / lead\-level talent
* Snowflake (strong hands\-on experience)
* DBT (real, production\-level experience)
* Advanced SQL
* Complex transformations
* Stored procedures
* Data profiling \&amp; analysis
* Data modeling
* Facts \&amp; dimensions
* Curating and transforming data
* Ability to work end\-to\-end through raw? staging? modeled layers
* Candidates must be very strong in SQL and data analysis.
* Informatica\-heavy backgrounds
* Drag\-and\-drop ETL engineers
* “Data factory” / volume\-based profiles
**Regards**
**sundeep**
**Direct \#: (409\)\-(932\)\-(2145\)**
**sundeep.busi (at) 3sbc dot com**
Job Type: Contract
Pay: $60\.00 \- $65\.00 per hour
Expected hours: 8 per week
Experience:
* Dat Engineer: 10 years (Preferred)
* Snowflake: 8 years (Preferred)
* DBT: 8 years (Preferred)
* EDW into Data Mesh.: 5 years (Preferred)
Work Location: Remote</t>
        </is>
      </c>
    </row>
    <row r="5">
      <c r="A5" t="inlineStr">
        <is>
          <t>in-cb9449f3273647e1</t>
        </is>
      </c>
      <c r="B5" t="inlineStr">
        <is>
          <t>Senior Data Engineer: $130-150,000, MN Based, Hybrid - 2 Days in Office</t>
        </is>
      </c>
      <c r="C5" t="inlineStr">
        <is>
          <t>GovDocs</t>
        </is>
      </c>
      <c r="D5" t="inlineStr">
        <is>
          <t>indeed</t>
        </is>
      </c>
      <c r="E5" t="inlineStr"/>
      <c r="F5" t="inlineStr"/>
      <c r="G5" t="inlineStr">
        <is>
          <t>Saint Paul, MN, US</t>
        </is>
      </c>
      <c r="H5" s="2" t="n">
        <v>46056</v>
      </c>
      <c r="I5" t="inlineStr">
        <is>
          <t>**Now Hiring: Senior Data Engineer**
We’re looking for a Senior Data Engineer to help advance our data capabilities and lead the development of reliable, scalable, and high\-quality data to the business. This is a high\-impact role where you’ll be a key early member of our growing Data Engineering team, partnering closely with our Data Engineering Manager to shape how we deliver trusted, decision\-ready data across the company. You’ll play a critical role in how we collect, integrate, and transform data across systems—making it accessible through analytics, reporting, and dashboards that support decision\-making every day.
**What You’ll Do:**
* Design, build and maintain scalable data pipelines and integrations across diverse systems and data sources
* Lead the development of robust data models, schemas, and storage patterns that support analytics, reporting, and downstream consumers
* Drive technical scoping, architecture, and planning discussions for complex data initiatives
* Write clean, maintainable, thoroughly tested code, and set the standard for code quality through reviews and guidance
* Debug and resolve data quality, pipeline reliability, and performance issues across the data stack
* Improve team tooling, orchestration patterns, development workflows, and data engineering best practices
* Collaborate with product, business, and engineers to deliver trusted, decision\-ready data
**What You Bring:**
* 6\+ years of experience designing, building, and scaling data pipelines, integrations, and data systems
* Strong experience with Python and modern ETL/ELT patterns (orchestration, automation, reliability)
* Hands\-on experience in Azure data platforms, including Azure Data Factory, Azure Functions, and Azure Synapse
* Advanced proficiency in SQL, plus experience working with structured and unstructured data in systems like MongoDB
* Experience building and supporting analytics and reporting solutions, including Power BI dashboards
* Familiarity with CI/CD, Git\-based workflows, monitoring/data quality best practices, and a collaborative, growth\-oriented mindset
* Ability to lead technical efforts, influence architectural direction, and align stakeholders around data strategy
* Excellent communication skills and the ability to work effectively with engineering, product, and business partners
* A passion for creating data systems that help users make better decisions and solve problems using data
**Who You Are:**
* You lead by example and share your passion to inspire those around you for growth. You are authentic, driven and positive.
* You possess emotional intelligence and empathy. You have a good sense of humor, are self\-aware and self\-critical, but not arrogant. You handle interpersonal dynamics with grace.
* You do more than the minimum to achieve outstanding results by being hands\-on and rolling up your sleeves now and again when it’s necessary.
* You thrive in a growth\-oriented company by embracing and adapting to changes easily. You are open\-minded and flexible.
* Your clear communication fosters understanding and collaboration. You express ideas effectively but are also an active listener.
**Flexible Work Model:**
We believe the best way for us to grow is by creating a work environment that offers greater flexibility. This means providing opportunities for employees to be together in the office a few days per week, where interactions can occur more frequently and effectively. Being in person helps foster collaboration and team engagement, which is especially important when addressing complex problems and driving business innovation. At the same time, we value the focused, uninterrupted time that working from home provides, allowing for more dedicated project and productive work with minimal distractions.
**Best Places to Work 2024:**
GovDocs was named one of the 2024 Best Places to Work by the Minneapolis/St. Paul Business Journal! Being named an honoree was no easy feat, as they received over 300 nominations for this year’s award. GovDocs was one of the top\-scoring Minnesota businesses honored in the medium company category (50\-250 employees) for creating a fun, challenging, and rewarding workplace. Read more about GovDocs as Best Places to Work 2024 here: https://bizj.us/1qlh8s
**Company Description**:
GovDocs serves companies in building and executing their employment law compliance programs in two primary ways:
* We manage all the complexities of identifying and providing the required set of employment law postings from the 1,700\+ potential postings across the U.S. and Canada. Using proprietary technology, we allow companies to manage, track and verify postings at each of their locations – including our patent pending PosterCheck technology. Our Employment Law Posting Update service is used by almost 22% of the Fortune 500 and 30% of the Fortune 100\.
* This is a first to market Software\-as\-a\-Service starting with our Minimum Wage product and Paid Leave products, which allow companies to identify and track which laws apply to their locations and employees, then provides all relevant data to make decisions. This service was created in response to requests from some of our largest customers who recognized that employment law expansion across and variances between jurisdictions (Federal, State and Local) were too difficult to manually track.
GovDocs has grown revenue annually by 18% since 2008 with a 96% customer retention rate, primarily due to our Postings Update Program both obtaining and retaining customers – as employment law postings are required by law, every company has an existing provider. Our Software Solutions are an entirely new line of business that gives us great growth potential to create a full Employment Law Compliance (ELC) platform of solutions, it is also challenging us to reinvent how we view urgency, innovation and teamwork.
You must be authorized to work in the United States. Immigration or work visa sponsorship will not be provided. In compliance with federal law, all persons hired will be required to verify identity and eligibility to work in the United States and to complete the required employment eligibility verification form upon hire.
**Compensation:**
This position is critical to the success of our business and the compensation package will be commensurate with candidate's experience and skills. This role will include a base salary and performance\-based incentives. Benefits include paid vacation, paid volunteer time, paid holidays, medical insurance, dental insurance, vision insurance, flexible spending account, health savings account, group life insurance, voluntary life insurance, group short\-term disability, group long\-term disability, critical illness insurance, accident insurance, hospital indemnity insurance, a matching 401(k), employee assistance programs, pet health insurance, and value\-added programs.
Base salary range: $130,000 – $150,000
**Send resume, salary requirements and cover letter to** careers@govdocs.com.
Job Type: Full\-time
Pay: $130,000\.00 \- $150,000\.00 per year
Benefits:
* 401(k)
* 401(k) matching
* Dental insurance
* Employee assistance program
* Flexible schedule
* Flexible spending account
* Health insurance
* Health savings account
* Life insurance
* Paid time off
* Referral program
* Retirement plan
* Tuition reimbursement
* Vision insurance
Application Question(s):
* Will you now or in the future require sponsorship for an employment visa?
* Are you willing and able to commute to the Eagan, MN office twice per week?
* What are your salary expectations for this role?
Work Location: Hybrid remote in Saint Paul, MN 55121</t>
        </is>
      </c>
    </row>
    <row r="6">
      <c r="A6" t="inlineStr">
        <is>
          <t>in-84933d1f17e920ea</t>
        </is>
      </c>
      <c r="B6" t="inlineStr">
        <is>
          <t>Tech Lead/Data Engineer III</t>
        </is>
      </c>
      <c r="C6" t="inlineStr">
        <is>
          <t>Medica Services Company LLC</t>
        </is>
      </c>
      <c r="D6" t="inlineStr">
        <is>
          <t>indeed</t>
        </is>
      </c>
      <c r="E6" t="inlineStr"/>
      <c r="F6" t="inlineStr"/>
      <c r="G6" t="inlineStr">
        <is>
          <t>Minnetonka, MN, US</t>
        </is>
      </c>
      <c r="H6" s="2" t="n">
        <v>46056</v>
      </c>
      <c r="I6" t="inlineStr">
        <is>
          <t>Medica is seeking an experienced **Tech Lead/Data Engineer III.** This role is ideal for an innovative and strategic thinker with a depth of experience in enterprise data and broader cloud\-based data engineering initiatives. This individual is someone who thrives in a mission\-driven, healthcare\-focused organization and is passionate about ensuring efficiency, scalability, financial integrity and compliance.
##### **Key Responsibilities:**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Design, build, implement, and maintain data storage structures and processing pipelines for the extraction, transformation, and loading (ETL) of data from a variety of sources. Develop robust and scalable solutions that transform data into a useful format for analysis, enhance data flow, and enable efficient, cost\-effective consumption and analysis of data. Write complex SQL queries to support analytics needs. Evaluate and recommend tools and technologies for data infrastructure and processing, including modern cloud platforms such as Snowflake, Azure, AWS, and data integration tools like Apache Airflow, dbt, Informatica Intelligent Data Management Cloud (IDMC), and distributed processing frameworks such as Apache Spark.
**Key Accountabilities:**
* Designing and implementing scalable data pipelines and storage solutions to support enterprise analytics.
* Ensuring data quality, integrity, and security across all stages of the data lifecycle.
* Collaborating with stakeholders to define data requirements and translate them into technical specifications.
* Monitoring and optimizing performance of data systems and ETL processes.
* Supporting the deployment and maintenance of data infrastructure in cloud environments.
* Developing and maintaining complex SQL scripts and stored procedures for data transformation and reporting.
* Leveraging Informatica IDMC for cloud\-native data integration, data quality, and governance workflows.
In addition to engineering responsibilities, the Data Generalist component of this role includes:
* Performing exploratory data analysis and generating actionable insights.
* Creating dashboards and visualizations using tools like Power BI, Tableau, or Excel.
* Collaborating with cross\-functional teams to align data efforts with business goals.
* Automating data workflows using scripting languages such as Python or R.
* Supporting business intelligence initiatives and translating data into strategic recommendations.
* Documenting data processes and contributing to data governance standards.
* Applying AI and machine learning techniques to enhance predictive analytics, automate decision\-making, and uncover deeper insights from complex datasets.
* Utilizing preferred AI tools and platforms such as TensorFlow, Azure Machine Learning, scikit\-learn, and PyTorch to build and deploy models that support enterprise analytics and innovation.
**Qualifications:**
* Bachelor's degree or equivalent experience in related field
* 5 years of related work experience beyond the degree
* Proficient use of SQL
**Skills and Abilities**
* Microsoft Certified: (or equivalent cloud) Azure Data Engineer
* Microsoft Certified: Azure Fundamentals
* Snowflake SnowPro Core Certification
* Snowflake Advanced Architect Certification
* Healthcare industry experience is desired
This position is an Office role, which requires an employee to work onsite at our Minnetonka, MN office, on average, 3 days per week.
The full salary grade for this position is $100,300 \- $172,000\. While the full salary grade is provided, the typical hiring salary range for this role is expected to be between $100,300 \- $150,465\.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7">
      <c r="A7" t="inlineStr">
        <is>
          <t>in-927f1eeb4e078416</t>
        </is>
      </c>
      <c r="B7" t="inlineStr">
        <is>
          <t>Senior Data Engineer</t>
        </is>
      </c>
      <c r="C7" t="inlineStr">
        <is>
          <t>Curant Health</t>
        </is>
      </c>
      <c r="D7" t="inlineStr">
        <is>
          <t>indeed</t>
        </is>
      </c>
      <c r="E7" t="inlineStr"/>
      <c r="F7" t="inlineStr"/>
      <c r="G7" t="inlineStr">
        <is>
          <t>Smyrna, GA, US</t>
        </is>
      </c>
      <c r="H7" s="2" t="n">
        <v>46056</v>
      </c>
      <c r="I7" t="inlineStr">
        <is>
          <t>***Please Note: At this time, Curant Health is not offering sponsorship for this role now or in the future.***
***Must be local to Atlanta\*\****
**Curant Health: Data Engineer** 
Are you passionate about harnessing the power of data to drive innovation and transform healthcare? Curant Health is on the hunt for a **dynamic Data Engineer** to join our team and take on an exciting role in designing, developing, and optimizing cutting\-edge data solutions. If you’re a C\# pro with a knack for building scalable data pipelines and crafting robust frameworks, this is your chance to make a meaningful impact!
**Why Join Us?**  
At Curant Health, you’ll be at the forefront of data innovation, working on transformative projects that shape the future of healthcare. Collaborate with forward\-thinking professionals in an environment that values creativity, ownership, and excellence.
**Your Mission:**
* Build secure, scalable ETL pipelines to empower data\-driven decision\-making.
* Spearhead projects from inception to completion, ensuring timely delivery and high\-quality results.
* Design and implement advanced Azure DevOps CI/CD pipelines for seamless deployment.
* Develop, test, and debug code that meets dynamic business needs.
* Redefine processes with innovative solutions that boost efficiency and scalability.
* Champion data integrity and maintain cutting\-edge infrastructure.
**What You’ll Bring to the Team:**
* A Bachelor’s or Master’s degree in computer science, engineering, or a related field.
* MUST have atleast 8 years of hands\-on experience with ETL pipelines and data processing.
* Mastery of Azure technologies, SQL, and SSIS, along with expertise in C\# and ASP.NET.
* A deep understanding of SharePoint, Azure ADF, and REST API frameworks.
* Strong problem\-solving skills, attention to detail, and a self\-driven mindset.
* Exceptional communication skills and the ability to thrive in a collaborative team environment.
**What Sets You Apart:**
* Experience with Agile methodologies.
* A proven track record in designing and implementing data warehouses.
* A passion for continuous improvement and process optimization.
Join us in shaping the future of healthcare technology. Apply now to be part of a team where your work truly makes a difference!
Job Type: Full\-time
Pay: $115,000\.00 \- $120,000\.00 per year
Benefits:
* 401(k)
* Dental insurance
* Health insurance
Application Question(s):
* This position does not offer visa sponsorship now or in the future. Are you legally authorized to work in the United States without sponsorship?
Experience:
* C\#: 3 years (Required)
Ability to Relocate:
* Smyrna, GA 30082: Relocate before starting work (Required)
Work Location: In person</t>
        </is>
      </c>
    </row>
    <row r="8">
      <c r="A8" t="inlineStr">
        <is>
          <t>in-df34cf16b0d98665</t>
        </is>
      </c>
      <c r="B8" t="inlineStr">
        <is>
          <t>BioTech Data Engineer</t>
        </is>
      </c>
      <c r="C8" t="inlineStr">
        <is>
          <t>Stellar Solutions</t>
        </is>
      </c>
      <c r="D8" t="inlineStr">
        <is>
          <t>indeed</t>
        </is>
      </c>
      <c r="E8" t="inlineStr"/>
      <c r="F8" t="inlineStr"/>
      <c r="G8" t="inlineStr">
        <is>
          <t>St. Louis, MO, US</t>
        </is>
      </c>
      <c r="H8" s="2" t="n">
        <v>46056</v>
      </c>
      <c r="I8" t="inlineStr">
        <is>
          <t>**Job Title: Biotech Data Engineer**
**Job Type: FTE**
**Work Mode: Remote**
The **Biotech Data Engineer** focuses on designing, building, and maintaining scalable Azure Databricks\-based data pipelines and architectures that enable analytics, AI/ML, and reporting across commercial functions. It involves leading data engineering initiatives, ensuring governance and compliance, optimizing performance and costs, and collaborating across teams to advance the company’s data and AI strategy. The role reports to the Director of Business Intelligence.  
**Roles \&amp; Responsibilities**
Design, build, and maintain scalable, reliable, and cost\-efficient data pipelines using Azure Databricks in support of analytics, machine learning, data science, and operational use cases Lead data engineering initiatives that enable AI/ML model development, LLM integrations, and AI\-driven applications while ensuring scalability and alignment with enterprise and business priorities Architect and implement data integration frameworks across diverse Adtech and Martech ecosystems, incorporating Google Analytics, media campaign data, and third\-party marketing APIs like Salesforce Manage and optimize data ingestion, transformation, and storage processes using SQL, Python, and PySpark to integrate structured and unstructured data sources Design and maintain API integrations with internal and external systems, including Python\- and PySpark\-based services and AI/LLM\-powered APIs for advanced analytics and automation Administer and maintain Azure\-based data tools and platforms (e.g., Databricks, ADF) to ensure operational excellence, reliability, and security Collaborate with internal stakeholders and external partners to evolve data platform design and architecture that supports advanced analytics, personalization, marketing intelligence, and marketing automation Execute against the company’s data and AI strategy by translating strategic goals into technical architecture, design and requirement documents, and implementation roadmaps Ensure data quality, integrity, and consistency through robust validation, monitoring, and alerting mechanisms within Azure Databricks Implement and enforce data governance, security, and compliance standards in collaboration with IT, InfoSec, and data governance teams Partner with analytics, marketing, commercial operations, and core technology/cybersecurity teams to deliver fit\-for\-purpose commercial data products Monitor and optimize data infrastructure costs, performance, and scalability across Azure cloud environments Develop and maintain architecture documentation, pipeline specifications, and design diagrams for transparency and knowledge sharing with technical and business stakeholders Participate in architecture discussions, design reviews, and CI/CD workflows to ensure high\-quality engineering and deployment practices as part of an Agile engineering team Continuously evaluate and recommend new Azure services, designs, improvements, frameworks, and AI integration tools to enhance our data platform Drive automation, observability, and standardization across data workflows to improve efficiency and reduce manual intervention Complete all job duties in compliance with company policy, SOPs, safety rules, and applicable federal, state, and local regulations **Education \&amp; Licenses And Experience**  
Bachelor of science degree required. A minimum of 5 years transferable working experience in the area of operational support of a Data Engineering, Data Architecture, or Cloud Platforms function preferred. The ideal candidate will have recent and relevant experience in the pharma or biotech industry.  
**Required Competencies \&amp; Skills**
Experience with Azure Cloud (Databricks, DevOps, DataFactory) Pharma / biotech domain experience, specifically within the commercial data space (sales, market access / payer, marketing) Strong hands\-on python, pyspark, and SQL skills Direct experience with building and leveraging API integrations in ETL pipeline development Experience integrating with current best\-in\-class AI models and APIs like OpenAI API, Databricks AI models, etc. Self\-driven with ability to independently design end\-to\-end data pipelines while ensuring architectural best practices Ability to collaborate with a broad set of stakeholders to evaluate the business need and construct a technical design that can enable stakeholder priorities Travel up to 20% **Preferred Competencies \&amp; Skills**
Strong knowledge of and experience with maximizing business value using Databricks Unity Catalog or Databricks One capabilities Familiarity with tools and practices in the Martech and Adtech landscape Knowledge of Consumer, Patient, or HCP data ecosystems Experience with identity providers like LiveRamp, Acxiom, Experian, etc. Experience with custom\-built or third\-party Customer Data Platforms (CDP) Experience with marketing automation tools</t>
        </is>
      </c>
    </row>
    <row r="9">
      <c r="A9" t="inlineStr">
        <is>
          <t>in-196837fd2a425179</t>
        </is>
      </c>
      <c r="B9" t="inlineStr">
        <is>
          <t>Senior Data Engineer</t>
        </is>
      </c>
      <c r="C9" t="inlineStr">
        <is>
          <t>Suntex Marina Investors, LLC</t>
        </is>
      </c>
      <c r="D9" t="inlineStr">
        <is>
          <t>indeed</t>
        </is>
      </c>
      <c r="E9" t="inlineStr"/>
      <c r="F9" t="inlineStr"/>
      <c r="G9" t="inlineStr">
        <is>
          <t>Dallas, TX, US</t>
        </is>
      </c>
      <c r="H9" s="2" t="n">
        <v>46055</v>
      </c>
      <c r="I9" t="inlineStr">
        <is>
          <t>**JOB POSTING**
**JOB** **TITLE:**Senior Data Engineer
**DEPARTMENT:**Information Technology
**REPORTS TO:**Manager, Data \&amp; Analytics
 **POSITION PURPOSE****:**
The Senior Data Engineer is a key technical leader responsible for designing, building, and owning scalable, reliable, and well\-governed data solutions that enable enterprise analytics and decision\-making. This role operates at the intersection of data engineering, analytics enablement, and governance. The Senior Data Engineer owns complex data pipelines and curated data products, partners closely with analytics and business stakeholders, and sets technical standards that improve data quality, usability, and trust across the organization. The Senior Data Engineer is comfortable operating with ambiguity, can independently own data domains end\-to\-end, and serves as a mentor and force multiplier within the data engineering team.
 **DUTIES AND RESPONSIBILITIES****:**
1\. Data Engineering \&amp; Platform Ownership
* Design, build, and own end\-to\-end ETL/ELT pipelines across diverse data sources using Palantir Foundry, PySpark, pandas, and SQL
* Architect scalable, resilient data integration solutions supporting analytics, reporting, and operational use cases
* Establish and maintain integrations with enterprise systems and external platforms (e.g., ERP, CRM, advertising platforms)
2\. Analytics Enablement and Data Applications
* Develop analytics\-ready datasets and curated data products that enable self\-service reporting and analysis
* Build and maintain custom analytics applications using Palantir Foundry Workshop and backend tools (Pipeline Builder, PySpark, pandas)
* Enable advanced analytical use cases by delivering feature\-ready datasets (e.g., for forecasting, trend analysis, or anomaly direction), without owning full data science model lifecycle unless explicitly required
3\. Data Governance, Standards, and Security
* Support and enhance data governance frameworks that improve data quality, consistency, security, and compliance
* Collaborate with stakeholders to define and enforce data standards, naming conventions, and access policies
* Contribute to medallion architecture design, data modeling standards, and metadata and/or documentation practices
4\. Technical Leadership and Mentorship
* Serve as a senior technical resource for the team, providing design guidance, code reviews, and architectural input
* Participate in design reviews and help establish long\-term technical direction for the data platform
5\. Documentation and Continuous Improvement
* Build and maintain clear, comprehensive technical documentation for pipelines, data products, and integrations
* Identify opportunities to improve tooling, methodologies, and development workflows
 **EDUCATION AND EXPERIENCE****:**
1\. Bachelor’s degree in information technology, computer science, or a related field (or equivalent experience)
2\. 5\+ years of progressive experience in data analytics, analytics engineering, or business intelligence roles
3\. Must have strong hands\-on experience with Palantir Foundry, including Pipeline Builder and Workshop
4\. Must have advanced proficiency in PySpark and SQL for large\-scale data transformation
5\. Must have strong Python skills (pandas, familiarity with polars is a plus)
6\. Must have a solid understanding of data modeling and medallion architecture
7\. Must have experience integrating data from ERP, CRM, POS, or similar enterprise systems
8\. Must have experience implementing or supporting data governance and access control models
 **WORKING CONDITIONS/PHYSICAL REQUIREMENTS****:**
1\. Must be able to independently lift, carry, push, and pull up to fifteen (15\) pounds
2\. This individual is located in an office environment generally seated at a desk with a chair for multiple hours
3\. Must be able to swim or willing to wear a personal floatation device when visiting marina site locations
4\. Must be able to travel on occasion
 **STATEMENT OF PURPOSE**
This document provides descriptive information about the above Suntex Marinas position. Work actually performed by incumbents in this position may vary. Although this document may be used for recruiting, staffing, or career planning, the information contained herein should only be used as a guideline or recommendation for the content of and qualifications for this position. An individual’s ability to meet the qualifications and capabilities described in this document is not a guarantee of employment or promotion. Suntex Marinas reserves the right to make changes to this document as deemed necessary without providing advance written notice.
Suntex Marinas provides equal employment opportunities to all team members and applicants for employment without regard to race, color, religion, gender, sexual orientation, national origin, age, disability, marital status, veteran status, or any other consideration made unlawful by federal, state, or local laws. Suntex Marinas is committed to providing reasonable accommodation for qualified applicants, and team members with disabilities to ensure they enjoy equal access to all employment opportunities and benefits of employment as required by the Americans with Disabilities Act.</t>
        </is>
      </c>
    </row>
    <row r="10">
      <c r="A10" t="inlineStr">
        <is>
          <t>in-8ceb72972b45a0c6</t>
        </is>
      </c>
      <c r="B10" t="inlineStr">
        <is>
          <t>Lead Data Engineer</t>
        </is>
      </c>
      <c r="C10" t="inlineStr">
        <is>
          <t>Red Clover HR</t>
        </is>
      </c>
      <c r="D10" t="inlineStr">
        <is>
          <t>indeed</t>
        </is>
      </c>
      <c r="E10" t="inlineStr"/>
      <c r="F10" t="inlineStr"/>
      <c r="G10" t="inlineStr">
        <is>
          <t>East Rutherford, NJ, US</t>
        </is>
      </c>
      <c r="H10" s="2" t="n">
        <v>46055</v>
      </c>
      <c r="I10" t="inlineStr">
        <is>
          <t>### **Description**
**Who We Are:**  
APC is a dynamic, growing international delivery and technology solutions provider. Established in 2001, APC has been simplifying international delivery for over 20 years, helping U.S. businesses build brands abroad, expand their consumer base, increase revenue, and their global reach. Our extensive, reliable worldwide delivery network and proprietary technology empower our brands to succeed. We are committed to expanding our footprint and continuously investing in innovative delivery and technology solutions as we aim to be *the* leading resource for cross\-border solutions.
**About the Role:**  
Reporting to the Head of Technology, the Data Architect / Lead Data Engineer will own the design, implementation, scalability, and business impact of APC’s data platform supporting a high‑volume, complex logistics operation. This is a hands‑on, senior technical role responsible for shaping how data flows from raw operational systems through trusted analytics and into production‑grade models that drive decision‑making across the business.  
You will lead the evolution of the data stack end‑to‑end, balancing architectural rigor with real‑world constraints such as imperfect data, operational urgency, and cost efficiency. Partnering closely with engineering, product, operations, finance, and leadership, you will translate complex business questions into durable data solutions that directly impact shipment performance, customer experience, pricing, and profitability. This role is well‑suited for someone who enjoys deep technical ownership, cross‑functional collaboration, and building systems that operate at scale in production environments.  
**About the Candidate:**
You are a hands‑on, systems‑oriented data leader who enjoys working close to the business and taking ownership of complex, real‑world data challenges. You are comfortable operating at the intersection of architecture, engineering, analytics, and applied data science, and you thrive in environments where data is imperfect, scale is real, and impact is tangible.  
You bring a strong sense of accountability and technical judgment, with the ability to make thoughtful tradeoffs and move initiatives forward. You communicate clearly with both technical and non‑technical partners, build trust through reliability and transparency, and enjoy mentoring others while setting a high bar for data quality and engineering discipline.  
### **Key Responsibilities**
 **Data Platform \&amp; Warehouse Leadership*** Own the architecture, scalability, performance, and cost efficiency of the enterprise data warehouse and analytics platform.
* Design and maintain dimensional and analytical data models supporting core logistics and financial use cases, including shipments, customs data, carrier performance, SLAs, revenue, and margins.
* Establish and enforce best practices for data modeling, schema evolution, data quality monitoring, lineage, documentation, and cost governance.
* Lead data platform migrations, upgrades, and modernization initiatives as needed.
* Design, build, and operate reliable, observable ELT/ETL pipelines from internal systems, third\-party APIs, and event streams, including change data capture where required.
* Ensure pipeline resilience through strong handling of data freshness, schema drift, backfills, reprocessing, and failure recovery.
* Integrate data across core operational platforms, including OMS, WMS, TMS, payments, CRM, and marketing systems.
* Partner with application and platform engineers on event design, instrumentation, and data contracts.
**Analytics Engineering \&amp; Business Enablement*** Build and maintain trusted semantic layers, metrics definitions, and curated data marts for analytics, operations, finance, and executive reporting.
* Define and operationalize canonical KPIs across shipment performance, carrier reliability, exceptions, margins, and customer lifecycle metrics.
* Enable governed self\-service analytics while preserving data accuracy, consistency, and trust.
**Applied Data Science \&amp; Advanced Analytics**  
* Develop and product\-ionize analytical models for forecasting, operational optimization, anomaly detection, and customer behavior analysis.
* Design experiments and analyses with clear business impact and measurable ROI, and operationalize outputs into dashboards or workflows.
* Serve as technical owner for data architecture, tooling selection, and platform standards.
* Mentor engineers and analysts, lead design reviews, and set pragmatic standards balancing speed, reliability, and cost.
**Key Responsibilities:****Data Platform \&amp; Warehouse Leadership*** Own the architecture, scalability, performance, and cost efficiency of the enterprise data warehouse and analytics platform.
* Design and maintain dimensional and analytical data models supporting core logistics and financial use cases, including shipments, customs data, carrier performance, SLAs, revenue, and margins.
* Establish and enforce best practices for data modeling, schema evolution, data quality monitoring, lineage, documentation, and cost governance.
* Lead data platform migrations, upgrades, and modernization initiatives as needed.
* Design, build, and operate reliable, observable ELT/ETL pipelines from internal systems, third\-party APIs, and event streams, including change data capture where required.
* Ensure pipeline resilience through strong handling of data freshness, schema drift, backfills, reprocessing, and failure recovery.
* Integrate data across core operational platforms, including OMS, WMS, TMS, payments, CRM, and marketing systems.
* Partner with application and platform engineers on event design, instrumentation, and data contracts.
* Build and maintain trusted semantic layers, metrics definitions, and curated data marts for analytics, operations, finance, and executive reporting.
* Define and operationalize canonical KPIs across shipment performance, carrier reliability, exceptions, margins, and customer lifecycle metrics.
* Enable governed self\-service analytics while preserving data accuracy, consistency, and trust.
* Develop and productionize analytical models for forecasting, operational optimization, anomaly detection, and customer behavior analysis.
* Design experiments and analyses with clear business impact and measurable ROI, and operationalize outputs into dashboards or workflows.
* Serve as technical owner for data architecture, tooling selection, and platform standards.
* Mentor engineers and analysts, lead design reviews, and set pragmatic standards balancing speed, reliability, and cost.
### **Skills, Knowledge and Expertise**
* 8\+ years of experience in data engineering, analytics engineering, or applied data science roles, with demonstrated ownership of production data systems.
* Proven experience designing and operating a scalable data warehouse or analytics platform in a production environment.
* Advanced SQL expertise, including query optimization, indexing and partitioning strategies, dimensional modeling, and slowly changing dimensions.
* Strong experience building and maintaining data pipelines using modern data tooling and orchestration frameworks.
* Proficiency in Python or a similar language for data processing, modeling, and automation.
* Experience working with large‑scale, high‑volume operational datasets and managing data quality in real‑world conditions.
* Strong systems thinking and the ability to design for reliability, performance, and cost control.
* Demonstrated ability to translate business problems into effective technical solutions.
* Experience in logistics, e‑commerce, supply chain, fulfillment, or adjacent domains is strongly preferred.
### **Core Competencies**
**Communicates Effectively**: Developing and delivering multi\-mode communications that convey a clear understanding of the unique needs of different audiences
**Manages Complexity:** Making sense of complex, high quantity, and sometimes contradictory information
**Business Insight:** Applying knowledge of business goals and the marketplace to advance the organization’s goals
**Financial Acumen:** Interpreting and applying understanding of key financial indicators to make better business decisions  
### **About Red Clover HR**
We specialize in delivering innovative solutions and exceptional services to meet the diverse needs of our clients. With a strong commitment to quality and customer satisfaction, we strive to exceed expectations and drive success in every project we undertake.</t>
        </is>
      </c>
    </row>
    <row r="11">
      <c r="A11" t="inlineStr">
        <is>
          <t>in-92c0715a7573e787</t>
        </is>
      </c>
      <c r="B11" t="inlineStr">
        <is>
          <t>Workforce Data Engineer</t>
        </is>
      </c>
      <c r="C11" t="inlineStr">
        <is>
          <t>University of California - San Francisco</t>
        </is>
      </c>
      <c r="D11" t="inlineStr">
        <is>
          <t>indeed</t>
        </is>
      </c>
      <c r="E11" t="inlineStr"/>
      <c r="F11" t="inlineStr"/>
      <c r="G11" t="inlineStr">
        <is>
          <t>San Francisco, CA, US</t>
        </is>
      </c>
      <c r="H11" s="2" t="n">
        <v>46055</v>
      </c>
      <c r="I11" t="inlineStr">
        <is>
          <t>Having significant experience, applies advanced data / information management concepts and campus / medical center / OP objectives to resolve highly complex issues where analyses of situations, information or data require an in\-depth evaluation of variable factors. Selects methods and techniques to obtain desired results.  
Workforce Data Engineer will support maintenance of UCSF’s governed Master Person Registry (Person Dimension). Will also design, develop, and validate workforce data models that integrate traditional and AI\-augmented approaches. Leveraging dimensional modeling principles (Kimball methodology) and SSIS\-supported data pipelines, this role integrates data from multiple enterprise sources to create reliable analytic datasets and metrics. The analyst monitors and validates results, including generated by AI on platforms such as Power BI/Data Fabric, Databricks, and Tableau Pulse, tuning inputs, thresholds, and feature selections to ensure accuracy, relevance, and business alignment.  
Serving as a liaison with external vendors, the role evaluates analytic solutions and dashboards for quality, transparency, and adherence to both Kimball and enterprise standards. The analyst translates complex analytic findings into clear, actionable insights, dashboards, and visualizations for leadership, guiding data\-driven decisions while maintaining rigorous standards for governance, privacy, and security. This position represents a significant expansion of scope, combining technical proficiency, AI stewardship, vendor engagement, and independent analytic judgment.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$143,900 \- $215,800 (Annual Rate).
To learn more about the benefits of working at UCSF, including total compensation, please visit: https://ucnet.universityofcalifornia.edu/compensation\-and\-benefits/index.html
**Department Description**
The mission of the Enterprise Information and Analytics (EIA) department is to advance UCSF’s institutional priorities by enhancing access to and the use of data and analytics, including appropriate data platforms and data governance, in a manner that meets the unique needs across the education, research, and care mission areas. The department achieves its goals by working with clinical, research, education, and business partners to organize, integrate, govern, and transform UCSF’s data assets into actionable insight and information.  
People Analytics owns enterprise\-wide assets for UCSF as a whole, used for both operational and analytical purposes, as well as departmental and business assets to drive business insights and decisions.  
**Required Qualifications**
* Bachelor’s degree and a minimum of 5 years’ experience in data analytics or data management; or an equivalent combination of education and experience.
* Minimum 4 years of experience performing advanced data analysis using SQL and/or analytic programming languages (e.g., R, Python, Stata, SPSS) T\-SQL in Microsoft SQL Management Studio preferred.
* Demonstrated experience integrating data from multiple enterprise systems for analytic purposes
* Experience developing analytic datasets, metrics, and dashboards supporting decision\-making
* Working knowledge of data warehouse concepts, ETL principles, and analytic data modeling
* Hands\-on experience developing and supporting SSIS pipelines for analytic data preparation
* Strong written and verbal communication skills, including with internal and external stakeholders
* Demonstrated ability to validate, interpret, and contextualize analytic outputs
* Professionalism and discretion in handling sensitive and confidential workforce data
* Demonstrated ability to work with others from diverse backgrounds. Demonstrated effective communication and interpersonal skills. Demonstrated service orientation skills.
* Demonstrated ability to communicate technical information to technical and non\-technical personnel at various levels in the organization.
* Self\-motivated and works independently and as part of a team. Able to self\-manage projects once priorities are set.
* Demonstrated advanced problem\-solving skills. Able to learn effectively and meet deadlines.
**Preferred Qualifications**
* Experience applying Kimball dimensional modeling principles in analytic datasets
* Experience with PeopleSoft HCM or similar HR systems; Experience with workforce analytics or people\-related data
* 3\+ years of experience integrating data from diverse sources and formats, including delimited text files (CSV/TSV/PSV), fixed\-width files, JSON, XML, YAML, Parquet/Avro/ORC, and Excel (XLS/XLSX), as well as relational databases via ODBC/JDBC.
* 2\+ years of experience developing or integrating with APIs for data ingestion (REST/JSON), including secure authentication (OAuth2/API keys) and operational support (logging/monitoring/error handling).
**About UCSF**
At UCSF Health, our mission of innovative patient care, advanced technology and pioneering research is redefining what’s possible for the patients we serve – a promise we share with the professionals who make up our team.
Consistently ranked among the top 10 hospitals nationwide by U.S. News \&amp; World Report –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Health
**Job Code and Payroll Title**
000599 DATA SYS ANL 4
**Job Category**
Clinical Systems / IT Professionals
**Bargaining Unit**
99 \- Policy\-Covered (No Bargaining Unit)
**Employee Class**
Career
**Percentage**
100%
**Location**
San Francisco, CA
**Campus**
Mission Center Building (SF)
**Work Style**
Flexible
**Shift**
Days
**Shift Length**
8 Hours
**Additional Shift Details**
Monday \- Friday</t>
        </is>
      </c>
    </row>
    <row r="12">
      <c r="A12" t="inlineStr">
        <is>
          <t>in-29ca20a81c4dc40a</t>
        </is>
      </c>
      <c r="B12" t="inlineStr">
        <is>
          <t>Health System Data Engineer Lead</t>
        </is>
      </c>
      <c r="C12" t="inlineStr">
        <is>
          <t>St. Luke's Health System</t>
        </is>
      </c>
      <c r="D12" t="inlineStr">
        <is>
          <t>indeed</t>
        </is>
      </c>
      <c r="E12" t="inlineStr"/>
      <c r="F12" t="inlineStr"/>
      <c r="G12" t="inlineStr">
        <is>
          <t>Boise, ID, US</t>
        </is>
      </c>
      <c r="H12" s="2" t="n">
        <v>46055</v>
      </c>
      <c r="I12" t="inlineStr">
        <is>
          <t>**Health System Data Engineer Lead**  
Do you like working on things that positively impact the health of your friends, family, neighbors, and community? St. Luke's has been committed to the health and well\-being of the people we serve since our founding in 1902\. As our communities’ needs have evolved, so have we — expanding how we care for our friends and neighbors.
Today, St. Luke’s is more than a hospital. We’re an integrated health system delivering care in our hospitals and clinics, connecting communities to a network of exceptional providers through St. Luke’s Health Partners and funding care through St. Luke’s Health Plan.
As an engineering lead of our Data Platform team at St Luke’s, you will be integral in developing and helping others develop innovative data solutions for business\-critical data that is shared across the enterprise and collectively represents a “single source of truth.” The ideal candidate for this position would have great communication skills, be a curious self\-starter, have great analytical and problem\-solving skills, and have a passion for delivering technical solutions that enable time\-sensitive, critical decisions. Previous technical or personnel leadership is a plus, but not required.  
**Required Criteria:*** **Education:**Bachelor's degree or 4 years of relevant experience in lieu of degree
* **Experience:**Minimum of 4yearsrelated experience
**Responsibilities:*** **Partner and Learn:**
* Partner withother Data and Analytics leaders,Business IntelligenceDevelopers and Analyststo ensure they have the dataneeded to develop solutions and provide self\-service data access.
* Develop a strong partnership with thebusinessandincrease your understanding of St Luke’s business and clinical functions.
* Co\-develop recommendations, understandneedsand leaddata and analytics professionalsto deliver on requestsand projects.
* **Lead, coordinate and mentor:**
* Lead your groupof data engineerstoenhance and developstate\-of\-the\-artdata pipelines, data lakehouseand support data extracts.
* Mentorstaff todevelop skills andfulfillassignments.
* Ensure the team has clearrequirementsand the solutions are tested andvalidated.
* Provide regular status reports and planswithappropriate stakeholders.
* Responsible for performance appraisals for positions under their direction;providesleadership guidance, counseling, and continuing education to staff.
* **Aligns and develops best practices**
* Alignwith Data andAnalyticsbest practices within other groups.
* Workwith architects to implement solutions in alignment with standards.
* Participate in developing and improving standards and best practices acrosstheData\&amp;Analytics department.
* Build cross functional relationships withapplication teamsand business leaders to understandinformation needs, data flows, and data quality.
* **Working Lead**
* Design, implement, andmaintaindata management capabilities including the enterprise data platform; its associated data models, ETL processes, and data architecture requirements.
* Utilize data profiling and data quality techniques forrequirementsvalidation, unit testing, and automated integration testing. Implement frameworks for automated and scripted testing.
* Contribute to improving solution stability, reliability, efficiency, and quality.
* Identifytechnical solutions that achieve efficiency and effectiveness and enable data usage as a strategic business asset.
* Beavailable to support solutions as required by the businessneed.
**Experience:*** Strong SQL experience, writingqueriesand stored procedures.
* Experience with database management systems including performance and tuning and security.
* Experience in developing and communicating data warehouse data modelsand methodologies
* Development experience withDatabricks andMicrosoft SQL Server Integration Services.
* Experience with REST and .NET preferred
* Experience with EpicEHR andEpic experience is a plus
* ExposurewithData Lake and Lakehouse Methodologies
* Previoustechnical or personnel leadership is a plus.
**About St. Luke's:**
Our employees enjoy many benefits, some of the most popular are tuition reimbursement, hospital retirement contributions, and hospital\-supported on\-going training and education.  
If you’re looking for a place where you can grow in your personal life, in your career, and in your community, St. Luke’s may be just the place for you.  
A strong, talented staff is at the heart of St. Luke’s Health System. We are the state’s largest employer with more than 19,000 employees and a medical staff of more than 1,800 physicians and advanced practice clinicians. Our employees are dedicated to impacting the lives of those in our community while pursuing a life\- changing career at St. Luke’s. Our staff is the reason for our outstanding reputation as both a quality employer and superior healthcare organization. We’re proud of our people who deliver skilled, compassionate care every day, and are looking to add dedicated individuals who will continue in the same tradition of excellence.  
With multiple locations in the beautiful southern and central Idaho, our mild, four season climate means you can play outdoors year\-round. Whether you prefer leisurely walks along the river or heart\-pounding climbs up a sheer cliff\- there is always something to do after work. An exciting mix of urban and outdoor life defines Idaho’s culture, you can ski in the morning and watch a college sporting event at night. It is a great state to raise a family and forge lasting relationships.</t>
        </is>
      </c>
    </row>
    <row r="13">
      <c r="A13" t="inlineStr">
        <is>
          <t>in-dc5c9ebfe571150e</t>
        </is>
      </c>
      <c r="B13" t="inlineStr">
        <is>
          <t>Analytics Engineer - Hybrid</t>
        </is>
      </c>
      <c r="C13" t="inlineStr">
        <is>
          <t>NRG Energy</t>
        </is>
      </c>
      <c r="D13" t="inlineStr">
        <is>
          <t>indeed</t>
        </is>
      </c>
      <c r="E13" t="inlineStr"/>
      <c r="F13" t="inlineStr"/>
      <c r="G13" t="inlineStr">
        <is>
          <t>Lehi, UT, US</t>
        </is>
      </c>
      <c r="H13" s="2" t="n">
        <v>46055</v>
      </c>
      <c r="I13"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Job Description
Our mission is to redefine the home experience with tech and services to create a smarter, greener, safer home that saves our customers money every month.
 **Summary:**
As a **Analytics Engineer** on our Data Engineering team, you will be responsible for developing the core service that provides data to the entire enterprise. You will be responsible for building the data models consumed throughout Vivint. Working closely with our internal business teams, you will build and help maintain a data platform that provides timely, accurate, and reliable data to thousands of users.
 **Primary Responsibilities:**
* Build cross functional relationships with other technology teams, business operations teams, and data analytics teams to understand how they generate value as a business unit and how to provide data solutions that support or augment that value.
* Help build and maintain an enterprise data platform with its associated dimensional modeling and ETL processes
* Responsible for designing, building, and maintaining robust data models and pipelines
* Implement best practices and innovative solutions to provide timely, accurate, \&amp; reliable data
* Constantly evaluate and optimize deployment of data models to achieve greater efficiency and reliability
 **Required Skills and Experience:**
* Must have a passion for data and helping the business turn data into understanding and action
* Ability to both initiate and deliver enterprise\-grade data solutions
* Ability to communicate effectively with business leaders and engineers
* Strong in SQL, databases, and data modeling methodologies
* Bachelor's or Master's degree
* 3\+ years of full\-time data engineering or SQL\-based analytics as your core role using either Snowflake, BigQuery, or Databricks
* Professional experience with dbt (Cloud preferred)
* Professional experience with CI/CD, Azure DevOps, Bitbucket, or similar tools
 **Nice\-to\-have Skills and Experience:**
* Professional experience with Python based data transformations or Streamlit apps
* Professional experience with Snowflake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4">
      <c r="A14" t="inlineStr">
        <is>
          <t>in-068c4cb3b2e42318</t>
        </is>
      </c>
      <c r="B14" t="inlineStr">
        <is>
          <t>Senior Data Engineer - Omni Channel</t>
        </is>
      </c>
      <c r="C14" t="inlineStr">
        <is>
          <t>Discount Tire</t>
        </is>
      </c>
      <c r="D14" t="inlineStr">
        <is>
          <t>indeed</t>
        </is>
      </c>
      <c r="E14" t="inlineStr"/>
      <c r="F14" t="inlineStr"/>
      <c r="G14" t="inlineStr">
        <is>
          <t>Scottsdale, AZ, US</t>
        </is>
      </c>
      <c r="H14" s="2" t="n">
        <v>46055</v>
      </c>
      <c r="I14" t="inlineStr">
        <is>
          <t>Overview:
Here at Discount Tire, we celebrate the spirit of our people with extraordinary pride and enthusiasm. Our business has been growing for more than 60 years and now is the best time in our history to join us. We recognize that to remain the industry leader we must continue to grow and evolve our business in a rapidly changing industry. We are achieving this, not only by opening new stores, but by transforming our technological landscape and making data a central component of our strategy. The Business Analytics team, one of the fastest growing teams in the company, is leading this change. We are responsible for driving the insights, recommendations, and developing the decision support tools that influence the strategic direction of the company.  
Under minimal supervision, the Senior Data Engineer designs, builds, and operates scalable data solutions on Discount Tire’s Databricks\-based lakehouse platform. This role supports enterprise analytics, business intelligence, and data science initiatives by delivering high\-quality, governed, and performance data products across Omni\-channel domains. The Senior Data Engineer is responsible for developing and maintaining ELT pipelines, data models, and lakehouse architecture using modern cloud and big data technologies, with a strong focus on reliability, performance, and production ownership. **Essential Duties and Responsibilities:*** Lakehouse \&amp; Data Architecture
	+ Designs, develops, and maintains Databricks\-based lakehouse solutions leveraging medallion architecture (Bronze, Silver, Gold) and Delta Lake.
	+ Builds scalable, high\-performance analytical data models to support reporting, analytics, and downstream consumption.
	+ Ensures data solutions align with enterprise standards for security, governance, scalability, and cost efficiency.
* Data Engineering \&amp; ELT Pipelines
	+ Develops, tests, and maintains batch and streaming ELT pipelines using Spark SQL.
	+ Implements incremental data processing, dependency management, and idempotent pipeline patterns across multiple data sources.
	+ Integrates structured and semi\-structured data from transactional, digital, and third\-party systems into the lakehouse.
* Databricks Platform Development
	+ Develops and maintains Databricks notebooks, workflows, and jobs across development, QA, and production environments.
	+ Leverages Delta Lake features including ACID transactions, schema enforcement and evolution, and time travel.
	+ Partners with platform and DevOps teams to support environment promotion, scheduling, and deployment automation.
* Data Quality \&amp; Reliability
	+ Implements automated data quality checks, validation frameworks, and monitoring to ensure accuracy, completeness, and timeliness of data.
	+ Proactively identifies and resolves data issues, ensuring reliable data availability for business partners.
* Performance Optimization \&amp; Tuning
	+ Troubleshoots data pipeline and query performance issues and implements optimizations related to Spark execution, partitioning, file sizing, and data layout.
	+ Documents root cause analysis and corrective actions and provide recommendations to improve system performance and reliability.
* Production Ownership \&amp; Operations
	+ Owns data pipelines end\-to\-end in production, including monitoring, alerting, incident response, and operational support.
	+ Contributes to runbooks, operational documentation, and continuous improvement of production readiness practices.
* Programming \&amp; Standards
	+ Writes clean, maintainable, and well\-tested code using Python (PySpark) and SQL.
	+ Contributes to data engineering standards, reusable frameworks, and best practices across the Analytics Engineering team.
* Documentation \&amp; Reviews
	+ Produces clear technical documentation, including design specifications and data flow diagrams.
	+ Participates in design reviews and code reviews, providing constructive feedback to ensure quality and consistency.
* Collaboration \&amp; Stakeholder Engagement
	+ Collaborates closely with data engineers, analytics engineers, data scientists, digital analysts, and business stakeholders to translate business needs into scalable data solutions.
	+ Works cross\-functionally with project managers, platform teams, and external partners to deliver high\-impact analytics capabilities.
* Mentorship \&amp; Technical Leadership
	+ Mentors and supports less experienced data engineers through technical guidance and best\-practice sharing.
	+ Leads technical design discussions for complex datasets and influences architectural decisions within the team.
* Continuous Improvement
	+ Stays current with emerging data engineering technologies, trends, and industry best practices.
	+ Identifies opportunities to improve efficiency, reliability, and scalability across data engineering workflows.
* Performs other duties as assigned.
 **Qualifications:*** 5\+ years of experience in data engineering, data integration, or analytics engineering roles.
* Experience with cloud\-based analytics platforms and modern data architecture.
* Technical Skills
	+ Advanced experience with SQL and Spark (PySpark and Spark SQL) in large\-scale data environments.
	+ Strong experience designing and maintaining ELT pipelines in a cloud\-based lakehouse architecture.
	+ Deep understanding of data modeling for analytics, including star schemas and slowly changing dimensions.
	+ Experience with streaming or near\-real\-time data processing is preferred.
	+ Strong knowledge of data governance, security, and compliance best practices.
* Tools and Platforms
	+ Extensive experience with Databricks and Delta Lake for analytics and data engineering workloads.
	+ Experience with cloud object storage platforms such as AWS S3\.
	+ Familiarity with orchestration, scheduling, and monitoring of data pipelines.
	+ Experience working with large, complex datasets in analytics and reporting contexts.
	+ Familiarity with BI and visualization tools such as Tableau, Looker, or Power BI.
	+ Experience with digital analytics data (e.g., Adobe Analytics or Google Analytics) is a plus.
* Methodologies and Frameworks
	+ Experience working within SDLC methodologies such as Agile and Waterfall.
	+ Familiarity with CI/CD and version control practices for data engineering workflows.
* Communication and Presentation Skills
	+ Ability to clearly communicate complex technical concepts to technical and non\-technical audiences, including leadership.
	+ Strong written and verbal communication skills, including documentation and presentation of technical solutions.
* Customer Service \&amp; Collaboration
	+ Demonstrated ability to work collaboratively across teams and with business stakeholders.
	+ Strong customer service mindset with a focus on delivering reliable and high\-quality data solutions.
* Adaptability \&amp; Problem Solving
	+ Strong troubleshooting and analytical skills with a proactive, solution\-oriented approach.
	+ Ability to work effectively in a fast\-paced, evolving environment and manage multiple priorities.
* Curiosity
	+ Intellectual curiosity and passion for data, analytics, and continuous learning.
 **Educational Requirements:*** Bachelor’s or Master’s degree in Computer Science, Data Engineering, Information Systems, or a related field, or equivalent practical experience.
* Data or cloud\-related certifications are a plus.
 **Work Days****:**
Normal work days are Monday through Friday. Occasional Saturdays and Sundays may be necessary. **Work Hours:**
Normal work hours are 8:00 a.m. to 5:00 p.m. Additional hours may be necessary.  
Discount Tire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  
\#LI\-GW1
\#LI\-Hybrid</t>
        </is>
      </c>
    </row>
    <row r="15">
      <c r="A15" t="inlineStr">
        <is>
          <t>in-da0aac2ebf36609b</t>
        </is>
      </c>
      <c r="B15" t="inlineStr">
        <is>
          <t>Azure Databricks Data Engineer</t>
        </is>
      </c>
      <c r="C15" t="inlineStr">
        <is>
          <t>Tata Consultancy Services (TCS)</t>
        </is>
      </c>
      <c r="D15" t="inlineStr">
        <is>
          <t>indeed</t>
        </is>
      </c>
      <c r="E15" t="inlineStr"/>
      <c r="F15" t="inlineStr"/>
      <c r="G15" t="inlineStr">
        <is>
          <t>Seattle, WA, US</t>
        </is>
      </c>
      <c r="H15" s="2" t="n">
        <v>46055</v>
      </c>
      <c r="I15" t="inlineStr">
        <is>
          <t>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Seattle, WA
**Job Function**
TECHNOLOGY
**Role**
Senior Engineer
**Job Id**
394674
**Desired Skills**
Azure
**Salary Range**
$100,000\-$130,000 a year
Desired Candidate Profile
**Qualifications** : BACHELOR OF COMPUTER SCIENCE</t>
        </is>
      </c>
    </row>
    <row r="16">
      <c r="A16" t="inlineStr">
        <is>
          <t>in-161f0a8f30798032</t>
        </is>
      </c>
      <c r="B16" t="inlineStr">
        <is>
          <t>Data Engineer</t>
        </is>
      </c>
      <c r="C16" t="inlineStr">
        <is>
          <t>Raytheon</t>
        </is>
      </c>
      <c r="D16" t="inlineStr">
        <is>
          <t>indeed</t>
        </is>
      </c>
      <c r="E16" t="inlineStr"/>
      <c r="F16" t="inlineStr"/>
      <c r="G16" t="inlineStr">
        <is>
          <t>Phoenix, AZ, US</t>
        </is>
      </c>
      <c r="H16" s="2" t="n">
        <v>46055</v>
      </c>
      <c r="I16" t="inlineStr">
        <is>
          <t>**Date Posted:**
2026\-02\-02**Country:**
United States of America**Location:**
US\-AZ\-REMOTE**Position Role Type:**
Remote**U.S.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are seeking a highly skilled and motivated Data Engineer to join our dynamic team. As a Data Engineer, you will be responsible for designing and developing data solutions including data ingest and consumption workflows, transformation, modelling, and resulting analytics. You will work closely with data scientists, analysts, and other stakeholders to ensure the value, reliability, and trustworthiness of our data solutions. Your expertise as a data engineer will help us leverage data to drive business impact decision\-making and enhance our aerospace and defense capabilities.
**What You Will Do**
* Design, develop, and maintain scalable and efficient data pipelines to process data from various sources using tools such as **Matillion** and **Databricks**.
* Collaborate with data scientists, analysts, architects and other stakeholders to understand data requirements and translate them into technical solutions.
* Develop and optimize **ETL** (Extract, Transform, Load) processes to ensure data quality and integrity.
* Utilize **Snowflake** for data warehousing, ensuring efficient data storage and retrieval.
* Perform data modeling to design and structure databases that support business requirements.
* Write and optimize SQL queries for data transformation.
* Ensure data security and compliance with industry standards and regulations.
* Adhere to and advocate established best practices and design patterns.
* Document data processes, workflows, and technical specifications.
* Conduct data analysis to support business insights and decision\-making.
**Qualifications You Must Have:**
* Typically requires a University Degree or equivalent experience and minimum 8 years prior relevant experience, or An Advanced Degree in a related field and minimum 5 years' experience
* Experiencing developing and optimizing **ETL** processes
* Experience with **Python** for data transformation
* Proficiency in **API** integration (REST) and associated exchange security patterns
* Experience with cloud platforms, services and tools
* The ability to obtain and maintain a U.S. government issued security clearance is required. U.S. citizenship is required, as only U.S. citizens are eligible for a security clearance.
**Qualifications We Prefer**
* Experience in the aerospace and defense industry
* Experience using data integration tools such as **Matillion**
* Experience with **Snowflake** for data warehousing
* **Data modeling** and **data architecture** experience
* Strong proficiency in **SQL** and experience with relational databases
* Familiarity with data governance and data security practices
* Experience with data analysis and generating data requirements
**What We Offer**
* Our values drive our actions, behaviors, and performance with a vision for a safer, more connected world. At RTX we value: Safety, Trust, Respect, Accountability, Collaboration, and Innovation.
Please consider the following role type definition as you apply for this role.
* Remote: This position currently is designated as remote. Employees who are working in remote roles will work primarily offsite (from home) but may be expected to travel to the site location as needed. The successful candidate for this role will be required to reside and work from one of the 50 U.S. states (excluding U.S. territories).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7">
      <c r="A17" t="inlineStr">
        <is>
          <t>in-9a74e3746725c075</t>
        </is>
      </c>
      <c r="B17" t="inlineStr">
        <is>
          <t>Staff NPI Data Analytics Engineer</t>
        </is>
      </c>
      <c r="C17" t="inlineStr">
        <is>
          <t>Credo</t>
        </is>
      </c>
      <c r="D17" t="inlineStr">
        <is>
          <t>indeed</t>
        </is>
      </c>
      <c r="E17" t="inlineStr"/>
      <c r="F17" t="inlineStr"/>
      <c r="G17" t="inlineStr">
        <is>
          <t>San Jose, CA, US</t>
        </is>
      </c>
      <c r="H17" s="2" t="n">
        <v>46054</v>
      </c>
      <c r="I17" t="inlineStr">
        <is>
          <t>We believe connection goes beyond technology.
It’s about people.
We Connect
A Culture of Collaboration
We’re thrilled you’re exploring opportunities at Credo! Our global team member base plays a vital role in maintaining Credo’s leadership as a trusted provider of high\-speed connectivity solutions. We deliver IP and interconnect technologies with end\-to\-end signal integrity for next\-generation platforms.
At Credo, we believe connection goes beyond technology. It’s about people. We foster a culture of collaboration and inclusion, both within our company and in the communities we serve. Whether through employee\-led initiatives, local partnerships, or global teamwork, we’re committed to making meaningful connections that drive innovation and create impact.
We Invent
A Culture of Innovation
At Credo, our name reflects our belief in putting people first. We’re building a team of bold thinkers and self\-starters who are ready to help the world’s leading companies solve tomorrow’s connectivity challenges today.
Our cutting\-edge products are redefining what’s possible in the fast\-paced world of high\-speed data centers, earning recognition as true game\-changers in the industry.
A career with meaning
A Culture of Impact
Work alongside some of the most respected names in networking technology
Grow your career in a company that values innovation, impact, and inclusion
See your skills and contributions drive real results, earn recognition, and unlock new opportunities
Be part of a collaborative and fun work environment where technological and human connection is at the core of everything we do
Credo Cares represents our commitment to community
At Credo, we believe that innovation and social responsibility go hand in hand. That’s why we launched Credo Cares — an initiative to bridge the gap between the resources of the tech industry and the needs of charitable organizations.
Overview of employee benefits
Credo is fully committed to supporting the health and well\-being of you and your family:
Health / Dental / Vision Insurance
Time off plus paid holidays, parental leave
Employee discounts
Retirement plans, financial resources, and tax\-saving programs
Mental health and wellbeing programs
And more!
Staff NPI Data Analytics Engineer
February 2, 2026
San Jose, CA
**About the role**
Team Credo is seeking a highly technical and data‑driven Staff NPI Data Analytics Engineer to optimize our New Product Introduction (NPI) workflows and high‑volume manufacturing operations. This role ensures seamless data analytics, robust Bill of Materials (BOM) management, and complete product lifecycle traceability across advanced components including MicroLEDs, photodiodes, fiber bundles, Tx/Rx ASICs, interposers, and micro‑lens arrays.
The role operates at the intersection of internal test, characterization, and manufacturing teams and external component suppliers, ensuring consistent, high\-quality data flow from early development through qualification and high\-volume production. This position requires close collaboration with Ottawa\-based R\&amp;D team and Shanghai\-based Operations team, along with approximately 25% international travel.  
**Base salary range** is $170,000 – $210,000 a year. The base salary offer will depend on factors such as education, experience, training, skills, qualifications, and location. This position is also eligible for a discretionary bonus, equity and a full range of medical and other benefits.
**Why Credo**
* **Purpose:** We invest in what matters. From meaningful\-future shaping projects to competitive compensation, we empower you to grow your career while making a lasting impact.
* **People:** Connection starts within. We collaborate, celebrate wins, and create an environment where everyone can do their best work.
* **Possibilities:** Our belief shapes what’s next. Our technology powers the most reliable and energy\-efficient connections around the world – and our team powers new products and markets that come next.
**Responsibilities**
* Champion the use of data analytics (using tools like Python, SQL, JMP and/or state\-of\-the\-art manufacturing analytics platforms) throughout the NPI process to model performance, yield, predict bottlenecks, and validate process capabilities, ensuring a smooth transition to volume production. Own end\-to\-end delivery of the automated validation POC, including scope, milestones, success criteria, risk mitigation, and scale\-up planning across development and production phases.
* Partner closely with internal test, characterization, reliability, and manufacturing teams to standardize data generation, ingestion, and KPI reporting across electrical, optical, RF, and imaging datasets. Ensure validation workflows align with evolving development, qualification, and production needs.
* Define and enforce standardized data submission formats and KPI definitions for component suppliers. Enable consistent, apple\-toapple supplier comparisons at lot and component levels to support qualification, sourcing, and risk decisions.
* Establish and enforce data schemas for metadata, test data, reliability data, and quality data across internal and external sources. Maintain data integrity, traceability, and version control throughout the NPD lifecycle.
* Drive Product \&amp; Process Traceability: Design and implement systems for complete data traceability, linking material lots, process parameters, and equipment data to individual unit serial numbers. This is critical for root cause analysis, quality audits, and regulatory compliance.
* Identify and execute on opportunities for yield improvement, cost reduction, and throughput enhancement by analyzing production data. Lead initiatives to transition from paper\-based to electronic DHR systems, enhancing data accessibility for analytics.
**Qualifications**
* Bachelor’s degree in engineering, Computer Science, Data Science, or a related technical field.
* 7\+ years of progressive experience in R\&amp;D, NPI, and/or Manufacturing Engineering, technical program management, validation, test systems, or data platforms.
* Hands\-on experience in data analytics for development and manufacturing (e.g., yield analysis, process capability, SPC) and proficiency with tools such as Python, JMP, advanced Excel, or Minitab for DOE, SPC, CPK analysis, and problem\-solving (5\-Why, DMAIC, Fishbone).
* Strong understanding of data pipelines, schema governance, KPI frameworks, and analytics systems.
* Experience with AI/ML logic models and their application in development and manufacturing data analytics.
* Proven ability to work deeply with internal test/characterization teams and external suppliers.
* Effective communication skills across global and multicultural teams.
* Strong collaboration, adaptability in dynamic environments, and a customer\-focused approach to driving change and delivering results.
* Proven success in managing technology transfers and ramping production with overseas suppliers and contract manufacturers.
**About Credo**
Credo’s mission is to transform connectivity at scale through fast, reliable, and energy\-efficient system solutions. Our high\-speed copper and optical interconnect products deliver industry\-leading power and performance at up to 1\.6T to meet the ever\-expanding data infrastructure demands of AI.
Our product portfolio includes ZeroFlap (ZF) Active Electrical Cables (AECs) and ZF optical transceivers, OmniConnect memory solutions, and a suite of retimers and DSPs for optical and copper Ethernet and PCIe, all leveraging the PILOT diagnostic and analytics software platform. Credo innovations enable our customers to connect the systems that connect the world.
**Credo is committed to creating an inclusive environment for all employees and welcome applicants from diverse backgrounds without regard to race, color, religion, gender, sex, sexual orientation, national origin, genetic information, age, disability, veteran status, or any other legally protected basis. If you have a disability or special need that requires accommodation to navigate our website or complete the application process, email** **people@credosemi.com****.**</t>
        </is>
      </c>
    </row>
    <row r="18">
      <c r="A18" t="inlineStr">
        <is>
          <t>in-314f70066d0f98dd</t>
        </is>
      </c>
      <c r="B18" t="inlineStr">
        <is>
          <t>Data Engineering Senior Specialist</t>
        </is>
      </c>
      <c r="C18" t="inlineStr">
        <is>
          <t>Southern California Edison</t>
        </is>
      </c>
      <c r="D18" t="inlineStr">
        <is>
          <t>indeed</t>
        </is>
      </c>
      <c r="E18" t="inlineStr"/>
      <c r="F18" t="inlineStr"/>
      <c r="G18" t="inlineStr">
        <is>
          <t>Rosemead, CA, US</t>
        </is>
      </c>
      <c r="H18" s="2" t="n">
        <v>46054</v>
      </c>
      <c r="I18" t="inlineStr">
        <is>
          <t>**Join the Clean Energy Revolution**
Become a **Data Engineering Senior Specialist** at Southern California Edison (SCE) and build a better tomorrow. In this job, you’ll have a strong background in data mining, data preparation, data transformation, feature engineering, data quality profiling, and data visualizations. This role also focuses on supporting a variety of data science use cases and improving data\-driven decision\-making across the organization. If you are passionate about transforming raw data into actionable insights, we want to hear from you! As a **Data Engineer**, your work will help power our planet, reduce carbon emissions and create cleaner air for everyone. Are you ready to take on the challenge to help us build the future?
 **Some of the key activities for this position include:**
* **Data Mining:** Identify, extract, and gather data from various sources including databases, APIs, and other repositories to build comprehensive datasets for analysis.
* **Data Preparation:** Clean, preprocess, and refine data to ensure it is in a usable format. Create efficient data pipelines to facilitate integration with data science workflows. Facilitates data engineering activities covering data acquisition, extraction, normalization, transformation, management, and manipulation of large and complex data sets.
* Implements **data transformations** to derive new datasets necessary for business use cases.
* **Feature Engineering:** Collaborate with data scientists to design and implement features for predictive modeling and machine learning use cases, ensuring the highest quality of input data for various analytics applications.
* **Data Quality Profiling:** Implement and maintain data quality profiling rules and monitoring processes. Identify data quality issues and work with stakeholders to resolve them, ensuring data accuracy and consistency.
* **Data Visualization:** Develop and maintain dashboards and visualizations that effectively communicate insights and support decision\-making. Utilize visualization tools to present data findings clearly and effectively.
* **Collaboration:** Work closely with data scientists, analysts, and other stakeholders to understand their data needs and provide the necessary support for their projects.
* **Documentation:** Maintain documentation on data models, pipelines, and processes to promote knowledge sharing and facilitate continued improvements.
**Responsibilities**
--------------------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 Bachelor's Degree in Computer Science, Information Systems, Engineering, Statistics/ Mathematics or equivalent STEM major
* Five or more years of experience in data processing large data sets, hands\-on with data transformation, aggregation, and ﬁltering.
 **Preferred Qualifications**
* Experience with electric utility functional domains data (Asset Management, Work Management, Outage Management, Energy Procurement, Grid Ops, etc).
* Experience with building analytics visualizations using capabilities like Microsoft Power BI.
* Cloud Data Engineer certifications: GCP, Azure, and/or AWS.
* Experience with cloud computing.
* Experience with Python, PySpark, and/or NodeJS/VueJS.
* Experience with Snowflake and data engineering certification on the platform.
* Cloud Analytics certification.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The primary work location for this position is **Rosemead, CA (SCE General Office, Building 3\).** However, the successful candidate may also be asked to work for an extended amount of time at any of our office locations.
* Position will require up to **30%** traveling and being out in the field throughout the SCE service territory.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19">
      <c r="A19" t="inlineStr">
        <is>
          <t>in-a2e0e8a353ee749a</t>
        </is>
      </c>
      <c r="B19" t="inlineStr">
        <is>
          <t>Senior Data Engineer</t>
        </is>
      </c>
      <c r="C19" t="inlineStr">
        <is>
          <t>Mayo Clinic</t>
        </is>
      </c>
      <c r="D19" t="inlineStr">
        <is>
          <t>indeed</t>
        </is>
      </c>
      <c r="E19" t="inlineStr"/>
      <c r="F19" t="inlineStr"/>
      <c r="G19" t="inlineStr">
        <is>
          <t>Rochester, MN, US</t>
        </is>
      </c>
      <c r="H19" s="2" t="n">
        <v>46054</v>
      </c>
      <c r="I19"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Radiology Analytics team is seeking a technically skilled and highly motivated professional to help design, build, and advance the data and analytics ecosystem supporting the Department of Radiology. This role will focus on developing reliable, high\-performance data pipelines and platforms that transform complex clinical and operational data into trusted, analytics\-ready assets. These datasets will support operational insights and advanced reporting, and serve as a foundation for AI and machine learning initiatives, including predictive and capacity\-planning use cases. Serving as a critical bridge between IT and Radiology, this position offers a unique opportunity to deliver solutions that directly enhance efficiency, innovation, and patient care.
The successful candidate will design, build, and operate scalable, production\-grade data pipelines and integrations that support analytics and machine learning solutions. This role is responsible for developing and maintaining reliable data ingestion, processing, and storage workflows using platforms such as Microsoft Fabric, with a focus on data quality, performance, and operational stability. The position requires a strong understanding of enterprise data architectures and tooling, along with the ability to exercise independent technical judgment. The role will collaborate with data scientists, data analysts, and IT partners to engineer clinical and operational data into trusted, analytics\- and model\-ready datasets that support advanced analytics, AI development, and data\-driven decision\-making across Radiology.
May be required to provide 24/7 call support.
*During the selection process you may participate in an OnDemand (pre\-recorded) interview that you can complete at your convenience. During the OnDemand interview, a question will appear on your screen, and you will have time to consider each question before responding. You will have the opportunity to re\-record your answer to each question – Mayo Clinic will only see the final recording. The complete interview will be reviewed by a Mayo Clinic staff member and you will be notified of next steps.*
A Codility exam will be required as part of the interview screening process for this position.
**This vacancy is not eligible for sponsorship/we will not sponsor or transfer visas for this position. Also, Mayo Clinic DOES NOT participate in the F\-1 STEM OPT extension program.**
 **Qualifications**  
A Bachelor's degree in a relevant field such as engineering, mathematics, computer science, information technology, health science, or other analytical/quantitative field and a minimum of five years of professional or research experience in data visualization, data engineering, analytical modeling techniques; OR an Associate’s degree in a relevant field such as engineering, mathematics, computer science, information technology, health science, or other analytical/quantitative field and a minimum of seven years of professional or research experience in data visualization, data engineering, analytical modeling techniques. In\-depth business or practice knowledge will also be considered.
Incumbent must have the ability to manage a varied workload of projects with multiple priorities and stay current on healthcare trends and enterprise changes. Interpersonal skills, time management skills, and demonstrated experience working on cross functional teams are required.
Requires strong analytical skills and the ability to identify and recommend solutions and a commitment to customer service.
The position requires excellent verbal and written communication skills, attention to detail, and a high capacity for learning and problem resolution.
Advanced experience in SQL is required. Strong Experience in scripting languages such as Python, JavaScript, PHP, C\+\+ or Java \&amp; API integration is required. Experience in hybrid data processing methods (batch and streaming) such as Apache Spark, Hive, Pig, Kafka is required. Experience with big data, statistics, and machine learning is required.
The ability to navigate linux and windows operating systems is required.
Knowledge of workflow scheduling (Apache Airflow Google Composer), Infrastructure as code (Kubernetes, Docker) CI/CD (Jenkins, Github Actions) is preferred. Experience in DataOps/DevOps and agile methodologies is preferred.
Experience with hybrid data virtualization such as Denodo is preferred.
Working knowledge of Tableau, Power BI, SAS, ThoughtSpot, DASH, d3, React, Snowflake, SSIS, and Google Big Query is preferred.
**License or Certification:**  
Google Cloud Platform (GCP) certification is preferred.
 **Exemption Status**  
Exempt  
**Compensation Detail**  
$138,257 \- $200,512 / year  
**Benefits Eligible**  
Yes  
**Schedule**  
Full Time  
**Hours/Pay Period**  
80  
**Schedule Details**  
Monday \- Friday with hours between 7AM \- 5PM CST. This position is fully remote; can work from anywhere in the U.S.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Stephanie Brackey</t>
        </is>
      </c>
    </row>
    <row r="20">
      <c r="A20" t="inlineStr">
        <is>
          <t>in-b7cde7272e242051</t>
        </is>
      </c>
      <c r="B20" t="inlineStr">
        <is>
          <t>Data Engineer 2 - Partner Engineering Platform (PEP) Reporting</t>
        </is>
      </c>
      <c r="C20" t="inlineStr">
        <is>
          <t>Microsoft</t>
        </is>
      </c>
      <c r="D20" t="inlineStr">
        <is>
          <t>indeed</t>
        </is>
      </c>
      <c r="E20" t="inlineStr"/>
      <c r="F20" t="inlineStr"/>
      <c r="G20" t="inlineStr">
        <is>
          <t>Redmond, WA, US</t>
        </is>
      </c>
      <c r="H20" s="2" t="n">
        <v>46051</v>
      </c>
      <c r="I20" t="inlineStr">
        <is>
          <t>**Overview**  
Partner Engineering Platform (PEP) Reporting team within WECE powers high scale telemetry insights that help Microsoft’s OEM and silicon partners improve device reliability and enhance the Windows customer experience.
As a **Data Engineer 2**, you will design, build, and optimize cloud scale data systems that process high\-volume Windows OEM telemetry, enabling engineering teams to make fast, accurate, data driven decisions.
You will work across distributed data platforms, near real\-time ingestion flows, and large analytical datasets, contributing to next generation reporting and partner experiences across the Windows ecosystem.
This role is ideal for engineers who enjoy solving complex data problems, delivering reliable and efficient pipelines, and collaborating with Program Management, Technical Program Managers, Engineering, and Telemetry teams within a supportive, learning\-oriented environment.
 **Responsibilities**  
* Build and maintain scalable data pipelines using Azure Data Lake, Lakehouse patterns, Azure Datastores, and Parquet\-based datasets.
* Develop Kusto (ADX) queries, tables, and ingestion processes; optimize KQL for performance and cost efficiency.
* Design and tune Cosmos DB collections, partitioning, indexing, and RU consumption.
* Implement streaming and batch workflows using COSMOS Streams and large distributed data systems.
* Improve pipeline reliability, latency, and availability through monitoring, diagnostics, and performance engineering.
* Ensure secure and compliant data access using Azure RBAC, ACLs, managed identities, and fine\-grained access patterns.
* Collaborate with PM/TPM, platform, reliability, OEM engagement, and telemetry teams to deliver high value insights.
**Qualifications** **Required Qualifications:**
* Master's Degree in Computer Science, Math, Software Engineering, Computer Engineering, or related field AND 1\+ year(s) experience in business analytics, data science, software development, data modeling, or data engineering
	+ OR Bachelor's Degree in Computer Science, Math, Software Engineering, Computer Engineering, or related field AND 2\+ years experience in business analytics, data science, software development, data modeling, or data engineering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in data engineering, software engineering, or largescale analytics.
* Strong experience with KQL and Azure Data Explorer (Kusto).
* Hands\-on experience with Azure Cosmos DB, Azure Data Lake/Lakehouse, and Parquet datasets.
* Strong SQL skills and proficiency in one programming language (Python, C\#, or similar).
* Demonstrated ability to optimize data pipelines for performance, scalability, and availability.
* Familiarity with Azure Synapse, Fabric Semantic Models, PySpark, Scala, and distributed compute engines.
* Experience building high\-volume data pipelines (batch and streaming) using Cosmos Streams or equivalent.
* Experience with device telemetry, reliability metrics, or OEM ecosystem data flows.
* Knowledge of Azure access control models (RBAC/ABAC) and secure data governance.
* Experience building observability dashboards and pipeline health metrics.
What Success Looks Like
* Reliable, fast, cost optimized pipelines that power OEM and partner analytics.
* Clear data models and Kusto assets that improve downstream engineering and telemetry insights.
* Strong cross team collaboration and technical clarity supporting PEP’s reliability mission.
\#W\+DJOBS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in-ed94c4b3db723be2</t>
        </is>
      </c>
      <c r="B21" t="inlineStr">
        <is>
          <t>Data Engineer, Global Planning, Amazon Leo</t>
        </is>
      </c>
      <c r="C21" t="inlineStr">
        <is>
          <t>Amazon.com</t>
        </is>
      </c>
      <c r="D21" t="inlineStr">
        <is>
          <t>indeed</t>
        </is>
      </c>
      <c r="E21" t="inlineStr"/>
      <c r="F21" t="inlineStr"/>
      <c r="G21" t="inlineStr">
        <is>
          <t>Bellevue, WA, US</t>
        </is>
      </c>
      <c r="H21" s="2" t="n">
        <v>46037</v>
      </c>
      <c r="I21"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22">
      <c r="A22" t="inlineStr">
        <is>
          <t>in-c2304b1ec2f3fd3b</t>
        </is>
      </c>
      <c r="B22" t="inlineStr">
        <is>
          <t>Data Engineer, Global Planning, Amazon Leo</t>
        </is>
      </c>
      <c r="C22" t="inlineStr">
        <is>
          <t>Amazon.com</t>
        </is>
      </c>
      <c r="D22" t="inlineStr">
        <is>
          <t>indeed</t>
        </is>
      </c>
      <c r="E22" t="inlineStr"/>
      <c r="F22" t="inlineStr"/>
      <c r="G22" t="inlineStr">
        <is>
          <t>Arlington, VA, US</t>
        </is>
      </c>
      <c r="H22" s="2" t="n">
        <v>46037</v>
      </c>
      <c r="I22"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23">
      <c r="A23" t="inlineStr">
        <is>
          <t>in-ef7772020f380216</t>
        </is>
      </c>
      <c r="B23" t="inlineStr">
        <is>
          <t>Principal Data Engineer</t>
        </is>
      </c>
      <c r="C23" t="inlineStr">
        <is>
          <t>Microsoft</t>
        </is>
      </c>
      <c r="D23" t="inlineStr">
        <is>
          <t>indeed</t>
        </is>
      </c>
      <c r="E23" t="inlineStr"/>
      <c r="F23" t="inlineStr"/>
      <c r="G23" t="inlineStr">
        <is>
          <t>Redmond, WA, US</t>
        </is>
      </c>
      <c r="H23" s="2" t="n">
        <v>46037</v>
      </c>
      <c r="I23" t="inlineStr">
        <is>
          <t>**Overview**  
Microsoft is on a mission to reinvent productivity with AI, and the Time \+ Places (T\+P) organization powers the data foundation behind that transformation. We are seeking a **Principal Data Engineer** to architect and build the next generation of intelligence, analytics, and experimentation infrastructure that fuels Calendar AI, meeting productivity experiences, and the broader M365 ecosystem.
As a **Principal Data Engineer**, you will design and operate large\-scale data pipelines, feature stores, and experimentation systems that support applied science, data science, and engineering teams across Outlook, Teams, and Places. Your work will enable insights into how people manage time, how meetings work, and how AI can help users plan and prepare more effectively.
You will lead the technical vision for data engineering across T\+P—ensuring our datasets are trustworthy, our pipelines are reliable, our metrics are consistent, and our experimentation frameworks can scale to millions of users. This is a high\-impact leadership role with visibility across M365 Copilot and the central AI ecosystem.
If you enjoy solving complex data challenges, building scalable systems, and enabling AI\-driven product innovation at massive scale, we’d love to meet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build large\-scale data pipelines across meetings, calendar actions, user behaviors, Teams signals, and Copilot interactions to unlock analytics, AI modeling, and product insights.
* Design and maintain unified data models and feature stores that support personalization, meeting prep intelligence, time insights, and agentic AI features.
* Ensure high data quality and reliability through robust validation, monitoring, lineage tracking, schema governance, and automated anomaly detection.
* Build and operate experimentation and metric infrastructure that supports A/B testing, quasi\-experiments, telemetry analysis, and longitudinal user studies.
* Partner with applied scientists and model engineers to provide high\-quality datasets for post\-training, RLHF, evaluation, and model diagnostics.
* Develop scalable, efficient data pipelines using technologies such as Spark, Kusto, Cosmos, Synapse, Data Factory, Delta Lake, or similar distributed systems.
* Collaborate cross\-functionally with PM, Applied Science, and Engineering to translate business needs into data pipelines and scalable production systems.
* Drive engineering excellence through code reviews, documentation, automation, observability, and best practices in security, compliance, and privacy.
* Provide technical leadership by mentoring engineers, setting architectural direction, and ensuring long\-term maintainability of core data systems.
**Qualifications** **Required Qualifications:**
* Master's Degree in Computer Science, Math, Software Engineering, Computer Engineering, or related field AND 4\+ years experience in business analytics, data science, software development, data modeling, or data engineering
	+ OR Bachelor's Degree in Computer Science, Math, Software Engineering, Computer Engineering, or related field AND 6\+ years experience in business analytics, data science, software development, data modeling, or data engineering
	+ OR equivalent experience.
**Preferred Qualifications:**
* Proficiency in software engineering fundamentals (Python, Scala, Java, or similar).
* Experience building and maintaining large\-scale ETL/ELT pipelines or distributed data processing systems.
* Proficiency with SQL and working with big\-data environments (Spark, Kusto, Hive, or similar frameworks).
* Experience with cloud services such as Azure Data Lake, Data Factory, Synapse, Databricks, or equivalent.
* Solid understanding of data modeling, schema design, and pipeline optimization.
* Experience designing end\-to\-end data architectures for AI/ML workflows, including training data generation, evaluation datasets, and feature pipelines.
* Experience with real\-time or near–real\-time data systems, streaming, or event\-driven architectures (EventHub, Kafka, etc.).
* Experience supporting experimentation frameworks and telemetry\-based metrics.
* Familiarity with Responsible AI, data privacy, GDPR, or enterprise compliance considerations.
* Demonstrated ability to influence cross\-functional teams and drive large\-scale technical initiatives.
* Experience mentoring engineers and leading technical design discussions at an org\-wide level.
Data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
      <c r="A24" t="inlineStr">
        <is>
          <t>in-f90738df9d68377f</t>
        </is>
      </c>
      <c r="B24" t="inlineStr">
        <is>
          <t>Data Engineer, Denied Party Screening, AWS Compliance &amp; Security Assurance</t>
        </is>
      </c>
      <c r="C24" t="inlineStr">
        <is>
          <t>Amazon.com</t>
        </is>
      </c>
      <c r="D24" t="inlineStr">
        <is>
          <t>indeed</t>
        </is>
      </c>
      <c r="E24" t="inlineStr"/>
      <c r="F24" t="inlineStr"/>
      <c r="G24" t="inlineStr">
        <is>
          <t>Dallas, TX, US</t>
        </is>
      </c>
      <c r="H24" s="2" t="n">
        <v>46029</v>
      </c>
      <c r="I2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5">
      <c r="A25" t="inlineStr">
        <is>
          <t>in-87aa94d4824083c4</t>
        </is>
      </c>
      <c r="B25" t="inlineStr">
        <is>
          <t>Data Engineer, Denied Party Screening, AWS Compliance &amp; Security Assurance</t>
        </is>
      </c>
      <c r="C25" t="inlineStr">
        <is>
          <t>Amazon.com</t>
        </is>
      </c>
      <c r="D25" t="inlineStr">
        <is>
          <t>indeed</t>
        </is>
      </c>
      <c r="E25" t="inlineStr"/>
      <c r="F25" t="inlineStr"/>
      <c r="G25" t="inlineStr">
        <is>
          <t>Seattle, WA, US</t>
        </is>
      </c>
      <c r="H25" s="2" t="n">
        <v>46029</v>
      </c>
      <c r="I2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6">
      <c r="A26" t="inlineStr">
        <is>
          <t>in-ec6012c44a094c82</t>
        </is>
      </c>
      <c r="B26" t="inlineStr">
        <is>
          <t>Data Engineer</t>
        </is>
      </c>
      <c r="C26" t="inlineStr">
        <is>
          <t>Amazon.com</t>
        </is>
      </c>
      <c r="D26" t="inlineStr">
        <is>
          <t>indeed</t>
        </is>
      </c>
      <c r="E26" t="inlineStr"/>
      <c r="F26" t="inlineStr"/>
      <c r="G26" t="inlineStr">
        <is>
          <t>San Francisco, CA, US</t>
        </is>
      </c>
      <c r="H26" s="2" t="n">
        <v>46001</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in-2f0f84dce7cad41e</t>
        </is>
      </c>
      <c r="B27" t="inlineStr">
        <is>
          <t>Data Engineer</t>
        </is>
      </c>
      <c r="C27" t="inlineStr">
        <is>
          <t>Amazon.com</t>
        </is>
      </c>
      <c r="D27" t="inlineStr">
        <is>
          <t>indeed</t>
        </is>
      </c>
      <c r="E27" t="inlineStr"/>
      <c r="F27" t="inlineStr"/>
      <c r="G27" t="inlineStr">
        <is>
          <t>Seattle, WA, US</t>
        </is>
      </c>
      <c r="H27" s="2" t="n">
        <v>46001</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in-437ccf76719dbd77</t>
        </is>
      </c>
      <c r="B28" t="inlineStr">
        <is>
          <t>Delivery Consultant - Data Engineer, Data and Machine Learning, WWPS US Federal</t>
        </is>
      </c>
      <c r="C28" t="inlineStr">
        <is>
          <t>Amazon Web Services</t>
        </is>
      </c>
      <c r="D28" t="inlineStr">
        <is>
          <t>indeed</t>
        </is>
      </c>
      <c r="E28" t="inlineStr"/>
      <c r="F28" t="inlineStr"/>
      <c r="G28" t="inlineStr">
        <is>
          <t>Herndon, VA, US</t>
        </is>
      </c>
      <c r="H28" s="2" t="n">
        <v>45991</v>
      </c>
      <c r="I2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in-d22d594f13b49464</t>
        </is>
      </c>
      <c r="B29" t="inlineStr">
        <is>
          <t>Delivery Consultant - Data Engineer, Data and Machine Learning, WWPS US Federal</t>
        </is>
      </c>
      <c r="C29" t="inlineStr">
        <is>
          <t>Amazon Web Services</t>
        </is>
      </c>
      <c r="D29" t="inlineStr">
        <is>
          <t>indeed</t>
        </is>
      </c>
      <c r="E29" t="inlineStr"/>
      <c r="F29" t="inlineStr"/>
      <c r="G29" t="inlineStr">
        <is>
          <t>Arlington, VA, US</t>
        </is>
      </c>
      <c r="H29" s="2" t="n">
        <v>45991</v>
      </c>
      <c r="I2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in-19ead20356ef35b8</t>
        </is>
      </c>
      <c r="B30" t="inlineStr">
        <is>
          <t>Senior Data Engineer</t>
        </is>
      </c>
      <c r="C30" t="inlineStr">
        <is>
          <t>Machinify</t>
        </is>
      </c>
      <c r="D30" t="inlineStr">
        <is>
          <t>indeed</t>
        </is>
      </c>
      <c r="E30">
        <f>HYPERLINK("https://www.indeed.com/viewjob?jk=19ead20356ef35b8", "https://www.indeed.com/viewjob?jk=19ead20356ef35b8")</f>
        <v/>
      </c>
      <c r="F30">
        <f>HYPERLINK("https://grnh.se/2x2j2l3b9us", "https://grnh.se/2x2j2l3b9us")</f>
        <v/>
      </c>
      <c r="G30" t="inlineStr">
        <is>
          <t>Palo Alto, CA, US</t>
        </is>
      </c>
      <c r="H30" s="3" t="n">
        <v>46055</v>
      </c>
      <c r="I30"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As a **Senior Data Engineer**, you'll be at the heart of transforming raw external data into powerful, trusted datasets that drive payment, product, and operational decisions. You'll work closely with product managers, data scientists, subject matter experts, engineers, and customer teams to build, scale, and refine production pipelines — ensuring data is accurate, observable, and actionable.  
You'll also play a critical role in onboarding new customers, integrating their raw data into our internal models. Your pipelines will directly power the company's ML models, dashboards, and core product experiences. If you enjoy owning end\-to\-end workflows, shaping data standards, and driving impact in a fast\-moving environment, this is your opportunity.
**What You'll Do**
* Design and implement robust, production\-grade pipelines using Python, Spark SQL, and Airflow to process high\-volume file\-based datasets (CSV, Parquet, JSON).
* Lead efforts to canonicalize raw healthcare data (837 claims, EHR, partner data, flat files) into internal models.
* Own the full lifecycle of core pipelines — from file ingestion to validated, queryable datasets — ensuring high reliability and performance.
* Onboard new customers by integrating their raw data into internal pipelines and canonical models; collaborate with SMEs, Account Managers, and Product to ensure successful implementation and troubleshooting.
* Build resilient, idempotent transformation logic with data quality checks, validation layers, and observability.
* Refactor and scale existing pipelines to meet growing data and business needs.
* Tune Spark jobs and optimize distributed processing performance.
* Implement schema enforcement and versioning aligned with internal data standards.
* Collaborate deeply with Data Analysts, Data Scientists, Product Managers, Engineering, Platform, SMEs, and AMs to ensure pipelines meet evolving business needs.
* Monitor pipeline health, participate in on\-call rotations, and proactively debug and resolve production data flow issues.
* Contribute to the evolution of our data platform — driving toward mature patterns in observability, testing, and automation.
* Build and enhance streaming pipelines (Kafka, SQS, or similar) where needed to support near\-real\-time data needs.
* Help develop and champion internal best practices around pipeline development and data modeling.
**What You Bring**
* 6\+ years of experience as a Data Engineer (or equivalent), building production\-grade pipelines.
* Strong expertise in Python, Spark SQL, and Airflow.
* Experience processing large\-scale file\-based datasets (CSV, Parquet, JSON, etc) in production environments.
* Experience mapping and standardizing raw external data into canonical models.
* Familiarity with AWS (or any cloud), including file storage and distributed compute concepts.
* Experience onboarding new customers and integrating external customer data with non\-standard formats.
* Ability to work across teams, manage priorities, and own complex data workflows with minimal supervision.
* Strong written and verbal communication skills — able to explain technical concepts to non\-engineering partners.
* Comfortable designing pipelines from scratch and improving existing pipelines.
* Experience working with large\-scale or messy datasets (healthcare, financial, logs, etc.).
* Experience building or willingness to learn streaming pipelines using tools such as Kafka or SQS.
* Bonus: Familiarity with healthcare data (837, 835, EHR, UB04, claims normalization).
 **Why Join Us**
* Real impact — your pipelines will directly support decision\-making and claims payment outcomes from day one.
* High visibility — partner with ML, Product, Analytics, Platform, Operations, and Customer teams on critical data initiatives.
* Total ownership — you'll drive the lifecycle of core datasets powering our platform.
Customer\-facing impact — you will directly contribute to successful customer onboarding and data integration.
**What We Offer**
* Work from anywhere in the US! Machinify is digital\-first.
* Full Medical/Dental/Vision for employees \&amp; their families
* Flexible and trusting environment where you'll feel empowered to do your best work
* Unlimited FTO
* Competitive salary, equity, 401(k) including employer match
The salary for this position is based on an array of factors unique to each candidate: Such as years and depth of experience, set skills, certifications, etc. The base salary range for this role is $180k\-$220k.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31">
      <c r="A31" t="inlineStr">
        <is>
          <t>in-6dcf8625ec463c7b</t>
        </is>
      </c>
      <c r="B31" t="inlineStr">
        <is>
          <t>Data Platform Engineer II</t>
        </is>
      </c>
      <c r="C31" t="inlineStr">
        <is>
          <t>jamf</t>
        </is>
      </c>
      <c r="D31" t="inlineStr">
        <is>
          <t>indeed</t>
        </is>
      </c>
      <c r="E31">
        <f>HYPERLINK("https://www.indeed.com/viewjob?jk=6dcf8625ec463c7b", "https://www.indeed.com/viewjob?jk=6dcf8625ec463c7b")</f>
        <v/>
      </c>
      <c r="F31">
        <f>HYPERLINK("https://grnh.se/vf4vtfer4us", "https://grnh.se/vf4vtfer4us")</f>
        <v/>
      </c>
      <c r="G31" t="inlineStr">
        <is>
          <t>Remote, US</t>
        </is>
      </c>
      <c r="H31" s="3" t="n">
        <v>46055</v>
      </c>
      <c r="I31" t="inlineStr">
        <is>
          <t>At Jamf, we believe in an open, flexible culture based on respect and trust. Our track record and thriving work environment all stem from the freedom we grant ourselves to get the job done right. We take pride in helping tens of thousands of customers around the globe succeed with Apple.
The secret to our success lies in our connectivity, while operating with a high degree of flexibility. Work\-life balance remains our priority while feeling connected is important to maintain our strong culture, achieve our goals, and thrive as \#OneJamf.
 **What you'll do at Jamf:**
Business Intelligence at Jamf powers data\-driven decision\-making across the organization. As a **Data Platform Engineer II**, you'll be responsible not just for building \&amp; transforming data, but for owning critical data infrastructure: from ingestion and storage, to governance, quality, and consumption by analytics/ML tools. You will partner with analysts, data scientists, product owners and engineers to ensure that Jamf's data assets are reliable, high\-performance, secure, and scalable.
**For those candidates who live near a Jamf office, you may be expected to work periodically in\-office or collaborative work location with other Jamf employees in your area for certain events or moments that matter.**
**What you can expect to do in this role****:**
* Design, build, maintain, and improve the data platform infrastructure (Snowflake environments, airflow workflows, orchestration, CI/CD pipelines for dbt / transformations)
* Develop and maintain Terraform (or equivalent IaC) definitions for provisioning data infrastructure (compute, storage, permissions, networking where needed)
* Automate deployment of data transformations (e.g. dbt CI/CD, staging / production pipelines)
* Ensure data platform availability, reliability, security and performance (e.g. enforce roles \&amp; permissions in Snowflake, resource monitoring, concurrency/usage optimisation)
* Instrument monitoring, logging and alerting of data workflows (Airflow / Kubernetes / dbt jobs)
* Collaborate with Data Engineers / Analysts / Architects to define platform capabilities, set standards \&amp; best practices around schema design, governance, version control, and performance
* Run capacity planning, ensure cost\-efficiency, scaling strategy (e.g. concurrency limits in Snowflake warehouse sizing, cluster autoscaling, etc)
* Facilitate onboarding of teams to the data platform: document usage patterns, create templates or utilities (for example dbt macros, shared libraries)
* Participate in architecture reviews, evaluate new platform tooling (e.g. enhancements to orchestration, transformation frameworks, security strategy, etc)
* Troubleshoot critical incidents and participate in incident / post\-mortem cycles for platform issues
* \#LIRemote
**What we are looking for:**
* Minimum of 3 years experience building data pipelines with Python (Required)
* Minimum of 3 years experience working with data warehouse or other cloud based database technology, with strong proficiency in SQL. (Required)
* Experience with Docker / Kubernetes (Required)
* Exposure to Infrastructure\-as\-Code (IaC) such as Terraform or DevOps (Required)
* Experience working with dbt (Preferred)
* Strong experience with cloud infrastructure: AWS (EC2, ECR, S3, Glue, RDS, etc) or equivalent public cloud provider
* Hands\-on experience in CI/CD, version control, unit / integration testing for data pipelines
* Comfortable working in agile teams, and mentoring others
* Strong Communication Skills
* Excellent Interpersonal Skills
* Excellent Organizational Skills
* Proven Analytical Skills
* Ability to communicate complex technical terms in an easy to understand, non\-technical manner
* Ability to interact effectively with co\-workers in a result driven culture
* Self\-starter, energetic multi\-tasker, highly motivated and team player
* Ability to engage with and establish trust and rapport with all levels of customers and employees
* Agile practitioner experienced in Scrum or Kanban
* General knowledge of Apple products and eco\-systems
* Bachelor's Degree in Mathematics, Computer Science or related field (Required)
* A combination of relevant experience and education may be considered
**SECURITY AND PRIVACY REQUIREMENTS**
* Participation in ongoing security training is mandatory
* Established security protocols will be adhered to, sensitive data will be handled responsibly, and data protection practices are followed, including understanding relevant privacy regulations and reporting breaches
* Acknowledging the Jamf Code of Conduct, where applicable security and privacy policies can be found, is a requirement of all roles at Jamf
**How we help you reach your best potential:**
* Named a 2025 Best Companies to Work For by U.S. News
* Named a 2024 Best Technology Company to Work For by U.S. News
* Named one of Forbes Most Trusted Companies in 2024
* Named a 2024 Best Companies to Work For by U.S. News
* Our developers work in agile delivery teams to produce new features, improve software components, and are the subject matter experts for our Jamf product offerings.
* You will have the opportunity to make a real and meaningful impact for more than 75,000 global customers with the best Apple device management solution in the world.
* We constantly push the boundaries of technology, our developers support new innovations and OS releases the moment they are made available by Apple.
* Several Jamf engineers are named in patents and with team names like CatDog, ThunderSnow and Dalek you can expect to have some fun while building cutting\-edge software.
* You will have the opportunity to work with a small and empowered team where the culture is based on trust, ownership, and respect.
* We offer a clear career path that enables you to grow under supportive leadership and management
* Visit our Jamf Engineering blog to learn more about the innovative projects our team is working on and what we learn from each challenge we solve. A blog written by engineers, for engineers at medium.com/jamf\-engineering
* 22 of 25 world's most valuable brands rely on Jamf to do their best work (as ranked by Forbes).
* Over 100,000 Jamf Nation users, the largest online IT community in the world.
**What it means to be a Jamf?**  
We are a team of free\-thinkers, can\-doers, and problem\-crushers. We value humility and the relentless pursuit of knowledge. Our culture flows from a spirit of selflessness and relentless self\-improvement \- driving both personal growth and collective progress throughout our company. We unite around common goals while respecting personal approaches, believing that fulfilled individuals create a thriving, vibrant workplace.
Our aim is simple: hire exceptionally good people who are incredibly good at what they do and let them do it. We provide the support and resources to let everyone be their authentic, best selves at work, at rest, and at play. We are committed to supporting the continual improvement of Apple in the workplace, the organizations that rely on them and the people who keep it all running smoothly.
Above it all, waves our banner of \#OneJamf – and the knowledge that when we stand together, we accomplish so much more than we could alone. We seek individuals who share this unwavering journey toward growth to join us in our quest for constant improvement.
**What does Jamf do?**  
Jamf extends the legendary Apple experience people enjoy in their personal lives to the workplace. We believe the experience of using a device at work or school should feel the same, and be as secure as, using a personal device. With Jamf, customers are able to confidently automate Mac, iPad, iPhone and Apple TV deployment, management, and security – anytime, anywhere – to protect the data and applications used by employees in the workplace, students learning in the classroom, and streamline communications in healthcare between patients and providers. More than 2,500 Jamf strong worldwide, we are free\-thinkers, can\-doers, and problems crushers who are encouraged to bring their whole selves to work each and every day.
Get social with us and follow the conversation at \#OneJamf
*Jamf is committed to creating an inclusive \&amp; supportive work environment for all candidates and employees. Candidates with disabilities or religious beliefs are encouraged to reach out if they need additional support or alternative options to our recruiting processes to accommodate their disability or religious belief. If you need an accommodation, please contact your Recruiter or Recruiting Coordinator directly. Requests for accommodation will be handled confidentially by Recruiting and will not be shared with the hiring manager. Jamf is an equal opportunity employer and does not discriminate against individuals who request reasonable accommodation for disability or religious beliefs. To request accommodations please email us at* *recruiting@jamf.com*</t>
        </is>
      </c>
    </row>
    <row r="32">
      <c r="A32" t="inlineStr">
        <is>
          <t>in-33fded6a2052a310</t>
        </is>
      </c>
      <c r="B32" t="inlineStr">
        <is>
          <t>Senior Data Engineer (Ed-Fi)</t>
        </is>
      </c>
      <c r="C32" t="inlineStr">
        <is>
          <t>Cloudwick Technologies</t>
        </is>
      </c>
      <c r="D32" t="inlineStr">
        <is>
          <t>indeed</t>
        </is>
      </c>
      <c r="E32">
        <f>HYPERLINK("https://www.indeed.com/viewjob?jk=33fded6a2052a310", "https://www.indeed.com/viewjob?jk=33fded6a2052a310")</f>
        <v/>
      </c>
      <c r="F32">
        <f>HYPERLINK("http://www.indeed.com/job/senior-data-engineer-ed-fi-33fded6a2052a310", "http://www.indeed.com/job/senior-data-engineer-ed-fi-33fded6a2052a310")</f>
        <v/>
      </c>
      <c r="G32" t="inlineStr">
        <is>
          <t>Remote, US</t>
        </is>
      </c>
      <c r="H32" s="3" t="n">
        <v>46056</v>
      </c>
      <c r="I32" t="inlineStr">
        <is>
          <t>**Senior Data Engineer (Ed\-Fi)**
**Department**
Professional Services
**Location**
Newark, CA (Hybrid/Remote)
**Employment Type**
Contract\-to\-Hire
**Compensation**
$150,000 \- $195,000 annually (including performance bonus)
**Travel**
Up to 15%
**About Cloudwick**
Cloudwick is a leading provider of cloud\-native data and analytics solutions. Our flagship product, Amorphic, simplifies data lake and lakehouse management on AWS, enabling organizations to unlock the power of their data. Join our growing Professional Services team to help customers implement innovative solutions and deliver measurable business outcomes.
**Position Overview**
We are seeking an experienced Senior Data Engineer with deep expertise in the Ed\-Fi Data Standard to join our Professional Services team. In this contract\-to\-hire role, you will lead the design, development, and implementation of education data solutions for K\-12 State Education Agencies (SEAs) and Local Education Agencies (LEAs). You will work with Ed\-Fi ODS/API implementations, student information system integrations, and state longitudinal data systems (SLDS) using AWS cloud infrastructure.
The ideal candidate combines strong data engineering fundamentals with specialized knowledge of education data ecosystems, including compliance with FERPA, state reporting requirements, and interoperability standards. After a successful 6\-month contract period, high\-performing candidates will be eligible for conversion to full\-time employment.
**Key ResponsibilitiesEd\-Fi Implementation \&amp; Integration**
* Design and implement Ed\-Fi ODS/API deployments for state and district clients
* Build and optimize data pipelines to ingest data from Student Information Systems (SIS) such as PowerSchool, Infinite Campus, and Skyward into Ed\-Fi ODS
* Develop ETL/ELT processes to transform source data to conform with Ed\-Fi Data Standard specifications
* Implement Ed\-Fi API integrations for assessment platforms, HR systems, and other education applications
* Configure and customize Ed\-Fi extensions to meet state\-specific reporting requirements
**Data Architecture \&amp; Engineering**
* Architect scalable data lake and data warehouse solutions on AWS for education analytics
* Design data models supporting state longitudinal data systems (SLDS) and federal reporting (EdFacts, CRDC)
* Implement data quality frameworks ensuring accuracy of student demographics, enrollment, and assessment data
* Build automated data validation and reconciliation processes for state submissions
* Leverage AWS services including S3, Glue, Redshift, Lambda, and Step Functions
**Compliance \&amp; Data Governance**
* Ensure solutions comply with FERPA, COPPA, and state student privacy regulations
* Implement PII protection controls including encryption, masking, and access management
* Support data governance initiatives and metadata management for education data
* Document data lineage and maintain data dictionaries aligned with Ed\-Fi standards
**Client Engagement \&amp; Leadership**
* Serve as technical lead on Ed\-Fi implementation projects for SEA and LEA clients
* Conduct requirements workshops with state IT and data governance teams
* Mentor junior engineers on Ed\-Fi standards and education data best practices
* Present technical solutions to stakeholders including state CIOs and data officers
**Required Qualifications**
* Bachelor's degree in Computer Science, Information Systems, or related field
* 6\+ years of data engineering experience with at least 2 years working with Ed\-Fi Data Standard
* Hands\-on experience with Ed\-Fi ODS/API deployment, configuration, and customization
* Strong proficiency in Python and SQL; experience with Spark is a plus
* Experience with AWS data services (S3, Glue, Redshift, Athena, Lambda)
* Proven experience integrating Student Information Systems (PowerSchool, Infinite Campus, Skyward, etc.)
* Understanding of state education reporting requirements and EdFacts submission processes
* Knowledge of FERPA compliance requirements for student data protection
* Excellent communication skills with ability to work with technical and non\-technical stakeholders
**Preferred Qualifications**
* Master's degree in a relevant field
* AWS certifications (Solutions Architect, Data Analytics Specialty)
* Experience with State Longitudinal Data Systems (SLDS) implementation
* Familiarity with CEDS (Common Education Data Standards) and SIF standards
* Experience with education analytics and BI tools (Power BI, Tableau, QuickSight)
* Prior consulting or professional services experience
* Experience with CI/CD pipelines and infrastructure as code (Terraform, CloudFormation)
* Knowledge of K\-12 education operations, accountability systems, and assessment programs
Pay: $150,000\.00 \- $195,000\.00 per year
Work Location: Remote</t>
        </is>
      </c>
    </row>
    <row r="33">
      <c r="A33" t="inlineStr">
        <is>
          <t>in-1c05c03e1f5737fa</t>
        </is>
      </c>
      <c r="B33" t="inlineStr">
        <is>
          <t>Healthcare Data Engineer</t>
        </is>
      </c>
      <c r="C33" t="inlineStr">
        <is>
          <t>Sellers Dorsey</t>
        </is>
      </c>
      <c r="D33" t="inlineStr">
        <is>
          <t>indeed</t>
        </is>
      </c>
      <c r="E33">
        <f>HYPERLINK("https://www.indeed.com/viewjob?jk=1c05c03e1f5737fa", "https://www.indeed.com/viewjob?jk=1c05c03e1f5737fa")</f>
        <v/>
      </c>
      <c r="F33">
        <f>HYPERLINK("https://ats.rippling.com/icp/jobs/c8b20959-e65a-4647-9077-de621ca353ba?jobSite=Indeed", "https://ats.rippling.com/icp/jobs/c8b20959-e65a-4647-9077-de621ca353ba?jobSite=Indeed")</f>
        <v/>
      </c>
      <c r="G33" t="inlineStr">
        <is>
          <t>Remote, US</t>
        </is>
      </c>
      <c r="H33" s="3" t="n">
        <v>46056</v>
      </c>
      <c r="I33" t="inlineStr">
        <is>
          <t>**About Sellers Dorsey**
Sellers Dorsey is a healthcare impact strategy firm focused on improving care access, quality, and outcomes for our nation’s most vulnerable populations. We work with providers, managed care organizations, state entities, and others, to design, implement, fund, and optimize sustainable programs that deliver maximum impact to underserved communities. Built on decades of experience in Medicaid, our team includes former state Medicaid directors, healthcare policy experts, health plan execs, and hospital leaders who know how to navigate the complexities of the system and find creative, impactful solutions that drive the greatest impact for the individuals and communities that need it most.
 **About the Role**
Sellers Dorsey is seeking a technically skilled and mission\-driven Healthcare Data Engineer that will build, optimize, and maintain scalable data pipelines that power clinical, operational, and regulatory insights. This role is foundational to our enterprise data strategy and will work closely with architects, analysts, and governance teams to turn healthcare data into actionable intelligence.
 **Key Responsibilities**
 **1\-Data Architecture \&amp; Engineering:**
* Design, develop, and maintain robust data pipelines and architectures using modern ETL/ELT frameworks.
* Integrate and standardize healthcare data from diverse sources including EHR, claims, lab systems, and patient portals.
* Collaborate with Data Architects to implement scalable models that support BI, analytics, and data science initiatives.
**2\-ETL Development \&amp; Optimization:**
* Build automated ETL workflows that ensure high performance, reliability, and data integrity.
* Monitor data jobs and troubleshoot issues across cloud and on\-prem environments.
* Document pipelines and technical processes with precision and clarity.
* Ensure proper logging and transparency into pipeline performance and data load analytics.
**3\-Data Transformation and Staging:**
* Shape data from raw intake and inputs into usable and meaningful data stages for consumption by BI programs and analytics platforms.
* Work with Backend Engineers to understand API data requirements and shape data accordingly.
* Properly document transformation steps for ongoing support and maintenance of Data Governance
**4\-Data Mapping:**
* Work in multiple existing database structures to understand table schema and build queries to extract necessary data.
* Build and / or utilize queries and strategies for forensic discovery of data elements withing an existing database architecture.
**5\-Data Strategy Support:**
* Contribute to the development and execution of enterprise data strategy, aligning technical work with business goals.
* Translate analytics needs into data engineering deliverables and identify opportunities for innovation.
* Support client relations with ad\-hoc client data queries and record requests.
**6\-Data Governance \&amp; Compliance:**
* Ensure data quality, accuracy, and security across engineering processes.
* Partner with governance teams to implement metadata management, data lineage, and stewardship practices.
* Maintain compliance with HIPAA, HITECH, and internal policies.
 **Key Qualifications**
* Bachelor’s degree in Computer Science, Information Systems, Health Informatics, or related field preferred.
* 5\+ years of experience in data engineering, preferably in a healthcare or regulated industry, required.
* Experience with cloud platforms such as Azure, AWS, or GCP.
* Knowledge of data governance frameworks and tools (e.g., Collibra, Informatica).
* Exposure to DevOps, CI/CD pipelines, and Agile development practices.
* Familiarity with healthcare data formats (HL7, FHIR, CCD), structures, and compliance requirements.
* Expertise in ETL development and tools (e.g., Python, Azure Data Factory, etc.).
* Experience in data transformation models (e.g., dbt, T\-SQL, etc.).
* Proficiency in SQL, Python, YAML, JSON.
* Comfortable with multiple varied data formats and the pros / cons of each (e.g., CSV, Feather, Parquet, etc.).
* Proficiency in multiple database structures (e.g., MS SQL, Postgres, Snowflake, etc.).
 **Compensation \&amp; Benefits**
The anticipated salary range for candidates is $105,400/year in our lowest geographic market range to up to $140,000/year in our highest geographic market range. The final pay offered to a successful candidate will be dependent on several factors that may include but are not limited to the type and years of experience within the job, the type of years and experience within the industry, the candidate’s education, and the candidate’s market location. Typically, candidates are not hired near the top of the range and compensation decisions are made based upon Sellers Dorsey’s Total Compensation Policies \&amp; Guidelines. The successful candidate will also be eligible to participate in our annual Corporate Incentive Plan (CIP) that can range to up to 10% of annual salary.
Provided they meet all eligibility requirements under the applicable plan documents, the successful candidate (and their eligible dependents) will be eligible to enroll in group healthcare plans that offer medical, dental, and vision and for insurance plans offering short term disability, long term disability, and basic life. Employees are also able to enroll in Sellers Dorsey’s 401k plan provided they meet plan requirements. Sellers Dorsey offers a Flexible Time Off that allows employees to use what they need. Additionally, we offer 10 paid holidays throughout the calendar year, paid time off for qualifying medical leave, and up to 12 weeks of combined paid parental and bonding leave. The foregoing benefits and paid time off, including an employee’s eligibility therefore, will be controlled by applicable plan documents and Sellers Dorsey policy.
This is intended to provide a general description of benefits and other compensation and is not a substitute for applicable plan documents or company policies.
Sellers Dorsey is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**HumanResources@sellersdorsey.com** and let us know the nature of your request and your contact information. Requests for accommodation will be considered on a case\-by\-case basis. Please note that only inquiries concerning a request for reasonable accommodation will be responded to from this e\-mail address.
Sellers Dorsey maintains a Drug\-Free workplace.</t>
        </is>
      </c>
    </row>
    <row r="34">
      <c r="A34" t="inlineStr">
        <is>
          <t>in-e4ce57699fb20412</t>
        </is>
      </c>
      <c r="B34" t="inlineStr">
        <is>
          <t>SIEM Data Engineer/Splunk</t>
        </is>
      </c>
      <c r="C34" t="inlineStr">
        <is>
          <t>Titan Technologies</t>
        </is>
      </c>
      <c r="D34" t="inlineStr">
        <is>
          <t>indeed</t>
        </is>
      </c>
      <c r="E34">
        <f>HYPERLINK("https://www.indeed.com/viewjob?jk=e4ce57699fb20412", "https://www.indeed.com/viewjob?jk=e4ce57699fb20412")</f>
        <v/>
      </c>
      <c r="F34">
        <f>HYPERLINK("https://recruiting.ultipro.com/TEL1010TEFO/JobBoard/914e6c7a-35d4-4079-865a-b3a7e7758070/OpportunityDetail?opportunityId=aaf6c9d9-ec84-4413-ac59-cf55e01dd561&amp;postingId=604c0ac2-5e55-4dce-aa43-14a42a685499", "https://recruiting.ultipro.com/TEL1010TEFO/JobBoard/914e6c7a-35d4-4079-865a-b3a7e7758070/OpportunityDetail?opportunityId=aaf6c9d9-ec84-4413-ac59-cf55e01dd561&amp;postingId=604c0ac2-5e55-4dce-aa43-14a42a685499")</f>
        <v/>
      </c>
      <c r="G34" t="inlineStr">
        <is>
          <t>Reston, VA, US</t>
        </is>
      </c>
      <c r="H34" s="3" t="n">
        <v>46056</v>
      </c>
      <c r="I34" t="inlineStr">
        <is>
          <t>Titan Technologies is hiring! We are actively seeking a SIEM Data Engineer/Splunk Engineer to support a government intelligence agency customer. The Chief Information Office (CIO) is responsible for planning, maintaining, and sustaining the global CIO enterprise that supports critical national security missions. Through the SITE III multi\-award IDIQ contract, the CIO delivers high\-impact solutions that strengthen how the Defense Intelligence Agency operates today and prepares it for the future.
SITE III supports warfighters, policymakers, and acquisition leaders across the Defense Intelligence Enterprise (DIE) by delivering a decisive Information and Communications Technology (ICT) advantage. Our teams provide strategic, technical, and program management expertise to modernize enterprise infrastructure, systems, and applications—ensuring they are secure, resilient, and mission\-ready.
This is not a staff augmentation program. SITE III focuses on managed services and outcome\-driven solutions that improve integration, enable seamless information sharing, and protect critical data. If you’re interested in solving complex problems, working at scale, and helping modernize mission\-critical systems, SITE III offers the opportunity to make a real difference.
**Job description**
The Splunk Engineer manages and enhances Splunk environments, designs and deploys infrastructure, develops dashboards, integrates data sources, monitors performance, collaborates with teams, and provides user training and support.
**Duties and Responsibilities:**
* Design, deploy, and manage Splunk infrastructure
* Develop and maintain Splunk dashboards, queries, and alerts
* Integrate Splunk with various data sources to ensure comprehensive data ingestion
* Monitor and troubleshoot Splunk performance issues
* Collaborate with cross\-functional teams to gather requirements and provide Splunk solutions
**You MUST have:**
* 2\+ years managing and configuring Splunk, 2\+ years in Splunk architecture (indexers, search heads, forwarders, deployment server), 1\+ year with Splunk REST API
* 2\+ years configuring Cribl sources, destinations, routes, and collectors
* 2\+ years building data pipelines and authoring configuration files
* 2\+ years in Linux and Windows administration
* 1\+ year with regex skills for field extraction and event breaking
* DoD 8570 IAT Level II certification, including Security\+ CE, CCNA\-Security, GSEC, SSCP, CySA\+, GICSP, or CND certification
* Must obtain a DoD 8570 Cyber Security Service Provider \- Infrastructure Support certification prior to start date
* Active TS/SCI clearance; willingness to take a polygraph exam
**It’s GREAT if you also have:**
* 1 year experience with DISA STIGs or other organizational hardening standards
* 2\+ years networking fundamentals and troubleshooting tools
* Knowledge of common log formats and scripting languages such as Python, Bash, or PowerShell
* Strong communication skills, load\-balancer fundamentals, Git, Ansible, and Python scripting knowledge
**Education:**
* Associate’s degree and 5\+ years supporting IT projects, or Bachelor’s degree and 3\+ years, or Master’s degree and 1\+ year, or 10\+ years in lieu of a degree
**Company Description:**
Titan Technologies, LLC and our wholly owned subsidiaries, TelaForce, LLC, Titan Facilities, Inc. and Zen Strategics, design, build, integrate, and manage innovative solutions and software applications. Our remarkable people, working collaboratively under a shared vision, have earned a reputation with our customers for delivering results with maximum impact. Sound intriguing? Consider Titan Technologies for the next step in your career journey and be part of an impactful team!
Titan is proud to be a Service\-Disabled Veteran Owned Business.</t>
        </is>
      </c>
    </row>
    <row r="35">
      <c r="A35" t="inlineStr">
        <is>
          <t>in-cb9449f3273647e1</t>
        </is>
      </c>
      <c r="B35" t="inlineStr">
        <is>
          <t>Senior Data Engineer: $130-150,000, MN Based, Hybrid - 2 Days in Office</t>
        </is>
      </c>
      <c r="C35" t="inlineStr">
        <is>
          <t>GovDocs</t>
        </is>
      </c>
      <c r="D35" t="inlineStr">
        <is>
          <t>indeed</t>
        </is>
      </c>
      <c r="E35">
        <f>HYPERLINK("https://www.indeed.com/viewjob?jk=cb9449f3273647e1", "https://www.indeed.com/viewjob?jk=cb9449f3273647e1")</f>
        <v/>
      </c>
      <c r="F35">
        <f>HYPERLINK("http://www.indeed.com/job/senior-data-engineer-130-150000-mn-based-hybrid-2-days-office-cb9449f3273647e1", "http://www.indeed.com/job/senior-data-engineer-130-150000-mn-based-hybrid-2-days-office-cb9449f3273647e1")</f>
        <v/>
      </c>
      <c r="G35" t="inlineStr">
        <is>
          <t>Saint Paul, MN, US</t>
        </is>
      </c>
      <c r="H35" s="3" t="n">
        <v>46056</v>
      </c>
      <c r="I35" t="inlineStr">
        <is>
          <t>**Now Hiring: Senior Data Engineer**
We’re looking for a Senior Data Engineer to help advance our data capabilities and lead the development of reliable, scalable, and high\-quality data to the business. This is a high\-impact role where you’ll be a key early member of our growing Data Engineering team, partnering closely with our Data Engineering Manager to shape how we deliver trusted, decision\-ready data across the company. You’ll play a critical role in how we collect, integrate, and transform data across systems—making it accessible through analytics, reporting, and dashboards that support decision\-making every day.
**What You’ll Do:**
* Design, build and maintain scalable data pipelines and integrations across diverse systems and data sources
* Lead the development of robust data models, schemas, and storage patterns that support analytics, reporting, and downstream consumers
* Drive technical scoping, architecture, and planning discussions for complex data initiatives
* Write clean, maintainable, thoroughly tested code, and set the standard for code quality through reviews and guidance
* Debug and resolve data quality, pipeline reliability, and performance issues across the data stack
* Improve team tooling, orchestration patterns, development workflows, and data engineering best practices
* Collaborate with product, business, and engineers to deliver trusted, decision\-ready data
**What You Bring:**
* 6\+ years of experience designing, building, and scaling data pipelines, integrations, and data systems
* Strong experience with Python and modern ETL/ELT patterns (orchestration, automation, reliability)
* Hands\-on experience in Azure data platforms, including Azure Data Factory, Azure Functions, and Azure Synapse
* Advanced proficiency in SQL, plus experience working with structured and unstructured data in systems like MongoDB
* Experience building and supporting analytics and reporting solutions, including Power BI dashboards
* Familiarity with CI/CD, Git\-based workflows, monitoring/data quality best practices, and a collaborative, growth\-oriented mindset
* Ability to lead technical efforts, influence architectural direction, and align stakeholders around data strategy
* Excellent communication skills and the ability to work effectively with engineering, product, and business partners
* A passion for creating data systems that help users make better decisions and solve problems using data
**Who You Are:**
* You lead by example and share your passion to inspire those around you for growth. You are authentic, driven and positive.
* You possess emotional intelligence and empathy. You have a good sense of humor, are self\-aware and self\-critical, but not arrogant. You handle interpersonal dynamics with grace.
* You do more than the minimum to achieve outstanding results by being hands\-on and rolling up your sleeves now and again when it’s necessary.
* You thrive in a growth\-oriented company by embracing and adapting to changes easily. You are open\-minded and flexible.
* Your clear communication fosters understanding and collaboration. You express ideas effectively but are also an active listener.
**Flexible Work Model:**
We believe the best way for us to grow is by creating a work environment that offers greater flexibility. This means providing opportunities for employees to be together in the office a few days per week, where interactions can occur more frequently and effectively. Being in person helps foster collaboration and team engagement, which is especially important when addressing complex problems and driving business innovation. At the same time, we value the focused, uninterrupted time that working from home provides, allowing for more dedicated project and productive work with minimal distractions.
**Best Places to Work 2024:**
GovDocs was named one of the 2024 Best Places to Work by the Minneapolis/St. Paul Business Journal! Being named an honoree was no easy feat, as they received over 300 nominations for this year’s award. GovDocs was one of the top\-scoring Minnesota businesses honored in the medium company category (50\-250 employees) for creating a fun, challenging, and rewarding workplace. Read more about GovDocs as Best Places to Work 2024 here: https://bizj.us/1qlh8s
**Company Description**:
GovDocs serves companies in building and executing their employment law compliance programs in two primary ways:
* We manage all the complexities of identifying and providing the required set of employment law postings from the 1,700\+ potential postings across the U.S. and Canada. Using proprietary technology, we allow companies to manage, track and verify postings at each of their locations – including our patent pending PosterCheck technology. Our Employment Law Posting Update service is used by almost 22% of the Fortune 500 and 30% of the Fortune 100\.
* This is a first to market Software\-as\-a\-Service starting with our Minimum Wage product and Paid Leave products, which allow companies to identify and track which laws apply to their locations and employees, then provides all relevant data to make decisions. This service was created in response to requests from some of our largest customers who recognized that employment law expansion across and variances between jurisdictions (Federal, State and Local) were too difficult to manually track.
GovDocs has grown revenue annually by 18% since 2008 with a 96% customer retention rate, primarily due to our Postings Update Program both obtaining and retaining customers – as employment law postings are required by law, every company has an existing provider. Our Software Solutions are an entirely new line of business that gives us great growth potential to create a full Employment Law Compliance (ELC) platform of solutions, it is also challenging us to reinvent how we view urgency, innovation and teamwork.
You must be authorized to work in the United States. Immigration or work visa sponsorship will not be provided. In compliance with federal law, all persons hired will be required to verify identity and eligibility to work in the United States and to complete the required employment eligibility verification form upon hire.
**Compensation:**
This position is critical to the success of our business and the compensation package will be commensurate with candidate's experience and skills. This role will include a base salary and performance\-based incentives. Benefits include paid vacation, paid volunteer time, paid holidays, medical insurance, dental insurance, vision insurance, flexible spending account, health savings account, group life insurance, voluntary life insurance, group short\-term disability, group long\-term disability, critical illness insurance, accident insurance, hospital indemnity insurance, a matching 401(k), employee assistance programs, pet health insurance, and value\-added programs.
Base salary range: $130,000 – $150,000
**Send resume, salary requirements and cover letter to** careers@govdocs.com.
Job Type: Full\-time
Pay: $130,000\.00 \- $150,000\.00 per year
Benefits:
* 401(k)
* 401(k) matching
* Dental insurance
* Employee assistance program
* Flexible schedule
* Flexible spending account
* Health insurance
* Health savings account
* Life insurance
* Paid time off
* Referral program
* Retirement plan
* Tuition reimbursement
* Vision insurance
Application Question(s):
* Will you now or in the future require sponsorship for an employment visa?
* Are you willing and able to commute to the Eagan, MN office twice per week?
* What are your salary expectations for this role?
Work Location: Hybrid remote in Saint Paul, MN 55121</t>
        </is>
      </c>
    </row>
    <row r="36">
      <c r="A36" t="inlineStr">
        <is>
          <t>in-84933d1f17e920ea</t>
        </is>
      </c>
      <c r="B36" t="inlineStr">
        <is>
          <t>Tech Lead/Data Engineer III</t>
        </is>
      </c>
      <c r="C36" t="inlineStr">
        <is>
          <t>Medica Services Company LLC</t>
        </is>
      </c>
      <c r="D36" t="inlineStr">
        <is>
          <t>indeed</t>
        </is>
      </c>
      <c r="E36">
        <f>HYPERLINK("https://www.indeed.com/viewjob?jk=84933d1f17e920ea", "https://www.indeed.com/viewjob?jk=84933d1f17e920ea")</f>
        <v/>
      </c>
      <c r="F36">
        <f>HYPERLINK("https://recruiting2.ultipro.com/MED1007MHP/JobBoard/ffa5492f-9175-4dab-891d-a6a5d6dced2f/OpportunityDetail?opportunityId=06861629-1036-4fcd-bafb-f20627ae2532&amp;postingId=6b5d1a81-23ab-4245-a923-567df2dfaae4", "https://recruiting2.ultipro.com/MED1007MHP/JobBoard/ffa5492f-9175-4dab-891d-a6a5d6dced2f/OpportunityDetail?opportunityId=06861629-1036-4fcd-bafb-f20627ae2532&amp;postingId=6b5d1a81-23ab-4245-a923-567df2dfaae4")</f>
        <v/>
      </c>
      <c r="G36" t="inlineStr">
        <is>
          <t>Minnetonka, MN, US</t>
        </is>
      </c>
      <c r="H36" s="3" t="n">
        <v>46056</v>
      </c>
      <c r="I36" t="inlineStr">
        <is>
          <t>Medica is seeking an experienced **Tech Lead/Data Engineer III.** This role is ideal for an innovative and strategic thinker with a depth of experience in enterprise data and broader cloud\-based data engineering initiatives. This individual is someone who thrives in a mission\-driven, healthcare\-focused organization and is passionate about ensuring efficiency, scalability, financial integrity and compliance.
##### **Key Responsibilities:**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Design, build, implement, and maintain data storage structures and processing pipelines for the extraction, transformation, and loading (ETL) of data from a variety of sources. Develop robust and scalable solutions that transform data into a useful format for analysis, enhance data flow, and enable efficient, cost\-effective consumption and analysis of data. Write complex SQL queries to support analytics needs. Evaluate and recommend tools and technologies for data infrastructure and processing, including modern cloud platforms such as Snowflake, Azure, AWS, and data integration tools like Apache Airflow, dbt, Informatica Intelligent Data Management Cloud (IDMC), and distributed processing frameworks such as Apache Spark.
**Key Accountabilities:**
* Designing and implementing scalable data pipelines and storage solutions to support enterprise analytics.
* Ensuring data quality, integrity, and security across all stages of the data lifecycle.
* Collaborating with stakeholders to define data requirements and translate them into technical specifications.
* Monitoring and optimizing performance of data systems and ETL processes.
* Supporting the deployment and maintenance of data infrastructure in cloud environments.
* Developing and maintaining complex SQL scripts and stored procedures for data transformation and reporting.
* Leveraging Informatica IDMC for cloud\-native data integration, data quality, and governance workflows.
In addition to engineering responsibilities, the Data Generalist component of this role includes:
* Performing exploratory data analysis and generating actionable insights.
* Creating dashboards and visualizations using tools like Power BI, Tableau, or Excel.
* Collaborating with cross\-functional teams to align data efforts with business goals.
* Automating data workflows using scripting languages such as Python or R.
* Supporting business intelligence initiatives and translating data into strategic recommendations.
* Documenting data processes and contributing to data governance standards.
* Applying AI and machine learning techniques to enhance predictive analytics, automate decision\-making, and uncover deeper insights from complex datasets.
* Utilizing preferred AI tools and platforms such as TensorFlow, Azure Machine Learning, scikit\-learn, and PyTorch to build and deploy models that support enterprise analytics and innovation.
**Qualifications:**
* Bachelor's degree or equivalent experience in related field
* 5 years of related work experience beyond the degree
* Proficient use of SQL
**Skills and Abilities**
* Microsoft Certified: (or equivalent cloud) Azure Data Engineer
* Microsoft Certified: Azure Fundamentals
* Snowflake SnowPro Core Certification
* Snowflake Advanced Architect Certification
* Healthcare industry experience is desired
This position is an Office role, which requires an employee to work onsite at our Minnetonka, MN office, on average, 3 days per week.
The full salary grade for this position is $100,300 \- $172,000\. While the full salary grade is provided, the typical hiring salary range for this role is expected to be between $100,300 \- $150,465\.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37">
      <c r="A37" t="inlineStr">
        <is>
          <t>in-927f1eeb4e078416</t>
        </is>
      </c>
      <c r="B37" t="inlineStr">
        <is>
          <t>Senior Data Engineer</t>
        </is>
      </c>
      <c r="C37" t="inlineStr">
        <is>
          <t>Curant Health</t>
        </is>
      </c>
      <c r="D37" t="inlineStr">
        <is>
          <t>indeed</t>
        </is>
      </c>
      <c r="E37">
        <f>HYPERLINK("https://www.indeed.com/viewjob?jk=927f1eeb4e078416", "https://www.indeed.com/viewjob?jk=927f1eeb4e078416")</f>
        <v/>
      </c>
      <c r="F37">
        <f>HYPERLINK("http://www.indeed.com/job/senior-data-engineer-927f1eeb4e078416", "http://www.indeed.com/job/senior-data-engineer-927f1eeb4e078416")</f>
        <v/>
      </c>
      <c r="G37" t="inlineStr">
        <is>
          <t>Smyrna, GA, US</t>
        </is>
      </c>
      <c r="H37" s="3" t="n">
        <v>46056</v>
      </c>
      <c r="I37" t="inlineStr">
        <is>
          <t>***Please Note: At this time, Curant Health is not offering sponsorship for this role now or in the future.***
***Must be local to Atlanta\*\****
**Curant Health: Data Engineer** 
Are you passionate about harnessing the power of data to drive innovation and transform healthcare? Curant Health is on the hunt for a **dynamic Data Engineer** to join our team and take on an exciting role in designing, developing, and optimizing cutting\-edge data solutions. If you’re a C\# pro with a knack for building scalable data pipelines and crafting robust frameworks, this is your chance to make a meaningful impact!
**Why Join Us?**  
At Curant Health, you’ll be at the forefront of data innovation, working on transformative projects that shape the future of healthcare. Collaborate with forward\-thinking professionals in an environment that values creativity, ownership, and excellence.
**Your Mission:**
* Build secure, scalable ETL pipelines to empower data\-driven decision\-making.
* Spearhead projects from inception to completion, ensuring timely delivery and high\-quality results.
* Design and implement advanced Azure DevOps CI/CD pipelines for seamless deployment.
* Develop, test, and debug code that meets dynamic business needs.
* Redefine processes with innovative solutions that boost efficiency and scalability.
* Champion data integrity and maintain cutting\-edge infrastructure.
**What You’ll Bring to the Team:**
* A Bachelor’s or Master’s degree in computer science, engineering, or a related field.
* MUST have atleast 8 years of hands\-on experience with ETL pipelines and data processing.
* Mastery of Azure technologies, SQL, and SSIS, along with expertise in C\# and ASP.NET.
* A deep understanding of SharePoint, Azure ADF, and REST API frameworks.
* Strong problem\-solving skills, attention to detail, and a self\-driven mindset.
* Exceptional communication skills and the ability to thrive in a collaborative team environment.
**What Sets You Apart:**
* Experience with Agile methodologies.
* A proven track record in designing and implementing data warehouses.
* A passion for continuous improvement and process optimization.
Join us in shaping the future of healthcare technology. Apply now to be part of a team where your work truly makes a difference!
Job Type: Full\-time
Pay: $115,000\.00 \- $120,000\.00 per year
Benefits:
* 401(k)
* Dental insurance
* Health insurance
Application Question(s):
* This position does not offer visa sponsorship now or in the future. Are you legally authorized to work in the United States without sponsorship?
Experience:
* C\#: 3 years (Required)
Ability to Relocate:
* Smyrna, GA 30082: Relocate before starting work (Required)
Work Location: In person</t>
        </is>
      </c>
    </row>
    <row r="38">
      <c r="A38" t="inlineStr">
        <is>
          <t>in-d7ef9f673df96bee</t>
        </is>
      </c>
      <c r="B38" t="inlineStr">
        <is>
          <t>Analytics Engineer</t>
        </is>
      </c>
      <c r="C38" t="inlineStr"/>
      <c r="D38" t="inlineStr">
        <is>
          <t>indeed</t>
        </is>
      </c>
      <c r="E38">
        <f>HYPERLINK("https://www.indeed.com/viewjob?jk=d7ef9f673df96bee", "https://www.indeed.com/viewjob?jk=d7ef9f673df96bee")</f>
        <v/>
      </c>
      <c r="F38">
        <f>HYPERLINK("https://jobs.ashbyhq.com/arena/ea176c3c-2fb8-4928-b59e-d7aadf500481?utm_source=QORlzVZagZ", "https://jobs.ashbyhq.com/arena/ea176c3c-2fb8-4928-b59e-d7aadf500481?utm_source=QORlzVZagZ")</f>
        <v/>
      </c>
      <c r="G38" t="inlineStr">
        <is>
          <t>San Francisco Bay Area, CA, US</t>
        </is>
      </c>
      <c r="H38" s="3" t="n">
        <v>46055</v>
      </c>
      <c r="I38" t="inlineStr">
        <is>
          <t>### **About LMArena**
LMArena is the open platform for evaluating how AI models perform in the real world. Created by researchers from UC Berkeley’s SkyLab, our mission is to measure and advance the frontier of AI for real\-world use.
Millions of people use LMArena each month to explore how frontier systems perform — and we use our community’s feedback to build transparent, rigorous, and human\-centered model evaluations. Leading enterprises and AI labs rely on our evaluations to understand real\-world reliability, alignment, and impact. Our leaderboards are the gold standard for AI performance — trusted by leaders across the AI community and shaping the global conversation on model reliability and progress.
We’re a team of researchers, engineers, academics, and builders from places like UC Berkeley, Google, Stanford, DeepMind, and Discord. We seek truth, move fast, and value craftsmanship, curiosity, and impact over hierarchy. We’re building a company where thoughtful, curious people from all backgrounds can do their best work. Everyone on our team is a deep expert in their field — our office radiates excellence, energy, and focus.
### **About the Role**
Arena is seeking an experienced **Analytics Engineer** to own the data foundations that power real\-world AI evaluation. In this role, you will design and build the analytics\-layer data models, pipelines, and metrics that turn raw user activity and votes into trusted insights for the public, AI labs, and enterprise customers.
This role sits at the intersection of **data engineering, analytics, and product**. You’ll work closely with researchers, product managers, and engineers to define schemas, standardize metrics, and ensure that our evaluation data is accurate, interpretable, and scalable. Your work will directly shape how AI performance is measured, understood, and acted upon across the industry.
This is an ideal role for someone who enjoys building **clean, well\-modeled data systems**, cares deeply about data quality and correctness, and wants to see their work influence both product decisions and external customers.
### **You’ll**
* Own the design and implementation of analytics\-ready data models, schemas, and tables in our data warehouse
* Build and maintain reliable data pipelines (batch and incremental) that transform raw event and vote data into standardized, trusted datasets
* Define and standardize core metrics used across product, research, and customer\-facing evaluations
* Partner with product managers and researchers to translate evaluation questions into robust data models
* Develop and maintain dashboards, reports, and data artifacts used by internal teams and external partners
* Ensure data quality through testing, validation, monitoring, and documentation
* Orchestrate and schedule data workflows using Airflow or equivalent tools
* Optimize queries and pipelines to support large\-scale analytical workloads
* Contribute to improving data discoverability, lineage, and documentation across the warehouse
### **You’ll have**
* 3\+ years of experience in analytics engineering, data engineering, or a closely related role
* Strong proficiency in **SQL**, with experience designing analytics\-friendly schemas and transformations
* Hands\-on experience working with a **modern data warehouse** (e.g., Databricks, Snowflake, BigQuery)
* Experience building and orchestrating data pipelines using **Airflow or similar workflow orchestration tools**
* Proficiency in Python for data transformation, validation, and pipeline development
* A strong understanding of data modeling best practices (e.g., dimensional modeling, metrics layers)
* Experience operating and debugging production data pipelines with a focus on correctness and reliability
**Nice to have's**
* Experience with **Spark** or other distributed data processing frameworks
* Familiarity with Delta Lake or similar table formats
* Experience supporting experimentation, evaluation, or metrics\-heavy products
* Exposure to machine learning systems or ML\-adjacent analytics
* Experience improving data discovery, lineage, or documentation at scale
### **What we offer**
* We offer competitive compensation and equity aligned to the markets where our team members are based. The base salary range will depend on the candidate’s permanent work location.
* Comprehensive health and wellness benefits, including medical, dental, vision, and additional support programs.
* The opportunity to work on cutting\-edge AI with a small, mission\-driven team
* A culture that values transparency, trust, and community impact
Come help build the space where anyone can explore and help shape the future of AI.
*LMArena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39">
      <c r="A39" t="inlineStr">
        <is>
          <t>in-3e6476fc996c6732</t>
        </is>
      </c>
      <c r="B39" t="inlineStr">
        <is>
          <t>Senior Data Engineer (Analysis)</t>
        </is>
      </c>
      <c r="C39" t="inlineStr">
        <is>
          <t>Tata Consultancy Services (TCS)</t>
        </is>
      </c>
      <c r="D39" t="inlineStr">
        <is>
          <t>indeed</t>
        </is>
      </c>
      <c r="E39">
        <f>HYPERLINK("https://www.indeed.com/viewjob?jk=3e6476fc996c6732", "https://www.indeed.com/viewjob?jk=3e6476fc996c6732")</f>
        <v/>
      </c>
      <c r="F39">
        <f>HYPERLINK("https://ibegin.tcsapps.com/candidate/jobs/shared-job/Mzk0NzY0Sg==", "https://ibegin.tcsapps.com/candidate/jobs/shared-job/Mzk0NzY0Sg==")</f>
        <v/>
      </c>
      <c r="G39" t="inlineStr">
        <is>
          <t>Cupertino, CA, US</t>
        </is>
      </c>
      <c r="H39" s="3" t="n">
        <v>46055</v>
      </c>
      <c r="I39" t="inlineStr">
        <is>
          <t>JOB DESCRIPTION:
Must Have Technical/Functional Skills
* 7\+ years of experience in Data Analysis
* Ability to interpret and validate ML models (No model building required)
* Experience with Data Cleaning and Validation
* Advanced proficiency in Excel
* Good to have experience working with large Data sets
* Good to have\- Familiarity with data visualization tools Tableau , Power BI
Location : Cupertino, CA  
Salary Range: $90,000\-$145,000 a year
\#LI\-AS3  
**Location**
Cupertino, CA
**Job Function**
TECHNOLOGY
**Role**
Senior Engineer
**Job Id**
394764
**Desired Skills**
Data Analyst
**Salary Range**
$90,000\-$145,000 a year
Desired Candidate Profile
**Qualifications** : BACHELOR OF TECHNOLOGY</t>
        </is>
      </c>
    </row>
    <row r="40">
      <c r="A40" t="inlineStr">
        <is>
          <t>in-a37b7a0adf2b012e</t>
        </is>
      </c>
      <c r="B40" t="inlineStr">
        <is>
          <t>Data Platform Engineer</t>
        </is>
      </c>
      <c r="C40" t="inlineStr">
        <is>
          <t>Tata Consultancy Services (TCS)</t>
        </is>
      </c>
      <c r="D40" t="inlineStr">
        <is>
          <t>indeed</t>
        </is>
      </c>
      <c r="E40">
        <f>HYPERLINK("https://www.indeed.com/viewjob?jk=a37b7a0adf2b012e", "https://www.indeed.com/viewjob?jk=a37b7a0adf2b012e")</f>
        <v/>
      </c>
      <c r="F40">
        <f>HYPERLINK("https://ibegin.tcsapps.com/candidate/jobs/shared-job/Mzk0Nzk2Sg==", "https://ibegin.tcsapps.com/candidate/jobs/shared-job/Mzk0Nzk2Sg==")</f>
        <v/>
      </c>
      <c r="G40" t="inlineStr">
        <is>
          <t>Parsippany-Troy Hills, NJ, US</t>
        </is>
      </c>
      <c r="H40" s="3" t="n">
        <v>46055</v>
      </c>
      <c r="I40" t="inlineStr">
        <is>
          <t>**Must Have Technical/Functional Skills**
* 7\+ years of Total IT experience, including 5\+ years of experience in data platform engineering
* Strong hands\-on experience with AWS services such as RDS, Redshift, DMS, and Lambda
* Proficiency with Infrastructure\-as\-Code tools including Terraform and AWS CloudFormation
* Experience with IBM CDC replication \&amp; proficiency with Kafka
* Strong experience in Couchbase cluster management
* Capable of performing version upgrades, security patching, and performance tuning.
* Experience building and maintaining Jenkins\-based CI/CD pipelines
* Experience in integrating applications with third party encryption tools like voltage
* AWS IAM services experience.
* DBA experience with SQL/NoSQL databases
* Operating Systems: 2\+ years of experience in Linux/Unix environment
* Experience with scripting languages: Python/Shell
* Good communication skills, client\-facing role
**Roles \&amp; Responsibilities**
* Design, deploy, and manage scalable data platforms in AWS, including RDS, Redshift, DMS, and
* Lambda\-based data solutions
* Administer and optimize Couchbase clusters, including version upgrades, patching, performance tuning,
* and high\-availability configurations.
* Support and enhance OCI cloud data services as part of a broader multi\-cloud strategy
* Manage database services including RDS, Redshift, and associated data migration/replication pipelines
* Maintain CI/CD pipelines leveraging Jenkins for data platform deployments
* Implement and maintain Infrastructure\-as\-Code solutions using Terraform and AWS CloudFormation
* Develop and maintain robust data replication pipelines using IBM CDC and Kafka.
* Troubleshoot networking and distributed system issues impacting data services
* Generic Managerial Skills, If any
* Excellent communication and problem\-solving skills
* Ability to work independently and in a team environment
Salary Range\-$120,000\-$180,000 a year  
\#LI\-KR3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**Location**
Parsippany, NJ
**Job Function**
TECHNOLOGY
**Role**
Engineer
**Job Id**
394796
**Desired Skills**
AWS
**Salary Range**
$120,000\-$180,000 a year</t>
        </is>
      </c>
    </row>
    <row r="41">
      <c r="A41" t="inlineStr">
        <is>
          <t>in-21b595c8fae383c3</t>
        </is>
      </c>
      <c r="B41" t="inlineStr">
        <is>
          <t>Backend and Data Engineer</t>
        </is>
      </c>
      <c r="C41" t="inlineStr">
        <is>
          <t>Condor Software</t>
        </is>
      </c>
      <c r="D41" t="inlineStr">
        <is>
          <t>indeed</t>
        </is>
      </c>
      <c r="E41">
        <f>HYPERLINK("https://www.indeed.com/viewjob?jk=21b595c8fae383c3", "https://www.indeed.com/viewjob?jk=21b595c8fae383c3")</f>
        <v/>
      </c>
      <c r="F41">
        <f>HYPERLINK("https://jobs.ashbyhq.com/condor-software/98c029bb-878c-4af4-9b95-fbae2441161a?utm_source=YPKwJnzPdn", "https://jobs.ashbyhq.com/condor-software/98c029bb-878c-4af4-9b95-fbae2441161a?utm_source=YPKwJnzPdn")</f>
        <v/>
      </c>
      <c r="G41" t="inlineStr">
        <is>
          <t>San Francisco, CA, US</t>
        </is>
      </c>
      <c r="H41" s="3" t="n">
        <v>46055</v>
      </c>
      <c r="I41" t="inlineStr">
        <is>
          <t>**About Condor**
================
Every year, hundreds of billions of dollars are invested to discover and develop new therapies, yet the financial infrastructure behind that work has not kept pace. Clinical operations and finance live in disconnected worlds, forcing teams to make high\-stakes decisions using fragmented tools and static data.
Condor exists to change that. We are a system of action, building the financial intelligence layer that will power the next era of clinical development. Condor connects clinical operations, vendor activity, and financial signals into a single, real\-time intelligence layer, giving R\&amp;D and finance leaders true command over how their organizations operate.
Condor is pharma\-native, AI\-driven infrastructure built to scale industry standards we helped define with Big 4 partners. It powers prediction, control, and execution across the most complex R\&amp;D environments in the world.
**Why This Matters Now**
========================
Condor has moved past proving the concept. Enterprise teams already trust Condor to run critical operations and finance. The work ahead is the hardest part: scaling something people depend on when the stakes are this high.
Condor is a high\-growth Series A company backed by top institutional partners like Insight Partners, Felicis, and 645 Ventures, growing rapidly with Top 200 biopharma companies. This is a rare opportunity to help build foundational infrastructure that will shape how new therapies reach patients.
**The Role**
============
We are looking for a Senior Backend and Data Platform Engineer to help build the core data infrastructure behind Condor’s financial intelligence platform. This role sits at the heart of how Condor turns complex clinical and financial activity into intelligence that enterprise biopharma teams trust to run their operations.
You will design and own the data foundations that power Condor’s financial engine and AI\-driven capabilities. That means modeling highly complex, high\-stakes data, building reliable pipelines and services, and ensuring that downstream product features and intelligence workflows operate with accuracy, consistency, and scale. The systems you build will directly support mission\-critical finance and operational use cases, not dashboards or experiments.
This is a hands\-on, senior engineering role with real ownership. You will work across backend services, data pipelines, and APIs, taking features from design through production. You will help define schemas, transformations, and architectural patterns that become the backbone of the platform as it scales. While the primary focus is backend and data engineering, you are expected to engage pragmatically across the stack to ensure data and intelligence are surfaced correctly in the product.
This role is for engineers who want to build durable infrastructure under real\-world complexity, where correctness, trust, and scale are not optional, and where the systems you design will shape how an entire industry operates.
**Key Responsibilities**
========================
* Design, build, and maintain scalable data pipelines that ingest, normalize, and transform financial and clinical trial data from multiple internal and external sources, with a focus on making data suitable for analytics, reporting, and LLM\-based AI agents.
* Develop backend services and data access layers that expose high\-quality financial data to internal systems and customer\-facing features, ensuring data is structured for direct consumption by LLMs and automated workflows.
* Implement and operate embedding pipelines and vectorized representations of structured and semi\-structured data to support semantic search, RAG, and agentic workflows.
* Optimize database performance, query execution, and batch processing jobs to support large\-scale financial datasets and AI\-driven access patterns.
* Participate in architectural decisions around data infrastructure, storage strategies, and integration with LLMs, embeddings, and vector databases.
* Work closely with product managers and analysts to translate business requirements into durable datasets, metrics, and APIs.
* Contribute to frontend implementations to ensure data\-heavy and AI\-enabled features are presented clearly and correctly.
* Mentor other engineers on data modeling best practices, SQL performance optimization, ETL design patterns, and building reliable, observable data systems.
**Required Skills \&amp; Experience**
---------------------------------
* 8\+ years of professional software engineering experience, with a strong focus on backend development and data engineering.
* Deep expertise in SQL and relational database design (PostgreSQL, MySQL, or similar), including complex analytical queries and performance tuning.
* Experience building and operating ETL or ELT pipelines using orchestration frameworks (Airflow, Dagster, Prefect, or AWS Step Functions).
* Production experience building AI\-powered data systems, including vector databases (pgvector, Pinecone), embedding pipelines, and designing data access patterns for RAG and agentic workflows.
* A pragmatic approach to the full stack, including a willingness to contribute to React codebases to ensure data\-heavy features are delivered end\-to\-end.
* Familiarity with data quality validation, testing, and monitoring practices in production systems.
* Bachelor’s degree in Computer Science, Computer Engineering, or equivalent practical experience.
**Preferred Qualifications**
----------------------------
* Strong proficiency in Python, with experience using web frameworks (Django, DRF).
* Experience working with modern data warehouse platforms (Snowflake, BigQuery, Redshift).
* Experience integrating backend systems or data pipelines with LLM APIs for enrichment, summarization, or analysis.
* Experience with data transformation and validation tools (dbt, Great Expectations).
* Experience building production AI features end\-to\-end, including LLM integration, prompt engineering, agentic workflows, and observability/evaluation frameworks.
* Experience working in a Series A\-C startup with rapid scale.
**What We Offer**
=================
* Competitive compensation and meaningful equity participation
* Comprehensive employee benefits, including 100% company\-paid health, dental, vision, and life insurance
* 401(k) plan with a 3% company match that vests immediately
* Unlimited PTO
Condor is an equal opportunity employer. We do not discriminate on the basis of race, color, religion, sex, sexual orientation, gender identity or expression, national origin, age, disability, veteran status, or any other legally protected status.</t>
        </is>
      </c>
    </row>
    <row r="42">
      <c r="A42" t="inlineStr">
        <is>
          <t>in-575d0b01a6158df5</t>
        </is>
      </c>
      <c r="B42" t="inlineStr">
        <is>
          <t>Senior Data Engineer - Remote (EST)</t>
        </is>
      </c>
      <c r="C42" t="inlineStr">
        <is>
          <t>OneDigital</t>
        </is>
      </c>
      <c r="D42" t="inlineStr">
        <is>
          <t>indeed</t>
        </is>
      </c>
      <c r="E42">
        <f>HYPERLINK("https://www.indeed.com/viewjob?jk=575d0b01a6158df5", "https://www.indeed.com/viewjob?jk=575d0b01a6158df5")</f>
        <v/>
      </c>
      <c r="F42">
        <f>HYPERLINK("https://onedigital.wd5.myworkdayjobs.com/en-US/OneDigital/job/Remote/Senior-Data-Engineer---Remote--EST-_R8380", "https://onedigital.wd5.myworkdayjobs.com/en-US/OneDigital/job/Remote/Senior-Data-Engineer---Remote--EST-_R8380")</f>
        <v/>
      </c>
      <c r="G42" t="inlineStr">
        <is>
          <t>Remote, US</t>
        </is>
      </c>
      <c r="H42" s="3" t="n">
        <v>46055</v>
      </c>
      <c r="I42" t="inlineStr">
        <is>
          <t>*Are you looking to accelerate your career without having to hide your authentic self \- a place where you can be you? A career that’s making a bigger impact on the world? At OneDigital, we are on a mission to help people do their best work and live their best lives. From the services we offer to the way we show up for each other each day, we are fueling dreams, achieving big goals, and embracing each other’s truest selves.**We understand that pursuing a new job is a big deal. Maybe you’re afraid you won’t fit in. Well, here’s the good news. For us, the days of “fit in to get in” are over and being different is not a barrier to getting ahead. Greatness comes in all shapes, sizes, colors, and experience levels. If you are looking for a people\-first culture that is wired for growth, driven to serve, and totally committed to having your back, give us a shot. Your best life awaits.*
Must be eligible to work in the United States without the need for work visa or residency sponsorship.
Our Newest Opportunity:
Summary:
We are seeking a Senior Data Engineer to architect and build cloud\-native data platforms centered around Snowflake, dbt, and modern orchestration frameworks. The role involves 60–70% data engineering and architecture and 30–40% backend, infrastructure, and systems design, including some frontend engineering to support full\-stack delivery of data\-driven features where appropriate.
Essential Duties and Responsibilities:* Architect and develop scalable data pipelines and models using Snowflake and dbt.
* Design and operate orchestration using Airflow, Dagster, Prefect, or similar.
* Define modeling standards, storage patterns, and performance strategies.
* Collaborate on backend APIs, services, integration layers, and limited frontend interfaces supporting data\-driven features.
* Contribute to CI/CD, environment management, and automated pipeline delivery.
* Implement quality checks, lineage, SLAs, and observability.
* Mentor engineers and drive architectural best practices.
* Participate in system design and multi\-team architectural planning.
Qualifications, Skills and Requirements:* 5\+ years of experience in data engineering, data architecture, or platform engineering.
* Strong experience with dbt (modeling, testing, deployment, environment strategies).
* Hands\-on experience with orchestration frameworks (Airflow, Dagster, Prefect, or similar).
* Deep expertise with data warehousing platforms; e.g. Snowflake, Redshift, etc including performance tuning and RBAC.
* Strong software engineering fundamentals in Python or Golang; advanced SQL.
* Deep understanding of distributed systems, event\-driven design, microservices, and data platform architecture.
* Experience with metadata management, lineage tools, and observability technologies (Datadog, Prometheus, OpenTelemetry).
* Strong communication skills for leading architectural discussions across technical and non\-technical teams.
Bonus Points:* Salesforce integration experience.
* Experience in regulated industries.
* Experience managing infrastructure with Azure, esp. AKS
The typical base pay range for this role nationwide is $150,000 to $170,000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OneDigital is an equal opportunity employer. Not only as a matter of standard, but to honor and celebrate our differences. We believe that the power of ONE starts with you. We are committed to cultivating and preserving a culture that celebrates diversity, insists on equity and inclusion, and connects us. Ensuring our people feel seen, valued, respected, and supported is fundamental to our core values and business goals.
OneDigital provides equal employment opportunities to all employees and applicants for employment regardless of their: veteran status, uniformed servicemember status, race, color, religion, sex, sexual orientation, gender identity, age (40 and over),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A copy of the Federal EEO poster is linked here.
Pursuant to local Fair Chance Ordinances, we will consider qualified applications with arrest or conviction records for employment. For applicable candidates, the following ordinances are linked here to inform you of your rights as an applicant:
City and County of San Francisco
City of Los Angeles
County of Los Angeles
Employment decisions shall comply with all other applicable federal, state and city/county laws prohibiting discrimination in employment. OneDigital complies with all criminal history inquiry \[or ‘ban the box’] laws in California, Connecticut, Colorado, Hawaii, Illinois, Maine, Maryland, Massachusetts, Minnesota, New Jersey, New Mexico, Oregon, Rhode Island, Vermont and Washington.*In short, we believe in hiring the most qualified applicant for the position, regardless of background.*
If you have questions about our hiring policies and practices, we would be happy to discuss upon receiving your application. We hope to welcome you to OneDigital and look forward to hearing from you.
 OneDigital understands the immense responsibility and opportunities provided by Artificial Intelligence. We utilize advanced Artificial Intelligence \[AI] technologies to enhance our recruitment process. This includes using AI to filter candidates based on their qualifications and to rediscover potential candidates from our existing applicant pool. Our AI systems help us efficiently identify the best fit for our open positions, ensuring a streamlined and effective hiring experience. However, AI does not replace the humans in our process. If you have concerns about our use of AI, you may opt out where laws allow.
Thank you for your interest in joining the OneDigital team!</t>
        </is>
      </c>
    </row>
    <row r="43">
      <c r="A43" t="inlineStr">
        <is>
          <t>in-436901c950190768</t>
        </is>
      </c>
      <c r="B43" t="inlineStr">
        <is>
          <t>Data Engineer, Smart Factory Solutions</t>
        </is>
      </c>
      <c r="C43" t="inlineStr">
        <is>
          <t>Magna International</t>
        </is>
      </c>
      <c r="D43" t="inlineStr">
        <is>
          <t>indeed</t>
        </is>
      </c>
      <c r="E43">
        <f>HYPERLINK("https://www.indeed.com/viewjob?jk=436901c950190768", "https://www.indeed.com/viewjob?jk=436901c950190768")</f>
        <v/>
      </c>
      <c r="F43">
        <f>HYPERLINK("https://wd3.myworkdaysite.com/recruiting/magna/Magna/job/Troy-Michigan-US/Data-Engineer--Smart-Factory-Solutions_R00229142", "https://wd3.myworkdaysite.com/recruiting/magna/Magna/job/Troy-Michigan-US/Data-Engineer--Smart-Factory-Solutions_R00229142")</f>
        <v/>
      </c>
      <c r="G43" t="inlineStr">
        <is>
          <t>Troy, MI, US</t>
        </is>
      </c>
      <c r="H43" s="3" t="n">
        <v>46055</v>
      </c>
      <c r="I43" t="inlineStr">
        <is>
          <t>**Job descriptions may display in multiple languages****based on your language selection.**
**What we offer:**
------------------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are.**Group Summary:**
------------------
Magna is more than one of the world’s largest suppliers in the automotive space. We are a mobility technology company built to innovate, with a global, entrepreneurial\-minded team. With 65\+ years of expertise, our ecosystem of interconnected products combined with our complete vehicle expertise uniquely positions us to advance mobility in an expanded transportation landscape.**Job Responsibilities:**
* Salary: Starting at $95,000 USD per year
* Immediate, open position
Magna is looking for Data Engineer to support their data initiatives which will modernize their environment and set them up for future opportunities in the data space (AI, ML, etc). We are looking for a passionate individual who is self learner, has good communication skills and inclination for new technologies.
**Your Responsibilities**
* Collaborate closely with stakeholders and other engineers to develop new and unique data\-driven solutions using Big Data platforms, creative analytical methods, and data visualization techniques (Data Modeling etc.)
* Connect and build pipelines between various data sources
* Support operational improvement and business decision making through ad\-hoc statistical analysis of curated enterprise data and self\-constructed data sets
* Leading BI software development, deployment, and maintenance
* Documenting contents in a data warehouse and meta\-data storage
* Creating technical documentation for BI tools
* Data modeling
* Develop KPI dashboards
* Perform additional duties as assigned
* Act with honesty and integrity and make ethical business choices in accordance with Magna’s Compliance Policies and Procedures
**Who we are looking for**
* Bachelor’s Degree in Business, Engineering, Statistics, Computer Science, Mathematics, Supply Chain or equivalent combination of education and experience
* Minimum three (3\) years of related experience required
* Expertise in using advance level calculations on the data sets
* In\-depth understanding of database management systems, online analytical processing (OLAP) and ETL (Extract, transform, load) framework
* Strong experience with relational databases like SQL Server, MySQL, and Oracle. NoSQL databases experience is a plus
* Experience with user\-defined workflows
**Your preferred qualifications**
* Working knowledge of data management software like Data factory, or other ETL tools a plus.
* Knowledgeable of statistical methods such as regression, probability analysis, risk analysis, statistical process control, and clustering is desired
* Able to implement row level security on data and understand application security layer models
* Data and business analysis background
* Proficient with Microsoft Office applications, specifically Excel, Word, and PowerPoint
* Ability to explain Production / technical concepts and analysis implications clearly to a wide audience and be able to translate business objectives into actionable analyses.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**In addition, we offer you the following site benefits:**
An overview of our benefits will be discussed during the recruitment process.
**Awareness. Unity. Empowerment.**
At Magna, we believe that a diverse workforce is critical to our success. That’s why we are proud to be an equal opportunity employer. We hire based on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**AI\-Assisted Screening Disclosure**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**Under conditions defined by applicable law, you may have the right to request an explanation of how AI is used to support decision\-making.**
If you have any questions or concerns about this process, feel free to contact our Talent Attraction team.
**Worker Type:**
----------------
Regular / Permanent**Group:**
----------
Magna Corporate</t>
        </is>
      </c>
    </row>
    <row r="44">
      <c r="A44" t="inlineStr">
        <is>
          <t>in-c66a1951e11af48b</t>
        </is>
      </c>
      <c r="B44" t="inlineStr">
        <is>
          <t>Cloud Data Engineer, Professional Services, Google Public Sector</t>
        </is>
      </c>
      <c r="C44" t="inlineStr">
        <is>
          <t>Google</t>
        </is>
      </c>
      <c r="D44" t="inlineStr">
        <is>
          <t>indeed</t>
        </is>
      </c>
      <c r="E44">
        <f>HYPERLINK("https://www.indeed.com/viewjob?jk=c66a1951e11af48b", "https://www.indeed.com/viewjob?jk=c66a1951e11af48b")</f>
        <v/>
      </c>
      <c r="F44">
        <f>HYPERLINK("https://careers.google.com/jobs/results/125903071237546694-cloud-data-engineer/", "https://careers.google.com/jobs/results/125903071237546694-cloud-data-engineer/")</f>
        <v/>
      </c>
      <c r="G44" t="inlineStr">
        <is>
          <t>Reston, VA, US</t>
        </is>
      </c>
      <c r="H44" s="3" t="n">
        <v>46055</v>
      </c>
      <c r="I44" t="inlineStr">
        <is>
          <t>### **Minimum qualifications:**
* Bachelor's degree in Computer Science or equivalent practical experience.
* 3 years of experience with relational database technologies such as PostgreSQL, MySQL, SQL Server, or Oracle.
* Experience working with business stakeholders to understand requirements, provide technical leadership, and educate teams on GCP best practices.
* Active, or the ability to obtain, a TS/SCI security clearance.
### **Preferred qualifications:**
* Experience with database and AI integrations.
* Experience with database management tools for backups, recovery, snapshot management, sharding, partitioning and database performance tuning.
* Experience in database administration techniques including storage, clustering, availability, disaster recovery, security, logging, performance tuning, monitoring and auditing.
* Experience developing, deploying, and managing machine learning models, including experience writing software in one or more languages, such as Java, Python, or Golang.
* Experience working with cloud databases such as RDS, Aurora, ElastiCache, CloudSQL, AlloyDB, Datastore or Bigtable.
* Experience with machine learning operations (MLOps), data warehousing, and data pipeline development, including ETL and ELT.
**About the job**
-----------------
As a Cloud Data Engineer, you will guide Public Sector customers to develop, configure and deploy their data and AI solutions. Together with the team, you will support customer implementations of Google Cloud products through architecture guidance, best practices, data migration, capacity planning, implementation, troubleshooting, monitoring, and more. You will consult with customers on how to best design their data and AI solutions including development and deployment of ML models, and integrations with leading Google technologies. You will travel to customer sites to deploy solutions and deliver workshops to educate and empower customers. Additionally, you will work closely with Product Management and Product Engineering to drive excellence in Google Cloud products and features. Your role requires the ability to travel up to 30% of the time.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Translate business requirements into conceptual, rational, and physical data models.
* Be highly collaborative and work closely with data producers and data consumers across public sector customers and teams to understand the data needs, provide consultation, and align data solutions.
* Analyze on\-premise and cloud database environments, consulting on the optimal design for performance and deployment on Google Cloud Platform. Design, build, and maintain data warehouse and pipeline solutions.
* Create and deliver best practices recommendations, tutorials, blog articles, sample code, and technical presentations, adapting to different levels of key business and technical stakeholders.
* Travel regularly (up to 30%)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5">
      <c r="A45" t="inlineStr">
        <is>
          <t>in-0dc95a13826f2065</t>
        </is>
      </c>
      <c r="B45" t="inlineStr">
        <is>
          <t>Staff Data Engineer</t>
        </is>
      </c>
      <c r="C45" t="inlineStr">
        <is>
          <t>Press Ganey</t>
        </is>
      </c>
      <c r="D45" t="inlineStr">
        <is>
          <t>indeed</t>
        </is>
      </c>
      <c r="E45">
        <f>HYPERLINK("https://www.indeed.com/viewjob?jk=0dc95a13826f2065", "https://www.indeed.com/viewjob?jk=0dc95a13826f2065")</f>
        <v/>
      </c>
      <c r="F45">
        <f>HYPERLINK("https://pressganey.wd1.myworkdayjobs.com/Careers/job/Remote-USA/Staff-Data-Engineer_R25_0000001016", "https://pressganey.wd1.myworkdayjobs.com/Careers/job/Remote-USA/Staff-Data-Engineer_R25_0000001016")</f>
        <v/>
      </c>
      <c r="G45" t="inlineStr">
        <is>
          <t>Washington, DC, US</t>
        </is>
      </c>
      <c r="H45" s="3" t="n">
        <v>46055</v>
      </c>
      <c r="I45" t="inlineStr">
        <is>
          <t>**Company Description**
Press Ganey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We are seeking an experienced **Staff Data Engineer** to join our **Unified Data Platform** team. The ideal candidate will design, develop, and maintain enterprise\-scale data infrastructure leveraging **Azure** and **Databricks** technologies. This role involves building robust data pipelines, optimizing data workflows, and ensuring data quality and governance across the platform. You will collaborate closely with analytics, data science, and business teams to enable data\-driven decision\-making.
**Duties \&amp; Responsibilities:**
* Design, build, and optimize data pipelines and workflows in Azure and Databricks, including Data Lake and SQL Database integrations.
* Implement scalable ETL/ELT frameworks using Azure Data Factory, Databricks, and Spark.
* Optimize data structures and queries for performance, reliability, and cost efficiency.
* Drive data quality and governance initiatives, including metadata management and validation frameworks.
* Collaborate with cross\-functional teams to define and implement data models aligned with business and analytical requirements.
* Maintain clear documentation and enforce engineering best practices for reproducibility and maintainability.
* Ensure adherence to security, compliance, and data privacy standards.
* Mentor junior engineers and contribute to establishing engineering best practices.
* Support CI/CD pipeline development for data workflows using GitLab or Azure DevOps.
* Partner with data consumers to publish curated datasets into reporting tools such as Power BI.
* Stay current with advancements in Azure, Databricks, Delta Lake, and data architecture trends.
**Technical Skills:**
* Advanced proficiency in Azure 5\+ years (Data Lake, ADF, SQL).
* Strong expertise in Databricks (5\+ years), Apache Spark (5\+ years), and Delta Lake (5\+ years).
* Proficient in SQL (10\+ years) and Python (5\+ years); familiarity with Scala is a plus.
* Strong understanding of data modeling, data governance, and metadata management.
* Knowledge of source control (Git), CI/CD, and modern DevOps practices.
* Familiarity with Power BI visualization tool.
**Minimum Qualifications:**
* Bachelor’s or Master’s degree in Computer Science, Data Science, or related field.
* 7\+ years of experience in data engineering, with significant hands\-on work in cloud\-based data platforms (Azure).
* Experience building real\-time data pipelines and streaming frameworks.
* Strong analytical and problem\-solving skills.
* Proven ability to lead projects and mentor engineers.
* Excellent communication and collaboration skills.
**Preferred Qualifications:**
* Master’s degree in Computer Science, Engineering, or a related field.
* Exposure to machine learning integration within data engineering pipelines.
**Don’t meet every single requirement?** Studies have shown that women and people of color are less likely to apply to jobs unless they meet every single qualification. At Press Ganey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$110,000 to $170,000\.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46">
      <c r="A46" t="inlineStr">
        <is>
          <t>in-f5881a89d382849f</t>
        </is>
      </c>
      <c r="B46" t="inlineStr">
        <is>
          <t>Supervisor Data Engineering</t>
        </is>
      </c>
      <c r="C46" t="inlineStr">
        <is>
          <t>FirstEnergy</t>
        </is>
      </c>
      <c r="D46" t="inlineStr">
        <is>
          <t>indeed</t>
        </is>
      </c>
      <c r="E46">
        <f>HYPERLINK("https://www.indeed.com/viewjob?jk=f5881a89d382849f", "https://www.indeed.com/viewjob?jk=f5881a89d382849f")</f>
        <v/>
      </c>
      <c r="F46">
        <f>HYPERLINK("https://careers.firstenergycorp.com/#en/sites/FirstEnergyCareers/job/103673", "https://careers.firstenergycorp.com/#en/sites/FirstEnergyCareers/job/103673")</f>
        <v/>
      </c>
      <c r="G46" t="inlineStr">
        <is>
          <t>Akron, OH, US</t>
        </is>
      </c>
      <c r="H46" s="3" t="n">
        <v>46055</v>
      </c>
      <c r="I46" t="inlineStr">
        <is>
          <t>***About the Opportunity***
We are a forward\-thinking electric utility powered by a diverse team of employees committed to making customers’ lives brighter, the environment better and our communities stronger.
FirstEnergy (NYSE: FE) is dedicated to integrity, safety, reliability and operational excellence. 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
*Location: Position is currently remote but may work at or visit a facility based on business need.*
This position is within FirstEnergy Service Company, a subsidiary of FirstEnergy Corp.
The Data Engineering Supervisor will supervise the data engineers responsible for building and maintaining the data products that drive analytics solutions. These solutions will generate insights from the connected data within the unified data platform, enabling the organization to advance the data\-driven decision\-making capabilities of the enterprise. Some of the environments this team frequently works with are Azure (including Data Lake Storage, Databricks and Machine Learning), Informatica PowerCenter and IDR, and legacy on\-premise platforms such as SingleStore, Teradata, and Oracle. The successful candidate will also perform the following responsibilities:
***Responsibilities Include:***
* Actively leading a high performing, empowered team that develops data engineering solutions to serve enterprise data product needs, and to enable advanced analytics (machine learning models, artificial intelligence, and/or statistical models)
* Oversight of contracted employees, ensuring project work meets contractual milestones and removing blockers as necessary
* Ensuring adherence to data engineering standards and governance, as well as IT change management and related governance processes
* Supporting numerous projects and activities simultaneously, ensuring that squad objectives are consistent with overall department objectives
* Advocating a culture of sharing, re\-use, design for scale stability, and operational efficiency of data and analytical solutions (including data modelling design methodologies).
* Supporting the evaluation, implementation and deployment of emerging tools and processes for advanced analytical data engineering, as part of architecture road mapping efforts
* Participating in the overall project planning for resource balancing for data engineers
* Participating in vendor management processes including resolving support issues, product road mapping and license renewals
* Performing quarterly check\-in conversations with employees and providing coaching and feedback on performance, expectations, professional development, and career growth
* Championing FirstEnergy’s Core Values \&amp; Behaviors, through coaching and by personal example
* Supporting major incidents, project activities and support concerns off hours as required
***Qualifications include:***
* You have a bachelor’s degree in a quantitative discipline such as Computer Science or another related field with 7 years related experience. In lieu of a degree, you have 9 years of related experience.
* Expertise in data lakehouse technologies (such as Databricks or Snowflake) and streaming platforms
* Expertise in design, build, and deployment of data solutions that support AI, ML, and BI
* Proficiency in design and implementation of modern data architecture, including cloud services and modern data warehouse tools
* Experience integrating data quality practices into Data Engineering development patterns
* Experience developing and implementing operational plans, which may include budgets, processes, and road maps
* Experience in Agile/Scrum development with DevOps methodologies geared toward rapid prototyping and piloting of cloud solutions
* Knowledge of ITIL concepts with a focus on configuration management, change management, and incident management
* Strong interpersonal, communications, presentation, training \&amp; mentoring skills
* Ability to observe employees, assess performance, and provide feedback
Ability to plan for and support employees in career development opportunities
**Benefits, Compensation \&amp; Workforce Diversity**  
At FirstEnergy, employees are key to our success. We depend on their talents to meet the challenges of our changing business environment. 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 Please visit our website at www.firstenergycorp.com to learn more about all of our employee rewards programs. FirstEnergy proudly supports workforce diversity. All qualified applicants will receive consideration for employment without regard to race, religion, color, national origin, sex, sexual orientation, gender identity, age, status as a protected veteran, or status as a qualified individual with a disability. No recruiters or agencies without a previously signed contract. Unable to sponsor or transfer H\-1B visas at this time.
**Safety**  
Safety is a core value for FirstEnergy and is essential to all of our business activities. We ensure employees have the tools, information, and processes to perform their duties in a manner that assures safety for themselves, their co\-workers, our customers and the public. Our goals are to provide a safe work environment, to maintain an accident\-free, injury\-free workplace, and to promote and maintain public safety. To meet these goals, we dedicate ourselves to achieving world\-class safety standards.
**Position Classification**  
Exempt</t>
        </is>
      </c>
    </row>
    <row r="47">
      <c r="A47" t="inlineStr">
        <is>
          <t>in-6af285c1a9bc1a0b</t>
        </is>
      </c>
      <c r="B47" t="inlineStr">
        <is>
          <t>Data engineer-Snowflake</t>
        </is>
      </c>
      <c r="C47" t="inlineStr">
        <is>
          <t>Adroitent</t>
        </is>
      </c>
      <c r="D47" t="inlineStr">
        <is>
          <t>indeed</t>
        </is>
      </c>
      <c r="E47">
        <f>HYPERLINK("https://www.indeed.com/viewjob?jk=6af285c1a9bc1a0b", "https://www.indeed.com/viewjob?jk=6af285c1a9bc1a0b")</f>
        <v/>
      </c>
      <c r="F47">
        <f>HYPERLINK("https://adroitent.ai/current-openings/", "https://adroitent.ai/current-openings/")</f>
        <v/>
      </c>
      <c r="G47" t="inlineStr">
        <is>
          <t>Princeton, NJ, US</t>
        </is>
      </c>
      <c r="H47" s="3" t="n">
        <v>46055</v>
      </c>
      <c r="I47" t="inlineStr">
        <is>
          <t>8
Data engineer\-Snowflake
7\+ Years
Experience with dbt or similar transformation frameworks.
Experience working with data science / ML teams and supporting ML feature pipelines.
Experience with relational databases (e.g., PostgreSQL, MySQL, SQL Server) and working with large datasets.
Experience on at least one cloud platform</t>
        </is>
      </c>
    </row>
    <row r="48">
      <c r="A48" t="inlineStr">
        <is>
          <t>in-3036770e6c9eee0f</t>
        </is>
      </c>
      <c r="B48" t="inlineStr">
        <is>
          <t>Marketing Data Engineer Specialist</t>
        </is>
      </c>
      <c r="C48" t="inlineStr">
        <is>
          <t>NASDAQ</t>
        </is>
      </c>
      <c r="D48" t="inlineStr">
        <is>
          <t>indeed</t>
        </is>
      </c>
      <c r="E48">
        <f>HYPERLINK("https://www.indeed.com/viewjob?jk=3036770e6c9eee0f", "https://www.indeed.com/viewjob?jk=3036770e6c9eee0f")</f>
        <v/>
      </c>
      <c r="F48">
        <f>HYPERLINK("https://nasdaq.wd1.myworkdayjobs.com/en-US/Global_External_Site/job/Mexico---Colonia-Juarez---Mexico/Marketing-Data-Engineer-Specialist_R0024975", "https://nasdaq.wd1.myworkdayjobs.com/en-US/Global_External_Site/job/Mexico---Colonia-Juarez---Mexico/Marketing-Data-Engineer-Specialist_R0024975")</f>
        <v/>
      </c>
      <c r="G48" t="inlineStr">
        <is>
          <t>Colonia Juarez, CA, US</t>
        </is>
      </c>
      <c r="H48" s="3" t="n">
        <v>46055</v>
      </c>
      <c r="I48" t="inlineStr">
        <is>
          <t>We’re looking for a highly skilled Marketing Data Engineer to design, build and maintain scalable data pipelines to power enterprise marketing analytics and business insights. This role will focus on integrating and transforming data from diverse marketing platforms such as LinkedIn Ads, Google Ads, Meta Ads, Semrush, Marketo, Salesforce, and other digital sources into our data warehouse environment.
Key Responsibilities* Design, develop, and maintain ELT/ETL pipelines to ingest data from marketing and advertising platforms (e.g. LinkedIn, Google Ads, Meta, Semrush, Salesforce, Marketo, etc.) into our marketing data environment.
* Manage data warehousing solutions (e.g. BigQuery, Redshift) as well as their access controls following security compliance.
* Clean, transform, and normalize raw marketing data to ensure accuracy and consistency across all data sources.
* Support dashboard creation and performance tracking reports validating that all data shown is correct according to its original source, avoiding information silos.
* Ensure and document compliance with the enterprise data governance guidelines and security standards.
Qualifications* 3\+ years of experience in data engineering, analytics engineering or data integration roles.
* Strong SQL and Python skills with proven experience on data normalization and transformations to make it report\-ready.
* Experience with marketing data APIs (LinkedIn Ads, Google Ads, Meta, TikTok, Marketo, Salesforce).
* Hands\-on experience with data warehouses (BigQuery, AWS solutions or equivalent). Experience working with Databricks is a plus.
* Familiarity with data visualization tools (Power BI, Looker Studio).
* Problem\-solving, communication and collaboration skills.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is>
      </c>
    </row>
    <row r="49">
      <c r="A49" t="inlineStr">
        <is>
          <t>in-fc763b0801d4303f</t>
        </is>
      </c>
      <c r="B49" t="inlineStr">
        <is>
          <t>Senior Data Engineer</t>
        </is>
      </c>
      <c r="C49" t="inlineStr">
        <is>
          <t>RXO</t>
        </is>
      </c>
      <c r="D49" t="inlineStr">
        <is>
          <t>indeed</t>
        </is>
      </c>
      <c r="E49">
        <f>HYPERLINK("https://www.indeed.com/viewjob?jk=fc763b0801d4303f", "https://www.indeed.com/viewjob?jk=fc763b0801d4303f")</f>
        <v/>
      </c>
      <c r="F49">
        <f>HYPERLINK("https://rxo.wd501.myworkdayjobs.com/en-US/rxojobs/job/Chicago-Illinois/Senior-Data-Engineer_JR101809", "https://rxo.wd501.myworkdayjobs.com/en-US/rxojobs/job/Chicago-Illinois/Senior-Data-Engineer_JR101809")</f>
        <v/>
      </c>
      <c r="G49" t="inlineStr">
        <is>
          <t>Chicago, IL, US</t>
        </is>
      </c>
      <c r="H49" s="3" t="n">
        <v>46055</v>
      </c>
      <c r="I49" t="inlineStr">
        <is>
          <t>**Accelerate your career at RXO**  
RXO is a leading provider of transportation solutions. With cutting\-edge technology at the center, we're revolutionizing the industry with our massive network and commitment to finding solutions for every challenge. We create more efficient ways for shippers and carriers to transport goods across North America.
Compensation for this role is $130,000\-$150,000 The role may also be eligible for bonus or commission pay. Actual compensation may vary due to factors such as experience and skill set.
As a Senior Engineer, Data at RXO, you’ll play a role in accomplishing the following team goals: data centralization, data governance and data integrity. You’ll lead component design and development, work with data science, development and business analytics teams to design scalable data solutions ensuring quality and performance. You’ll use your data engineering expertise to enable our company to derive insights, perform analytics and make decisions on the modern data solutions you’ll help design, build and maintain.
**What your day\-to\-day will look like:**
* Design and build large\-scale automated and cost\-efficient data pipelines that are integrated across multi\-platform and disparate data sources using GCP native services (e.g., BigQuery, Dataflow, Dataproc)
* Make key architectural decisions related to data modeling, storage, real\-time processing and orchestration
* Work with multi statement complex queries and enhance performance or able to troubleshoot issues related to performance
* Implement scalable, reusable and efficient data frameworks that ensure data quality, data integrity and performance consistently
* Assist in establishing data governance, quality and lineage practices using tools like Data Catalog, Data Loss Prevention (DLP) or Cloud Audit Logs.
* Create and maintain intermediate to advanced terraform scripts
* Mentor junior and mid\-level engineers, conduct code
* Translate business requirements into technical design documents and implementation plans
* Participate in support rotation and proactively identify issues while implementing issue resolutions as appropriate
* Monitor and optimize GCP resources to manage costs effectively
* Stay updated with latest GCP services and features
* Evaluate and recommend new tools and technologies to improve data engineering practices
**What you’ll need to excel:**
At a minimum, you’ll need:
* Bachelor of Science in Information Technology, Computer Science or a related technical field or equivalent related work or military experience
* 5 years of experience as a data engineer or comparable business intelligence role
* 4 years of experience with relational databases such as MS\-SQL, Postgres or Oracle
* 3 years of experience with NoSQL databases such as Capella or MongoDB
* 3 years Python experience or similar
* Proficiency with Cloud offerings primarily with GCP (Azure or AWS is acceptable)
It’d be great if you also have:
* 2 years of experience of Datalake architecture and implementation experience
* 1 year of logistics or transportation experience
* A Professional Data Engineer certification with Google Cloud
**Does this sound like you? Check out what else RXO has to offer.**
**Why Join Us:**
**Our Benefits**
* Competitive pay
* Paid time off includes: up to 8 holidays, up to 2 floating Diversity Days, Hourly: Earn up to 13 days PTO/ Salary: Earn up to 15 days PTO, up to 40 hours bereavement leave, up to 16 hours volunteer time, jury duty, at least 2 weeks family bonding leave, up to 40 hours prenatal care leave
* 401(k) retirement plan with up to 5% company match
* Insurance: health, prescription, dental, vision, basic and supplemental life, short and long\-term disability, accidental death and personal loss, business travel, legal services, ID theft, accident, critical illness, hospital indemnity
* Employee Assistance Program (EAP)
* Tuition reimbursement, adoption assistance
* Tax\-Advantaged Accounts: Health Savings Account, Health Care Flexible Spending Account, Dependent Care Flexible Spending Account, Commuter Spending Account
* Health Reimbursement Arrangement
**Our Culture**
Our values are the key to our unique culture and our ability to deliver for everyone we serve.
We do great things when we are inclusive and work together. To perform with excellence, we learn from one another, value diverse perspectives, operate safely and build strong relationships.
**The Next Step**  
Ready to join our team? We'd love to hear from you. Fill out an application now and join our talent community to learn about future opportunities. We are proud to be an Equal Opportunity/Affirmative Action employer. All qualified applicants will receive consideration for employment without regard to race, color, religion, sex, sexual orientation, gender identity, national origin, disability, or status as a protected veteran. All applicants who receive a conditional offer of employment may be required to take and pass a pre\-employment drug test. The above statements are not an exhaustive list of all required responsibilities, duties, and skills for this job classification.</t>
        </is>
      </c>
    </row>
    <row r="50">
      <c r="A50" t="inlineStr">
        <is>
          <t>in-2bdfd1cb1893aa7d</t>
        </is>
      </c>
      <c r="B50" t="inlineStr">
        <is>
          <t>Staff Data Engineer</t>
        </is>
      </c>
      <c r="C50" t="inlineStr">
        <is>
          <t>Johnson &amp; Johnson</t>
        </is>
      </c>
      <c r="D50" t="inlineStr">
        <is>
          <t>indeed</t>
        </is>
      </c>
      <c r="E50">
        <f>HYPERLINK("https://www.indeed.com/viewjob?jk=2bdfd1cb1893aa7d", "https://www.indeed.com/viewjob?jk=2bdfd1cb1893aa7d")</f>
        <v/>
      </c>
      <c r="F50">
        <f>HYPERLINK("https://www.careers.jnj.com/en/jobs/r-055534/staff-data-engineer/", "https://www.careers.jnj.com/en/jobs/r-055534/staff-data-engineer/")</f>
        <v/>
      </c>
      <c r="G50" t="inlineStr">
        <is>
          <t>Palm Beach Gardens, FL, US</t>
        </is>
      </c>
      <c r="H50" s="3" t="n">
        <v>46055</v>
      </c>
      <c r="I50"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Sciences**Job Sub Function:**
Data Engineering**Job Category:**
Scientific/Technology**All Job Posting Locations:**
Palm Beach Gardens, Florida, United States of America**Job Description:**
**Employer:** Medical Device Business Services, Inc.
**Job Title:** Staff Data Engineer
**Job Code:** A011\.5402
**Job Location:** Palm Beach Gardens, FL
**Job Type:** Full\-Time
**Job Duties:** Design, build, and maintain robust, scalable, and efficient data pipelines that involve data from Last Mile Orthopedics Supply Chain domain. Integrate data from diverse sources, including but not limited to, databases, external file systems, APIs, ensuring data consistency and reliability. Develop and maintain data models and schemas that support efficient data storage, retrieval, and analytics. Manage and optimize databases, ensuring their performance, availability, and security. Lead SDLC project deployment process by reviewing system architecture, ensure automation of end\-to\-end data pipe, perform code peer reviews by incorporating industry standard best practices. Manage testing phase (unit test, system test), project deployment activities, and create technical documentation while collaborate with Scrum team and SQA, all within an Agile framework. Mentor junior data engineers, providing guidance on coding best practices and data pipeline design to streamline development. Demonstrated business knowledge in Last Mile Orthopaedic Supply Chain processes\- Field inventory and production management in supply chain, Inventory Entitlement \&amp; Allocation Models, Inventory re\-allocation \&amp; reverse logistics models, Backorder \&amp; STEM processes, Product Lifecycle Management\-Product Cannibalization, Fixed Asset Construction in Progress Cost Tracking, Supply Attainment. Build and manage Azure VPC architecture to create a robust, secure, and scalable cloud infrastructure that enables seamless end\-to\-end automated data flow. Leverage Azure technology stack to redesign sustainable and cost\-effective solutions. Supervise projects that include complex data pipeline integration, providing innovative alternatives for their construction and optimization. Leverage git branching strategies to improve collaboration, streamline code reviews, and optimize deployment in data workflows.
May telecommute from within Florida.
**Requirements:** Employer will accept a Master's degree in Computer Science, Data Science, Software Engineering, Business Analytics and Information Systems, or related field and 5 years of experience in the job offered or in a Senior Data Engineer\-related occupation.
This job posting is anticipated to close on **3/21/2026\.**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 This position is eligible for benefits to include medical, dental, vision and time off, as well as any others as provided for in the applicable Collective Bargaining Agreement.
* For additional general information on Company benefits, please go to: \- https://www.careers.jnj.com/employee\-benefits
**Required Skills:**
**Preferred Skills:**</t>
        </is>
      </c>
    </row>
    <row r="51">
      <c r="A51" t="inlineStr">
        <is>
          <t>in-97c3692ac9fb5fcb</t>
        </is>
      </c>
      <c r="B51" t="inlineStr">
        <is>
          <t>Principal Data Engineer</t>
        </is>
      </c>
      <c r="C51" t="inlineStr">
        <is>
          <t>Johnson &amp; Johnson</t>
        </is>
      </c>
      <c r="D51" t="inlineStr">
        <is>
          <t>indeed</t>
        </is>
      </c>
      <c r="E51">
        <f>HYPERLINK("https://www.indeed.com/viewjob?jk=97c3692ac9fb5fcb", "https://www.indeed.com/viewjob?jk=97c3692ac9fb5fcb")</f>
        <v/>
      </c>
      <c r="F51">
        <f>HYPERLINK("https://www.careers.jnj.com/en/jobs/r-056523/principal-data-engineer/", "https://www.careers.jnj.com/en/jobs/r-056523/principal-data-engineer/")</f>
        <v/>
      </c>
      <c r="G51" t="inlineStr">
        <is>
          <t>Jacksonville, FL, US</t>
        </is>
      </c>
      <c r="H51" s="3" t="n">
        <v>46055</v>
      </c>
      <c r="I51"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Sciences**Job Sub Function:**
Data Engineering**Job Category:**
Scientific/Technology**All Job Posting Locations:**
Jacksonville, Florida, United States of America**Job Description:**
We are currently recruiting for Principal Data Engineer based in Jacksonville FL, Raritan NJ, Spring House PA, Irvine, CA or any other J\&amp;J East Coast locations.
Come be part of a dynamic and global team!
**About Vision**
Fueled by innovation at the intersection of biology and technology, we’re developing the next generation of smarter, less invasive, more personalized treatments.
Are you passionate about improving and expanding on the possibilities of vision treatments? Ready to join a team that’s reimagining how vision is improved? Our Vision team solves the toughest health challenges. Help combine cutting\-edge insights, science, technology, and people to encourage eye care professionals and patients to proactively protect, correct and enhance healthy sight for life. Our products and services address these needs – from the pediatric to aging eye – in a patient’s lifetime.
Your unique talents will help patients on their journey to wellness. Learn more at https://www.jnj.com/medtech
**About the Role**
We are seeking an experienced Data Engineer to design, build, and maintain the data infrastructure that powers our analytics, AI, and machine learning solutions.
As the first dedicated global data engineering lead on the team, you will establish best\-in\-class data engineering practices, enabling our data scientists to focus on model development and analytics while ensuring data pipelines are reliable, secure, and scalable.
This role will also partner closely with data governance professionals to embed governance and compliance requirements directly into our data architecture, ensuring data quality, lineage, and policy adoption across the enterprise.
### **The Principal Data Engineer will:**
* Work closely with data scientists to understand their data needs and enable rapid experimentation through efficient, reusable pipelines.
* Provide engineering support for feature engineering, data preparation, and production model integration.
* Help create shared tools, libraries, and templates for AI/ML projects.
* Design, develop, and maintain ETL/ELT processes and automated data pipelines across structured and unstructured sources.
* Optimize data workflows for performance, scalability, and cost efficiency in cloud environments.
* Implement robust data quality monitoring and logging solutions.
* Build data architecture frameworks that support advanced analytics, AI, and reporting use cases.
* Collaborate with data governance leads to ensure adoption of updated data policies across all engineering workflows.
* Integrate data lineage tracking and metadata management into pipelines.
* Ensure compliance with data privacy laws, security policies, and responsible AI guidelines.
* Drive internal education and best practice sessions on compliant data handling.
* Perform other related tasks as assigned by management
### **Required Qualifications**
* Master’s Degree / PhD \+ 4 years’ experience, OR Bachelor’s Degree \+ 6 years’ experience
* Educational degree in quantitative field, such as Statistics, Mathematics, Computer Science, Data Science, Engineering, Economics, and/or related quantitative
* Advanced proficiency in SQL and Python for data processing, transformation, and automation.
* Hands\-on experience building and optimizing ETL/ELT pipelines using tools such as Apache Airflow, dbt, Spark, or similar.
* Strong understanding of data modeling, data warehousing, and distributed data processing frameworks.
* Experience working with cloud\-based data platforms (Azure, AWS, or GCP) and managed services (e.g., Snowflake, BigQuery, Databricks).
* Proven experience using Dataiku (or similar AI/analytics platforms) for end\-to\-end data preparation, pipeline orchestration, and production deployment.
* Ability to embed data governance principles directly into engineering workflows — including data cataloging, lineage, and quality monitoring — ideally within Dataiku.
* Excellent collaboration and communication skills for working with data scientists, data governance professionals, and business stakeholders.
* Experience interpreting and communicating analytic results to analytical and non\-analytical business partners
* Ability to travel both domestically and internationally may be required (\~5\-10%).
* Ability to flex hours to accommodate multiple time zones when necessary.
### **Preferred Qualifications**
* Advanced Dataiku expertise, including project design, flow optimization, automation scenarios, API integrations, and platform administration.
* Experience setting Dataiku usage standards for large practitioner communities, including governance\-compliant design patterns and role\-based access controls.
* Background in machine learning operations (MLOps) or supporting AI/ML workloads with engineered features and automated pipelines.
* Familiarity with DataOps practices for CI/CD, testing, and monitoring of data pipelines.
* Experience implementing security and privacy controls for sensitive datasets, including HIPAA, GDPR, or similar compliance frameworks.
* Knowledge of streaming data technologies (Kafka, Kinesis, Spark Streaming).
* Certifications in cloud platforms (Azure Data Engineer, AWS Big Data Specialty, Google Professional Data Engineer) or in Dataiku Core Designer / Advanced Designer.
* Experience working in large matrixed organization, with Global footprint
**Required Skills:**
**Preferred Skills:**
Advanced Analytics, Agility Jumps, Coaching, Critical Thinking, Data Engineering, Data Governance, Data Modeling, Data Privacy Standards, Data Science, Digital Fluency, Execution Focus, Hybrid Clouds, Organizing, Presentation Design, Technical Development, Technical Writing, Technologically Savvy**The anticipated base pay range for this position is :**
$102,000\.00 \- $177,100\.00
Additional Description for Pay Transparency: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t>
        </is>
      </c>
    </row>
    <row r="52">
      <c r="A52" t="inlineStr">
        <is>
          <t>in-cf9426388baa7851</t>
        </is>
      </c>
      <c r="B52" t="inlineStr">
        <is>
          <t>Senior Data Engineer</t>
        </is>
      </c>
      <c r="C52" t="inlineStr">
        <is>
          <t>Adtalem Global Education</t>
        </is>
      </c>
      <c r="D52" t="inlineStr">
        <is>
          <t>indeed</t>
        </is>
      </c>
      <c r="E52">
        <f>HYPERLINK("https://www.indeed.com/viewjob?jk=cf9426388baa7851", "https://www.indeed.com/viewjob?jk=cf9426388baa7851")</f>
        <v/>
      </c>
      <c r="F52">
        <f>HYPERLINK("https://click.appcast.io/t/pcEzeacx9YbO1vdnrIeh6oKpf8Y23YbRTS0yClDQs4I=", "https://click.appcast.io/t/pcEzeacx9YbO1vdnrIeh6oKpf8Y23YbRTS0yClDQs4I=")</f>
        <v/>
      </c>
      <c r="G52" t="inlineStr">
        <is>
          <t>Lisle, IL, US</t>
        </is>
      </c>
      <c r="H52" s="3" t="n">
        <v>46055</v>
      </c>
      <c r="I52" t="inlineStr">
        <is>
          <t>Company Description
**About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Adtalem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Adtalem. Adtalem is looking for a Senior Data Engineer who is a technical powerhouse who can scale our data platform to meet ever growing business needs.  
Responsibilities
* Work closely with various business, IT, Analyst and Data Science groups to collect business requirements
* Design, develop, deploy and support high performance data pipelines both inbound and outbound.
* Model data platform by applying the business logic and building objects in the semantic layer of the data platform.
* Optimize data pipelines for performance, scalability, and reliability.
* Implement CI/CD pipelines to ensure continuous deployment and delivery of our data products.
*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 Troubleshoot and resolve data engineering issues as they arise.
* Develop REST APIs to expose data to other teams within the company.
* Mentor and guide junior data engineers.
* Performs other duties as assigned
* Complies with all policies and standards
Qualifications
* Bachelor's Degree Computer Science, Computer Engineering, Software Engineering, or another related technical field Required.
* Master's Degree Computer Science, Computer Engineering, Software Engineering, or other related technical field Preferred.
* 2\+ years experience in Google cloud with services like BigQuery, Composer, GCS, DataStream, Dataflows Required.
* 6\+ years experience in data engineering solutions such as data platforms, ingestion, data management, or publication/analytics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organizational, prioritization and analytical abilities.
* Have proven experience working in incremental execution through successful launches.
* Excellent problem\-solving and critical\-thinking skills to recognize and comprehend complex data issues affecting the business environment.
* Experience working in agile environment.  
\#ATGE
Additional Information
*In support of the pay transparency laws enacted across the country, the expected salary range for this position is between $85,000\.00 and $150,00\.00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53">
      <c r="A53" t="inlineStr">
        <is>
          <t>in-b6380827901225ea</t>
        </is>
      </c>
      <c r="B53" t="inlineStr">
        <is>
          <t>Data Engineer</t>
        </is>
      </c>
      <c r="C53" t="inlineStr">
        <is>
          <t>Shield Consulting Solutions</t>
        </is>
      </c>
      <c r="D53" t="inlineStr">
        <is>
          <t>indeed</t>
        </is>
      </c>
      <c r="E53">
        <f>HYPERLINK("https://www.indeed.com/viewjob?jk=b6380827901225ea", "https://www.indeed.com/viewjob?jk=b6380827901225ea")</f>
        <v/>
      </c>
      <c r="F53">
        <f>HYPERLINK("https://theapplicantmanager.com/jobs?pos=sh5085&amp;src=Indeed", "https://theapplicantmanager.com/jobs?pos=sh5085&amp;src=Indeed")</f>
        <v/>
      </c>
      <c r="G53" t="inlineStr">
        <is>
          <t>Annapolis Junction, MD, US</t>
        </is>
      </c>
      <c r="H53" s="3" t="n">
        <v>46055</v>
      </c>
      <c r="I53" t="inlineStr">
        <is>
          <t>\*\*Active TS/SCI w/Polygraph REQUIRED\*\* Please do not apply if you do not currently possess this level of clearance.
\-  
Telework: None  
Basic Requirements:
* 5 years of experience as a software engineer
* Bachelor’s degree in a technical discipline
	+ 2 additional years of experience as a software engineer may be substituted for a degree
Job Description:
* Responsible for identifying ways to create consistent and repeatable capabilities including transforming raw, complex, and often unstructured data into clean, reliable, and high\-quality analysis\-ready datasets that support advanced analytics, predictive modeling, and data\-driven decision\-making across the organization.
Required Experience:
* Experience using the Linux CLI and Linux tools
* Experience developing Bash scripts to automate manual processes
* Recent software development experience using Python
* Familiar with Distributed Big Data processing engines including Apache Spark
* Experience using Jupyter Notebook
* Experience with data wrangling and preprocessing tools such as pandas and NumPy
* Experience working with structured, semi\-structured, and unstructured data
* Familiarity with data quality concepts, data validation, and anomaly detection
* Experience with Git Source Control System
Desired Experience:
* Familiar with Apache Airflow (DAG design, scheduling, operators, sensors) to orchestrate, schedule, and monitor complex workflows
* Familiar with SQL technologies such as MySQL, MariaDB, and PostgreSQL for querying, joining, and aggregating large datasets
* Familiar with HPC Job Scheduling tools including Slurm
* Experience using the Atlassian Tool Suite (JIRA, Confluence)
Salary: $205,000 \- $215,000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54">
      <c r="A54" t="inlineStr">
        <is>
          <t>in-960e00bf32ccc185</t>
        </is>
      </c>
      <c r="B54" t="inlineStr">
        <is>
          <t>Principal Data Engineer</t>
        </is>
      </c>
      <c r="C54" t="inlineStr">
        <is>
          <t>Shield Consulting Solutions</t>
        </is>
      </c>
      <c r="D54" t="inlineStr">
        <is>
          <t>indeed</t>
        </is>
      </c>
      <c r="E54">
        <f>HYPERLINK("https://www.indeed.com/viewjob?jk=960e00bf32ccc185", "https://www.indeed.com/viewjob?jk=960e00bf32ccc185")</f>
        <v/>
      </c>
      <c r="F54">
        <f>HYPERLINK("https://theapplicantmanager.com/jobs?pos=sh5088&amp;src=Indeed", "https://theapplicantmanager.com/jobs?pos=sh5088&amp;src=Indeed")</f>
        <v/>
      </c>
      <c r="G54" t="inlineStr">
        <is>
          <t>Annapolis Junction, MD, US</t>
        </is>
      </c>
      <c r="H54" s="3" t="n">
        <v>46055</v>
      </c>
      <c r="I54" t="inlineStr">
        <is>
          <t>\*\*Active TS/SCI w/Polygraph REQUIRED\*\* Please do not apply if you do not currently possess this level of clearance.
\-  
Telework: None  
Basic Requirements:
* 12 years of experience as a software engineer
* Bachelor’s degree in a technical discipline
	+ 2 additional years of experience as a software engineer may be substituted for a degree
Job Description:
* Responsible for creating, sustaining, and troubleshooting complex operational data flows including data storage, data transport, data management, data security, data compliance, and knowledge store management.
* Additional tasking shall include working with the mission customer to perform exploratory data analysis on raw data to clean, enrich, transform and convert the raw data into the required formats.
* The Software Engineer shall also be responsible for devising methods to improve existing operational data flow processing, distribution, and reliability.
Required Experience:
* Experience using the Linux CLI and Tools
* Experience writing scripts using Bash/Python
* Experience designing and implementing Java solutions
* Experience with Apache NiFi system administration
* Experience using Apache NiFi canvas to process and distribute data
* Experience creating, managing, and troubleshooting complex operational data flows
* Experience with the Atlassian Tool Suite (JIRA, Confluence)
Desired Experience:
* Experience with Corporate data flow processes and tools
* Experience with Corporate data security and compliance procedures and policies
* Demonstrated ability to design, develop, and maintain Perl scripts and applications
Salary: $265,000 \- $275,000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55">
      <c r="A55" t="inlineStr">
        <is>
          <t>in-d5fb3abecaf990dd</t>
        </is>
      </c>
      <c r="B55" t="inlineStr">
        <is>
          <t>Senior Data Engineer (contract)</t>
        </is>
      </c>
      <c r="C55" t="inlineStr">
        <is>
          <t>Wells Fargo</t>
        </is>
      </c>
      <c r="D55" t="inlineStr">
        <is>
          <t>indeed</t>
        </is>
      </c>
      <c r="E55">
        <f>HYPERLINK("https://www.indeed.com/viewjob?jk=d5fb3abecaf990dd", "https://www.indeed.com/viewjob?jk=d5fb3abecaf990dd")</f>
        <v/>
      </c>
      <c r="F55">
        <f>HYPERLINK("https://wellsfargo.talentnet.community/jobs/89c26345-bb2a-438e-871d-b804c7ca9966", "https://wellsfargo.talentnet.community/jobs/89c26345-bb2a-438e-871d-b804c7ca9966")</f>
        <v/>
      </c>
      <c r="G55" t="inlineStr">
        <is>
          <t>Irving, TX, US</t>
        </is>
      </c>
      <c r="H55" s="3" t="n">
        <v>46055</v>
      </c>
      <c r="I55" t="inlineStr">
        <is>
          <t>**Title****:** Senior Data Engineer
**Location****:** 401 W Las Colinas Blvd Irving, TX  
**Alternate Locations****:** Phoenix, AZ or Charlotte, NC
**Duration****:** 12 months
**Work Engagement****:** W2
**Work Schedule**: 3 days in office/2 days remote
**Benefits on offer for this contract position**: Health Insurance, Life insurance, 401K and Voluntary Benefits
**Summary:**
We are looking for a Senior Data Engineer to design, build, and optimize reliable data solutions across our SQL, ETL, BI, and machine‑learning platforms. This role develops high‑performance SQL Server and Oracle database objects; builds and maintains ETL/ELT pipelines; designs enterprise data models; and delivers analytical capabilities through Power BI.
You will partner with analytics, data science, and application teams to operationalize ML models, support cloud/hybrid modernization initiatives, and ensure data quality, performance, and scalability. The role operates within a collaborative Agile Scrum team focused on delivering business value and continuous improvement.
**Responsibilities:**
* Develop advanced SQL (T‑SQL/PLSQL), database models, and performance‑optimized stored procedures.
* Build and support ETL pipelines, data warehouses, and dimensional models.
* Design Power BI datasets, DAX calculations, and optimized reports with RLS and governance best practices.
* Enable machine‑learning solutions through feature tables, scoring pipelines, and ML\-integrated dashboards.
* Support database/application modernization, migration, validation, and cutover planning.
* Collaborate with cross‑functional teams in an Agile environment.
**Qualifications****:**
* Applicants must be authorized to work for ANY employer in the U.S. This position is not eligible for visa sponsorship.
* Strong experience with SQL Server, Oracle, ETL/ELT, data warehousing, and data modeling.
* Advanced Power BI expertise (DAX, M, performance tuning, RLS).
* Experience operationalizing ML outputs or integrating predictive analytics.
* Background in Agile/Scrum teamwork and iterative delivery.</t>
        </is>
      </c>
    </row>
    <row r="56">
      <c r="A56" t="inlineStr">
        <is>
          <t>in-5575fe468c04772e</t>
        </is>
      </c>
      <c r="B56" t="inlineStr">
        <is>
          <t>Data Engineer - Remote</t>
        </is>
      </c>
      <c r="C56" t="inlineStr">
        <is>
          <t>EP Wealth Advisors, LLC</t>
        </is>
      </c>
      <c r="D56" t="inlineStr">
        <is>
          <t>indeed</t>
        </is>
      </c>
      <c r="E56">
        <f>HYPERLINK("https://www.indeed.com/viewjob?jk=5575fe468c04772e", "https://www.indeed.com/viewjob?jk=5575fe468c04772e")</f>
        <v/>
      </c>
      <c r="F56">
        <f>HYPERLINK("https://www.paycomonline.net/v4/ats/web.php/jobs/ViewJobDetails?job=324474&amp;clientkey=F747D21349169CEF9E3C5A95A4E4F4B7&amp;source=Indeed", "https://www.paycomonline.net/v4/ats/web.php/jobs/ViewJobDetails?job=324474&amp;clientkey=F747D21349169CEF9E3C5A95A4E4F4B7&amp;source=Indeed")</f>
        <v/>
      </c>
      <c r="G56" t="inlineStr">
        <is>
          <t>Remote, US</t>
        </is>
      </c>
      <c r="H56" s="3" t="n">
        <v>46055</v>
      </c>
      <c r="I56" t="inlineStr">
        <is>
          <t>EP Wealth Advisors (EPWA) is a wealth management advisory firm with over $40\.5 billion in AUM as of September 30, 2025, serving predominately high net worth individuals. EPWA fosters an inclusive environment that offers opportunities for our associates to learn, grow and enhance their skills to take on new challenges to progress in their professional careers.
EP Wealth Advisors is launching its first enterprise data platform initiative, a strategic effort to build a modern, cloud\-based data environment powered by Snowflake. As a Data Engineer, you will play a pivotal role in the design, development, and implementation of this platform — working in close partnership with both internal technology teams and an experienced Snowflake implementation service provider.
This position is ideal for a data professional who thrives in a collaborative, fast\-paced environment and wants to contribute to building a foundational data infrastructure from the ground up. You will help establish best practices, design scalable pipelines, and ensure the new platform enables firmwide analytics, reporting, and data\-driven decision\-making.**Salary Range: $120,000 \- $150,000 plus annual bonus****Duties and Responsibilities:*** Collaborate closely with EP Wealth’s Snowflake implementation partner to design, configure, and deploy the firm’s first enterprise data platform.
* Participate in architecture design sessions, technical planning, and milestone reviews with both internal stakeholders and external partners.
* Develop and maintain efficient, secure, and scalable ETL/ELT data pipelines to ingest data into Snowflake.
* Build and optimize Snowflake data models, schemas, and role\-based access controls.
* Define and enforce Snowflake best practices for performance optimization, cost management, and data security.
* Support environment setup, data migration, and initial production rollout activities in coordination with the implementation partner.
Integrate data from multiple enterprise systems including CRM, portfolio management, financial planning, and custodial platforms* Design data models and reusable ingestion frameworks that support analytics and reporting use cases.
* Contribute to the development of a unified enterprise data model and metadata framework.
* Collaborate with the implementation partner to align technical design with EP Wealth’s business strategy and compliance standards.
* Implement data validation, monitoring, and auditing to ensure data accuracy, completeness, and reliability.
* Collaborate with IT leadership to define and operationalize data governance standards.
* Troubleshoot and resolve data pipeline issues while maintaining system performance and uptime.
* Conduct query and warehouse optimization to ensure efficient Snowflake usage.
* Work closely with data analysts and technology teams to deliver accessible, well\-documented data sets.
* Participate in design reviews, sprint planning, and architectural discussions with the implementation partner.
* Identify opportunities to extend Snowflake functionality through features such as Snowpark, data sharing, or automation tools.
* Stay informed on Snowflake’s evolving ecosystem and cloud data engineering best practices.
* Bachelor’s degree in Computer Science, Information Systems, Data Engineering, or a related technical field.
* 5\+ years of data engineering experience, with direct hands\-on experience in Snowflake strongly preferred.
* Demonstrated success contributing to or co\-delivering a cloud data platform implementation alongside external partners or vendors.
* Experience building scalable data pipelines and transformations for analytics and operational reporting.
* Advanced proficiency in SQL, with deep experience in Snowflake query optimization and data modeling.
* Proficiency in Python or another scripting language for data processing and automation.
* Experience with ETL/ELT tools and orchestration platforms (DBT, Airflow, Dagster, etc.).
* Familiarity with cloud infrastructure (AWS, GCP, or Azure) and Snowflake integrations.
* Experience with enterprise data integration from CRM, portfolio management, and financial planning systems (Salesforce, Tamarac, Orion, etc.).
* Understanding of data governance, lineage, and observability tools.
* Strong understanding of Snowflake architecture, data sharing, and multi\-cluster warehouse capabilities.
* Experience defining data security and access policies in regulated environments.
* Ability to bridge technical and business needs through thoughtful data design and collaboration.
**What We Offer**  
We offer a highly competitive suite of holistic benefits designed to help our team members balance their personal and professional life commitments. These include options designed to encourage employee's health, happiness, and financial well\-being.* 11 Paid Holidays \+ 2 floating holidays
* 3 Weeks (PTO)
* Paid Volunteer Time
* Flexible Work Schedule
* Highly subsidized Health, Dental, and Vision Plans
* 401k Retirement Account with company match contributions
* Free Mental Health services, Life Insurance, Long \&amp; Short\-Term Disability Insurance
* Flexible Spending Accounts and Health Savings Accounts
* Employee Financial Education
* Employee Educational Expense Reimbursement
* Employee Charitable Donations
* Employee Referral Incentives
* Employee Team Building Activities
* Employee Assistance Program
\#LI\-JJ1
EPWA is an equal opportunity employer. Prospective employees will receive consideration without discrimination because of race, creed, color, sex, gender, gender expression, gender identity, sexual orientation, age, religion, national origin, ancestry, mental disability, physical disability, medical condition, genetic information, marital status, military and veteran status, or any other basis protected by law.</t>
        </is>
      </c>
    </row>
    <row r="57">
      <c r="A57" t="inlineStr">
        <is>
          <t>in-7a01640037babc7f</t>
        </is>
      </c>
      <c r="B57" t="inlineStr">
        <is>
          <t>Data Engineer</t>
        </is>
      </c>
      <c r="C57" t="inlineStr">
        <is>
          <t>Qode</t>
        </is>
      </c>
      <c r="D57" t="inlineStr">
        <is>
          <t>indeed</t>
        </is>
      </c>
      <c r="E57">
        <f>HYPERLINK("https://www.indeed.com/viewjob?jk=7a01640037babc7f", "https://www.indeed.com/viewjob?jk=7a01640037babc7f")</f>
        <v/>
      </c>
      <c r="F57">
        <f>HYPERLINK("https://apply.workable.com/j/9B166F6DEF", "https://apply.workable.com/j/9B166F6DEF")</f>
        <v/>
      </c>
      <c r="G57" t="inlineStr">
        <is>
          <t>Township of Jackson, NJ, US</t>
        </is>
      </c>
      <c r="H57" s="3" t="n">
        <v>46055</v>
      </c>
      <c r="I57" t="inlineStr">
        <is>
          <t>**Job Title:** Data Engineer – MEM SQL Location: New Jersey / Irving, TX / Tampa, FLJob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58">
      <c r="A58" t="inlineStr">
        <is>
          <t>in-55e89038e5b586c5</t>
        </is>
      </c>
      <c r="B58" t="inlineStr">
        <is>
          <t>Data Engineer</t>
        </is>
      </c>
      <c r="C58" t="inlineStr">
        <is>
          <t>Qode</t>
        </is>
      </c>
      <c r="D58" t="inlineStr">
        <is>
          <t>indeed</t>
        </is>
      </c>
      <c r="E58">
        <f>HYPERLINK("https://www.indeed.com/viewjob?jk=55e89038e5b586c5", "https://www.indeed.com/viewjob?jk=55e89038e5b586c5")</f>
        <v/>
      </c>
      <c r="F58">
        <f>HYPERLINK("https://apply.workable.com/j/7A540CC1F7", "https://apply.workable.com/j/7A540CC1F7")</f>
        <v/>
      </c>
      <c r="G58" t="inlineStr">
        <is>
          <t>Irving, TX, US</t>
        </is>
      </c>
      <c r="H58" s="3" t="n">
        <v>46055</v>
      </c>
      <c r="I58" t="inlineStr">
        <is>
          <t>**Job Title:** Data Engineer – MEM SQL Location: New Jersey / Irving, TX / Tampa, FLJob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59">
      <c r="A59" t="inlineStr">
        <is>
          <t>in-322292623628c8ea</t>
        </is>
      </c>
      <c r="B59" t="inlineStr">
        <is>
          <t>Data Engineer</t>
        </is>
      </c>
      <c r="C59" t="inlineStr">
        <is>
          <t>Qode</t>
        </is>
      </c>
      <c r="D59" t="inlineStr">
        <is>
          <t>indeed</t>
        </is>
      </c>
      <c r="E59">
        <f>HYPERLINK("https://www.indeed.com/viewjob?jk=322292623628c8ea", "https://www.indeed.com/viewjob?jk=322292623628c8ea")</f>
        <v/>
      </c>
      <c r="F59">
        <f>HYPERLINK("https://apply.workable.com/j/86B5A5FF35", "https://apply.workable.com/j/86B5A5FF35")</f>
        <v/>
      </c>
      <c r="G59" t="inlineStr">
        <is>
          <t>Tampa, FL, US</t>
        </is>
      </c>
      <c r="H59" s="3" t="n">
        <v>46055</v>
      </c>
      <c r="I59" t="inlineStr">
        <is>
          <t>**Job Title:** Data Engineer – MEM SQL Location: New Jersey / Irving, TX / Tampa, FLJob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60">
      <c r="A60" t="inlineStr">
        <is>
          <t>in-cd2b45fb1bcb5dde</t>
        </is>
      </c>
      <c r="B60" t="inlineStr">
        <is>
          <t>Senior Data Engineer</t>
        </is>
      </c>
      <c r="C60" t="inlineStr">
        <is>
          <t>DTE Energy</t>
        </is>
      </c>
      <c r="D60" t="inlineStr">
        <is>
          <t>indeed</t>
        </is>
      </c>
      <c r="E60">
        <f>HYPERLINK("https://www.indeed.com/viewjob?jk=cd2b45fb1bcb5dde", "https://www.indeed.com/viewjob?jk=cd2b45fb1bcb5dde")</f>
        <v/>
      </c>
      <c r="F60">
        <f>HYPERLINK("https://careers.dteenergy.com/job/Detroit-Senior-Data-Engineer-MI-48201/1361509600/?feedId=257300&amp;utm_source=Indeed&amp;utm_campaign=DTE_Indeed", "https://careers.dteenergy.com/job/Detroit-Senior-Data-Engineer-MI-48201/1361509600/?feedId=257300&amp;utm_source=Indeed&amp;utm_campaign=DTE_Indeed")</f>
        <v/>
      </c>
      <c r="G60" t="inlineStr">
        <is>
          <t>Detroit, MI, US</t>
        </is>
      </c>
      <c r="H60" s="3" t="n">
        <v>46055</v>
      </c>
      <c r="I60" t="inlineStr">
        <is>
          <t>DTE is one of the nation’s largest diversified energy companies. Our electric and gas companies have fueled our customer’s homes and Michigan’s progress for more than a century. And as Michigan’s largest source of renewable energy, we’re creating a cleaner, healthier environment to power our future. We’re also serving communities beyond Michigan, where our affiliated businesses offer renewable energy, emission control technologies, and energy services to industries in 19 states.
But we’re more than a leading energy company... and working at DTE is more than just a job. At DTE, we take great care of each other and our customers, and we use our energy to be a force for growth and prosperity in our communities. When you join us, you’ll be part of a team that welcomes, recognizes, and celebrates differences and values everyone’s health, safety, and wellbeing. Are you ready to make that kind of difference? Bring your energy to DTE. Together, we can achieve great things.
 **Testing Required:** Not Applicable
**Hybrid Role:** This role is hybrid, with an established schedule of in\-person work required at an assigned work location. Any remote work is expected to be performed from an employee’s primary residence, unless allowed (or prohibited) through the Company’s remote work guidelines.
**Emergency Response:** Yes – Must be available to perform a primary assignment in support of DTE’s emergency response to storms or other events that impact service to our customers.
**Job Summary**
---------------
Leads data integration and analytics projects that support data collection, automation, transformation, storage, delivery, and reporting processes. Serves as senior advisor for a large business unit or enterprise\-level data projects. Optimizes data retrieval and processing, including performance tuning, delivery design for downstream analytics, machine learning modeling (including feature engineering), and reporting. Mentors less\-experienced team members. Span of control: 0; individual contributor.
**Key Accountabilities**
------------------------
* Leads data engineering projects and collaborates with stakeholders to formulate end\-to\-end solutions, including data structure design to feed downstream analytics, machine learning modeling, feature engineering, prototype development, and reporting
* Develops complex data sets and automated pipelines that support data requirements for process improvement and operational efficiency metrics
* Designs and implements data process pipelines in on\-premise or Cloud platforms required for optimal extraction, transformation, and loading of data from multiple data sources
* Builds reporting and visualizations that utilize data pipeline to provide actionable insights into compliance rates, operational efficiency, and other key business performance metrics
* Designs and implements effective testing strategies for data pipelines and processing methods
* Deploys and automates Machine Learning Models in a data environment (e.g., SQL server, Cloud platform, on\-premise servers and machines), including workflow orchestration, scheduling and advanced data processing implementation, and data delivery tools
* Educates leaders and other employees on complex data and analytical findings in basic terms and with storytelling and data visualization
* Researches and maintains industry best practices for data engineering practices and solutions
**Minimum Education \&amp; Experience Requirements**
------------------------------------------------
This is a dual\-track base requirement job; education and experience requirements can be satisfied through one of the following two options:
* Bachelor’s degree with emphasis on coursework of a quantitative nature (e.g., Computer Science, Mathematics, Physics, Data Science, Econometrics, etc.) and 6 years of experience working in a data engineering, data analytical or computer programming function; OR
* Master’s degree with emphasis on coursework of a quantitative nature (e.g., Computer Science, Mathematics, Physics, Data Science, Econometrics, etc.) and 4 years of experience working in a data engineering, data analytical or computer programming function
* PhD degree with emphasis on coursework of a quantitative nature (e.g., Computer Science, Mathematics, Physics, Data Science, Econometrics, etc.) and 2 years of experience working in a data engineering, data analytical or computer programming function
**Other Qualifications**
------------------------
Preferred Qualifications:
* Experience optimizing database, Spark, and Databricks jobs for performance, reliability, and cost, and implementing CI/CD pipelines for data workflows (e.g., Azure DevOps, GitHub Actions).
* Strong business domain knowledge with the ability to translate business needs into scalable data and analytics solutions.
* Hands‑on experience with cloud platforms (Azure or AWS), including Databricks for scalable, distributed data pipelines.
Other Requirements:
* Advanced programming proficiency in SQL and one or more general\-purpose languages (e.g., Python, Java).
* Advanced experience building and supporting data pipelines for analytics, AI/ML, and GenAI use cases, including feature engineering and model‑ready datasets.
* Experience supporting data infrastructure for agentic AI systems, including autonomous workflows, tool‑using agents, and event\-driven pipelines.
* Advanced proficiency with Big Data platforms, including data extraction, processing, and analytics connectivity.
* Advanced proficiency with business intelligence, data blending, and visualization tools (e.g., Microsoft Power Platform, Power BI).
* Demonstrated ability to establish and enforce data engineering best practices, including coding standards, architecture, data governance, security, lineage, and compliance.
* Strong analytical, problem‑solving, and communication skills, with the ability to select appropriate tools, recommend optimal solutions, and clearly explain complex concepts to non‑technical audiences.
**Additional Information**
--------------------------
Incumbents may engage in all or some combination of the activities and accountabilities and utilize a variety of the competencies cited in this description, depending upon the organization and role to which they are assigned. This description is intended to describe the general nature and level of work performed by incumbents in this job. It is not intended as an all\-inclusive list of accountabilities or responsibilities, nor is it intended to limit the rights of supervisors or management representatives to assign, direct, and control the work of employees under their supervision.  
**PRIVACY NOTICE TO CALIFORNIA JOB APPLICANTS**
 *At DTE Energy, we are committed to providing an inclusive workplace where everyone feels welcome and a sense of belonging. We seek individuals with a heart for service, a passion to help our communities prosper, and ideas to help shape the future of energy. We are proud to be an equal opportunity, employer that considers all qualified applicants without regard to race, color, sex, sexual orientation, gender identity, age, religion, disability, national origin, citizenship, height, weight, genetic information, marital status, pregnancy, protected veteran status or any other status protected by applicable federal and/or state laws.*</t>
        </is>
      </c>
    </row>
    <row r="61">
      <c r="A61" t="inlineStr">
        <is>
          <t>in-ad9ed2d3b37fc3df</t>
        </is>
      </c>
      <c r="B61" t="inlineStr">
        <is>
          <t>Senior Data Engineer (Public Trust)</t>
        </is>
      </c>
      <c r="C61" t="inlineStr">
        <is>
          <t>Praescient Analytics</t>
        </is>
      </c>
      <c r="D61" t="inlineStr">
        <is>
          <t>indeed</t>
        </is>
      </c>
      <c r="E61">
        <f>HYPERLINK("https://www.indeed.com/viewjob?jk=ad9ed2d3b37fc3df", "https://www.indeed.com/viewjob?jk=ad9ed2d3b37fc3df")</f>
        <v/>
      </c>
      <c r="F61">
        <f>HYPERLINK("https://praescientanalytics.applicantstack.com/x/detail/a2uae9b8n4ak/aaac", "https://praescientanalytics.applicantstack.com/x/detail/a2uae9b8n4ak/aaac")</f>
        <v/>
      </c>
      <c r="G61" t="inlineStr">
        <is>
          <t>Bethesda, MD, US</t>
        </is>
      </c>
      <c r="H61" s="3" t="n">
        <v>46055</v>
      </c>
      <c r="I61" t="inlineStr">
        <is>
          <t>**Location:** Bethesda, MD (Hybrid)
**Clearance:** Public Trust (Role may require additional background investigations)
**Employment Type:** Full\-Time
US Citizenship is Required
**Position Overview:**  
Praescient Analytics is seeking an experienced Senior Data Engineer to support a major federal data modernization and analytics program. This role is responsible for the design, development, optimization, and operational support of scalable, secure, and high\-quality data pipelines that enable advanced analytics, machine learning, and AI\-driven decision support in a regulated government environment.
The Senior Data Engineer plays a critical role in the client's transition from legacy, on\-premises systems to a cloud\-native, open\-source analytics ecosystem built on Microsoft Azure. This position ensures that data is reliable, performant, well\-governed, and readily consumable by data scientists, analysts, and AI/ML engineers supporting mission\-critical use cases.
**Key Responsibilities:**  
* Design, build, and maintain production\-grade ETL/ELT pipelines to ingest, transform, and curate large volumes of structured and unstructured data.
* Develop data workflows using Python\-based frameworks and Microsoft Azure services, ensuring scalability, reliability, and fault tolerance.
* Optimize data pipelines for performance, cost efficiency, and maintainability.
* Architect and implement data solutions within Microsoft Azure, including:
* Azure Data Lake Storage (ADLS Gen2\)
* Azure SQL and related data services
* Azure Synapse Analytics
* Design and manage workflow orchestration using Azure Data Factory (or equivalent) for scheduling, monitoring, and automation.
* Build and maintain Python\-based data services and utilities using open\-source libraries such as Pandas, NumPy, and related frameworks.
* Implement logging, monitoring, alerting, and performance tuning to support operational reliability.
* Apply data governance best practices, including data lineage, reproducibility, auditability, and compliance with federal standards.
* Maintain comprehensive documentation, including data dictionaries, pipeline designs, and process flows.
* Work closely with data scientists, AI/ML engineers, analysts, architects, and Agile project managers to ensure data pipelines meet analytical and operational requirements.
**Required Qualifications:**  
Experience
* Minimum of 5\+ years of experience designing, building, and operating data pipelines supporting analytics and/or machine learning.
* Demonstrated experience working with large\-scale datasets in production environments.
* Proven experience supporting cloud\-based data platforms.
* Bachelor's degree in Data Science, Computer Science, Engineering, Statistics, or related field — or equivalent professional experience.
Technical Skills
* Strong proficiency in Python (Pandas required; NumPy, scikit\-learn, and related libraries preferred).
* Advanced SQL skills and experience integrating relational data sources.
* Hands\-on experience with Microsoft Azure, including Azure Data Lake Storage and Azure SQL.
* Experience with workflow orchestration tools such as Azure Data Factory.
* Familiarity with open\-source data processing and ETL frameworks.
* Experience with logging, monitoring, and performance optimization for data systems.
* Proficiency with Git\-based version control and collaborative development practices.
**Clearance:** Minimum of a Public Trust (U.S. Citizenship is Required)
**Preferred Qualifications:**  
* Master's degree or higher in Data Science, Computer Science, Engineering, Statistics, or related field — or equivalent professional experience.
* Microsoft Azure certifications (e.g., Azure Data Engineer Associate) strongly preferred.
* Experience working in federal, public\-sector, or other regulated environments.
* Familiarity with data engineering patterns for secure, scalable systems.
* Experience supporting AI/ML workloads, feature engineering pipelines, or near\-real\-time analytics.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62">
      <c r="A62" t="inlineStr">
        <is>
          <t>in-1c64c9e3b2cb460d</t>
        </is>
      </c>
      <c r="B62" t="inlineStr">
        <is>
          <t>Data Engineering II</t>
        </is>
      </c>
      <c r="C62" t="inlineStr">
        <is>
          <t>Ignite Insurance Systems</t>
        </is>
      </c>
      <c r="D62" t="inlineStr">
        <is>
          <t>indeed</t>
        </is>
      </c>
      <c r="E62">
        <f>HYPERLINK("https://www.indeed.com/viewjob?jk=1c64c9e3b2cb460d", "https://www.indeed.com/viewjob?jk=1c64c9e3b2cb460d")</f>
        <v/>
      </c>
      <c r="F62">
        <f>HYPERLINK("https://fa-ewmy-saasfaprod1.fa.ocs.oraclecloud.com/hcmUI/CandidateExperience/en/sites/CX_1/requisitions/preview/2598", "https://fa-ewmy-saasfaprod1.fa.ocs.oraclecloud.com/hcmUI/CandidateExperience/en/sites/CX_1/requisitions/preview/2598")</f>
        <v/>
      </c>
      <c r="G62" t="inlineStr">
        <is>
          <t>Lehi, UT, US</t>
        </is>
      </c>
      <c r="H62" s="3" t="n">
        <v>46055</v>
      </c>
      <c r="I62" t="inlineStr">
        <is>
          <t>As a Data Engineer, you will be responsible for transforming raw data from our applications into structured datasets for large\-scale analysis and machine learning model training. You will work closely with our development, data science, and business intelligence teams to ensure data integrity, quality, and accessibility.
* **Data Pipeline Development:** Design, develop, and maintain scalable data pipelines to process raw data from various sources.
* **Data Transformation:** Clean, transform, and enrich data to create high\-quality datasets suitable for analysis and machine learning.
* **Collaboration:** Work closely with product teams, software developers, data scientists, and analysts to understand data needs and deliver innovative solutions.
* **Data Management:** Ensure data accuracy, consistency, and reliability across all datasets.
* **Optimization:** Optimize data processes for performance and scalability.
* **Documentation:** Maintain comprehensive documentation of data pipelines, processes, and schemas.
**Working Conditions:**
* 40 hours per week, with occasional, but rare, overtime
* Remote / Hybrid / Flexible Work Options Available
* Frequent interaction with developers, test automation engineers, QA, management, and members of other Verisk subsidiaries
* Some days we just leave the office and have fun team building activities!
* Regular team lunches!
* State of the art facility with basketball, volleyball, and gym
* Ping pong, foosball, fruit bowls, snacks
* Fun and energetic teams
* Time for innovation, Hack\-A\-Thons, and learning
* **Educational Background:** bachelor’s degree in computer science, Data Engineering, or a related field.
* **Experience:** 3\+ years of experience as a Data Engineer or in a similar role.
* **Technical Proficiency:**
	+ **Programming Languages:** Proficiency in Python, SQL, and familiarity with languages such as C\# or Java.
	+ **Data Processing:** Experience with ETL tools and frameworks (e.g., Apache Airflow, Luigi, DBT).
	+ **Big Data Technologies:** Hands\-on experience with big data technologies such as Hadoop, Spark, and Kafka.
	+ **Database Management:** Strong knowledge of relational databases (e.g., PostgreSQL, MySQL) and NoSQL databases (e.g., MongoDB, Cassandra).
	+ **Cloud Platforms:** Experience with cloud services (e.g., AWS, Google Cloud, Azure) and their data processing tools (e.g., AWS Glue, Google BigQuery).
	+ **AI:** Familiarity and enthusiasm for bleeding\-edge analytical enablement using tools such as Large Language Models and Prompt Engineering.
* **Data Warehousing:** Knowledge of data warehousing concepts and solutions (e.g., Redshift, Snowflake).
* **Version Control:** Proficient with version control systems (e.g., Git).
**Machine Learning:** Understanding of machine learning concepts and experience working with data for ML model training.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63">
      <c r="A63" t="inlineStr">
        <is>
          <t>in-7f5f83d81fa21efe</t>
        </is>
      </c>
      <c r="B63" t="inlineStr">
        <is>
          <t>Lead Data Engineer</t>
        </is>
      </c>
      <c r="C63" t="inlineStr">
        <is>
          <t>APC Postal Logistics</t>
        </is>
      </c>
      <c r="D63" t="inlineStr">
        <is>
          <t>indeed</t>
        </is>
      </c>
      <c r="E63">
        <f>HYPERLINK("https://www.indeed.com/viewjob?jk=7f5f83d81fa21efe", "https://www.indeed.com/viewjob?jk=7f5f83d81fa21efe")</f>
        <v/>
      </c>
      <c r="F63">
        <f>HYPERLINK("https://secure7.saashr.com/ta/6215004.careers?ShowJob=570916428", "https://secure7.saashr.com/ta/6215004.careers?ShowJob=570916428")</f>
        <v/>
      </c>
      <c r="G63" t="inlineStr">
        <is>
          <t>East Rutherford, NJ, US</t>
        </is>
      </c>
      <c r="H63" s="3" t="n">
        <v>46055</v>
      </c>
      <c r="I63" t="inlineStr">
        <is>
          <t>**Who We Are:**  
APC is a dynamic, growing international delivery and technology solutions provider. Established in 2001, APC has been simplifying international delivery for over 20 years, helping U.S. businesses build brands abroad, expand their consumer base, increase revenue, and their global reach. Our extensive, reliable worldwide delivery network and proprietary technology empower our brands to succeed. We are committed to expanding our footprint and continuously investing in innovative delivery and technology solutions as we aim to be *the* leading resource for cross\-border solutions.
**About the Role:**  
Reporting to the Head of Technology, the Data Architect / Lead Data Engineer will own the design, implementation, scalability, and business impact of APC’s data platform supporting a high\-volume, complex logistics operation. This is a hands\-on, senior technical role responsible for shaping how data flows from raw operational systems through trusted analytics and into production\-grade models that drive decision\-making across the business.  
You will lead the evolution of the data stack end\-to\-end, balancing architectural rigor with real\-world constraints such as imperfect data, operational urgency, and cost efficiency. Partnering closely with engineering, product, operations, finance, and leadership, you will translate complex business questions into durable data solutions that directly impact shipment performance, customer experience, pricing, and profitability. This role is well\-suited for someone who enjoys deep technical ownership, cross\-functional collaboration, and building systems that operate at scale in production environments.  
**About the Candidate:**
You are a hands\-on, systems\-oriented data leader who enjoys working close to the business and taking ownership of complex, real\-world data challenges. You are comfortable operating at the intersection of architecture, engineering, analytics, and applied data science, and you thrive in environments where data is imperfect, scale is real, and impact is tangible.
You bring a strong sense of accountability and technical judgment, with the ability to make thoughtful tradeoffs and move initiatives forward. You communicate clearly with both technical and non\-technical partners, build trust through reliability and transparency, and enjoy mentoring others while setting a high bar for data quality and engineering discipline.
**Key Responsibilities**
**Data Platform \&amp; Warehouse Leadership**
* Own the architecture, scalability, performance, and cost efficiency of the enterprise data warehouse and analytics platform.
* Design and maintain dimensional and analytical data models supporting core logistics and financial use cases, including shipments, customs data, carrier performance, SLAs, revenue, and margins.
* Establish and enforce best practices for data modeling, schema evolution, data quality monitoring, lineage, documentation, and cost governance.
* Lead data platform migrations, upgrades, and modernization initiatives as needed.
**Data Engineering \&amp; Pipelines**
* Design, build, and operate reliable, observable ELT/ETL pipelines from internal systems, third\-party APIs, and event streams, including change data capture where required.
* Ensure pipeline resilience through strong handling of data freshness, schema drift, backfills, reprocessing, and failure recovery.
* Integrate data across core operational platforms, including OMS, WMS, TMS, payments, CRM, and marketing systems.
* Partner with application and platform engineers on event design, instrumentation, and data contracts.
**Analytics Engineering \&amp; Business Enablement**
* Build and maintain trusted semantic layers, metrics definitions, and curated data marts for analytics, operations, finance, and executive reporting.
* Define and operationalize canonical KPIs across shipment performance, carrier reliability, exceptions, margins, and customer lifecycle metrics.
* Enable governed self\-service analytics while preserving data accuracy, consistency, and trust.
**Applied Data Science \&amp; Advanced Analytics**
* Develop and product\-ionize analytical models for forecasting, operational optimization, anomaly detection, and customer behavior analysis.
* Design experiments and analyses with clear business impact and measurable ROI, and operationalize outputs into dashboards or workflows.
**Technical Leadership**
* Serve as technical owner for data architecture, tooling selection, and platform standards.
* Mentor engineers and analysts, lead design reviews, and set pragmatic standards balancing speed, reliability, and cost.
**Key Responsibilities:**
**Data Platform \&amp; Warehouse Leadership**
* Own the architecture, scalability, performance, and cost efficiency of the enterprise data warehouse and analytics platform.
* Design and maintain dimensional and analytical data models supporting core logistics and financial use cases, including shipments, customs data, carrier performance, SLAs, revenue, and margins.
* Establish and enforce best practices for data modeling, schema evolution, data quality monitoring, lineage, documentation, and cost governance.
* Lead data platform migrations, upgrades, and modernization initiatives as needed.
**Data Engineering \&amp; Pipelines**
* Design, build, and operate reliable, observable ELT/ETL pipelines from internal systems, third\-party APIs, and event streams, including change data capture where required.
* Ensure pipeline resilience through strong handling of data freshness, schema drift, backfills, reprocessing, and failure recovery.
* Integrate data across core operational platforms, including OMS, WMS, TMS, payments, CRM, and marketing systems.
* Partner with application and platform engineers on event design, instrumentation, and data contracts.
**Analytics Engineering \&amp; Business Enablement**
* Build and maintain trusted semantic layers, metrics definitions, and curated data marts for analytics, operations, finance, and executive reporting.
* Define and operationalize canonical KPIs across shipment performance, carrier reliability, exceptions, margins, and customer lifecycle metrics.
* Enable governed self\-service analytics while preserving data accuracy, consistency, and trust.
**Applied Data Science \&amp; Advanced Analytics**
* Develop and productionize analytical models for forecasting, operational optimization, anomaly detection, and customer behavior analysis.
* Design experiments and analyses with clear business impact and measurable ROI, and operationalize outputs into dashboards or workflows.
**Technical Leadership**
* Serve as technical owner for data architecture, tooling selection, and platform standards.
* Mentor engineers and analysts, lead design reviews, and set pragmatic standards balancing speed, reliability, and cost.
* 8\+ years of experience in data engineering, analytics engineering, or applied data science roles, with demonstrated ownership of production data systems.
* Proven experience designing and operating a scalable data warehouse or analytics platform in a production environment.
* Advanced SQL expertise, including query optimization, indexing and partitioning strategies, dimensional modeling, and slowly changing dimensions.
* Strong experience building and maintaining data pipelines using modern data tooling and orchestration frameworks.
* Proficiency in Python or a similar language for data processing, modeling, and automation.
* Experience working with large\-scale, high\-volume operational datasets and managing data quality in real\-world conditions.
* Strong systems thinking and the ability to design for reliability, performance, and cost control.
* Demonstrated ability to translate business problems into effective technical solutions.
* Experience in logistics, e\-commerce, supply chain, fulfillment, or adjacent domains is strongly preferred.</t>
        </is>
      </c>
    </row>
    <row r="64">
      <c r="A64" t="inlineStr">
        <is>
          <t>in-dc22c1999002efff</t>
        </is>
      </c>
      <c r="B64" t="inlineStr">
        <is>
          <t>Data Platform Engineer L3</t>
        </is>
      </c>
      <c r="C64" t="inlineStr">
        <is>
          <t>Wipro</t>
        </is>
      </c>
      <c r="D64" t="inlineStr">
        <is>
          <t>indeed</t>
        </is>
      </c>
      <c r="E64">
        <f>HYPERLINK("https://www.indeed.com/viewjob?jk=dc22c1999002efff", "https://www.indeed.com/viewjob?jk=dc22c1999002efff")</f>
        <v/>
      </c>
      <c r="F64">
        <f>HYPERLINK("https://careers.wipro.com/job/Data-Platform-Engineer-L3/132217-en_US", "https://careers.wipro.com/job/Data-Platform-Engineer-L3/132217-en_US")</f>
        <v/>
      </c>
      <c r="G64" t="inlineStr">
        <is>
          <t>Santa Clara, CA, US</t>
        </is>
      </c>
      <c r="H64" s="3" t="n">
        <v>46055</v>
      </c>
      <c r="I64" t="inlineStr">
        <is>
          <t>Job Description* 
Job Title: Data Platform Engineer L3
City: Santa Clara
State/Province: California
Posting Start Date: 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The purpose of this role is to design, test and maintain software programs for operating systems or applications which needs to be deployed at a client end and ensure its meet 100% quality assurance parameters
**͏**
-----
**Required Skills:**
**Managed File Transfer (MFT)** \- GoAnywhere MFT, Other MFT tools (Control‑M, etc.)
**Workflow Orchestration** \- Apache Airflow, Job scheduling, monitoring, dependencies.
**Cloud Platforms** \- AWS (S3, CloudWatch, Lambda), GCP (GCS, Compute Engine, Cloud Functions)
**Logging \&amp; Monitoring** \- Splunk (must\-have), Reviewing MFT logs / system logs CloudWatch alerts
**Scripting \&amp; Automation** \- Python, Shell / Bash, Automation of pipelines \&amp; processes
**Linux / Unix** \- File systems, Permissions, Troubleshooting skills
**Data Transfer Protocols** \- SFTP / FTP / FTPS, HTTPS, Encryption/Decryption standards, Regex, SMB \&amp; Message Queues
**Operational Excellence** \- Incident management, Ticketing systems, UAT \&amp; Production validation, Creating SOPs \&amp; runbooks.
**Data Workflow Skills** \- File completeness validation, Onboarding new workflows, Hybrid data movement (on‑prem cloud)
**͏**
-----
**Additional Skills** \-
(Strong Differentiators) \- Advanced Splunk (SPL, dashboards), Custom Airflow DAG development, SQL for validation, Cloud automation (Lambda/Cloud Functions).
**Competencies**
----------------
Client Centricity
Passion for Results
Execution Excellence
Collaborative Working
Learning Agility
Problem Solving \&amp; Decision Making
Effective communication
Mandatory Skills: Data Engineering Full Stack .  
Experience: 3\-5 Years .  
The expected compensation for this role ranges from $45,000 to $121,000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65">
      <c r="A65" t="inlineStr">
        <is>
          <t>in-602197f4d2093046</t>
        </is>
      </c>
      <c r="B65" t="inlineStr">
        <is>
          <t>Data Engineer</t>
        </is>
      </c>
      <c r="C65" t="inlineStr">
        <is>
          <t>McAfee</t>
        </is>
      </c>
      <c r="D65" t="inlineStr">
        <is>
          <t>indeed</t>
        </is>
      </c>
      <c r="E65">
        <f>HYPERLINK("https://www.indeed.com/viewjob?jk=602197f4d2093046", "https://www.indeed.com/viewjob?jk=602197f4d2093046")</f>
        <v/>
      </c>
      <c r="F65">
        <f>HYPERLINK("https://careers.mcafee.com/global/en/job/JR0032307/Data-Engineer", "https://careers.mcafee.com/global/en/job/JR0032307/Data-Engineer")</f>
        <v/>
      </c>
      <c r="G65" t="inlineStr">
        <is>
          <t>Frisco, TX, US</t>
        </is>
      </c>
      <c r="H65" s="3" t="n">
        <v>46055</v>
      </c>
      <c r="I65" t="inlineStr">
        <is>
          <t>***Role Overview:***
McAfee is seeking a Data Engineer to transform operational analytics for the consumer protection team and analyze customer and internal data to improve both what our products deliver and how they are delivered. Drive efficiency of the CP organization and enhance effectiveness and reliability of CP products through scalable data pipelines, AI\-powered insights, and real\-time monitoring. Lead proof\-of\-concepts using internal and external data sources to build insights, translate into tools to improvise the solutions and contribute to production solutions for customer\-facing products and internal developer productivity tools.
This is a Hybrid position located in Frisco, TX. You will be required to be on\-site on an as\-needed basis; when you are not working on\-site, you will work from your home office. You must be within commutable distance of Frisco, TX. We are not offering relocation assistance at this time.**About the Role:**
* Design comprehensive data metrics from telemetry and user data for threat analysis and UX optimization
* Design solutions to combine data sources, external and internal to drive enhanced consumer experience
* Ensure data quality, integrity, and security
* Build and automate near real\-time dashboards for product health, system health, security monitoring, and operational issue detection
* Develop scalable ETL pipelines processing large\-volume telemetry across heterogeneous systems
* Create automated data quality validation frameworks
* Drive and optimize data insights and solutions leveraging AI
* Optimize polyglot codebase using AI across Android, iOS, macOS, and Windows
* Ensure seamless AI integration while maintaining platform\-specific performance
* Develop MCP servers for AI model deployment and workflow management
**About You:**
* 5\+ years data engineering, 1\+ years AI/ML experience
* Python proficiency; Flutter/Dart, Swift awareness
* Data engineering: Spark, Kafka, ETL pipelines, data warehousing (Snowflake, BigQuery)
* AI/ML: TensorFlow, PyTorch, scikit\-learn experience
* LLM integration: OpenAI API, Claude API, LangChain
* Cloud platforms: AWS/Azure/GCP with AI/ML services focus
* Databases: SQL/NoSQL (PostgreSQL, MongoDB, Redis)
* Cross\-platform development (Windows, macOS, iOS, Android)
* API development (REST, GraphQL) and real\-time systems
* Cybersecurity understanding and secure data handling
* MLOps and model lifecycle management
* Cybersecurity platform knowledge is a plus
* MCP implementation experience is a plus
* Bachelor's/Master's in Computer Science, Data Science, or equivalent is a plus
\#LI\-Hybrid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66">
      <c r="A66" t="inlineStr">
        <is>
          <t>in-0e2895db10334d4c</t>
        </is>
      </c>
      <c r="B66" t="inlineStr">
        <is>
          <t>Azure Data Engineer - 6106153</t>
        </is>
      </c>
      <c r="C66" t="inlineStr">
        <is>
          <t>Accenture</t>
        </is>
      </c>
      <c r="D66" t="inlineStr">
        <is>
          <t>indeed</t>
        </is>
      </c>
      <c r="E66">
        <f>HYPERLINK("https://www.indeed.com/viewjob?jk=0e2895db10334d4c", "https://www.indeed.com/viewjob?jk=0e2895db10334d4c")</f>
        <v/>
      </c>
      <c r="F66">
        <f>HYPERLINK("https://accenture.com/us-en/careers/jobdetails?id=13996796_en", "https://accenture.com/us-en/careers/jobdetails?id=13996796_en")</f>
        <v/>
      </c>
      <c r="G66" t="inlineStr">
        <is>
          <t>Arlington, VA, US</t>
        </is>
      </c>
      <c r="H66" s="3" t="n">
        <v>46055</v>
      </c>
      <c r="I6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7">
      <c r="A67" t="inlineStr">
        <is>
          <t>in-89b78d180fdae35c</t>
        </is>
      </c>
      <c r="B67" t="inlineStr">
        <is>
          <t>Azure Data Engineer - 6106153</t>
        </is>
      </c>
      <c r="C67" t="inlineStr">
        <is>
          <t>Accenture</t>
        </is>
      </c>
      <c r="D67" t="inlineStr">
        <is>
          <t>indeed</t>
        </is>
      </c>
      <c r="E67">
        <f>HYPERLINK("https://www.indeed.com/viewjob?jk=89b78d180fdae35c", "https://www.indeed.com/viewjob?jk=89b78d180fdae35c")</f>
        <v/>
      </c>
      <c r="F67">
        <f>HYPERLINK("https://accenture.com/us-en/careers/jobdetails?id=13996796_en", "https://accenture.com/us-en/careers/jobdetails?id=13996796_en")</f>
        <v/>
      </c>
      <c r="G67" t="inlineStr">
        <is>
          <t>New York, NY, US</t>
        </is>
      </c>
      <c r="H67" s="3" t="n">
        <v>46055</v>
      </c>
      <c r="I6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8">
      <c r="A68" t="inlineStr">
        <is>
          <t>in-3d2058767d95a39c</t>
        </is>
      </c>
      <c r="B68" t="inlineStr">
        <is>
          <t>Azure Data Engineer - 6106153</t>
        </is>
      </c>
      <c r="C68" t="inlineStr">
        <is>
          <t>Accenture</t>
        </is>
      </c>
      <c r="D68" t="inlineStr">
        <is>
          <t>indeed</t>
        </is>
      </c>
      <c r="E68">
        <f>HYPERLINK("https://www.indeed.com/viewjob?jk=3d2058767d95a39c", "https://www.indeed.com/viewjob?jk=3d2058767d95a39c")</f>
        <v/>
      </c>
      <c r="F68">
        <f>HYPERLINK("https://accenture.com/us-en/careers/jobdetails?id=13996796_en", "https://accenture.com/us-en/careers/jobdetails?id=13996796_en")</f>
        <v/>
      </c>
      <c r="G68" t="inlineStr">
        <is>
          <t>Austin, TX, US</t>
        </is>
      </c>
      <c r="H68" s="3" t="n">
        <v>46055</v>
      </c>
      <c r="I6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9">
      <c r="A69" t="inlineStr">
        <is>
          <t>in-932833f73790fe4d</t>
        </is>
      </c>
      <c r="B69" t="inlineStr">
        <is>
          <t>Azure Data Engineer - 6106153</t>
        </is>
      </c>
      <c r="C69" t="inlineStr">
        <is>
          <t>Accenture</t>
        </is>
      </c>
      <c r="D69" t="inlineStr">
        <is>
          <t>indeed</t>
        </is>
      </c>
      <c r="E69">
        <f>HYPERLINK("https://www.indeed.com/viewjob?jk=932833f73790fe4d", "https://www.indeed.com/viewjob?jk=932833f73790fe4d")</f>
        <v/>
      </c>
      <c r="F69">
        <f>HYPERLINK("https://accenture.com/us-en/careers/jobdetails?id=13996796_en", "https://accenture.com/us-en/careers/jobdetails?id=13996796_en")</f>
        <v/>
      </c>
      <c r="G69" t="inlineStr">
        <is>
          <t>Beaverton, OR, US</t>
        </is>
      </c>
      <c r="H69" s="3" t="n">
        <v>46055</v>
      </c>
      <c r="I6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0">
      <c r="A70" t="inlineStr">
        <is>
          <t>in-0434657a2009f770</t>
        </is>
      </c>
      <c r="B70" t="inlineStr">
        <is>
          <t>Azure Data Engineer - 6106153</t>
        </is>
      </c>
      <c r="C70" t="inlineStr">
        <is>
          <t>Accenture</t>
        </is>
      </c>
      <c r="D70" t="inlineStr">
        <is>
          <t>indeed</t>
        </is>
      </c>
      <c r="E70">
        <f>HYPERLINK("https://www.indeed.com/viewjob?jk=0434657a2009f770", "https://www.indeed.com/viewjob?jk=0434657a2009f770")</f>
        <v/>
      </c>
      <c r="F70">
        <f>HYPERLINK("https://accenture.com/us-en/careers/jobdetails?id=13996796_en", "https://accenture.com/us-en/careers/jobdetails?id=13996796_en")</f>
        <v/>
      </c>
      <c r="G70" t="inlineStr">
        <is>
          <t>Kirkland, WA, US</t>
        </is>
      </c>
      <c r="H70" s="3" t="n">
        <v>46055</v>
      </c>
      <c r="I7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1">
      <c r="A71" t="inlineStr">
        <is>
          <t>in-caf63a5d6f3efc35</t>
        </is>
      </c>
      <c r="B71" t="inlineStr">
        <is>
          <t>Azure Data Engineer - 6106153</t>
        </is>
      </c>
      <c r="C71" t="inlineStr">
        <is>
          <t>Accenture</t>
        </is>
      </c>
      <c r="D71" t="inlineStr">
        <is>
          <t>indeed</t>
        </is>
      </c>
      <c r="E71">
        <f>HYPERLINK("https://www.indeed.com/viewjob?jk=caf63a5d6f3efc35", "https://www.indeed.com/viewjob?jk=caf63a5d6f3efc35")</f>
        <v/>
      </c>
      <c r="F71">
        <f>HYPERLINK("https://accenture.com/us-en/careers/jobdetails?id=13996796_en", "https://accenture.com/us-en/careers/jobdetails?id=13996796_en")</f>
        <v/>
      </c>
      <c r="G71" t="inlineStr">
        <is>
          <t>Seattle, WA, US</t>
        </is>
      </c>
      <c r="H71" s="3" t="n">
        <v>46055</v>
      </c>
      <c r="I7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2">
      <c r="A72" t="inlineStr">
        <is>
          <t>in-502ebe1c5fcf9d16</t>
        </is>
      </c>
      <c r="B72" t="inlineStr">
        <is>
          <t>Azure Data Engineer - 6106153</t>
        </is>
      </c>
      <c r="C72" t="inlineStr">
        <is>
          <t>Accenture</t>
        </is>
      </c>
      <c r="D72" t="inlineStr">
        <is>
          <t>indeed</t>
        </is>
      </c>
      <c r="E72">
        <f>HYPERLINK("https://www.indeed.com/viewjob?jk=502ebe1c5fcf9d16", "https://www.indeed.com/viewjob?jk=502ebe1c5fcf9d16")</f>
        <v/>
      </c>
      <c r="F72">
        <f>HYPERLINK("https://accenture.com/us-en/careers/jobdetails?id=13996796_en", "https://accenture.com/us-en/careers/jobdetails?id=13996796_en")</f>
        <v/>
      </c>
      <c r="G72" t="inlineStr">
        <is>
          <t>Houston, TX, US</t>
        </is>
      </c>
      <c r="H72" s="3" t="n">
        <v>46055</v>
      </c>
      <c r="I7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3">
      <c r="A73" t="inlineStr">
        <is>
          <t>in-72777c43e63fed92</t>
        </is>
      </c>
      <c r="B73" t="inlineStr">
        <is>
          <t>Azure Data Engineer - 6106153</t>
        </is>
      </c>
      <c r="C73" t="inlineStr">
        <is>
          <t>Accenture</t>
        </is>
      </c>
      <c r="D73" t="inlineStr">
        <is>
          <t>indeed</t>
        </is>
      </c>
      <c r="E73">
        <f>HYPERLINK("https://www.indeed.com/viewjob?jk=72777c43e63fed92", "https://www.indeed.com/viewjob?jk=72777c43e63fed92")</f>
        <v/>
      </c>
      <c r="F73">
        <f>HYPERLINK("https://accenture.com/us-en/careers/jobdetails?id=13996796_en", "https://accenture.com/us-en/careers/jobdetails?id=13996796_en")</f>
        <v/>
      </c>
      <c r="G73" t="inlineStr">
        <is>
          <t>Redmond, WA, US</t>
        </is>
      </c>
      <c r="H73" s="3" t="n">
        <v>46055</v>
      </c>
      <c r="I7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4">
      <c r="A74" t="inlineStr">
        <is>
          <t>in-5ebb675dbfbbb775</t>
        </is>
      </c>
      <c r="B74" t="inlineStr">
        <is>
          <t>Azure Data Engineer - 6106153</t>
        </is>
      </c>
      <c r="C74" t="inlineStr">
        <is>
          <t>Accenture</t>
        </is>
      </c>
      <c r="D74" t="inlineStr">
        <is>
          <t>indeed</t>
        </is>
      </c>
      <c r="E74">
        <f>HYPERLINK("https://www.indeed.com/viewjob?jk=5ebb675dbfbbb775", "https://www.indeed.com/viewjob?jk=5ebb675dbfbbb775")</f>
        <v/>
      </c>
      <c r="F74">
        <f>HYPERLINK("https://accenture.com/us-en/careers/jobdetails?id=13996796_en", "https://accenture.com/us-en/careers/jobdetails?id=13996796_en")</f>
        <v/>
      </c>
      <c r="G74" t="inlineStr">
        <is>
          <t>Irving, TX, US</t>
        </is>
      </c>
      <c r="H74" s="3" t="n">
        <v>46055</v>
      </c>
      <c r="I7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5">
      <c r="A75" t="inlineStr">
        <is>
          <t>in-d8d6d4ae9ddbe337</t>
        </is>
      </c>
      <c r="B75" t="inlineStr">
        <is>
          <t>Azure Data Engineer - 6106153</t>
        </is>
      </c>
      <c r="C75" t="inlineStr">
        <is>
          <t>Accenture</t>
        </is>
      </c>
      <c r="D75" t="inlineStr">
        <is>
          <t>indeed</t>
        </is>
      </c>
      <c r="E75">
        <f>HYPERLINK("https://www.indeed.com/viewjob?jk=d8d6d4ae9ddbe337", "https://www.indeed.com/viewjob?jk=d8d6d4ae9ddbe337")</f>
        <v/>
      </c>
      <c r="F75">
        <f>HYPERLINK("https://accenture.com/us-en/careers/jobdetails?id=13996796_en", "https://accenture.com/us-en/careers/jobdetails?id=13996796_en")</f>
        <v/>
      </c>
      <c r="G75" t="inlineStr">
        <is>
          <t>Columbus, OH, US</t>
        </is>
      </c>
      <c r="H75" s="3" t="n">
        <v>46055</v>
      </c>
      <c r="I7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6">
      <c r="A76" t="inlineStr">
        <is>
          <t>in-a8e6c75c549a7f68</t>
        </is>
      </c>
      <c r="B76" t="inlineStr">
        <is>
          <t>Azure Data Engineer - 6106153</t>
        </is>
      </c>
      <c r="C76" t="inlineStr">
        <is>
          <t>Accenture</t>
        </is>
      </c>
      <c r="D76" t="inlineStr">
        <is>
          <t>indeed</t>
        </is>
      </c>
      <c r="E76">
        <f>HYPERLINK("https://www.indeed.com/viewjob?jk=a8e6c75c549a7f68", "https://www.indeed.com/viewjob?jk=a8e6c75c549a7f68")</f>
        <v/>
      </c>
      <c r="F76">
        <f>HYPERLINK("https://accenture.com/us-en/careers/jobdetails?id=13996796_en", "https://accenture.com/us-en/careers/jobdetails?id=13996796_en")</f>
        <v/>
      </c>
      <c r="G76" t="inlineStr">
        <is>
          <t>Philadelphia, PA, US</t>
        </is>
      </c>
      <c r="H76" s="3" t="n">
        <v>46055</v>
      </c>
      <c r="I7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7">
      <c r="A77" t="inlineStr">
        <is>
          <t>in-d273417f34879444</t>
        </is>
      </c>
      <c r="B77" t="inlineStr">
        <is>
          <t>Azure Data Engineer - 6106153</t>
        </is>
      </c>
      <c r="C77" t="inlineStr">
        <is>
          <t>Accenture</t>
        </is>
      </c>
      <c r="D77" t="inlineStr">
        <is>
          <t>indeed</t>
        </is>
      </c>
      <c r="E77">
        <f>HYPERLINK("https://www.indeed.com/viewjob?jk=d273417f34879444", "https://www.indeed.com/viewjob?jk=d273417f34879444")</f>
        <v/>
      </c>
      <c r="F77">
        <f>HYPERLINK("https://accenture.com/us-en/careers/jobdetails?id=13996796_en", "https://accenture.com/us-en/careers/jobdetails?id=13996796_en")</f>
        <v/>
      </c>
      <c r="G77" t="inlineStr">
        <is>
          <t>Milwaukee, WI, US</t>
        </is>
      </c>
      <c r="H77" s="3" t="n">
        <v>46055</v>
      </c>
      <c r="I7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8">
      <c r="A78" t="inlineStr">
        <is>
          <t>in-80709d6fa339f582</t>
        </is>
      </c>
      <c r="B78" t="inlineStr">
        <is>
          <t>Azure Data Engineer - 6106153</t>
        </is>
      </c>
      <c r="C78" t="inlineStr">
        <is>
          <t>Accenture</t>
        </is>
      </c>
      <c r="D78" t="inlineStr">
        <is>
          <t>indeed</t>
        </is>
      </c>
      <c r="E78">
        <f>HYPERLINK("https://www.indeed.com/viewjob?jk=80709d6fa339f582", "https://www.indeed.com/viewjob?jk=80709d6fa339f582")</f>
        <v/>
      </c>
      <c r="F78">
        <f>HYPERLINK("https://accenture.com/us-en/careers/jobdetails?id=13996796_en", "https://accenture.com/us-en/careers/jobdetails?id=13996796_en")</f>
        <v/>
      </c>
      <c r="G78" t="inlineStr">
        <is>
          <t>Cleveland, OH, US</t>
        </is>
      </c>
      <c r="H78" s="3" t="n">
        <v>46055</v>
      </c>
      <c r="I7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9">
      <c r="A79" t="inlineStr">
        <is>
          <t>in-2058ab3ecaebdc34</t>
        </is>
      </c>
      <c r="B79" t="inlineStr">
        <is>
          <t>Azure Data Engineer - 6106153</t>
        </is>
      </c>
      <c r="C79" t="inlineStr">
        <is>
          <t>Accenture</t>
        </is>
      </c>
      <c r="D79" t="inlineStr">
        <is>
          <t>indeed</t>
        </is>
      </c>
      <c r="E79">
        <f>HYPERLINK("https://www.indeed.com/viewjob?jk=2058ab3ecaebdc34", "https://www.indeed.com/viewjob?jk=2058ab3ecaebdc34")</f>
        <v/>
      </c>
      <c r="F79">
        <f>HYPERLINK("https://accenture.com/us-en/careers/jobdetails?id=13996796_en", "https://accenture.com/us-en/careers/jobdetails?id=13996796_en")</f>
        <v/>
      </c>
      <c r="G79" t="inlineStr">
        <is>
          <t>Pittsburgh, PA, US</t>
        </is>
      </c>
      <c r="H79" s="3" t="n">
        <v>46055</v>
      </c>
      <c r="I7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0">
      <c r="A80" t="inlineStr">
        <is>
          <t>in-a6e863e08844f2e0</t>
        </is>
      </c>
      <c r="B80" t="inlineStr">
        <is>
          <t>Azure Data Engineer - 6106153</t>
        </is>
      </c>
      <c r="C80" t="inlineStr">
        <is>
          <t>Accenture</t>
        </is>
      </c>
      <c r="D80" t="inlineStr">
        <is>
          <t>indeed</t>
        </is>
      </c>
      <c r="E80">
        <f>HYPERLINK("https://www.indeed.com/viewjob?jk=a6e863e08844f2e0", "https://www.indeed.com/viewjob?jk=a6e863e08844f2e0")</f>
        <v/>
      </c>
      <c r="F80">
        <f>HYPERLINK("https://accenture.com/us-en/careers/jobdetails?id=13996796_en", "https://accenture.com/us-en/careers/jobdetails?id=13996796_en")</f>
        <v/>
      </c>
      <c r="G80" t="inlineStr">
        <is>
          <t>Nashville, TN, US</t>
        </is>
      </c>
      <c r="H80" s="3" t="n">
        <v>46055</v>
      </c>
      <c r="I8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1">
      <c r="A81" t="inlineStr">
        <is>
          <t>in-cf6212c9bb1e43b1</t>
        </is>
      </c>
      <c r="B81" t="inlineStr">
        <is>
          <t>Azure Data Engineer - 6106153</t>
        </is>
      </c>
      <c r="C81" t="inlineStr">
        <is>
          <t>Accenture</t>
        </is>
      </c>
      <c r="D81" t="inlineStr">
        <is>
          <t>indeed</t>
        </is>
      </c>
      <c r="E81">
        <f>HYPERLINK("https://www.indeed.com/viewjob?jk=cf6212c9bb1e43b1", "https://www.indeed.com/viewjob?jk=cf6212c9bb1e43b1")</f>
        <v/>
      </c>
      <c r="F81">
        <f>HYPERLINK("https://accenture.com/us-en/careers/jobdetails?id=13996796_en", "https://accenture.com/us-en/careers/jobdetails?id=13996796_en")</f>
        <v/>
      </c>
      <c r="G81" t="inlineStr">
        <is>
          <t>Morristown, NJ, US</t>
        </is>
      </c>
      <c r="H81" s="3" t="n">
        <v>46055</v>
      </c>
      <c r="I8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2">
      <c r="A82" t="inlineStr">
        <is>
          <t>in-d9e98f417c5c52fc</t>
        </is>
      </c>
      <c r="B82" t="inlineStr">
        <is>
          <t>Azure Data Engineer - 6106153</t>
        </is>
      </c>
      <c r="C82" t="inlineStr">
        <is>
          <t>Accenture</t>
        </is>
      </c>
      <c r="D82" t="inlineStr">
        <is>
          <t>indeed</t>
        </is>
      </c>
      <c r="E82">
        <f>HYPERLINK("https://www.indeed.com/viewjob?jk=d9e98f417c5c52fc", "https://www.indeed.com/viewjob?jk=d9e98f417c5c52fc")</f>
        <v/>
      </c>
      <c r="F82">
        <f>HYPERLINK("https://accenture.com/us-en/careers/jobdetails?id=13996796_en", "https://accenture.com/us-en/careers/jobdetails?id=13996796_en")</f>
        <v/>
      </c>
      <c r="G82" t="inlineStr">
        <is>
          <t>Overland Park, KS, US</t>
        </is>
      </c>
      <c r="H82" s="3" t="n">
        <v>46055</v>
      </c>
      <c r="I8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3">
      <c r="A83" t="inlineStr">
        <is>
          <t>in-b6db5f7f8ab8b457</t>
        </is>
      </c>
      <c r="B83" t="inlineStr">
        <is>
          <t>Azure Data Engineer - 6106153</t>
        </is>
      </c>
      <c r="C83" t="inlineStr">
        <is>
          <t>Accenture</t>
        </is>
      </c>
      <c r="D83" t="inlineStr">
        <is>
          <t>indeed</t>
        </is>
      </c>
      <c r="E83">
        <f>HYPERLINK("https://www.indeed.com/viewjob?jk=b6db5f7f8ab8b457", "https://www.indeed.com/viewjob?jk=b6db5f7f8ab8b457")</f>
        <v/>
      </c>
      <c r="F83">
        <f>HYPERLINK("https://accenture.com/us-en/careers/jobdetails?id=13996796_en", "https://accenture.com/us-en/careers/jobdetails?id=13996796_en")</f>
        <v/>
      </c>
      <c r="G83" t="inlineStr">
        <is>
          <t>Cincinnati, OH, US</t>
        </is>
      </c>
      <c r="H83" s="3" t="n">
        <v>46055</v>
      </c>
      <c r="I8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4">
      <c r="A84" t="inlineStr">
        <is>
          <t>in-8d22d5de4f460675</t>
        </is>
      </c>
      <c r="B84" t="inlineStr">
        <is>
          <t>Azure Data Engineer - 6106153</t>
        </is>
      </c>
      <c r="C84" t="inlineStr">
        <is>
          <t>Accenture</t>
        </is>
      </c>
      <c r="D84" t="inlineStr">
        <is>
          <t>indeed</t>
        </is>
      </c>
      <c r="E84">
        <f>HYPERLINK("https://www.indeed.com/viewjob?jk=8d22d5de4f460675", "https://www.indeed.com/viewjob?jk=8d22d5de4f460675")</f>
        <v/>
      </c>
      <c r="F84">
        <f>HYPERLINK("https://accenture.com/us-en/careers/jobdetails?id=13996796_en", "https://accenture.com/us-en/careers/jobdetails?id=13996796_en")</f>
        <v/>
      </c>
      <c r="G84" t="inlineStr">
        <is>
          <t>Boston, MA, US</t>
        </is>
      </c>
      <c r="H84" s="3" t="n">
        <v>46055</v>
      </c>
      <c r="I8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5">
      <c r="A85" t="inlineStr">
        <is>
          <t>in-6b7cf28374842d69</t>
        </is>
      </c>
      <c r="B85" t="inlineStr">
        <is>
          <t>Azure Data Engineer - 6106153</t>
        </is>
      </c>
      <c r="C85" t="inlineStr">
        <is>
          <t>Accenture</t>
        </is>
      </c>
      <c r="D85" t="inlineStr">
        <is>
          <t>indeed</t>
        </is>
      </c>
      <c r="E85">
        <f>HYPERLINK("https://www.indeed.com/viewjob?jk=6b7cf28374842d69", "https://www.indeed.com/viewjob?jk=6b7cf28374842d69")</f>
        <v/>
      </c>
      <c r="F85">
        <f>HYPERLINK("https://accenture.com/us-en/careers/jobdetails?id=13996796_en", "https://accenture.com/us-en/careers/jobdetails?id=13996796_en")</f>
        <v/>
      </c>
      <c r="G85" t="inlineStr">
        <is>
          <t>Charlotte, NC, US</t>
        </is>
      </c>
      <c r="H85" s="3" t="n">
        <v>46055</v>
      </c>
      <c r="I8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6">
      <c r="A86" t="inlineStr">
        <is>
          <t>in-9fe6e184f009ba24</t>
        </is>
      </c>
      <c r="B86" t="inlineStr">
        <is>
          <t>Azure Data Engineer - 6106153</t>
        </is>
      </c>
      <c r="C86" t="inlineStr">
        <is>
          <t>Accenture</t>
        </is>
      </c>
      <c r="D86" t="inlineStr">
        <is>
          <t>indeed</t>
        </is>
      </c>
      <c r="E86">
        <f>HYPERLINK("https://www.indeed.com/viewjob?jk=9fe6e184f009ba24", "https://www.indeed.com/viewjob?jk=9fe6e184f009ba24")</f>
        <v/>
      </c>
      <c r="F86">
        <f>HYPERLINK("https://accenture.com/us-en/careers/jobdetails?id=13996796_en", "https://accenture.com/us-en/careers/jobdetails?id=13996796_en")</f>
        <v/>
      </c>
      <c r="G86" t="inlineStr">
        <is>
          <t>Raleigh, NC, US</t>
        </is>
      </c>
      <c r="H86" s="3" t="n">
        <v>46055</v>
      </c>
      <c r="I8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7">
      <c r="A87" t="inlineStr">
        <is>
          <t>in-563c3bca7561f476</t>
        </is>
      </c>
      <c r="B87" t="inlineStr">
        <is>
          <t>Azure Data Engineer - 6106153</t>
        </is>
      </c>
      <c r="C87" t="inlineStr">
        <is>
          <t>Accenture</t>
        </is>
      </c>
      <c r="D87" t="inlineStr">
        <is>
          <t>indeed</t>
        </is>
      </c>
      <c r="E87">
        <f>HYPERLINK("https://www.indeed.com/viewjob?jk=563c3bca7561f476", "https://www.indeed.com/viewjob?jk=563c3bca7561f476")</f>
        <v/>
      </c>
      <c r="F87">
        <f>HYPERLINK("https://accenture.com/us-en/careers/jobdetails?id=13996796_en", "https://accenture.com/us-en/careers/jobdetails?id=13996796_en")</f>
        <v/>
      </c>
      <c r="G87" t="inlineStr">
        <is>
          <t>Des Moines, IA, US</t>
        </is>
      </c>
      <c r="H87" s="3" t="n">
        <v>46055</v>
      </c>
      <c r="I8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8">
      <c r="A88" t="inlineStr">
        <is>
          <t>in-bd466efcb3117cd1</t>
        </is>
      </c>
      <c r="B88" t="inlineStr">
        <is>
          <t>Azure Data Engineer - 6106153</t>
        </is>
      </c>
      <c r="C88" t="inlineStr">
        <is>
          <t>Accenture</t>
        </is>
      </c>
      <c r="D88" t="inlineStr">
        <is>
          <t>indeed</t>
        </is>
      </c>
      <c r="E88">
        <f>HYPERLINK("https://www.indeed.com/viewjob?jk=bd466efcb3117cd1", "https://www.indeed.com/viewjob?jk=bd466efcb3117cd1")</f>
        <v/>
      </c>
      <c r="F88">
        <f>HYPERLINK("https://accenture.com/us-en/careers/jobdetails?id=13996796_en", "https://accenture.com/us-en/careers/jobdetails?id=13996796_en")</f>
        <v/>
      </c>
      <c r="G88" t="inlineStr">
        <is>
          <t>Albany, NY, US</t>
        </is>
      </c>
      <c r="H88" s="3" t="n">
        <v>46055</v>
      </c>
      <c r="I8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9">
      <c r="A89" t="inlineStr">
        <is>
          <t>in-b36f6f2759a81dca</t>
        </is>
      </c>
      <c r="B89" t="inlineStr">
        <is>
          <t>Azure Data Engineer - 6106153</t>
        </is>
      </c>
      <c r="C89" t="inlineStr">
        <is>
          <t>Accenture</t>
        </is>
      </c>
      <c r="D89" t="inlineStr">
        <is>
          <t>indeed</t>
        </is>
      </c>
      <c r="E89">
        <f>HYPERLINK("https://www.indeed.com/viewjob?jk=b36f6f2759a81dca", "https://www.indeed.com/viewjob?jk=b36f6f2759a81dca")</f>
        <v/>
      </c>
      <c r="F89">
        <f>HYPERLINK("https://accenture.com/us-en/careers/jobdetails?id=13996796_en", "https://accenture.com/us-en/careers/jobdetails?id=13996796_en")</f>
        <v/>
      </c>
      <c r="G89" t="inlineStr">
        <is>
          <t>Oklahoma City, OK, US</t>
        </is>
      </c>
      <c r="H89" s="3" t="n">
        <v>46055</v>
      </c>
      <c r="I8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0">
      <c r="A90" t="inlineStr">
        <is>
          <t>in-3bda1450312d6f1d</t>
        </is>
      </c>
      <c r="B90" t="inlineStr">
        <is>
          <t>Azure Data Engineer - 6106153</t>
        </is>
      </c>
      <c r="C90" t="inlineStr">
        <is>
          <t>Accenture</t>
        </is>
      </c>
      <c r="D90" t="inlineStr">
        <is>
          <t>indeed</t>
        </is>
      </c>
      <c r="E90">
        <f>HYPERLINK("https://www.indeed.com/viewjob?jk=3bda1450312d6f1d", "https://www.indeed.com/viewjob?jk=3bda1450312d6f1d")</f>
        <v/>
      </c>
      <c r="F90">
        <f>HYPERLINK("https://accenture.com/us-en/careers/jobdetails?id=13996796_en", "https://accenture.com/us-en/careers/jobdetails?id=13996796_en")</f>
        <v/>
      </c>
      <c r="G90" t="inlineStr">
        <is>
          <t>Minneapolis, MN, US</t>
        </is>
      </c>
      <c r="H90" s="3" t="n">
        <v>46055</v>
      </c>
      <c r="I9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1">
      <c r="A91" t="inlineStr">
        <is>
          <t>in-8584926bb8bea853</t>
        </is>
      </c>
      <c r="B91" t="inlineStr">
        <is>
          <t>Azure Data Engineer - 6106153</t>
        </is>
      </c>
      <c r="C91" t="inlineStr">
        <is>
          <t>Accenture</t>
        </is>
      </c>
      <c r="D91" t="inlineStr">
        <is>
          <t>indeed</t>
        </is>
      </c>
      <c r="E91">
        <f>HYPERLINK("https://www.indeed.com/viewjob?jk=8584926bb8bea853", "https://www.indeed.com/viewjob?jk=8584926bb8bea853")</f>
        <v/>
      </c>
      <c r="F91">
        <f>HYPERLINK("https://accenture.com/us-en/careers/jobdetails?id=13996796_en", "https://accenture.com/us-en/careers/jobdetails?id=13996796_en")</f>
        <v/>
      </c>
      <c r="G91" t="inlineStr">
        <is>
          <t>Carmel, IN, US</t>
        </is>
      </c>
      <c r="H91" s="3" t="n">
        <v>46055</v>
      </c>
      <c r="I9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2">
      <c r="A92" t="inlineStr">
        <is>
          <t>in-c33b48a1445de1eb</t>
        </is>
      </c>
      <c r="B92" t="inlineStr">
        <is>
          <t>Azure Data Engineer - 6106153</t>
        </is>
      </c>
      <c r="C92" t="inlineStr">
        <is>
          <t>Accenture</t>
        </is>
      </c>
      <c r="D92" t="inlineStr">
        <is>
          <t>indeed</t>
        </is>
      </c>
      <c r="E92">
        <f>HYPERLINK("https://www.indeed.com/viewjob?jk=c33b48a1445de1eb", "https://www.indeed.com/viewjob?jk=c33b48a1445de1eb")</f>
        <v/>
      </c>
      <c r="F92">
        <f>HYPERLINK("https://accenture.com/us-en/careers/jobdetails?id=13996796_en", "https://accenture.com/us-en/careers/jobdetails?id=13996796_en")</f>
        <v/>
      </c>
      <c r="G92" t="inlineStr">
        <is>
          <t>St. Louis, MO, US</t>
        </is>
      </c>
      <c r="H92" s="3" t="n">
        <v>46055</v>
      </c>
      <c r="I9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3">
      <c r="A93" t="inlineStr">
        <is>
          <t>in-ebf2bd61442b8bf6</t>
        </is>
      </c>
      <c r="B93" t="inlineStr">
        <is>
          <t>Azure Data Engineer - 6106153</t>
        </is>
      </c>
      <c r="C93" t="inlineStr">
        <is>
          <t>Accenture</t>
        </is>
      </c>
      <c r="D93" t="inlineStr">
        <is>
          <t>indeed</t>
        </is>
      </c>
      <c r="E93">
        <f>HYPERLINK("https://www.indeed.com/viewjob?jk=ebf2bd61442b8bf6", "https://www.indeed.com/viewjob?jk=ebf2bd61442b8bf6")</f>
        <v/>
      </c>
      <c r="F93">
        <f>HYPERLINK("https://accenture.com/us-en/careers/jobdetails?id=13996796_en", "https://accenture.com/us-en/careers/jobdetails?id=13996796_en")</f>
        <v/>
      </c>
      <c r="G93" t="inlineStr">
        <is>
          <t>Detroit, MI, US</t>
        </is>
      </c>
      <c r="H93" s="3" t="n">
        <v>46055</v>
      </c>
      <c r="I9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4">
      <c r="A94" t="inlineStr">
        <is>
          <t>in-e91a1b753407743e</t>
        </is>
      </c>
      <c r="B94" t="inlineStr">
        <is>
          <t>Azure Data Engineer - 6106153</t>
        </is>
      </c>
      <c r="C94" t="inlineStr">
        <is>
          <t>Accenture</t>
        </is>
      </c>
      <c r="D94" t="inlineStr">
        <is>
          <t>indeed</t>
        </is>
      </c>
      <c r="E94">
        <f>HYPERLINK("https://www.indeed.com/viewjob?jk=e91a1b753407743e", "https://www.indeed.com/viewjob?jk=e91a1b753407743e")</f>
        <v/>
      </c>
      <c r="F94">
        <f>HYPERLINK("https://accenture.com/us-en/careers/jobdetails?id=13996796_en", "https://accenture.com/us-en/careers/jobdetails?id=13996796_en")</f>
        <v/>
      </c>
      <c r="G94" t="inlineStr">
        <is>
          <t>Sacramento, CA, US</t>
        </is>
      </c>
      <c r="H94" s="3" t="n">
        <v>46055</v>
      </c>
      <c r="I9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5">
      <c r="A95" t="inlineStr">
        <is>
          <t>in-6347f87b9cde7961</t>
        </is>
      </c>
      <c r="B95" t="inlineStr">
        <is>
          <t>Azure Data Engineer - 6106153</t>
        </is>
      </c>
      <c r="C95" t="inlineStr">
        <is>
          <t>Accenture</t>
        </is>
      </c>
      <c r="D95" t="inlineStr">
        <is>
          <t>indeed</t>
        </is>
      </c>
      <c r="E95">
        <f>HYPERLINK("https://www.indeed.com/viewjob?jk=6347f87b9cde7961", "https://www.indeed.com/viewjob?jk=6347f87b9cde7961")</f>
        <v/>
      </c>
      <c r="F95">
        <f>HYPERLINK("https://accenture.com/us-en/careers/jobdetails?id=13996796_en", "https://accenture.com/us-en/careers/jobdetails?id=13996796_en")</f>
        <v/>
      </c>
      <c r="G95" t="inlineStr">
        <is>
          <t>Chicago, IL, US</t>
        </is>
      </c>
      <c r="H95" s="3" t="n">
        <v>46055</v>
      </c>
      <c r="I9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6">
      <c r="A96" t="inlineStr">
        <is>
          <t>in-4f3941427d4e57fb</t>
        </is>
      </c>
      <c r="B96" t="inlineStr">
        <is>
          <t>Azure Data Engineer - 6106153</t>
        </is>
      </c>
      <c r="C96" t="inlineStr">
        <is>
          <t>Accenture</t>
        </is>
      </c>
      <c r="D96" t="inlineStr">
        <is>
          <t>indeed</t>
        </is>
      </c>
      <c r="E96">
        <f>HYPERLINK("https://www.indeed.com/viewjob?jk=4f3941427d4e57fb", "https://www.indeed.com/viewjob?jk=4f3941427d4e57fb")</f>
        <v/>
      </c>
      <c r="F96">
        <f>HYPERLINK("https://accenture.com/us-en/careers/jobdetails?id=13996796_en", "https://accenture.com/us-en/careers/jobdetails?id=13996796_en")</f>
        <v/>
      </c>
      <c r="G96" t="inlineStr">
        <is>
          <t>Atlanta, GA, US</t>
        </is>
      </c>
      <c r="H96" s="3" t="n">
        <v>46055</v>
      </c>
      <c r="I9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7">
      <c r="A97" t="inlineStr">
        <is>
          <t>in-15b72bfd65a95449</t>
        </is>
      </c>
      <c r="B97" t="inlineStr">
        <is>
          <t>Azure Data Engineer - 6106153</t>
        </is>
      </c>
      <c r="C97" t="inlineStr">
        <is>
          <t>Accenture</t>
        </is>
      </c>
      <c r="D97" t="inlineStr">
        <is>
          <t>indeed</t>
        </is>
      </c>
      <c r="E97">
        <f>HYPERLINK("https://www.indeed.com/viewjob?jk=15b72bfd65a95449", "https://www.indeed.com/viewjob?jk=15b72bfd65a95449")</f>
        <v/>
      </c>
      <c r="F97">
        <f>HYPERLINK("https://accenture.com/us-en/careers/jobdetails?id=13996796_en", "https://accenture.com/us-en/careers/jobdetails?id=13996796_en")</f>
        <v/>
      </c>
      <c r="G97" t="inlineStr">
        <is>
          <t>Miami, FL, US</t>
        </is>
      </c>
      <c r="H97" s="3" t="n">
        <v>46055</v>
      </c>
      <c r="I9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8">
      <c r="A98" t="inlineStr">
        <is>
          <t>in-7cb426fd8b159a54</t>
        </is>
      </c>
      <c r="B98" t="inlineStr">
        <is>
          <t>Azure Data Engineer - 6106153</t>
        </is>
      </c>
      <c r="C98" t="inlineStr">
        <is>
          <t>Accenture</t>
        </is>
      </c>
      <c r="D98" t="inlineStr">
        <is>
          <t>indeed</t>
        </is>
      </c>
      <c r="E98">
        <f>HYPERLINK("https://www.indeed.com/viewjob?jk=7cb426fd8b159a54", "https://www.indeed.com/viewjob?jk=7cb426fd8b159a54")</f>
        <v/>
      </c>
      <c r="F98">
        <f>HYPERLINK("https://accenture.com/us-en/careers/jobdetails?id=13996796_en", "https://accenture.com/us-en/careers/jobdetails?id=13996796_en")</f>
        <v/>
      </c>
      <c r="G98" t="inlineStr">
        <is>
          <t>Saint Petersburg, FL, US</t>
        </is>
      </c>
      <c r="H98" s="3" t="n">
        <v>46055</v>
      </c>
      <c r="I9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9">
      <c r="A99" t="inlineStr">
        <is>
          <t>in-034f9fe3b3b120e4</t>
        </is>
      </c>
      <c r="B99" t="inlineStr">
        <is>
          <t>Azure Data Engineer - 6106153</t>
        </is>
      </c>
      <c r="C99" t="inlineStr">
        <is>
          <t>Accenture</t>
        </is>
      </c>
      <c r="D99" t="inlineStr">
        <is>
          <t>indeed</t>
        </is>
      </c>
      <c r="E99">
        <f>HYPERLINK("https://www.indeed.com/viewjob?jk=034f9fe3b3b120e4", "https://www.indeed.com/viewjob?jk=034f9fe3b3b120e4")</f>
        <v/>
      </c>
      <c r="F99">
        <f>HYPERLINK("https://accenture.com/us-en/careers/jobdetails?id=13996796_en", "https://accenture.com/us-en/careers/jobdetails?id=13996796_en")</f>
        <v/>
      </c>
      <c r="G99" t="inlineStr">
        <is>
          <t>Mountain View, CA, US</t>
        </is>
      </c>
      <c r="H99" s="3" t="n">
        <v>46055</v>
      </c>
      <c r="I9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0">
      <c r="A100" t="inlineStr">
        <is>
          <t>in-80b0d636ecc89c9f</t>
        </is>
      </c>
      <c r="B100" t="inlineStr">
        <is>
          <t>Azure Data Engineer - 6106153</t>
        </is>
      </c>
      <c r="C100" t="inlineStr">
        <is>
          <t>Accenture</t>
        </is>
      </c>
      <c r="D100" t="inlineStr">
        <is>
          <t>indeed</t>
        </is>
      </c>
      <c r="E100">
        <f>HYPERLINK("https://www.indeed.com/viewjob?jk=80b0d636ecc89c9f", "https://www.indeed.com/viewjob?jk=80b0d636ecc89c9f")</f>
        <v/>
      </c>
      <c r="F100">
        <f>HYPERLINK("https://accenture.com/us-en/careers/jobdetails?id=13996796_en", "https://accenture.com/us-en/careers/jobdetails?id=13996796_en")</f>
        <v/>
      </c>
      <c r="G100" t="inlineStr">
        <is>
          <t>San Diego, CA, US</t>
        </is>
      </c>
      <c r="H100" s="3" t="n">
        <v>46055</v>
      </c>
      <c r="I10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1">
      <c r="A101" t="inlineStr">
        <is>
          <t>in-d13615a9177b13a1</t>
        </is>
      </c>
      <c r="B101" t="inlineStr">
        <is>
          <t>Azure Data Engineer - 6106153</t>
        </is>
      </c>
      <c r="C101" t="inlineStr">
        <is>
          <t>Accenture</t>
        </is>
      </c>
      <c r="D101" t="inlineStr">
        <is>
          <t>indeed</t>
        </is>
      </c>
      <c r="E101">
        <f>HYPERLINK("https://www.indeed.com/viewjob?jk=d13615a9177b13a1", "https://www.indeed.com/viewjob?jk=d13615a9177b13a1")</f>
        <v/>
      </c>
      <c r="F101">
        <f>HYPERLINK("https://accenture.com/us-en/careers/jobdetails?id=13996796_en", "https://accenture.com/us-en/careers/jobdetails?id=13996796_en")</f>
        <v/>
      </c>
      <c r="G101" t="inlineStr">
        <is>
          <t>Walnut Creek, CA, US</t>
        </is>
      </c>
      <c r="H101" s="3" t="n">
        <v>46055</v>
      </c>
      <c r="I10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2">
      <c r="A102" t="inlineStr">
        <is>
          <t>in-a1b48657ed248468</t>
        </is>
      </c>
      <c r="B102" t="inlineStr">
        <is>
          <t>Azure Data Engineer - 6106153</t>
        </is>
      </c>
      <c r="C102" t="inlineStr">
        <is>
          <t>Accenture</t>
        </is>
      </c>
      <c r="D102" t="inlineStr">
        <is>
          <t>indeed</t>
        </is>
      </c>
      <c r="E102">
        <f>HYPERLINK("https://www.indeed.com/viewjob?jk=a1b48657ed248468", "https://www.indeed.com/viewjob?jk=a1b48657ed248468")</f>
        <v/>
      </c>
      <c r="F102">
        <f>HYPERLINK("https://accenture.com/us-en/careers/jobdetails?id=13996796_en", "https://accenture.com/us-en/careers/jobdetails?id=13996796_en")</f>
        <v/>
      </c>
      <c r="G102" t="inlineStr">
        <is>
          <t>San Francisco, CA, US</t>
        </is>
      </c>
      <c r="H102" s="3" t="n">
        <v>46055</v>
      </c>
      <c r="I10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3">
      <c r="A103" t="inlineStr">
        <is>
          <t>in-bd8efffe78e03a57</t>
        </is>
      </c>
      <c r="B103" t="inlineStr">
        <is>
          <t>Azure Data Engineer - 6106153</t>
        </is>
      </c>
      <c r="C103" t="inlineStr">
        <is>
          <t>Accenture</t>
        </is>
      </c>
      <c r="D103" t="inlineStr">
        <is>
          <t>indeed</t>
        </is>
      </c>
      <c r="E103">
        <f>HYPERLINK("https://www.indeed.com/viewjob?jk=bd8efffe78e03a57", "https://www.indeed.com/viewjob?jk=bd8efffe78e03a57")</f>
        <v/>
      </c>
      <c r="F103">
        <f>HYPERLINK("https://accenture.com/us-en/careers/jobdetails?id=13996796_en", "https://accenture.com/us-en/careers/jobdetails?id=13996796_en")</f>
        <v/>
      </c>
      <c r="G103" t="inlineStr">
        <is>
          <t>Los Angeles, CA, US</t>
        </is>
      </c>
      <c r="H103" s="3" t="n">
        <v>46055</v>
      </c>
      <c r="I10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4">
      <c r="A104" t="inlineStr">
        <is>
          <t>in-1dd847da70dd4c63</t>
        </is>
      </c>
      <c r="B104" t="inlineStr">
        <is>
          <t>Azure Data Engineer - 6106153</t>
        </is>
      </c>
      <c r="C104" t="inlineStr">
        <is>
          <t>Accenture</t>
        </is>
      </c>
      <c r="D104" t="inlineStr">
        <is>
          <t>indeed</t>
        </is>
      </c>
      <c r="E104">
        <f>HYPERLINK("https://www.indeed.com/viewjob?jk=1dd847da70dd4c63", "https://www.indeed.com/viewjob?jk=1dd847da70dd4c63")</f>
        <v/>
      </c>
      <c r="F104">
        <f>HYPERLINK("https://accenture.com/us-en/careers/jobdetails?id=13996796_en", "https://accenture.com/us-en/careers/jobdetails?id=13996796_en")</f>
        <v/>
      </c>
      <c r="G104" t="inlineStr">
        <is>
          <t>Culver City, CA, US</t>
        </is>
      </c>
      <c r="H104" s="3" t="n">
        <v>46055</v>
      </c>
      <c r="I10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5">
      <c r="A105" t="inlineStr">
        <is>
          <t>in-d18e6bdd3cdfa6fb</t>
        </is>
      </c>
      <c r="B105" t="inlineStr">
        <is>
          <t>Azure Data Engineer - 6106153</t>
        </is>
      </c>
      <c r="C105" t="inlineStr">
        <is>
          <t>Accenture</t>
        </is>
      </c>
      <c r="D105" t="inlineStr">
        <is>
          <t>indeed</t>
        </is>
      </c>
      <c r="E105">
        <f>HYPERLINK("https://www.indeed.com/viewjob?jk=d18e6bdd3cdfa6fb", "https://www.indeed.com/viewjob?jk=d18e6bdd3cdfa6fb")</f>
        <v/>
      </c>
      <c r="F105">
        <f>HYPERLINK("https://accenture.com/us-en/careers/jobdetails?id=13996796_en", "https://accenture.com/us-en/careers/jobdetails?id=13996796_en")</f>
        <v/>
      </c>
      <c r="G105" t="inlineStr">
        <is>
          <t>Denver, CO, US</t>
        </is>
      </c>
      <c r="H105" s="3" t="n">
        <v>46055</v>
      </c>
      <c r="I10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6">
      <c r="A106" t="inlineStr">
        <is>
          <t>in-47b390e6cdf75db2</t>
        </is>
      </c>
      <c r="B106" t="inlineStr">
        <is>
          <t>Azure Data Engineer - 6106153</t>
        </is>
      </c>
      <c r="C106" t="inlineStr">
        <is>
          <t>Accenture</t>
        </is>
      </c>
      <c r="D106" t="inlineStr">
        <is>
          <t>indeed</t>
        </is>
      </c>
      <c r="E106">
        <f>HYPERLINK("https://www.indeed.com/viewjob?jk=47b390e6cdf75db2", "https://www.indeed.com/viewjob?jk=47b390e6cdf75db2")</f>
        <v/>
      </c>
      <c r="F106">
        <f>HYPERLINK("https://accenture.com/us-en/careers/jobdetails?id=13996796_en", "https://accenture.com/us-en/careers/jobdetails?id=13996796_en")</f>
        <v/>
      </c>
      <c r="G106" t="inlineStr">
        <is>
          <t>Hartford, CT, US</t>
        </is>
      </c>
      <c r="H106" s="3" t="n">
        <v>46055</v>
      </c>
      <c r="I10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7">
      <c r="A107" t="inlineStr">
        <is>
          <t>in-261a7980673fc580</t>
        </is>
      </c>
      <c r="B107" t="inlineStr">
        <is>
          <t>Azure Data Engineer - 6106153</t>
        </is>
      </c>
      <c r="C107" t="inlineStr">
        <is>
          <t>Accenture</t>
        </is>
      </c>
      <c r="D107" t="inlineStr">
        <is>
          <t>indeed</t>
        </is>
      </c>
      <c r="E107">
        <f>HYPERLINK("https://www.indeed.com/viewjob?jk=261a7980673fc580", "https://www.indeed.com/viewjob?jk=261a7980673fc580")</f>
        <v/>
      </c>
      <c r="F107">
        <f>HYPERLINK("https://accenture.com/us-en/careers/jobdetails?id=13996796_en", "https://accenture.com/us-en/careers/jobdetails?id=13996796_en")</f>
        <v/>
      </c>
      <c r="G107" t="inlineStr">
        <is>
          <t>Bentonville, AR, US</t>
        </is>
      </c>
      <c r="H107" s="3" t="n">
        <v>46055</v>
      </c>
      <c r="I10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8">
      <c r="A108" t="inlineStr">
        <is>
          <t>in-ca58b3528a592704</t>
        </is>
      </c>
      <c r="B108" t="inlineStr">
        <is>
          <t>Azure Data Engineer - 6106153</t>
        </is>
      </c>
      <c r="C108" t="inlineStr">
        <is>
          <t>Accenture</t>
        </is>
      </c>
      <c r="D108" t="inlineStr">
        <is>
          <t>indeed</t>
        </is>
      </c>
      <c r="E108">
        <f>HYPERLINK("https://www.indeed.com/viewjob?jk=ca58b3528a592704", "https://www.indeed.com/viewjob?jk=ca58b3528a592704")</f>
        <v/>
      </c>
      <c r="F108">
        <f>HYPERLINK("https://accenture.com/us-en/careers/jobdetails?id=13996796_en", "https://accenture.com/us-en/careers/jobdetails?id=13996796_en")</f>
        <v/>
      </c>
      <c r="G108" t="inlineStr">
        <is>
          <t>Scottsdale, AZ, US</t>
        </is>
      </c>
      <c r="H108" s="3" t="n">
        <v>46055</v>
      </c>
      <c r="I10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9">
      <c r="A109" t="inlineStr">
        <is>
          <t>in-fac95328cb4842c4</t>
        </is>
      </c>
      <c r="B109" t="inlineStr">
        <is>
          <t>Lead Data Engineer</t>
        </is>
      </c>
      <c r="C109" t="inlineStr">
        <is>
          <t>Adobe</t>
        </is>
      </c>
      <c r="D109" t="inlineStr">
        <is>
          <t>indeed</t>
        </is>
      </c>
      <c r="E109">
        <f>HYPERLINK("https://www.indeed.com/viewjob?jk=fac95328cb4842c4", "https://www.indeed.com/viewjob?jk=fac95328cb4842c4")</f>
        <v/>
      </c>
      <c r="F109">
        <f>HYPERLINK("https://careers.adobe.com/us/en/job/ADOBUSR165077EXTERNALENUS/Lead-Data-Engineer?utm_source=indeed&amp;utm_medium=phenom-feeds", "https://careers.adobe.com/us/en/job/ADOBUSR165077EXTERNALENUS/Lead-Data-Engineer?utm_source=indeed&amp;utm_medium=phenom-feeds")</f>
        <v/>
      </c>
      <c r="G109" t="inlineStr">
        <is>
          <t>San Jose, CA, US</t>
        </is>
      </c>
      <c r="H109" s="3" t="n">
        <v>46055</v>
      </c>
      <c r="I10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Marketing Operations and Engineering team in Growth Marketing and Insights (GMI) handles data architecture, transformation, and engineering for the Growth Marketing and Insights (GMI) under Marketing Org. We manage backend data for marketing measurement tools and processes such as attribution, product and customer segmentation, and lifetime value.
We want an Engineering Lead to manage the data enabling the team’s work. You will partner with business analysts and data scientists to outline requirements for new/existing models. You will develop data pipelines, refine ETL processes, ensure data quality, and seek ways to increase efficiency and automation in everyday work. You will take ownership of the data platform behind Adobe’s marketing models and other marketing measurement and reporting tools used at all company levels.
**What you’ll do:**  
We are seeking a proven contributor who will provide support in data engineering, building data assets, and software applications. This individual should be able to provide technical direction and system architecture advice for individual initiatives.
You will collaborate with key partners and apply your technical proficiency across different stages of the Software Development Process including Requirements Elicitation, Application Architecture definition, and Build.
You will play a meaningful role in building high\-level design artifacts.
You will also deliver high\-quality code work for a module, lead validation for all types of testing, and support activities related to implementation and transition.
Take charge of reorganizing the database to more effectively serve data scientists and business analysts throughout the marketing organization.
Scope requirements, connect data sources and build ETL processes to support new products and routes to market as the team expands campaign measurement products/models for Adobe’s B2C and B2B business units.
Partner with Marketing, Finance, and Sales teams to maintain data integrity and perform root cause analysis when discrepancies arise in the data. What you’ll need to succeed:
BS/MS in Computer Science or equivalent experience with 8\+ years of data engineering experience.
Proven expertise in SQL, Python, Spark, and data pipeline orchestration tools (e.g., Airflow, dbt).
Experience with CursorAI or similar platforms for intelligent data workflows and automation.
Hands\-on experience with cloud platforms (AWS, Azure, GCP) and cloud\-based analytics environments such as Databricks.
Experience collaborating with Data Scientists and BI Engineers to provide actionable insights.
Excellent communication skills and ability to explain technical concepts to non\-technical collaborators.
Experience and passion for data\-driven development.
Excellent written and verbal communication skills.
Background in supporting agile marketing or growth teams is a plus!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10">
      <c r="A110" t="inlineStr">
        <is>
          <t>in-9a8c9581eabf57ab</t>
        </is>
      </c>
      <c r="B110" t="inlineStr">
        <is>
          <t>Senior Azure Data Engineer</t>
        </is>
      </c>
      <c r="C110" t="inlineStr">
        <is>
          <t>Analytica</t>
        </is>
      </c>
      <c r="D110" t="inlineStr">
        <is>
          <t>indeed</t>
        </is>
      </c>
      <c r="E110">
        <f>HYPERLINK("https://www.indeed.com/viewjob?jk=9a8c9581eabf57ab", "https://www.indeed.com/viewjob?jk=9a8c9581eabf57ab")</f>
        <v/>
      </c>
      <c r="F110">
        <f>HYPERLINK("https://analyticallc.applytojob.com/apply/YnjJWOrqc9/Senior-Azure-Data-Engineer?source=INDE&amp;~", "https://analyticallc.applytojob.com/apply/YnjJWOrqc9/Senior-Azure-Data-Engineer?source=INDE&amp;~")</f>
        <v/>
      </c>
      <c r="G110" t="inlineStr">
        <is>
          <t>Bethesda, MD, US</t>
        </is>
      </c>
      <c r="H110" s="3" t="n">
        <v>46055</v>
      </c>
      <c r="I110" t="inlineStr">
        <is>
          <t>Analytica is seeking a Senior Data Engineer (Azure) to support one or more dynamic, long\-term federal government enterprise data programs. The role will lead the architecture and engineering of Azure cloud big data solutions as part of enterprise data modernization. The successful candidate will join a high\-impact team driving the evolution of cloud\-native analytics, regulatory science, and mission\-critical data systems.
Analytica has been recognized by Inc. Magazine as one of the fastest\-growing 250 businesses in the US for 3 years. We work with U.S. government clients in health, civilian, and national security missions to build better technology products that impact our day\-to\-day lives. The company offers competitive compensation with opportunities for bonuses, employer\-paid health care, training and development funds, and 401k match.
Responsibilities include (but not limited to):
* Lead the development and enhancement of a shared enterprise data environment that meets a diverse set of Analytics, Reporting, and Data Science federal requirements
* Engage with clients and use a variety of information gathering techniques (e.g., interviews, facilitation, diagrams) to gather complex business data requirements from Business teams
* Architect Federal Data Lakes: Design and build secure, enterprise\-scale storage and analytics solutions using Azure Synapse and ADLS Gen2 to support critical government missions.
* Deploy Modern AI \&amp; Fabric: Implement Azure Fabric and Azure Machine Learning to transform raw data into predictive, AI\-driven insights across the agency.
* Engineer Real\-Time Pipelines: Develop high\-performance ETL/ELT workflows using Azure Data Factory and Event Hubs for seamless data orchestration and streaming.
* Automate with DevOps: Lead the transition to "Data as Code" by building YAML\-based CI/CD pipelines in Azure DevOps for rapid, secure, and auditable deployments.
* Lead Agile Delivery: Drive technical execution within an Agile framework, using Azure Boards to manage complex sprints and mentor engineering teams in a collaborative environment.
 Basic Qualifications:
* Bachelor’s degree in Computer Science, Engineering, Science, or related field.
* 10\+ years of experience developing enterprise data warehouse / lake solutions, with at least 5\+ years specifically designing and implementing Azure\-based Cloud Architectures.
* Leadership Track Record: Proven experience leading cross\-functional technical teams and mentoring junior engineers within an Agile framework.
* Demonstrated enterprise expertise in:
* Modern Data Stack: Mastery of Azure Synapse Analytics, ADLS Gen2, and Azure Data Factory for complex ETL/ELT orchestration and data lakehouse design.
* Data Modeling \&amp; Strategy: Expert\-level knowledge of conceptual, logical, and physical data modeling (e.g., Star/Snowflake schemas) and modern paradigms like Data Mesh or Data Fabric.
* Automation \&amp; DevOps: Deep proficiency in YAML\-based CI/CD pipelines and Infrastructure as Code (IaC) using tools like Terraform, Bicep, or ARM templates.
* Microsoft Purview and similar data governance technologies
* Security \&amp; Compliance: Demonstrated ability to architect solutions aligned with FedRAMP High, DoD IL4/IL5, and NIST 800\-53 standards, incorporating Zero Trust principles.
* US citizen with Ability to secure a US Federal Clearance
About ANALYTICA: Analytica is a leading consulting and information technology solutions provider to public sector organizations supporting health, civilian, and national security missions. Founded in 2009 and headquartered in Bethesda, MD, the company is an established SBA small business that has been recognized by Inc. Magazine each of the past three years as one of the 250 fastest\-growing companies in the U.S. Analytica specializes in providing software and systems engineering, information management, analytics \&amp; visualization, agile project management, and management consulting services. The company is appraised by the Software Engineering Institute (SEI) at CMMI® Maturity Level 3 and is an ISO 9001:2008 certified provider.
Analytica LLC is an Equal Opportunity Employer. We are committed to providing equal employment opportunities to all individuals, regardless of race, color, religion, sex, sexual orientation, gender identity, national origin, age, disability, or any other characteristic protected by applicable federal, state, or local law. As a federal contractor, we comply with the Vietnam Era Veterans' Readjustment Assistance Act (VEVRAA) and take affirmative action to employ and advance in employment qualified protected veterans.
We ensure that all employment decisions are based on merit, qualifications, and business needs. We prohibit discrimination and harassment of any kind. Analytica LLC also provides reasonable accommodations to applicants and employees with disabilities, in accordance with applicable laws
When receiving email communication from Analytica, please ensure that the email domain is analytica.net to verify its authenticity.
YnjJWOrqc9</t>
        </is>
      </c>
    </row>
    <row r="111">
      <c r="A111" t="inlineStr">
        <is>
          <t>in-196837fd2a425179</t>
        </is>
      </c>
      <c r="B111" t="inlineStr">
        <is>
          <t>Senior Data Engineer</t>
        </is>
      </c>
      <c r="C111" t="inlineStr">
        <is>
          <t>Suntex Marina Investors, LLC</t>
        </is>
      </c>
      <c r="D111" t="inlineStr">
        <is>
          <t>indeed</t>
        </is>
      </c>
      <c r="E111">
        <f>HYPERLINK("https://www.indeed.com/viewjob?jk=196837fd2a425179", "https://www.indeed.com/viewjob?jk=196837fd2a425179")</f>
        <v/>
      </c>
      <c r="F111">
        <f>HYPERLINK("https://workforcenow.adp.com/mascsr/default/mdf/recruitment/recruitment.html?cid=08f6f0d8-fe33-401f-a518-03fc32c3ad35&amp;ccId=19000101_000001&amp;jobId=562656&amp;source=IN&amp;lang=en_US", "https://workforcenow.adp.com/mascsr/default/mdf/recruitment/recruitment.html?cid=08f6f0d8-fe33-401f-a518-03fc32c3ad35&amp;ccId=19000101_000001&amp;jobId=562656&amp;source=IN&amp;lang=en_US")</f>
        <v/>
      </c>
      <c r="G111" t="inlineStr">
        <is>
          <t>Dallas, TX, US</t>
        </is>
      </c>
      <c r="H111" s="3" t="n">
        <v>46055</v>
      </c>
      <c r="I111" t="inlineStr">
        <is>
          <t>**JOB POSTING**
**JOB** **TITLE:**Senior Data Engineer
**DEPARTMENT:**Information Technology
**REPORTS TO:**Manager, Data \&amp; Analytics
 **POSITION PURPOSE****:**
The Senior Data Engineer is a key technical leader responsible for designing, building, and owning scalable, reliable, and well\-governed data solutions that enable enterprise analytics and decision\-making. This role operates at the intersection of data engineering, analytics enablement, and governance. The Senior Data Engineer owns complex data pipelines and curated data products, partners closely with analytics and business stakeholders, and sets technical standards that improve data quality, usability, and trust across the organization. The Senior Data Engineer is comfortable operating with ambiguity, can independently own data domains end\-to\-end, and serves as a mentor and force multiplier within the data engineering team.
 **DUTIES AND RESPONSIBILITIES****:**
1\. Data Engineering \&amp; Platform Ownership
* Design, build, and own end\-to\-end ETL/ELT pipelines across diverse data sources using Palantir Foundry, PySpark, pandas, and SQL
* Architect scalable, resilient data integration solutions supporting analytics, reporting, and operational use cases
* Establish and maintain integrations with enterprise systems and external platforms (e.g., ERP, CRM, advertising platforms)
2\. Analytics Enablement and Data Applications
* Develop analytics\-ready datasets and curated data products that enable self\-service reporting and analysis
* Build and maintain custom analytics applications using Palantir Foundry Workshop and backend tools (Pipeline Builder, PySpark, pandas)
* Enable advanced analytical use cases by delivering feature\-ready datasets (e.g., for forecasting, trend analysis, or anomaly direction), without owning full data science model lifecycle unless explicitly required
3\. Data Governance, Standards, and Security
* Support and enhance data governance frameworks that improve data quality, consistency, security, and compliance
* Collaborate with stakeholders to define and enforce data standards, naming conventions, and access policies
* Contribute to medallion architecture design, data modeling standards, and metadata and/or documentation practices
4\. Technical Leadership and Mentorship
* Serve as a senior technical resource for the team, providing design guidance, code reviews, and architectural input
* Participate in design reviews and help establish long\-term technical direction for the data platform
5\. Documentation and Continuous Improvement
* Build and maintain clear, comprehensive technical documentation for pipelines, data products, and integrations
* Identify opportunities to improve tooling, methodologies, and development workflows
 **EDUCATION AND EXPERIENCE****:**
1\. Bachelor’s degree in information technology, computer science, or a related field (or equivalent experience)
2\. 5\+ years of progressive experience in data analytics, analytics engineering, or business intelligence roles
3\. Must have strong hands\-on experience with Palantir Foundry, including Pipeline Builder and Workshop
4\. Must have advanced proficiency in PySpark and SQL for large\-scale data transformation
5\. Must have strong Python skills (pandas, familiarity with polars is a plus)
6\. Must have a solid understanding of data modeling and medallion architecture
7\. Must have experience integrating data from ERP, CRM, POS, or similar enterprise systems
8\. Must have experience implementing or supporting data governance and access control models
 **WORKING CONDITIONS/PHYSICAL REQUIREMENTS****:**
1\. Must be able to independently lift, carry, push, and pull up to fifteen (15\) pounds
2\. This individual is located in an office environment generally seated at a desk with a chair for multiple hours
3\. Must be able to swim or willing to wear a personal floatation device when visiting marina site locations
4\. Must be able to travel on occasion
 **STATEMENT OF PURPOSE**
This document provides descriptive information about the above Suntex Marinas position. Work actually performed by incumbents in this position may vary. Although this document may be used for recruiting, staffing, or career planning, the information contained herein should only be used as a guideline or recommendation for the content of and qualifications for this position. An individual’s ability to meet the qualifications and capabilities described in this document is not a guarantee of employment or promotion. Suntex Marinas reserves the right to make changes to this document as deemed necessary without providing advance written notice.
Suntex Marinas provides equal employment opportunities to all team members and applicants for employment without regard to race, color, religion, gender, sexual orientation, national origin, age, disability, marital status, veteran status, or any other consideration made unlawful by federal, state, or local laws. Suntex Marinas is committed to providing reasonable accommodation for qualified applicants, and team members with disabilities to ensure they enjoy equal access to all employment opportunities and benefits of employment as required by the Americans with Disabilities Act.</t>
        </is>
      </c>
    </row>
    <row r="112">
      <c r="A112" t="inlineStr">
        <is>
          <t>in-8ceb72972b45a0c6</t>
        </is>
      </c>
      <c r="B112" t="inlineStr">
        <is>
          <t>Lead Data Engineer</t>
        </is>
      </c>
      <c r="C112" t="inlineStr">
        <is>
          <t>Red Clover HR</t>
        </is>
      </c>
      <c r="D112" t="inlineStr">
        <is>
          <t>indeed</t>
        </is>
      </c>
      <c r="E112">
        <f>HYPERLINK("https://www.indeed.com/viewjob?jk=8ceb72972b45a0c6", "https://www.indeed.com/viewjob?jk=8ceb72972b45a0c6")</f>
        <v/>
      </c>
      <c r="F112">
        <f>HYPERLINK("https://redcloverhr.pinpointhq.com/postings/53ab7bf7-d30f-4ef4-a211-a3eefaa59f63?utm_medium=job_board&amp;utm_source=indeed", "https://redcloverhr.pinpointhq.com/postings/53ab7bf7-d30f-4ef4-a211-a3eefaa59f63?utm_medium=job_board&amp;utm_source=indeed")</f>
        <v/>
      </c>
      <c r="G112" t="inlineStr">
        <is>
          <t>East Rutherford, NJ, US</t>
        </is>
      </c>
      <c r="H112" s="3" t="n">
        <v>46055</v>
      </c>
      <c r="I112" t="inlineStr">
        <is>
          <t>### **Description**
**Who We Are:**  
APC is a dynamic, growing international delivery and technology solutions provider. Established in 2001, APC has been simplifying international delivery for over 20 years, helping U.S. businesses build brands abroad, expand their consumer base, increase revenue, and their global reach. Our extensive, reliable worldwide delivery network and proprietary technology empower our brands to succeed. We are committed to expanding our footprint and continuously investing in innovative delivery and technology solutions as we aim to be *the* leading resource for cross\-border solutions.
**About the Role:**  
Reporting to the Head of Technology, the Data Architect / Lead Data Engineer will own the design, implementation, scalability, and business impact of APC’s data platform supporting a high‑volume, complex logistics operation. This is a hands‑on, senior technical role responsible for shaping how data flows from raw operational systems through trusted analytics and into production‑grade models that drive decision‑making across the business.  
You will lead the evolution of the data stack end‑to‑end, balancing architectural rigor with real‑world constraints such as imperfect data, operational urgency, and cost efficiency. Partnering closely with engineering, product, operations, finance, and leadership, you will translate complex business questions into durable data solutions that directly impact shipment performance, customer experience, pricing, and profitability. This role is well‑suited for someone who enjoys deep technical ownership, cross‑functional collaboration, and building systems that operate at scale in production environments.  
**About the Candidate:**
You are a hands‑on, systems‑oriented data leader who enjoys working close to the business and taking ownership of complex, real‑world data challenges. You are comfortable operating at the intersection of architecture, engineering, analytics, and applied data science, and you thrive in environments where data is imperfect, scale is real, and impact is tangible.  
You bring a strong sense of accountability and technical judgment, with the ability to make thoughtful tradeoffs and move initiatives forward. You communicate clearly with both technical and non‑technical partners, build trust through reliability and transparency, and enjoy mentoring others while setting a high bar for data quality and engineering discipline.  
### **Key Responsibilities**
 **Data Platform \&amp; Warehouse Leadership*** Own the architecture, scalability, performance, and cost efficiency of the enterprise data warehouse and analytics platform.
* Design and maintain dimensional and analytical data models supporting core logistics and financial use cases, including shipments, customs data, carrier performance, SLAs, revenue, and margins.
* Establish and enforce best practices for data modeling, schema evolution, data quality monitoring, lineage, documentation, and cost governance.
* Lead data platform migrations, upgrades, and modernization initiatives as needed.
* Design, build, and operate reliable, observable ELT/ETL pipelines from internal systems, third\-party APIs, and event streams, including change data capture where required.
* Ensure pipeline resilience through strong handling of data freshness, schema drift, backfills, reprocessing, and failure recovery.
* Integrate data across core operational platforms, including OMS, WMS, TMS, payments, CRM, and marketing systems.
* Partner with application and platform engineers on event design, instrumentation, and data contracts.
**Analytics Engineering \&amp; Business Enablement*** Build and maintain trusted semantic layers, metrics definitions, and curated data marts for analytics, operations, finance, and executive reporting.
* Define and operationalize canonical KPIs across shipment performance, carrier reliability, exceptions, margins, and customer lifecycle metrics.
* Enable governed self\-service analytics while preserving data accuracy, consistency, and trust.
**Applied Data Science \&amp; Advanced Analytics**  
* Develop and product\-ionize analytical models for forecasting, operational optimization, anomaly detection, and customer behavior analysis.
* Design experiments and analyses with clear business impact and measurable ROI, and operationalize outputs into dashboards or workflows.
* Serve as technical owner for data architecture, tooling selection, and platform standards.
* Mentor engineers and analysts, lead design reviews, and set pragmatic standards balancing speed, reliability, and cost.
**Key Responsibilities:****Data Platform \&amp; Warehouse Leadership*** Own the architecture, scalability, performance, and cost efficiency of the enterprise data warehouse and analytics platform.
* Design and maintain dimensional and analytical data models supporting core logistics and financial use cases, including shipments, customs data, carrier performance, SLAs, revenue, and margins.
* Establish and enforce best practices for data modeling, schema evolution, data quality monitoring, lineage, documentation, and cost governance.
* Lead data platform migrations, upgrades, and modernization initiatives as needed.
* Design, build, and operate reliable, observable ELT/ETL pipelines from internal systems, third\-party APIs, and event streams, including change data capture where required.
* Ensure pipeline resilience through strong handling of data freshness, schema drift, backfills, reprocessing, and failure recovery.
* Integrate data across core operational platforms, including OMS, WMS, TMS, payments, CRM, and marketing systems.
* Partner with application and platform engineers on event design, instrumentation, and data contracts.
* Build and maintain trusted semantic layers, metrics definitions, and curated data marts for analytics, operations, finance, and executive reporting.
* Define and operationalize canonical KPIs across shipment performance, carrier reliability, exceptions, margins, and customer lifecycle metrics.
* Enable governed self\-service analytics while preserving data accuracy, consistency, and trust.
* Develop and productionize analytical models for forecasting, operational optimization, anomaly detection, and customer behavior analysis.
* Design experiments and analyses with clear business impact and measurable ROI, and operationalize outputs into dashboards or workflows.
* Serve as technical owner for data architecture, tooling selection, and platform standards.
* Mentor engineers and analysts, lead design reviews, and set pragmatic standards balancing speed, reliability, and cost.
### **Skills, Knowledge and Expertise**
* 8\+ years of experience in data engineering, analytics engineering, or applied data science roles, with demonstrated ownership of production data systems.
* Proven experience designing and operating a scalable data warehouse or analytics platform in a production environment.
* Advanced SQL expertise, including query optimization, indexing and partitioning strategies, dimensional modeling, and slowly changing dimensions.
* Strong experience building and maintaining data pipelines using modern data tooling and orchestration frameworks.
* Proficiency in Python or a similar language for data processing, modeling, and automation.
* Experience working with large‑scale, high‑volume operational datasets and managing data quality in real‑world conditions.
* Strong systems thinking and the ability to design for reliability, performance, and cost control.
* Demonstrated ability to translate business problems into effective technical solutions.
* Experience in logistics, e‑commerce, supply chain, fulfillment, or adjacent domains is strongly preferred.
### **Core Competencies**
**Communicates Effectively**: Developing and delivering multi\-mode communications that convey a clear understanding of the unique needs of different audiences
**Manages Complexity:** Making sense of complex, high quantity, and sometimes contradictory information
**Business Insight:** Applying knowledge of business goals and the marketplace to advance the organization’s goals
**Financial Acumen:** Interpreting and applying understanding of key financial indicators to make better business decisions  
### **About Red Clover HR**
We specialize in delivering innovative solutions and exceptional services to meet the diverse needs of our clients. With a strong commitment to quality and customer satisfaction, we strive to exceed expectations and drive success in every project we undertake.</t>
        </is>
      </c>
    </row>
    <row r="113">
      <c r="A113" t="inlineStr">
        <is>
          <t>in-92c0715a7573e787</t>
        </is>
      </c>
      <c r="B113" t="inlineStr">
        <is>
          <t>Workforce Data Engineer</t>
        </is>
      </c>
      <c r="C113" t="inlineStr">
        <is>
          <t>University of California - San Francisco</t>
        </is>
      </c>
      <c r="D113" t="inlineStr">
        <is>
          <t>indeed</t>
        </is>
      </c>
      <c r="E113">
        <f>HYPERLINK("https://www.indeed.com/viewjob?jk=92c0715a7573e787", "https://www.indeed.com/viewjob?jk=92c0715a7573e787")</f>
        <v/>
      </c>
      <c r="F113">
        <f>HYPERLINK("https://sjobs.brassring.com/TGnewUI/Search/home/HomeWithPreLoad?partnerid=6495&amp;siteid=5861&amp;PageType=JobDetails&amp;jobid=3709477", "https://sjobs.brassring.com/TGnewUI/Search/home/HomeWithPreLoad?partnerid=6495&amp;siteid=5861&amp;PageType=JobDetails&amp;jobid=3709477")</f>
        <v/>
      </c>
      <c r="G113" t="inlineStr">
        <is>
          <t>San Francisco, CA, US</t>
        </is>
      </c>
      <c r="H113" s="3" t="n">
        <v>46055</v>
      </c>
      <c r="I113" t="inlineStr">
        <is>
          <t>Having significant experience, applies advanced data / information management concepts and campus / medical center / OP objectives to resolve highly complex issues where analyses of situations, information or data require an in\-depth evaluation of variable factors. Selects methods and techniques to obtain desired results.  
Workforce Data Engineer will support maintenance of UCSF’s governed Master Person Registry (Person Dimension). Will also design, develop, and validate workforce data models that integrate traditional and AI\-augmented approaches. Leveraging dimensional modeling principles (Kimball methodology) and SSIS\-supported data pipelines, this role integrates data from multiple enterprise sources to create reliable analytic datasets and metrics. The analyst monitors and validates results, including generated by AI on platforms such as Power BI/Data Fabric, Databricks, and Tableau Pulse, tuning inputs, thresholds, and feature selections to ensure accuracy, relevance, and business alignment.  
Serving as a liaison with external vendors, the role evaluates analytic solutions and dashboards for quality, transparency, and adherence to both Kimball and enterprise standards. The analyst translates complex analytic findings into clear, actionable insights, dashboards, and visualizations for leadership, guiding data\-driven decisions while maintaining rigorous standards for governance, privacy, and security. This position represents a significant expansion of scope, combining technical proficiency, AI stewardship, vendor engagement, and independent analytic judgment.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$143,900 \- $215,800 (Annual Rate).
To learn more about the benefits of working at UCSF, including total compensation, please visit: https://ucnet.universityofcalifornia.edu/compensation\-and\-benefits/index.html
**Department Description**
The mission of the Enterprise Information and Analytics (EIA) department is to advance UCSF’s institutional priorities by enhancing access to and the use of data and analytics, including appropriate data platforms and data governance, in a manner that meets the unique needs across the education, research, and care mission areas. The department achieves its goals by working with clinical, research, education, and business partners to organize, integrate, govern, and transform UCSF’s data assets into actionable insight and information.  
People Analytics owns enterprise\-wide assets for UCSF as a whole, used for both operational and analytical purposes, as well as departmental and business assets to drive business insights and decisions.  
**Required Qualifications**
* Bachelor’s degree and a minimum of 5 years’ experience in data analytics or data management; or an equivalent combination of education and experience.
* Minimum 4 years of experience performing advanced data analysis using SQL and/or analytic programming languages (e.g., R, Python, Stata, SPSS) T\-SQL in Microsoft SQL Management Studio preferred.
* Demonstrated experience integrating data from multiple enterprise systems for analytic purposes
* Experience developing analytic datasets, metrics, and dashboards supporting decision\-making
* Working knowledge of data warehouse concepts, ETL principles, and analytic data modeling
* Hands\-on experience developing and supporting SSIS pipelines for analytic data preparation
* Strong written and verbal communication skills, including with internal and external stakeholders
* Demonstrated ability to validate, interpret, and contextualize analytic outputs
* Professionalism and discretion in handling sensitive and confidential workforce data
* Demonstrated ability to work with others from diverse backgrounds. Demonstrated effective communication and interpersonal skills. Demonstrated service orientation skills.
* Demonstrated ability to communicate technical information to technical and non\-technical personnel at various levels in the organization.
* Self\-motivated and works independently and as part of a team. Able to self\-manage projects once priorities are set.
* Demonstrated advanced problem\-solving skills. Able to learn effectively and meet deadlines.
**Preferred Qualifications**
* Experience applying Kimball dimensional modeling principles in analytic datasets
* Experience with PeopleSoft HCM or similar HR systems; Experience with workforce analytics or people\-related data
* 3\+ years of experience integrating data from diverse sources and formats, including delimited text files (CSV/TSV/PSV), fixed\-width files, JSON, XML, YAML, Parquet/Avro/ORC, and Excel (XLS/XLSX), as well as relational databases via ODBC/JDBC.
* 2\+ years of experience developing or integrating with APIs for data ingestion (REST/JSON), including secure authentication (OAuth2/API keys) and operational support (logging/monitoring/error handling).
**About UCSF**
At UCSF Health, our mission of innovative patient care, advanced technology and pioneering research is redefining what’s possible for the patients we serve – a promise we share with the professionals who make up our team.
Consistently ranked among the top 10 hospitals nationwide by U.S. News \&amp; World Report –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Health
**Job Code and Payroll Title**
000599 DATA SYS ANL 4
**Job Category**
Clinical Systems / IT Professionals
**Bargaining Unit**
99 \- Policy\-Covered (No Bargaining Unit)
**Employee Class**
Career
**Percentage**
100%
**Location**
San Francisco, CA
**Campus**
Mission Center Building (SF)
**Work Style**
Flexible
**Shift**
Days
**Shift Length**
8 Hours
**Additional Shift Details**
Monday \- Friday</t>
        </is>
      </c>
    </row>
    <row r="114">
      <c r="A114" t="inlineStr">
        <is>
          <t>in-29ca20a81c4dc40a</t>
        </is>
      </c>
      <c r="B114" t="inlineStr">
        <is>
          <t>Health System Data Engineer Lead</t>
        </is>
      </c>
      <c r="C114" t="inlineStr">
        <is>
          <t>St. Luke's Health System</t>
        </is>
      </c>
      <c r="D114" t="inlineStr">
        <is>
          <t>indeed</t>
        </is>
      </c>
      <c r="E114">
        <f>HYPERLINK("https://www.indeed.com/viewjob?jk=29ca20a81c4dc40a", "https://www.indeed.com/viewjob?jk=29ca20a81c4dc40a")</f>
        <v/>
      </c>
      <c r="F114">
        <f>HYPERLINK("https://slhs.avature.net/careersmarketplace/JobDetail?jobId=142751&amp;source=Indeed", "https://slhs.avature.net/careersmarketplace/JobDetail?jobId=142751&amp;source=Indeed")</f>
        <v/>
      </c>
      <c r="G114" t="inlineStr">
        <is>
          <t>Boise, ID, US</t>
        </is>
      </c>
      <c r="H114" s="3" t="n">
        <v>46055</v>
      </c>
      <c r="I114" t="inlineStr">
        <is>
          <t>**Health System Data Engineer Lead**  
Do you like working on things that positively impact the health of your friends, family, neighbors, and community? St. Luke's has been committed to the health and well\-being of the people we serve since our founding in 1902\. As our communities’ needs have evolved, so have we — expanding how we care for our friends and neighbors.
Today, St. Luke’s is more than a hospital. We’re an integrated health system delivering care in our hospitals and clinics, connecting communities to a network of exceptional providers through St. Luke’s Health Partners and funding care through St. Luke’s Health Plan.
As an engineering lead of our Data Platform team at St Luke’s, you will be integral in developing and helping others develop innovative data solutions for business\-critical data that is shared across the enterprise and collectively represents a “single source of truth.” The ideal candidate for this position would have great communication skills, be a curious self\-starter, have great analytical and problem\-solving skills, and have a passion for delivering technical solutions that enable time\-sensitive, critical decisions. Previous technical or personnel leadership is a plus, but not required.  
**Required Criteria:*** **Education:**Bachelor's degree or 4 years of relevant experience in lieu of degree
* **Experience:**Minimum of 4yearsrelated experience
**Responsibilities:*** **Partner and Learn:**
* Partner withother Data and Analytics leaders,Business IntelligenceDevelopers and Analyststo ensure they have the dataneeded to develop solutions and provide self\-service data access.
* Develop a strong partnership with thebusinessandincrease your understanding of St Luke’s business and clinical functions.
* Co\-develop recommendations, understandneedsand leaddata and analytics professionalsto deliver on requestsand projects.
* **Lead, coordinate and mentor:**
* Lead your groupof data engineerstoenhance and developstate\-of\-the\-artdata pipelines, data lakehouseand support data extracts.
* Mentorstaff todevelop skills andfulfillassignments.
* Ensure the team has clearrequirementsand the solutions are tested andvalidated.
* Provide regular status reports and planswithappropriate stakeholders.
* Responsible for performance appraisals for positions under their direction;providesleadership guidance, counseling, and continuing education to staff.
* **Aligns and develops best practices**
* Alignwith Data andAnalyticsbest practices within other groups.
* Workwith architects to implement solutions in alignment with standards.
* Participate in developing and improving standards and best practices acrosstheData\&amp;Analytics department.
* Build cross functional relationships withapplication teamsand business leaders to understandinformation needs, data flows, and data quality.
* **Working Lead**
* Design, implement, andmaintaindata management capabilities including the enterprise data platform; its associated data models, ETL processes, and data architecture requirements.
* Utilize data profiling and data quality techniques forrequirementsvalidation, unit testing, and automated integration testing. Implement frameworks for automated and scripted testing.
* Contribute to improving solution stability, reliability, efficiency, and quality.
* Identifytechnical solutions that achieve efficiency and effectiveness and enable data usage as a strategic business asset.
* Beavailable to support solutions as required by the businessneed.
**Experience:*** Strong SQL experience, writingqueriesand stored procedures.
* Experience with database management systems including performance and tuning and security.
* Experience in developing and communicating data warehouse data modelsand methodologies
* Development experience withDatabricks andMicrosoft SQL Server Integration Services.
* Experience with REST and .NET preferred
* Experience with EpicEHR andEpic experience is a plus
* ExposurewithData Lake and Lakehouse Methodologies
* Previoustechnical or personnel leadership is a plus.
**About St. Luke's:**
Our employees enjoy many benefits, some of the most popular are tuition reimbursement, hospital retirement contributions, and hospital\-supported on\-going training and education.  
If you’re looking for a place where you can grow in your personal life, in your career, and in your community, St. Luke’s may be just the place for you.  
A strong, talented staff is at the heart of St. Luke’s Health System. We are the state’s largest employer with more than 19,000 employees and a medical staff of more than 1,800 physicians and advanced practice clinicians. Our employees are dedicated to impacting the lives of those in our community while pursuing a life\- changing career at St. Luke’s. Our staff is the reason for our outstanding reputation as both a quality employer and superior healthcare organization. We’re proud of our people who deliver skilled, compassionate care every day, and are looking to add dedicated individuals who will continue in the same tradition of excellence.  
With multiple locations in the beautiful southern and central Idaho, our mild, four season climate means you can play outdoors year\-round. Whether you prefer leisurely walks along the river or heart\-pounding climbs up a sheer cliff\- there is always something to do after work. An exciting mix of urban and outdoor life defines Idaho’s culture, you can ski in the morning and watch a college sporting event at night. It is a great state to raise a family and forge lasting relationships.</t>
        </is>
      </c>
    </row>
    <row r="115">
      <c r="A115" t="inlineStr">
        <is>
          <t>in-dc5c9ebfe571150e</t>
        </is>
      </c>
      <c r="B115" t="inlineStr">
        <is>
          <t>Analytics Engineer - Hybrid</t>
        </is>
      </c>
      <c r="C115" t="inlineStr">
        <is>
          <t>NRG Energy</t>
        </is>
      </c>
      <c r="D115" t="inlineStr">
        <is>
          <t>indeed</t>
        </is>
      </c>
      <c r="E115">
        <f>HYPERLINK("https://www.indeed.com/viewjob?jk=dc5c9ebfe571150e", "https://www.indeed.com/viewjob?jk=dc5c9ebfe571150e")</f>
        <v/>
      </c>
      <c r="F115">
        <f>HYPERLINK("https://career4.successfactors.com/career?company=C0004920031P&amp;career_ns=job_listing&amp;career_job_req_id=42900&amp;source=Indeed", "https://career4.successfactors.com/career?company=C0004920031P&amp;career_ns=job_listing&amp;career_job_req_id=42900&amp;source=Indeed")</f>
        <v/>
      </c>
      <c r="G115" t="inlineStr">
        <is>
          <t>Lehi, UT, US</t>
        </is>
      </c>
      <c r="H115" s="3" t="n">
        <v>46055</v>
      </c>
      <c r="I115"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Job Description
Our mission is to redefine the home experience with tech and services to create a smarter, greener, safer home that saves our customers money every month.
 **Summary:**
As a **Analytics Engineer** on our Data Engineering team, you will be responsible for developing the core service that provides data to the entire enterprise. You will be responsible for building the data models consumed throughout Vivint. Working closely with our internal business teams, you will build and help maintain a data platform that provides timely, accurate, and reliable data to thousands of users.
 **Primary Responsibilities:**
* Build cross functional relationships with other technology teams, business operations teams, and data analytics teams to understand how they generate value as a business unit and how to provide data solutions that support or augment that value.
* Help build and maintain an enterprise data platform with its associated dimensional modeling and ETL processes
* Responsible for designing, building, and maintaining robust data models and pipelines
* Implement best practices and innovative solutions to provide timely, accurate, \&amp; reliable data
* Constantly evaluate and optimize deployment of data models to achieve greater efficiency and reliability
 **Required Skills and Experience:**
* Must have a passion for data and helping the business turn data into understanding and action
* Ability to both initiate and deliver enterprise\-grade data solutions
* Ability to communicate effectively with business leaders and engineers
* Strong in SQL, databases, and data modeling methodologies
* Bachelor's or Master's degree
* 3\+ years of full\-time data engineering or SQL\-based analytics as your core role using either Snowflake, BigQuery, or Databricks
* Professional experience with dbt (Cloud preferred)
* Professional experience with CI/CD, Azure DevOps, Bitbucket, or similar tools
 **Nice\-to\-have Skills and Experience:**
* Professional experience with Python based data transformations or Streamlit apps
* Professional experience with Snowflake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16">
      <c r="A116" t="inlineStr">
        <is>
          <t>in-068c4cb3b2e42318</t>
        </is>
      </c>
      <c r="B116" t="inlineStr">
        <is>
          <t>Senior Data Engineer - Omni Channel</t>
        </is>
      </c>
      <c r="C116" t="inlineStr">
        <is>
          <t>Discount Tire</t>
        </is>
      </c>
      <c r="D116" t="inlineStr">
        <is>
          <t>indeed</t>
        </is>
      </c>
      <c r="E116">
        <f>HYPERLINK("https://www.indeed.com/viewjob?jk=068c4cb3b2e42318", "https://www.indeed.com/viewjob?jk=068c4cb3b2e42318")</f>
        <v/>
      </c>
      <c r="F116">
        <f>HYPERLINK("https://click.appcast.io/t/IVg6lom4SfMcGlcXQOdF3ER2z9lmviwNmZVgFDf46xg=", "https://click.appcast.io/t/IVg6lom4SfMcGlcXQOdF3ER2z9lmviwNmZVgFDf46xg=")</f>
        <v/>
      </c>
      <c r="G116" t="inlineStr">
        <is>
          <t>Scottsdale, AZ, US</t>
        </is>
      </c>
      <c r="H116" s="3" t="n">
        <v>46055</v>
      </c>
      <c r="I116" t="inlineStr">
        <is>
          <t>Overview:
Here at Discount Tire, we celebrate the spirit of our people with extraordinary pride and enthusiasm. Our business has been growing for more than 60 years and now is the best time in our history to join us. We recognize that to remain the industry leader we must continue to grow and evolve our business in a rapidly changing industry. We are achieving this, not only by opening new stores, but by transforming our technological landscape and making data a central component of our strategy. The Business Analytics team, one of the fastest growing teams in the company, is leading this change. We are responsible for driving the insights, recommendations, and developing the decision support tools that influence the strategic direction of the company.  
Under minimal supervision, the Senior Data Engineer designs, builds, and operates scalable data solutions on Discount Tire’s Databricks\-based lakehouse platform. This role supports enterprise analytics, business intelligence, and data science initiatives by delivering high\-quality, governed, and performance data products across Omni\-channel domains. The Senior Data Engineer is responsible for developing and maintaining ELT pipelines, data models, and lakehouse architecture using modern cloud and big data technologies, with a strong focus on reliability, performance, and production ownership. **Essential Duties and Responsibilities:*** Lakehouse \&amp; Data Architecture
	+ Designs, develops, and maintains Databricks\-based lakehouse solutions leveraging medallion architecture (Bronze, Silver, Gold) and Delta Lake.
	+ Builds scalable, high\-performance analytical data models to support reporting, analytics, and downstream consumption.
	+ Ensures data solutions align with enterprise standards for security, governance, scalability, and cost efficiency.
* Data Engineering \&amp; ELT Pipelines
	+ Develops, tests, and maintains batch and streaming ELT pipelines using Spark SQL.
	+ Implements incremental data processing, dependency management, and idempotent pipeline patterns across multiple data sources.
	+ Integrates structured and semi\-structured data from transactional, digital, and third\-party systems into the lakehouse.
* Databricks Platform Development
	+ Develops and maintains Databricks notebooks, workflows, and jobs across development, QA, and production environments.
	+ Leverages Delta Lake features including ACID transactions, schema enforcement and evolution, and time travel.
	+ Partners with platform and DevOps teams to support environment promotion, scheduling, and deployment automation.
* Data Quality \&amp; Reliability
	+ Implements automated data quality checks, validation frameworks, and monitoring to ensure accuracy, completeness, and timeliness of data.
	+ Proactively identifies and resolves data issues, ensuring reliable data availability for business partners.
* Performance Optimization \&amp; Tuning
	+ Troubleshoots data pipeline and query performance issues and implements optimizations related to Spark execution, partitioning, file sizing, and data layout.
	+ Documents root cause analysis and corrective actions and provide recommendations to improve system performance and reliability.
* Production Ownership \&amp; Operations
	+ Owns data pipelines end\-to\-end in production, including monitoring, alerting, incident response, and operational support.
	+ Contributes to runbooks, operational documentation, and continuous improvement of production readiness practices.
* Programming \&amp; Standards
	+ Writes clean, maintainable, and well\-tested code using Python (PySpark) and SQL.
	+ Contributes to data engineering standards, reusable frameworks, and best practices across the Analytics Engineering team.
* Documentation \&amp; Reviews
	+ Produces clear technical documentation, including design specifications and data flow diagrams.
	+ Participates in design reviews and code reviews, providing constructive feedback to ensure quality and consistency.
* Collaboration \&amp; Stakeholder Engagement
	+ Collaborates closely with data engineers, analytics engineers, data scientists, digital analysts, and business stakeholders to translate business needs into scalable data solutions.
	+ Works cross\-functionally with project managers, platform teams, and external partners to deliver high\-impact analytics capabilities.
* Mentorship \&amp; Technical Leadership
	+ Mentors and supports less experienced data engineers through technical guidance and best\-practice sharing.
	+ Leads technical design discussions for complex datasets and influences architectural decisions within the team.
* Continuous Improvement
	+ Stays current with emerging data engineering technologies, trends, and industry best practices.
	+ Identifies opportunities to improve efficiency, reliability, and scalability across data engineering workflows.
* Performs other duties as assigned.
 **Qualifications:*** 5\+ years of experience in data engineering, data integration, or analytics engineering roles.
* Experience with cloud\-based analytics platforms and modern data architecture.
* Technical Skills
	+ Advanced experience with SQL and Spark (PySpark and Spark SQL) in large\-scale data environments.
	+ Strong experience designing and maintaining ELT pipelines in a cloud\-based lakehouse architecture.
	+ Deep understanding of data modeling for analytics, including star schemas and slowly changing dimensions.
	+ Experience with streaming or near\-real\-time data processing is preferred.
	+ Strong knowledge of data governance, security, and compliance best practices.
* Tools and Platforms
	+ Extensive experience with Databricks and Delta Lake for analytics and data engineering workloads.
	+ Experience with cloud object storage platforms such as AWS S3\.
	+ Familiarity with orchestration, scheduling, and monitoring of data pipelines.
	+ Experience working with large, complex datasets in analytics and reporting contexts.
	+ Familiarity with BI and visualization tools such as Tableau, Looker, or Power BI.
	+ Experience with digital analytics data (e.g., Adobe Analytics or Google Analytics) is a plus.
* Methodologies and Frameworks
	+ Experience working within SDLC methodologies such as Agile and Waterfall.
	+ Familiarity with CI/CD and version control practices for data engineering workflows.
* Communication and Presentation Skills
	+ Ability to clearly communicate complex technical concepts to technical and non\-technical audiences, including leadership.
	+ Strong written and verbal communication skills, including documentation and presentation of technical solutions.
* Customer Service \&amp; Collaboration
	+ Demonstrated ability to work collaboratively across teams and with business stakeholders.
	+ Strong customer service mindset with a focus on delivering reliable and high\-quality data solutions.
* Adaptability \&amp; Problem Solving
	+ Strong troubleshooting and analytical skills with a proactive, solution\-oriented approach.
	+ Ability to work effectively in a fast\-paced, evolving environment and manage multiple priorities.
* Curiosity
	+ Intellectual curiosity and passion for data, analytics, and continuous learning.
 **Educational Requirements:*** Bachelor’s or Master’s degree in Computer Science, Data Engineering, Information Systems, or a related field, or equivalent practical experience.
* Data or cloud\-related certifications are a plus.
 **Work Days****:**
Normal work days are Monday through Friday. Occasional Saturdays and Sundays may be necessary. **Work Hours:**
Normal work hours are 8:00 a.m. to 5:00 p.m. Additional hours may be necessary.  
Discount Tire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  
\#LI\-GW1
\#LI\-Hybrid</t>
        </is>
      </c>
    </row>
    <row r="117">
      <c r="A117" t="inlineStr">
        <is>
          <t>in-9a74e3746725c075</t>
        </is>
      </c>
      <c r="B117" t="inlineStr">
        <is>
          <t>Staff NPI Data Analytics Engineer</t>
        </is>
      </c>
      <c r="C117" t="inlineStr">
        <is>
          <t>Credo</t>
        </is>
      </c>
      <c r="D117" t="inlineStr">
        <is>
          <t>indeed</t>
        </is>
      </c>
      <c r="E117">
        <f>HYPERLINK("https://www.indeed.com/viewjob?jk=9a74e3746725c075", "https://www.indeed.com/viewjob?jk=9a74e3746725c075")</f>
        <v/>
      </c>
      <c r="F117">
        <f>HYPERLINK("https://credosemi.com/about-credo/culture-and-careers/", "https://credosemi.com/about-credo/culture-and-careers/")</f>
        <v/>
      </c>
      <c r="G117" t="inlineStr">
        <is>
          <t>San Jose, CA, US</t>
        </is>
      </c>
      <c r="H117" s="3" t="n">
        <v>46054</v>
      </c>
      <c r="I117" t="inlineStr">
        <is>
          <t>We believe connection goes beyond technology.
It’s about people.
We Connect
A Culture of Collaboration
We’re thrilled you’re exploring opportunities at Credo! Our global team member base plays a vital role in maintaining Credo’s leadership as a trusted provider of high\-speed connectivity solutions. We deliver IP and interconnect technologies with end\-to\-end signal integrity for next\-generation platforms.
At Credo, we believe connection goes beyond technology. It’s about people. We foster a culture of collaboration and inclusion, both within our company and in the communities we serve. Whether through employee\-led initiatives, local partnerships, or global teamwork, we’re committed to making meaningful connections that drive innovation and create impact.
We Invent
A Culture of Innovation
At Credo, our name reflects our belief in putting people first. We’re building a team of bold thinkers and self\-starters who are ready to help the world’s leading companies solve tomorrow’s connectivity challenges today.
Our cutting\-edge products are redefining what’s possible in the fast\-paced world of high\-speed data centers, earning recognition as true game\-changers in the industry.
A career with meaning
A Culture of Impact
Work alongside some of the most respected names in networking technology
Grow your career in a company that values innovation, impact, and inclusion
See your skills and contributions drive real results, earn recognition, and unlock new opportunities
Be part of a collaborative and fun work environment where technological and human connection is at the core of everything we do
Credo Cares represents our commitment to community
At Credo, we believe that innovation and social responsibility go hand in hand. That’s why we launched Credo Cares — an initiative to bridge the gap between the resources of the tech industry and the needs of charitable organizations.
Overview of employee benefits
Credo is fully committed to supporting the health and well\-being of you and your family:
Health / Dental / Vision Insurance
Time off plus paid holidays, parental leave
Employee discounts
Retirement plans, financial resources, and tax\-saving programs
Mental health and wellbeing programs
And more!
Staff NPI Data Analytics Engineer
February 2, 2026
San Jose, CA
**About the role**
Team Credo is seeking a highly technical and data‑driven Staff NPI Data Analytics Engineer to optimize our New Product Introduction (NPI) workflows and high‑volume manufacturing operations. This role ensures seamless data analytics, robust Bill of Materials (BOM) management, and complete product lifecycle traceability across advanced components including MicroLEDs, photodiodes, fiber bundles, Tx/Rx ASICs, interposers, and micro‑lens arrays.
The role operates at the intersection of internal test, characterization, and manufacturing teams and external component suppliers, ensuring consistent, high\-quality data flow from early development through qualification and high\-volume production. This position requires close collaboration with Ottawa\-based R\&amp;D team and Shanghai\-based Operations team, along with approximately 25% international travel.  
**Base salary range** is $170,000 – $210,000 a year. The base salary offer will depend on factors such as education, experience, training, skills, qualifications, and location. This position is also eligible for a discretionary bonus, equity and a full range of medical and other benefits.
**Why Credo**
* **Purpose:** We invest in what matters. From meaningful\-future shaping projects to competitive compensation, we empower you to grow your career while making a lasting impact.
* **People:** Connection starts within. We collaborate, celebrate wins, and create an environment where everyone can do their best work.
* **Possibilities:** Our belief shapes what’s next. Our technology powers the most reliable and energy\-efficient connections around the world – and our team powers new products and markets that come next.
**Responsibilities**
* Champion the use of data analytics (using tools like Python, SQL, JMP and/or state\-of\-the\-art manufacturing analytics platforms) throughout the NPI process to model performance, yield, predict bottlenecks, and validate process capabilities, ensuring a smooth transition to volume production. Own end\-to\-end delivery of the automated validation POC, including scope, milestones, success criteria, risk mitigation, and scale\-up planning across development and production phases.
* Partner closely with internal test, characterization, reliability, and manufacturing teams to standardize data generation, ingestion, and KPI reporting across electrical, optical, RF, and imaging datasets. Ensure validation workflows align with evolving development, qualification, and production needs.
* Define and enforce standardized data submission formats and KPI definitions for component suppliers. Enable consistent, apple\-toapple supplier comparisons at lot and component levels to support qualification, sourcing, and risk decisions.
* Establish and enforce data schemas for metadata, test data, reliability data, and quality data across internal and external sources. Maintain data integrity, traceability, and version control throughout the NPD lifecycle.
* Drive Product \&amp; Process Traceability: Design and implement systems for complete data traceability, linking material lots, process parameters, and equipment data to individual unit serial numbers. This is critical for root cause analysis, quality audits, and regulatory compliance.
* Identify and execute on opportunities for yield improvement, cost reduction, and throughput enhancement by analyzing production data. Lead initiatives to transition from paper\-based to electronic DHR systems, enhancing data accessibility for analytics.
**Qualifications**
* Bachelor’s degree in engineering, Computer Science, Data Science, or a related technical field.
* 7\+ years of progressive experience in R\&amp;D, NPI, and/or Manufacturing Engineering, technical program management, validation, test systems, or data platforms.
* Hands\-on experience in data analytics for development and manufacturing (e.g., yield analysis, process capability, SPC) and proficiency with tools such as Python, JMP, advanced Excel, or Minitab for DOE, SPC, CPK analysis, and problem\-solving (5\-Why, DMAIC, Fishbone).
* Strong understanding of data pipelines, schema governance, KPI frameworks, and analytics systems.
* Experience with AI/ML logic models and their application in development and manufacturing data analytics.
* Proven ability to work deeply with internal test/characterization teams and external suppliers.
* Effective communication skills across global and multicultural teams.
* Strong collaboration, adaptability in dynamic environments, and a customer\-focused approach to driving change and delivering results.
* Proven success in managing technology transfers and ramping production with overseas suppliers and contract manufacturers.
**About Credo**
Credo’s mission is to transform connectivity at scale through fast, reliable, and energy\-efficient system solutions. Our high\-speed copper and optical interconnect products deliver industry\-leading power and performance at up to 1\.6T to meet the ever\-expanding data infrastructure demands of AI.
Our product portfolio includes ZeroFlap (ZF) Active Electrical Cables (AECs) and ZF optical transceivers, OmniConnect memory solutions, and a suite of retimers and DSPs for optical and copper Ethernet and PCIe, all leveraging the PILOT diagnostic and analytics software platform. Credo innovations enable our customers to connect the systems that connect the world.
**Credo is committed to creating an inclusive environment for all employees and welcome applicants from diverse backgrounds without regard to race, color, religion, gender, sex, sexual orientation, national origin, genetic information, age, disability, veteran status, or any other legally protected basis. If you have a disability or special need that requires accommodation to navigate our website or complete the application process, email** **people@credosemi.com****.**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li-4368689071</t>
        </is>
      </c>
      <c r="B2" t="inlineStr">
        <is>
          <t>Senior Data Engineer</t>
        </is>
      </c>
      <c r="C2" t="inlineStr">
        <is>
          <t>Mace</t>
        </is>
      </c>
      <c r="D2" t="inlineStr">
        <is>
          <t>linkedin</t>
        </is>
      </c>
      <c r="E2" t="inlineStr"/>
      <c r="F2" t="inlineStr"/>
      <c r="G2" t="inlineStr">
        <is>
          <t>New York, United States</t>
        </is>
      </c>
      <c r="H2" t="inlineStr"/>
      <c r="I2" t="inlineStr">
        <is>
          <t>At Mace, our purpose is to redefine the boundaries of ambition. We believe in creating places that are responsible, bringing transformative impact to our people, communities and societies across the globe. To learn more about our purpose, culture, and priorities, visit our strategy site.
 Within our business we harness our unique combination of leading\-edge practical expertise and project delivery to unlock the potential in every project.
 Our Values Shape The Way We Consult, And Define The People We Want To Join Us On Our Journey, They Are
* Safety First \- Going Home Safe And Well
* Client Focus \- Deliver On Our Promise
* Integrity \- Always Do The Right Thing
* Create Opportunity \- For Our People To Excel
**You’ll Be Responsible For**
* Designing and delivering scalable data products in the data Lakehouse, working alongside the data product owner and software engineering partners.
* Defining and aligning business definitions, KPIs, and metric logic across stakeholders.
* Building and optimizing reliable ELT/ETL pipelines for structured and unstructured data.
* Ingesting and modeling sensor and utilization data to generate data\-driven insights and build reusable analytics assets that influence global design standards.
* Partnering with the BIM team to understand model data, and extract cost, design, sustainability, and quality assurance insights from models.
* Operationalizing pipelines to parse and transform BIM data and metadata for analytics.
* Delivering production\-grade dashboards and models integrated with PMO workflows and controls.
* Help to design, build, and operationalize an ML model to predict project cost. Defining features, training and validation strategies, and MLOps processes (versioning, deployment, monitoring, model governance).
**You’ll Need To Have**
* Strong data engineering experience using Python and SQL, delivering production\-grade pipelines and data products.
* Expertise in data modelling and pipeline design for Lakehouse/warehouse environments.
* Strong technical communication skills: able to clarify ambiguous requirements and translate them into actionable designs.
* Proven stakeholder engagement and the ability to drive complex cross\-functional projects end\-to\-end.
* High attention to detail.
**Please Note:** 
 The estimated salary for this position is $150K\-$180k. Starting salary may vary based on permissible, non\-discriminatory factors such as experience, skills and qualifications.
 Mace is an inclusive employer and welcomes interest from a diverse range of candidates. Even if you feel you do not fulfil all the criteria, please apply as you may still be the best candidate for this role or another role within our organization.
 We are also open to discussing part time, flexible, and hybrid working options if suitable with\-in the role.
* site</t>
        </is>
      </c>
    </row>
    <row r="3">
      <c r="A3" t="inlineStr">
        <is>
          <t>li-4368255940</t>
        </is>
      </c>
      <c r="B3" t="inlineStr">
        <is>
          <t>Data Engineer III</t>
        </is>
      </c>
      <c r="C3" t="inlineStr">
        <is>
          <t>McDonald's</t>
        </is>
      </c>
      <c r="D3" t="inlineStr">
        <is>
          <t>linkedin</t>
        </is>
      </c>
      <c r="E3" t="inlineStr"/>
      <c r="F3" t="inlineStr"/>
      <c r="G3" t="inlineStr">
        <is>
          <t>Chicago, IL</t>
        </is>
      </c>
      <c r="H3" t="inlineStr"/>
      <c r="I3" t="inlineStr">
        <is>
          <t>**Company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 Using AI, robotics and emerging tech, we’re digitizing the Golden Arches. Combine that with our unparalleled global scale, and we’re reshaping all areas of the business, industry and every community that is home to a McDonald’s restaurant. We face complex tech challenges every day. But that’s where our diverse and talented teams come in. They’re made up of the best and brightest from all over the globe, and they thrive in the space where feel\-good meets fast\-paced.   
 Check out the McDonald’s  Global Technology Technical Blog to learn how technology and our global team are directly enabling the Accelerating the Arches strategy.  
 Department Overview
 McDonald’s is creating smarter, more responsive digital and data systems that transform operations and elevate guest experiences. The Enterprise Data, Analytics, and AI (EDAA) organization empowers every function—marketing, operations, supply chain, and more—through seamless integration of business and technology.
 McDonald’s is hiring a Data Engineer III, focused on Digital Payments data ingestion, curation and analytics.  This area covers data flowing from our payment providers and McDonald's payment services. This role sits within Data Analytics, Architecture and AI. This group manages data from various areas of the business, including Sales, Restaurant, Finance and People, and many more. You will work alongside passionate data engineering professionals and business stakeholders focused on Digital Payments, Treasury and MarTech. 
 Responsibilities
 * Builds and maintains relevant and reliable products that support Digital Payments across the organization. Develops and implements new technology solutions as needed to ensure ongoing improvement with data reliability and observability as the key output.
* Participates in new software development engineering and Lead data engineering initiatives, ensuring timely and accurate delivery of products.
* Work closely with the Product owner and help to define business rules that determines the quality of relevant datasets.
* Drive and implement best practices for pipeline development, data governance, data security and quality across the data landscape.
* Ensure scalability, maintainability, and quality of data systems powering payment and marketing decisions.
* Staying up to date with emerging data engineering technologies, trends, and best practices, and evaluating their applicability to meet evolving analytics needs.
* Document data engineering processes, workflows, and solutions for knowledge sharing and future reference.
* Mentor and coach junior data engineers on best practices using on\-the\-job experiences.
* Ability and flexibility to coordinate and work with teams distributed across time zones, as needed.
 Qualifications
 * Bachelor's or master's degree in computer science or related engineering field and deep experience with Cloud computing
* 5\+ years of professional experience in data engineering or related fields
* Proficiency in Python, Java, or Scala for data processing and automation
* Hands\-on experience with data orchestration tools (e.g., Apache Airflow, Luigi) and big data ecosystems (e.g., Hadoop, Spark, NoSQL)
* Expert knowledge of Data quality functions like cleansing, standardization, parsing, de\-duplication, mapping, hierarchy management, etc.
* Deep understanding of Data Product Lifecycle, Standards and Practices
* Ability to perform extensive data analysis (comparing multiple datasets) using a variety of tools
* Proven ability to mentor team members and lead technical initiatives across multiple workstreams
* Effective communication and stakeholder management skills to drive alignment and adoption of data engineering standards
* Demonstrated experience in data management \&amp; data governance capabilities
* Familiarity with data warehousing principles and best practices.
* Excellent problem solver \- use of data and technology to solve problems or answer complex data related questions
* Excellent collaboration skills to work effectively in cross\-functional teams.
 Compensation
**Bonus Eligible: Yes** 
**Long \- Term Incentive: Yes** 
**Benefits Eligible: Yes** 
 Salary Range
 The expected salary range for this role is $138,207 \- $172,758 per year
 The above represents the expected salary range for this job requisition. Ultimately, in determining your pay, we may also consider your experience, and other job\-related factors.
 Competencies Execution Proficiency Background \&amp; Values Strategic Proficiency Building Blocks Talent Proficiency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Long term Incentive eligible: This position is eligible for stock or other equity grants pursuant to McDonald’s long\-term incentive plan.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t>
        </is>
      </c>
    </row>
    <row r="4">
      <c r="A4" t="inlineStr">
        <is>
          <t>li-4368690922</t>
        </is>
      </c>
      <c r="B4" t="inlineStr">
        <is>
          <t>Data Engineer</t>
        </is>
      </c>
      <c r="C4" t="inlineStr">
        <is>
          <t>The Value Maximizer</t>
        </is>
      </c>
      <c r="D4" t="inlineStr">
        <is>
          <t>linkedin</t>
        </is>
      </c>
      <c r="E4" t="inlineStr"/>
      <c r="F4" t="inlineStr"/>
      <c r="G4" t="inlineStr">
        <is>
          <t>Austin, TX</t>
        </is>
      </c>
      <c r="H4" t="inlineStr"/>
      <c r="I4"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5">
      <c r="A5" t="inlineStr">
        <is>
          <t>li-4368811754</t>
        </is>
      </c>
      <c r="B5" t="inlineStr">
        <is>
          <t>Data Engineer</t>
        </is>
      </c>
      <c r="C5" t="inlineStr">
        <is>
          <t>The Value Maximizer</t>
        </is>
      </c>
      <c r="D5" t="inlineStr">
        <is>
          <t>linkedin</t>
        </is>
      </c>
      <c r="E5" t="inlineStr"/>
      <c r="F5" t="inlineStr"/>
      <c r="G5" t="inlineStr">
        <is>
          <t>Florida, United States</t>
        </is>
      </c>
      <c r="H5" t="inlineStr"/>
      <c r="I5"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6">
      <c r="A6" t="inlineStr">
        <is>
          <t>li-4313805450</t>
        </is>
      </c>
      <c r="B6" t="inlineStr">
        <is>
          <t>Analytics Engineer</t>
        </is>
      </c>
      <c r="C6" t="inlineStr">
        <is>
          <t>OpenAI</t>
        </is>
      </c>
      <c r="D6" t="inlineStr">
        <is>
          <t>linkedin</t>
        </is>
      </c>
      <c r="E6" t="inlineStr"/>
      <c r="F6" t="inlineStr"/>
      <c r="G6" t="inlineStr">
        <is>
          <t>San Francisco, CA</t>
        </is>
      </c>
      <c r="H6" t="inlineStr"/>
      <c r="I6" t="inlineStr">
        <is>
          <t>**About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 serve and sales led motions.
 This role is based in San Francisco, CA. We use a hybrid work model of 3 days in the office per week and offer relocation assistance to new employees.
**In This Role, You Will**
* Embed with the GTM team as a trusted partner, identifying high\-impact analytics problems and pioneering data\-driven solutions.
* Establish a data\-driven culture by driving the definition, tracking, and operationalizing of metrics
* Manage cross\-functional data projects about revenue, pricing, sales, product, marketing, growth, and other topics core to the business.
* Create scalable pipelines for data collection, cleaning, and analysis from multiple sources, and manage the lifecycle of metrics and models from prototyping to production.
* Develop and refine tools such as dashboards and reports that empower the team to extract and analyze data independently.
* Conduct analyses to uncover insights and inform key decisions.
* Use presentations, memos, and tools to communicate complex data insights clearly and persuasively across the organization.
**You Might Thrive In This Role If You Are/have**
* Over 10 years of experience in a relevant Data role within dynamic, outcome\-driven organizations.
* Highly skilled in SQL, with extensive experience extracting large datasets and designing ETL workflows.
* Proficient in quantitative programming languages, Python preferred.
* Experienced in using business intelligence tools, such as Tableau and Looker, to communicate insights and enable self\-serve.
* Familiar with advanced custom visualizations, such as streamlit and plotly dash.
* Adept at crafting clear data stories using decks, memos, and dashboards to drive decision\-making at every level.
* Best\-in\-class attention to detail and unwavering commitment to accuracy.
* Demonstrated ability to build effective partnerships across diverse teams and influence decision making with data.
* Proven track record of delivering significant business impact, with a solid track record in Sales, Marketing, Finance, Growth, Support, or other GTM\-related areas preferred.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$234K \- $335K</t>
        </is>
      </c>
    </row>
    <row r="7">
      <c r="A7" t="inlineStr">
        <is>
          <t>li-4357409189</t>
        </is>
      </c>
      <c r="B7" t="inlineStr">
        <is>
          <t>Data Engineer</t>
        </is>
      </c>
      <c r="C7" t="inlineStr">
        <is>
          <t>City of New York</t>
        </is>
      </c>
      <c r="D7" t="inlineStr">
        <is>
          <t>linkedin</t>
        </is>
      </c>
      <c r="E7" t="inlineStr"/>
      <c r="F7" t="inlineStr"/>
      <c r="G7" t="inlineStr">
        <is>
          <t>Manhattan, NY</t>
        </is>
      </c>
      <c r="H7" t="inlineStr"/>
      <c r="I7" t="inlineStr">
        <is>
          <t>The IT \&amp; Telecom division is seeking a highly skilled, detail\-oriented Data Engineer to support the Enterprise Data Science and Engineering Unit (EDSE). EDSE is a specialized team within the Agency dedicated to designing and operating advanced data storage and processing solutions capable of handling very large datasets, or “Big Data.” In addition to overseeing Big Data operations, EDSE partners with Agency analysts and data scientists to empower leadership and planners with actionable, data\-driven insights for critical projects and strategic initiatives.
 The Data Engineer will play a key role in supporting the Department of Sustainable Delivery (DSD), a new division within the NYC Department of Transportation focused on the rapid growth of app\-based deliveries and the increasing use of electric micromobility devices such as e\-bikes, mopeds, and scooters. DSD brings together data analytics, policy, enforcement, education, and industry oversight to address the unique safety and operational challenges posed by the commercial use of micromobility. By collaborating with DSD, the Data Engineer will help develop and maintain data systems that enable the division to monitor, analyze, and report on micromobility trends, support enforcement and policy initiatives, and ensure that data\-driven insights contribute to a safer and more sustainable transportation future for New York City.
 Under the direction and supervision of the Director, the Data Engineer will: architect, implement, and maintain scalable data pipelines using Apache NiFi for ETL and real\-time data integration; design, optimize, and manage Snowflake data warehouses, including schema design, performance tuning, and security controls; administer Linux\-based cloud environments (Azure, AWS, or GCP), including automation of deployments, patching, and monitoring; develop and maintain CI/CD workflows for data engineering solutions; collaborate with data scientists and analysts to deliver high\-quality, production\-ready datasets and analytics solutions; implement robust data governance, lineage, and auditing practices; troubleshoot and resolve issues across the data platform, including connectivity, performance, and security; mentor Agency staff and contribute to technical best practices and documentation; and perform other data engineering tasks as assigned to support a dynamic and fast\-paced team, among other duties.
 IT INFRASTRUCTURE ENGINEER \- 95714
**Minimum Qualifications**
* A baccalaureate degree from an accredited college in computer science, engineering or a related field and four years of satisfactory full\-time experience related to datacenter engineering and operations, cloud engineering and operations, complex IT infrastructure engineering; or,
* A baccalaureate degree from an accredited college and eight years of satisfactory full\-time experience related to datacenter engineering and operations, cloud engineering and operations, complex IT infrastructure engineering; or,
* Education and/or experience which is equivalent to "1" or "2" above.
**Preferred Skills**
* 3\+ years hands\-on experience architecting and operating Apache NiFi flows in production. \- 3\+ years of advanced Snowflake experience, including data sharing, security, and performance optimization. \- Strong Linux administration skills in cloud environments experience with shell scripting and automation tools. \- Fluency in Python, SQL \- Experience integrating NiFi with cloud storage, databases, and APIs. \- Familiarity with infrastructure\-as\-code (Terraform, Ansible) for cloud resource management. \- Experience with Git\-based workflows, including branching, merging, pull requests, and version control best practices \- Experience with monitoring, alerting, and logging solutions for data platforms. \- Knowledge of secure data handling, including TLS/SSL, role\-based access, and compliance standards. \- Cloud certification (Azure, AWS, or GCP) highly desirable. \- Excellent organizational and interpersonal skills and ability to work cross\-functionally. \- Ability to effectively prioritize and execute tasks in a high\-pressure environment. \- Ability to understand and gather client requirements as well as provide a solution that meets or exceeds client expectations.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$75,000\.00 – $128,010\.00</t>
        </is>
      </c>
    </row>
    <row r="8">
      <c r="A8" t="inlineStr">
        <is>
          <t>li-4316347719</t>
        </is>
      </c>
      <c r="B8" t="inlineStr">
        <is>
          <t>Data Engineer II - QuantumBlack, AI by McKinsey</t>
        </is>
      </c>
      <c r="C8" t="inlineStr">
        <is>
          <t>QuantumBlack, AI by McKinsey</t>
        </is>
      </c>
      <c r="D8" t="inlineStr">
        <is>
          <t>linkedin</t>
        </is>
      </c>
      <c r="E8" t="inlineStr"/>
      <c r="F8" t="inlineStr"/>
      <c r="G8" t="inlineStr">
        <is>
          <t>New York, NY</t>
        </is>
      </c>
      <c r="H8" t="inlineStr"/>
      <c r="I8"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Engineer II, you will design, build, and optimize modern data platforms that power advanced analytics and AI solutions.
 You’ll collaborate with clients and interdisciplinary teams to architect scalable pipelines, manage secure and compliant data environments, and unlock the value of complex datasets across industries. You’ll sharpen your expertise by working on innovative projects, contributing to R\&amp;D, and learning from top\-tier talent in a dynamic, global environment.
 Your work will drive lasting impact. By ensuring data is accurate, accessible, and production\-ready, you’ll enable clients to accelerate digital transformations, adopt AI responsibly, and achieve measurable business outcomes. Here’s how you might contribute in a given year:
* Develop a streaming data platform to integrate telemetry for predictive maintenance in aerospace systems
* Implement secure data pipelines that reduce time\-to\-insight for a Fortune 500 utility company
* Optimize large\-scale batch and streaming workflows for a global financial services client, cutting infrastructure costs while improving performance.
* Develop pipelines for embeddings and vector databases to enable retrieval\-augmented generation (RAG) for a global defense client.
 You’ll work in cross\-functional Agile teams with Data Scientists, Machine Learning Engineers, Designers, and domain experts to deliver high\-quality analytics solutions. Partnering closely with clients—from data owners to C\-level executives—you’ll shape data ecosystems that drive innovation and long\-term resilience.
 This role offers an exceptional environment to grow as a technologist and collaborator. You’ll develop expertise at the intersection of technology and business by tackling diverse challenges while collaborating with some of the best technical and business talent in the world.
 There is flexibility to hire at the Engineer I/II or Senior Engineer level, depending on your experience
**Your Qualifications and Skills**
* Degree in Computer Science, Business Analytics, Engineering, Mathematics, or related field
* 2\+ years of professional experience in data engineering, software engineering, or adjacent technical roles
* Proficiency in Python, Scala, or Java for production\-grade pipelines, with strong skills in SQL and PySpark
* Hands\-on experience with cloud platforms such as (AWS, GCP, Azure, Oracle) and modern data storage/warehouse solutions such as Snowflake, BigQuery, Redshift, and Delta Lake
* Practical experience with Databricks, AWS Glue, and transformation frameworks like dbt, Dataform, or Databricks Asset Bundles
* Knowledge of distributed systems such as (Spark, Dask, Flink) and streaming platforms (Kafka, Kinesis, Pulsar) for real\-time and batch processing
* Familiarity with workflow orchestration tools such as (Airflow, Dagster, Prefect), CI/CD for data workflows, and infrastructure\-as\-code (Terraform, CloudFormation)
* Understanding of DataOps principles including pipeline monitoring, testing, and automation, with exposure to observability tools such as Datadog, Prometheus, and Great Expectations
* Exposure to ML platforms such as (Databricks, SageMaker, Vertex AI), MLOps best practices, and GenAI toolkits (LangChain, LlamaIndex, Hugging Face)
* Familiarity with vector databases and understanding of low latency serving patterns is a plus
* Willingness to travel as required
* Strong communication, time management, and resilience, with the ability to align technical solutions to business value</t>
        </is>
      </c>
    </row>
    <row r="9">
      <c r="A9" t="inlineStr">
        <is>
          <t>li-4368696879</t>
        </is>
      </c>
      <c r="B9" t="inlineStr">
        <is>
          <t>Data Engineer</t>
        </is>
      </c>
      <c r="C9" t="inlineStr">
        <is>
          <t>The Value Maximizer</t>
        </is>
      </c>
      <c r="D9" t="inlineStr">
        <is>
          <t>linkedin</t>
        </is>
      </c>
      <c r="E9" t="inlineStr"/>
      <c r="F9" t="inlineStr"/>
      <c r="G9" t="inlineStr">
        <is>
          <t>New Jersey, United States</t>
        </is>
      </c>
      <c r="H9" t="inlineStr"/>
      <c r="I9"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0">
      <c r="A10" t="inlineStr">
        <is>
          <t>li-4368670481</t>
        </is>
      </c>
      <c r="B10" t="inlineStr">
        <is>
          <t>Data Engineer</t>
        </is>
      </c>
      <c r="C10" t="inlineStr">
        <is>
          <t>VieCure</t>
        </is>
      </c>
      <c r="D10" t="inlineStr">
        <is>
          <t>linkedin</t>
        </is>
      </c>
      <c r="E10" t="inlineStr"/>
      <c r="F10" t="inlineStr"/>
      <c r="G10" t="inlineStr"/>
      <c r="H10" t="inlineStr"/>
      <c r="I10" t="inlineStr">
        <is>
          <t>**This job requires the job holder to be in our Denver office 5 days per week minimum. Please only apply if you are comfortable with the location and commute.** 
 Are you interested in leading the transformation of cancer care through putting world\-leading scientific data and knowledge in the hands of doctors and other members of the medical team? Do you have a passion for solutions that empower patients to take charge of their care and bring world\-class solutions to winning the cancer battle? If so, join our team at VieCure, the company that promises to revolutionize the way cancer care is delivered.
 At VieCure, we are dedicated to transforming the oncology space through innovative technology solutions. Our mission is to empower clinicians and patients with data\-driven insights, supporting personalized cancer care. Join our team of passionate professionals working to make a difference in people’s lives.
 We are seeking a skilled and collaborative
 **Data Engineer** 
 to join our team in Denver, CO. The ideal candidate will work alongside our DBA and API/Services team to design, build, and maintain scalable data solutions that support the company's growing needs. This role is critical in ensuring the seamless flow, transformation, and quality of data across systems to drive operational and analytical excellence.
**Key Responsibilities** 
 :
* **Data Pipeline Development** 
 : Design, build, and maintain scalable and reliable ETL/ELT pipelines to support data ingestion, transformation, and loading into Azure SQL and SQL Server databases.
* **Data Integration** 
 : Collaborate with the API/Services team to develop seamless integrations between APIs, microservices, and database systems, ensuring efficient data exchange and synchronization.
* **Data Modeling** 
 : Work with the DBA to design and implement optimized database schemas and data models that align with application and reporting requirements.
* **Data Quality Assurance** 
 : Implement processes and tools to monitor, validate, and ensure the quality and integrity of the data across the pipeline.
* **Cross\-Team Collaboration** 
 : Act as a liaison between the DBA, API/Services team, and business stakeholders to understand data requirements and deliver solutions that support business goals.
* **Documentation** 
 : Maintain comprehensive documentation for pipelines, data models, and processes to ensure smooth knowledge transfer and onboarding.
* **Security \&amp; Compliance** 
 : Ensure data engineering practices adhere to data security, privacy, and compliance regulations, working alongside the DBA to enforce database\-level policies.
* **Data Insights Enablement** 
 : Enable analytics and reporting by preparing data for visualization and analysis (e.g., aggregating or transforming data for Power BI, dashboards, etc.).
**Experience \&amp; Skills** 
 :
* Proven experience with
 **Azure SQL** 
 and
 **SQL Server** 
 .
* Hands\-on experience building and maintaining ETL/ELT pipelines.
* Familiarity with data integration best practices and tools.
* Knowledge of
 **Power BI** 
 or similar visualization tools.
* Strong understanding of relational database design and data modeling.
* Experience in cross\-functional collaboration and stakeholder communication.
* Understanding of data security, privacy, and compliance considerations.
* Strong analytical and problem\-solving skills.
**Preferred Qualifications** 
 :
* Familiarity with tools such as Azure Data Factory or SSIS.
* Experience working in a healthcare or regulated environment.
* Certifications such as
 **Azure Data Engineer Associate** 
 (preferred but not required).
**Work Environment** 
 :
 This position is
 **full\-time, on\-site** 
 at our Denver, CO office. We value collaboration and teamwork, and our office culture is designed to foster innovation and creativity.
**Why Join Us?** 
* Competitive salary and benefits package.
* Opportunity to work on impactful projects in the healthcare technology space.
* Collaborative and supportive work environment.
* A chance to make a tangible difference in patients’ lives.</t>
        </is>
      </c>
    </row>
    <row r="11">
      <c r="A11" t="inlineStr">
        <is>
          <t>li-4368215911</t>
        </is>
      </c>
      <c r="B11" t="inlineStr">
        <is>
          <t>Data Engineer</t>
        </is>
      </c>
      <c r="C11" t="inlineStr">
        <is>
          <t>AARATECH</t>
        </is>
      </c>
      <c r="D11" t="inlineStr">
        <is>
          <t>linkedin</t>
        </is>
      </c>
      <c r="E11" t="inlineStr"/>
      <c r="F11" t="inlineStr"/>
      <c r="G11" t="inlineStr"/>
      <c r="H11" t="inlineStr"/>
      <c r="I11"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2">
      <c r="A12" t="inlineStr">
        <is>
          <t>li-4368277006</t>
        </is>
      </c>
      <c r="B12" t="inlineStr">
        <is>
          <t>Sr. Data Engineer, Enterprise Data &amp; Analytics</t>
        </is>
      </c>
      <c r="C12" t="inlineStr">
        <is>
          <t>Rivian</t>
        </is>
      </c>
      <c r="D12" t="inlineStr">
        <is>
          <t>linkedin</t>
        </is>
      </c>
      <c r="E12" t="inlineStr"/>
      <c r="F12" t="inlineStr"/>
      <c r="G12" t="inlineStr">
        <is>
          <t>Riverdale, GA</t>
        </is>
      </c>
      <c r="H12" t="inlineStr"/>
      <c r="I12"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critical role, you will work directly with our Facilities team to enable our business leaders and domain analysts to leverage data from across the enterprise to enable data\-driven decision\-making. You will also partner with extended team of data engineers within the Enterprise Data team to consistently implement best practices related to data pipelines and data modeling. This role will be located in Atlanta, GA and report to our Director of Enterprise Data \&amp; Analytics.
**Responsibilities**
* Own and drive the design, development and implementation of Facilities data pipelines and data \+ analytics catalog (ELT) to provide stakeholders access to structured data
* Build and maintain large scale data pipelines from internal and external data sources into our datalake on Databricks – you will be building the data ingestion and transformation layer, including bronze, silver and gold tables
* Build modular set of data services using SQL, Python, DBT, AWS services, and other tools with appropriate controls as set by Data Governance policy
* Automate and schedule jobs and optimize for performance
* Implement observability on pipelines to ensure accuracy of high priority datasets using tools such as Lakehouse Monitoring, Montecarlo etc.
**Qualifications**
* Bachelor’s degree in Business Analytics, Economics, Statistics, Engineering, Computer Science or related area; Master’s degree a plus
* 5\+ years of hands\-on experience in data with a deep understanding of data engineering best practices and datawarehousing principles
* Expert in analytics tech stack and scripting/automation – Databricks, Fivetran, SQL, Python, DBT, Git
* Experience with cloud technologies, such as S3, ECS, EMR, lambdas, Glue
* We operate like a start up \- You have to be a quick learner, very quick on your feet and self sufficient
* Comfortable working in a fast\-paced, agile environment
* Strong communication skills, attention to detail and ability to partner effectively with extended team and stakeholders
**Preferred Experience**
* Experience in data engineering or analytics supporting large\-scale capital programs, infrastructure projects, or construction.
* Familiarity with data ecosystems and ERPs common in the Commercial Real Estate (CRE) industry, particularly from an owner's, operator's, or developer's perspective.
**Pay Disclosure**
 Salary Range for this role is $111,000 \- $138,700 for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February 6, 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3">
      <c r="A13" t="inlineStr">
        <is>
          <t>li-4368228679</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li-4368237294</t>
        </is>
      </c>
      <c r="B14" t="inlineStr">
        <is>
          <t>Data Engineer</t>
        </is>
      </c>
      <c r="C14" t="inlineStr">
        <is>
          <t>AARATECH</t>
        </is>
      </c>
      <c r="D14" t="inlineStr">
        <is>
          <t>linkedin</t>
        </is>
      </c>
      <c r="E14" t="inlineStr"/>
      <c r="F14" t="inlineStr"/>
      <c r="G14" t="inlineStr"/>
      <c r="H14" t="inlineStr"/>
      <c r="I1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5">
      <c r="A15" t="inlineStr">
        <is>
          <t>li-4368216830</t>
        </is>
      </c>
      <c r="B15" t="inlineStr">
        <is>
          <t>Data Engineer</t>
        </is>
      </c>
      <c r="C15" t="inlineStr">
        <is>
          <t>AARATECH</t>
        </is>
      </c>
      <c r="D15" t="inlineStr">
        <is>
          <t>linkedin</t>
        </is>
      </c>
      <c r="E15" t="inlineStr"/>
      <c r="F15" t="inlineStr"/>
      <c r="G15" t="inlineStr"/>
      <c r="H15" t="inlineStr"/>
      <c r="I15"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6">
      <c r="A16" t="inlineStr">
        <is>
          <t>li-4368632770</t>
        </is>
      </c>
      <c r="B16" t="inlineStr">
        <is>
          <t>Data Engineer, Sr.</t>
        </is>
      </c>
      <c r="C16" t="inlineStr">
        <is>
          <t>Providence</t>
        </is>
      </c>
      <c r="D16" t="inlineStr">
        <is>
          <t>linkedin</t>
        </is>
      </c>
      <c r="E16" t="inlineStr"/>
      <c r="F16" t="inlineStr"/>
      <c r="G16" t="inlineStr"/>
      <c r="H16" t="inlineStr"/>
      <c r="I16" t="inlineStr">
        <is>
          <t>**About The Company** 
 Providence is a renowned healthcare organization dedicated to providing compassionate, high\-quality care to diverse communities across multiple states including Alaska, California, Montana, New Mexico, Oregon, Texas, and Washington. With a mission rooted in the promise of “Know me, care for me, ease my way,” Providence emphasizes patient\-centered approaches, innovation, and community engagement. The organization operates over 50 hospitals, more than 1,000 clinics, and a broad spectrum of health and social services, supported by a team of approximately 120,000 caregivers. Providence is committed to fostering an inclusive, diverse, and respectful work environment, where every employee is valued and empowered to contribute to the organization’s mission of caring for the vulnerable and improving health outcomes.
**About The Role** 
 We are seeking a highly skilled Data Engineer to join our Providence Shared Services team. In this role, you will leverage your expertise in healthcare data management, cloud computing, and modern software development to analyze clinical data, identify trends, and develop innovative data\-centric applications. Your responsibilities will include designing and building scalable data pipelines, data transformation processes, and user interfaces that support clinical and operational decision\-making. You will work closely with cross\-functional teams, including Product, Platform, and Architecture, to deliver solutions that meet key healthcare initiatives. The role offers the flexibility of telecommuting from any state where Providence has offices, including Alaska, Washington, Oregon, California, Montana, New Mexico, and Texas. You will have opportunities to mentor less experienced data engineers, participate in research and development of new technologies, and establish best practices for data management and processing.
**Qualifications** 
* Bachelor’s degree in Computer Engineering, Computer Science, Mathematics, Engineering, or a related field
* Minimum of five years of experience in data engineering or related roles
* Proficiency in cloud computing platforms and data warehousing solutions
* Experience with Linux, Hadoop, Spark, and NoSQL platforms
* Strong SQL skills along with shell scripting, Python, or similar programming languages
* Knowledge of relational database design, OLAP, and data warehousing concepts
* Familiarity with unstructured and multimodal data formats and APIs
* Understanding of modern application development frameworks
* Experience with commercial and open\-source ETL/ELT tools
* Knowledge of AI/ML, prompt engineering, and large language models (LLMs)
**Responsibilities** 
* Design, develop, and maintain scalable data pipelines and transformation processes to support clinical and operational analytics
* Create data enrichment processes and provisioning layers to ensure data quality and accessibility
* Build user interfaces and dashboards to facilitate data visualization and decision\-making
* Collaborate with cross\-functional teams to understand data requirements and deliver tailored solutions
* Mentor and assist junior Data Engineers in best practices and technical challenges
* Participate in research and development initiatives to explore emerging technologies and methodologies
* Document data processes, workflows, and architecture to ensure clarity and reproducibility
* Prioritize source control, meticulous documentation, and simple solutions to complex problems
* Work with Product, Platform, and Architecture teams to align data strategies with organizational goals
**Benefits** 
* Comprehensive health care benefits including medical, dental, and vision coverage
* Retirement plan with employer matching contributions
* Paid time off including vacations, holidays, and parental leave
* Disability and life insurance coverage
* Voluntary benefits and well\-being resources
* Flexible telecommuting options to support work\-life balance
* Opportunities for professional development and career growth
 Equal Opportunity
 Providence is an Equal Opportunity Employer committed to fostering an inclusive environment where diversity is valued. We do not discriminate based on race, color, gender, disability, veteran status, military service, religion, age, national origin, sexual orientation, gender identity or expression, marital status, genetic information, or any other protected characteristic.</t>
        </is>
      </c>
    </row>
    <row r="17">
      <c r="A17" t="inlineStr">
        <is>
          <t>li-4302981241</t>
        </is>
      </c>
      <c r="B17" t="inlineStr">
        <is>
          <t>Senior Data Engineer</t>
        </is>
      </c>
      <c r="C17" t="inlineStr">
        <is>
          <t>Carrot</t>
        </is>
      </c>
      <c r="D17" t="inlineStr">
        <is>
          <t>linkedin</t>
        </is>
      </c>
      <c r="E17" t="inlineStr"/>
      <c r="F17" t="inlineStr"/>
      <c r="G17" t="inlineStr"/>
      <c r="H17" t="inlineStr"/>
      <c r="I17"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The Senior Data Engineer leads the evolution, reliability, and scalability of the modern data infrastructure across analytics, reporting, and business intelligence. This role is responsible for architecting, building, and maintaining robust, automated data pipelines, orchestrating workflows, integrating diverse data sources, and partnering with stakeholders across the business to deliver secure, compliant, high\-quality data solutions. Hands\-on responsibilities span the full data lifecycle, from architecting resilient ETL/ELT pipelines and developing real\-time and batch data integrations to automating reporting, optimizing technical debt, and enabling advanced analytics. Senior Data Engineers are operational stewards and technical mentors, driving improvements in system maturity, cost efficiency, automation, and collaborative practices.
**The Team:** 
 Our Data Engineering team develops and optimizes scalable data pipelines and cloud infrastructure to enable secure, automated reporting and analytics. We collaborate closely with partner, product, finance, and legal teams to deliver reliable integrations and self\-serve solutions that drive business insights and operational efficiency. The team leads technical incident management, data governance, and ongoing improvements while supporting cross\-functional mentorship and stakeholder needs.
**Minimum Qualifications:** 
* Expert\-level proficiency in Snowflake, dbt, and Python for data modeling, transformation, pipeline development, and advanced analytics.
* Advanced SQL skills for complex querying, large\-scale data model design, and database optimization.
* Proven experience architecting, building, testing, deploying, and maintaining scalable, automated ETL/ELT pipelines using modern orchestration tools such as Prefect and Airflow.
* Hands\-on administration of cloud\-based data warehouse and lake platforms—Snowflake, AWS (S3, Redshift), Google Cloud—including integration of new sources and performance optimization.
* Strong understanding of secure external data flows through SFTP, Files.com: Next\-Generation MFT, SFTP \&amp; File Sharing , and APIs, with a focus on reliability and compliance.
* Mastery of version control (Git, GitHub) and structured workflow management (Jira) for code review, audit trails, and operational transparency.
* Demonstrated ability to automate and simplify complex manual tasks, building robust, reusable pipeline components that reduce operational overhead.
* Depth in orchestrating workflows with custom scheduling, alerting, dependency management, monitoring, and error resolution.
* Dependability, adaptability, and a strong collaborative approach to engineering, thriving in dynamic and ambiguous environments.
**Preferred Qualifications:** 
* Extensive hands\-on experience in dynamic, fast\-paced settings, including startup or rapid\-growth environments, delivering technical solutions under shifting priorities.
* Direct background supporting cross\-functional teams—business intelligence, analytics, and data science—by enabling large\-scale integrations, multi\-tenant reporting, and advanced analytics tooling.
* Familiarity with both batch and event\-driven ingestion paradigms, including building near\-real\-time data pipelines utilizing Snowflake, dbt, and Python.
* Experience automating complex operational, financial, or compliance\-driven workflows within cloud data environments.
* Exposure to audit, privacy, and compliance frameworks (SOC, HIPAA, GDPR, ISO, SOX), particularly in implementing robust data governance and secure access controls.
* Experience working with regulated industries such as healthcare, healthtech, or SaaS environments.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$155,000\.00 \- $195,000\.00\.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18">
      <c r="A18" t="inlineStr">
        <is>
          <t>li-4357479769</t>
        </is>
      </c>
      <c r="B18" t="inlineStr">
        <is>
          <t>Azure Data Engineer</t>
        </is>
      </c>
      <c r="C18" t="inlineStr">
        <is>
          <t>Persistent Systems</t>
        </is>
      </c>
      <c r="D18" t="inlineStr">
        <is>
          <t>linkedin</t>
        </is>
      </c>
      <c r="E18" t="inlineStr"/>
      <c r="F18" t="inlineStr"/>
      <c r="G18" t="inlineStr">
        <is>
          <t>Los Angeles, CA</t>
        </is>
      </c>
      <c r="H18" t="inlineStr"/>
      <c r="I18"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have delivered 23 sequential quarters of growth with $422\.5M in Q3 FY26 revenue, up 4\.0% Q\-o\-Q and 17\.3% Y\-o\-Y growth. Our 26,500\+ global team members, located in 18 countries, have been instrumental in helping the market leaders transform their industries. We won the 2025 ISG Star of Excellence™ Award for AI and Data Excellence and were named a Leader in the Everest Group Talent Readiness for Next\-generation Data, Analytics and AI Services PEAK Matrix® Assessment 2025\.
**About Position:** 
 We are seeking highly skilled Azure Data Engineer with strong expertise in SQL, Python, Datawarehouse, Cloud ETL tools to join our data team. The ideal candidate will design, implement and optimize large\-scale data pipeline, ensuring scalability, reliability, and performance. This role involves working closely with multiple teams and business stakeholders to deliver cutting\-edge data solutions
**About Position:** 
**Role: Azure Databricks Engineer** 
**Location: Los Angeles CA (Hybrid)** 
**Hire Type: Fulltime** 
**Experience: 8\+ years of experience** 
**What You'll Do:** 
* Strong expertise in Databricks (Delta Lake, Unity Catalog, Lakehouse Architecture, Table Triggers, Delta Live Pipelines, Databricks Runtime etc.)
* Proficiency in Azure Cloud Services.
* Solid Understanding of Spark and PySpark for big data processing.
* Experience in relational databases.
* Knowledge on Databricks Asset Bundles and GitLab.
**Expertise You'll Bring:** 
* Data Pipeline Development:
* Build and maintain scalable ETL/ELT pipelines using Databricks.
* Leverage PySpark/Spark and SQL to transform and process large datasets.
* Integrate data from multiple sources including Azure Blob Storage, ADLS and other relational/non\-relational systems.
* Collaboration \&amp; Analysis:
* Work Closely with multiple teams to prepare data for dashboard and BI Tools.
* Collaborate with cross\-functional teams to understand business requirements and deliver tailored data solutions.
* Performance \&amp; Optimization:
* Optimize Databricks workloads for cost efficiency and performance.
* Monitor and troubleshoot data pipelines to ensure reliability and accuracy.
* Governance \&amp; Security:
* Implement and manage data security, access controls and governance standards using Unity Catalog.
* Ensure compliance with organizational and regulatory data policies.
* Deployment:
* Leverage Databricks Asset Bundles for seamless deployment of Databricks jobs, notebooks and configurations across environments.
* Manage version control for Databricks artifacts and collaborate with team to maintain development best practices.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Our company fosters a values\-driven and people\-centric work environment that enables our employees to:
* Accelerate growth, both professionally and personally
* Impact the world in powerful, positive ways, using the latest technologies
* Enjoy collaborative innovation, with diversity and work\-life wellbeing at the core
* Unlock global opportunities to work and learn with the industry’s best</t>
        </is>
      </c>
    </row>
    <row r="19">
      <c r="A19" t="inlineStr">
        <is>
          <t>li-4368661089</t>
        </is>
      </c>
      <c r="B19" t="inlineStr">
        <is>
          <t>Analytics Engineer</t>
        </is>
      </c>
      <c r="C19" t="inlineStr">
        <is>
          <t>Decentralized Masters</t>
        </is>
      </c>
      <c r="D19" t="inlineStr">
        <is>
          <t>linkedin</t>
        </is>
      </c>
      <c r="E19" t="inlineStr"/>
      <c r="F19" t="inlineStr"/>
      <c r="G19" t="inlineStr">
        <is>
          <t>Miami, FL</t>
        </is>
      </c>
      <c r="H19" t="inlineStr"/>
      <c r="I19" t="inlineStr">
        <is>
          <t>**Who Are We?**
 Decentralized Masters is at the forefront of DeFi education globally. In just two years, we have grown from a pioneering pair of co\-founders to over 120 dedicated professionals. Today, we are recognized as one of the fastest\-growing enterprises in the sector, with industry insiders predicting our evolution into a unicorn company by 2030\. Operating on a bootstrapped model, we are on track to achieve an impressive $50 million in revenue this year alone.
**Our Impact**
 While our growth has been remarkable, we take even greater pride in the success of our clients. To date, we have empowered over 4,000 investors to break into the DeFi world. At Decentralized Masters, we don't just offer education; we cultivate a powerhouse of knowledge combined with an engaging community, innovative technology, and a team of leading DeFi and blockchain experts. Our commitment is to deliver unparalleled resources designed for long\-term success in the world of DeFi and Web3, ensuring our members not only safeguard but also enhance their financial future.
**Our Vision**
 Our goal is to create the largest and most influential DeFi ecosystem the world has ever seen, starting with becoming the gold standard in DeFi education. This vision is ambitious, transformative, and poised to change the landscape of digital finance.
**Are You Ready?**
 This is more than just a job; it's an opportunity to shape the future of Web3 technology and education. Are you ready to be part of our vision to redefine what's possible in DeFi and beyond? Apply below, and let's explore this journey together.
**Check us out here:** 
**Decentralized Masters**
**What will you be doing?**
 As the Analytics Engineer, you'll be at the center of how data flows across Decentralized Masters. You'll architect and own our Snowflake data warehouse, design automated data pipelines from marketing platforms, CRM systems, and payment tools, and build dashboards that turn complex data into clear, actionable insights for our leadership team.
 This hands\-on role blends data engineering, SQL development, and business intelligence, offering a chance to make a direct impact on company\-wide decision\-making as we scale from $50M to unicorn status.
**Key Responsibilities**
 Snowflake Data Warehouse Management
* Architect and manage our Snowflake environment (schemas, warehouses, users, roles)
* Design and implement data models using Bronze → Silver → Gold layer architecture
* Write advanced SQL to transform, clean, and aggregate data from multiple sources
* Optimize query performance and costs in Snowflake
* Implement data governance and security best practices
 Data Pipeline \&amp; Integration Management
* Configure and maintain ETL/ELT tools (Fivetran, Airbyte, or similar) to sync data into Snowflake
* Connect data sources: HubSpot (CRM/marketing), ad platforms (Meta, Google, TikTok), Stripe (payments), and analytics tools
* Monitor pipeline health, troubleshoot data consistency issues, and ensure data freshness
* Handle schema changes and API updates
 Data Modeling and Transformation
* Design dimensional data models (fact and dimension tables, star schemas)
* Build standardized business metrics for marketing, sales, and finance
* Combine, clean, and transform data from multiple sources for consistent business use
* Collaborate with stakeholders to translate business needs into scalable data structures
 Business Intelligence and Reporting
* Build and maintain dashboards (Sigma Computing, Tableau, Power BI, or similar) that empower business teams with real\-time insights
* Create executive dashboards for marketing performance, sales funnel, customer analytics, and revenue metrics
* Define, document, and maintain consistent KPIs across departments
* Perform ad\-hoc analysis to answer critical business questions
 Automation and Data Quality
* Implement automated workflows for reporting and data synchronization
* Build data quality checks, alerts, and monitoring to maintain reliability
* Create and maintain documentation for all pipelines, data models, and metrics
**Requirements**
**What do you bring?**
 Must\-Have Skills:
* 4\-6\+ years as Analytics Engineer, Data Engineer, or BI Developer
* Expert\-level Snowflake experience (this is the \#1 requirement)
+ Built production Snowflake data warehouses
+ Designed schemas and optimized performance
* Advanced SQL proficiency \- Complex joins, CTEs, window functions, query optimization
* ETL/pipeline experience \- Configured tools like Fivetran, Airbyte, or Stitch
* Data modeling expertise \- Dimensional modeling, star schemas, fact/dimension tables
* BI tool experience \- Built executive dashboards in Sigma, Tableau, Power BI, Looker, or similar
* Business acumen \- Understanding of marketing metrics (CAC, LTV, ROAS), SaaS metrics (MRR, ARR, churn)
* Strong communication \- Translate technical concepts for non\-technical stakeholders
 Preferred Skills:
* Experience with HubSpot or similar CRM data structures
* Python or JavaScript for scripting and automation
* Knowledge of workflow automation tools
* Familiarity with API\-based integrations and JSON data handling
* Exposure to version control (Git) and documentation standards
* Experience with dbt (data build tool) for transformations
* Marketing analytics experience (ad platforms, attribution modeling)
**Benefits**
**What We Offer**
* Competitive compensation package with performance\-based bonuses
* Fully remote, globally distributed team
* Direct impact on data\-driven growth across three critical departments
* Opportunities for rapid career growth and exposure to advanced marketing and operational analytics
* Collaborative, forward\-thinking culture that values innovation and results
 If you are ready to take on a challenge that will shape the future of crypto finance and grow with a team of innovators, we want to hear from you!</t>
        </is>
      </c>
    </row>
    <row r="20">
      <c r="A20" t="inlineStr">
        <is>
          <t>li-4357742453</t>
        </is>
      </c>
      <c r="B20" t="inlineStr">
        <is>
          <t>Analytics Engineer - Hybrid</t>
        </is>
      </c>
      <c r="C20" t="inlineStr">
        <is>
          <t>Vivint</t>
        </is>
      </c>
      <c r="D20" t="inlineStr">
        <is>
          <t>linkedin</t>
        </is>
      </c>
      <c r="E20" t="inlineStr"/>
      <c r="F20" t="inlineStr"/>
      <c r="G20" t="inlineStr">
        <is>
          <t>Lehi, UT</t>
        </is>
      </c>
      <c r="H20" t="inlineStr"/>
      <c r="I20"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**Job Description**
 Our mission is to redefine the home experience with tech and services to create a smarter, greener, safer home that saves our customers money every month.
**Summary**
 As a
 **Analytics Engineer** 
 on our Data Engineering team, you will be responsible for developing the core service that provides data to the entire enterprise. You will be responsible for building the data models consumed throughout Vivint. Working closely with our internal business teams, you will build and help maintain a data platform that provides timely, accurate, and reliable data to thousands of users.
**Primary Responsibilities**
* Build cross functional relationships with other technology teams, business operations teams, and data analytics teams to understand how they generate value as a business unit and how to provide data solutions that support or augment that value.
* Help build and maintain an enterprise data platform with its associated dimensional modeling and ETL processes
* Responsible for designing, building, and maintaining robust data models and pipelines
* Implement best practices and innovative solutions to provide timely, accurate, \&amp; reliable data
* Constantly evaluate and optimize deployment of data models to achieve greater efficiency and reliability
**Required Skills And Experience**
* Must have a passion for data and helping the business turn data into understanding and action
* Ability to both initiate and deliver enterprise\-grade data solutions
* Ability to communicate effectively with business leaders and engineers
* Strong in SQL, databases, and data modeling methodologies
* Bachelor's or Master's degree
* 3\+ years of full\-time data engineering or SQL\-based analytics as your core role using either Snowflake, BigQuery, or Databricks
* Professional experience with dbt (Cloud preferred)
* Professional experience with CI/CD, Azure DevOps, Bitbucket, or similar tools
**Nice\-to\-have Skills And Experience**
* Professional experience with Python based data transformations or Streamlit apps
* Professional experience with Snowflake
 If you reside in or intend to work remotely from California, Colorado, Connecticut, Hawaii, Illinois, Minnesota, Nevada, New York, Ohio, Washington D.C., Washington State or another state or locality with a pay transparency law, you may contact Careers@nrg.com for compensation information related to this position and other information as required by applicable law. Please include the job title in your request.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21">
      <c r="A21" t="inlineStr">
        <is>
          <t>li-4348094777</t>
        </is>
      </c>
      <c r="B21" t="inlineStr">
        <is>
          <t>Data Engineer, Active Grid Response</t>
        </is>
      </c>
      <c r="C21" t="inlineStr">
        <is>
          <t>Gridware</t>
        </is>
      </c>
      <c r="D21" t="inlineStr">
        <is>
          <t>linkedin</t>
        </is>
      </c>
      <c r="E21" t="inlineStr"/>
      <c r="F21" t="inlineStr"/>
      <c r="G21" t="inlineStr">
        <is>
          <t>San Francisco, CA</t>
        </is>
      </c>
      <c r="H21" t="inlineStr"/>
      <c r="I21"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Overview** 
 As a Data Engineer at Gridware, you’ll help build and maintain the pipelines and data systems powering our Active Grid Response platform. You’ll work closely with cross\-functional engineers to ensure telemetry, sensor data, and operational information flows reliably through our Lakehouse and into analytics and monitoring tools. This is a hands\-on, high\-growth role ideal for engineers ready to deepen their expertise in distributed data systems.
**Responsibilities** 
* Building ETL/ELT pipelines that ingest transformer, pole, and sensor telemetry into Gridware’s Data Lake and Lakehouse
* Developing and maintaining real\-time and batch ingestion processes using Python, SQL, Databricks, and Spark
* Implementing data quality checks, validation rules, and automated testing for stable operations
* Collaborating with Software, Firmware, and Data Science teams to define ingestion schemas and transformations
* Working with cloud\-native tools to optimize pipeline throughput and cost efficiency
* Monitoring pipelines for reliability, troubleshooting issues, and contributing to on\-call rotations
* Writing documentation for data processes, models, and metadata
**Required Skills** 
* 2–4 years of experience as a Data Engineer (or Backend Engineer with heavy data exposure)
* Strong proficiency in Python and SQL
* Familiarity with data warehouses, Lakehouse platforms, or big data tools (Databricks, Spark, or equivalent)
* Experience with pipeline orchestration tools (Airflow, Dagster, Prefect, etc.)
* Understanding of event\-driven systems or streaming platforms (Kafka, Kinesis, Pub/Sub)
* Solid foundation in data modeling, testing, and version control
* Ability to work collaboratively in a high\-autonomy, fast\-paced environment
**Bonus Skills** 
* Experience with IoT, telemetry ingestion, or time\-series data
* Exposure to Unity Catalog, governance, or schema enforcement
* Understanding of Protobuf, Avro, Parquet, or serialization formats
* Hands\-on experience with observability tools (Grafana, OpenTelemetry)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2">
      <c r="A22" t="inlineStr">
        <is>
          <t>li-4368662410</t>
        </is>
      </c>
      <c r="B22" t="inlineStr">
        <is>
          <t>Data Engineer 2 - Partner Engineering Platform (PEP) Reporting</t>
        </is>
      </c>
      <c r="C22" t="inlineStr">
        <is>
          <t>Microsoft</t>
        </is>
      </c>
      <c r="D22" t="inlineStr">
        <is>
          <t>linkedin</t>
        </is>
      </c>
      <c r="E22" t="inlineStr"/>
      <c r="F22" t="inlineStr"/>
      <c r="G22" t="inlineStr">
        <is>
          <t>Redmond, WA</t>
        </is>
      </c>
      <c r="H22" t="inlineStr"/>
      <c r="I22" t="inlineStr">
        <is>
          <t>**Overview**
 Partner Engineering Platform (PEP) Reporting team within WECE powers high scale telemetry insights that help Microsoft’s OEM and silicon partners improve device reliability and enhance the Windows customer experience.
 As a
 **Data Engineer 2** 
 , you will design, build, and optimize cloud scale data systems that process high\-volume Windows OEM telemetry, enabling engineering teams to make fast, accurate, data driven decisions.
 You will work across distributed data platforms, near real\-time ingestion flows, and large analytical datasets, contributing to next generation reporting and partner experiences across the Windows ecosystem.
 This role is ideal for engineers who enjoy solving complex data problems, delivering reliable and efficient pipelines, and collaborating with Program Management, Technical Program Managers, Engineering, and Telemetry teams within a supportive, learning\-oriented environment.
**Responsibilities**
* Build and maintain scalable data pipelines using Azure Data Lake, Lakehouse patterns, Azure Datastores, and Parquet\-based datasets.
* Develop Kusto (ADX) queries, tables, and ingestion processes; optimize KQL for performance and cost efficiency.
* Design and tune Cosmos DB collections, partitioning, indexing, and RU consumption.
* Implement streaming and batch workflows using COSMOS Streams and large distributed data systems.
* Improve pipeline reliability, latency, and availability through monitoring, diagnostics, and performance engineering.
* Ensure secure and compliant data access using Azure RBAC, ACLs, managed identities, and fine\-grained access patterns.
* Collaborate with PM/TPM, platform, reliability, OEM engagement, and telemetry teams to deliver high value insights.
**Qualifications**
**Required Qualifications:**
* Master's Degree in Computer Science, Math, Software Engineering, Computer Engineering, or related field AND 1\+ year(s) experience in business analytics, data science, software development, data modeling, or data engineering
+ OR Bachelor's Degree in Computer Science, Math, Software Engineering, Computer Engineering, or related field AND 2\+ years experience in business analytics, data science, software development, data modeling, or data engineering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in data engineering, software engineering, or largescale analytics.
* Strong experience with KQL and Azure Data Explorer (Kusto).
* Hands\-on experience with Azure Cosmos DB, Azure Data Lake/Lakehouse, and Parquet datasets.
* Strong SQL skills and proficiency in one programming language (Python, C\#, or similar).
* Demonstrated ability to optimize data pipelines for performance, scalability, and availability.
* Familiarity with Azure Synapse, Fabric Semantic Models, PySpark, Scala, and distributed compute engines.
* Experience building high\-volume data pipelines (batch and streaming) using Cosmos Streams or equivalent.
* Experience with device telemetry, reliability metrics, or OEM ecosystem data flows.
* Knowledge of Azure access control models (RBAC/ABAC) and secure data governance.
* Experience building observability dashboards and pipeline health metrics.
 What Success Looks Like
* Reliable, fast, cost optimized pipelines that power OEM and partner analytics.
* Clear data models and Kusto assets that improve downstream engineering and telemetry insights.
* Strong cross team collaboration and technical clarity supporting PEP’s reliability mission.
 \#W\+DJOBS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
      <c r="A23" t="inlineStr">
        <is>
          <t>li-4352684799</t>
        </is>
      </c>
      <c r="B23" t="inlineStr">
        <is>
          <t>Data Engineer</t>
        </is>
      </c>
      <c r="C23" t="inlineStr">
        <is>
          <t>Mercer Advisors</t>
        </is>
      </c>
      <c r="D23" t="inlineStr">
        <is>
          <t>linkedin</t>
        </is>
      </c>
      <c r="E23" t="inlineStr"/>
      <c r="F23" t="inlineStr"/>
      <c r="G23" t="inlineStr"/>
      <c r="H23" t="inlineStr"/>
      <c r="I23" t="inlineStr">
        <is>
          <t>**Why Work at Mercer Advisors?**
 For 40 years, Mercer Advisors has worked with families to help them amplify and simplify their financial lives. How? By integrating financial planning, investment management, tax, estate, insurance, and more, all managed by a single team. Today we proudly serve over 31,300 families in more than 90 cities across the U.S. Ranked the \#1 RIA Firm in the nation by Barron’s, we are an independent, national fiduciary legally obligated to always act in the best interest of our clients.\*
 Mercer Advisors offers a distinct work environment that stands out in the financial industry. Our overall employee base and client\-facing team are composed of 50% women, reflecting our commitment to diversity. We attract top talent from across the country, with no formal headquarters and flexible working arrangements, allowing us to assemble the best team possible.
 Join us and be a part of a team dedicated to making a meaningful impact on the financial lives of families across the country.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**Job Summary**
 We are looking for a Data Engineer to join our growing technology team. The Data Engineer will be responsible for expanding and optimizing our data and data pipeline architecture, as well as optimizing data flow and collection for cross\-functional teams.
**Essential Job Functions For The Data Engineer Will Include**
* Creating and maintaining optimal data pipeline architecture.
* Enterprise pipeline orchestration set up administration (AWS Glue, Airflow, Fivetran)
* Assembling large, complex data sets that meet functional \&amp; non\-functional business requirements.
* Identifying, designing, and implementing internal process improvements: automating manual processes, optimizing data delivery, re\-designing infrastructure for greater scalability.
* Building the infrastructure required for optimal extraction, transformation and loading of data from a wide variety of data sources using relevant technologies.
* Working with stakeholders to assist with data\-related technical issues and support their data infrastructure needs.
* Securing the data within our environment.
* Working with our analytics experts to strive for greater functionality in our data systems.
* Building processes supporting data transformation, data structures, metadata, dependency, and workload management.
* Maintaining our data model.
* Other duties as assigned.
**Required Knowledge, Skills, And Abilities**
* Bachelor’s degree in a relevant field is required.
* Minimum 5 years’ experience in Data Engineering is required.
* Advanced working SQL knowledge and experience working with relational databases is required.
* Experience working with SQL Server is required.
* Experience working with Python for at least 3 years’ is required.
* Experience building and optimizing data pipelines, architectures, and data sets is required.
* Experience performing root cause analysis on internal and external data and processes to answer specific business questions and identify opportunities for improvement is required.
* Experience supporting and working with cross\-functional teams in a dynamic environment.
* Knowledge of Salesforce data structure is preferred.
* Knowledge of working in Azure is preferred.
**Working Conditions:** 
 Professional office environment. Working inside. Standing and sitting. Will be assigned to a workstation.
**Benefits**
 Mercer Advisors offers a competitive and robust benefit package to our employees. Our benefit programs are focused on meeting all of our employees and their eligible dependents health and welfare needs. We offer the following:
* Company Paid Basic Life \&amp; AD\&amp;D Insurance
* Company Paid Short\-Term and Long\-Term Disability Insurance
* Supplemental Life \&amp; AD\&amp;D Short\-Term Disability; Accident; Critical Illness; and Hospital Indemnity Insurance
* Three medical plans offerings including two High Deductible Health Plans and a Traditional Co\-Pay medical plan.
* Health Savings Account (HSA) with company contributions on a per pay period basis if enrolled in either HDHP medical plan.
* Two comprehensive Dental Plans
* Vision Insurance Plan
* Dependent Care Savings Account for child and dependent care.
* 14 Company Paid Holidays with a full week off at Thanksgiving.
* Generous paid time off program for vacation and sick days
* Employee Assistance Plan
* Family Medical Leave
* Paid Parental Leave (6 weeks)
* Maternity benefits utilizing company paid STD, any supplemental STD, plus Parental Leave (6 weeks) to provide time for recovery, baby bonding, and enjoying your family time.
* Adoption Assistance Reimbursement Program
* Company Paid Concierge Services for you and your loved ones for the spectrum of caring needs for your aging parents, young children, life’s challenges and more.
* 401(k) Retirement Plan with both Traditional and Roth plans with per pay period match
* Pet Insurance
**We are not accepting unsolicited resumes from agencies and/or search firms for this job posting.**
*Mercer Advisors provides equal employment opportunity to all applicants and employees without regard to age, color, disability, gender, marital status, national origin, race, religion, sexual orientation, gender identity and expression, physical or mental disability, genetic predisposition or carrier status, or any other characteristic protected by law in accordance with all applicable federal, state, and local laws. Mercer Advisors provides equal employment opportunity in all aspects of employment and employee relations, including recruitment, hiring, training and development, promotion, transfer, demotion, termination, layoff, compensation, benefits, and all other terms, conditions, and privileges of employment in accordance with applicable federal, state, and local laws.*
 If you need an accommodation seeking employment with Mercer Advisors, please email PeopleTeam@merceradvisors.com. Accommodations are made on a case\-by\-case basis. This email is for accommodation requests only. We are unable to respond to general inquiries sent to this email address.
**Applicants Have Rights Under Federal Employment Laws**
* Family and Medical Leave Act (FMLA)
* Employee Polygraph Protection Act (EPPA)
* Equal Employment Opportunity (EEO)
 U.S. Federal law requires all employers to verify the identity and employment eligibility of all persons hired to work in the United States. Mercer Advisors participate in E\-Verify to confirm work authorization.
* E\-Verify
* Right to Work
 If you are a resident of California, learn more about Mercer's California Consumer Privacy Policy here.
 CCPA Notice at Collection</t>
        </is>
      </c>
    </row>
    <row r="24">
      <c r="A24" t="inlineStr">
        <is>
          <t>li-4248989938</t>
        </is>
      </c>
      <c r="B24" t="inlineStr">
        <is>
          <t>Senior Data Engineer</t>
        </is>
      </c>
      <c r="C24" t="inlineStr">
        <is>
          <t>Kikoff</t>
        </is>
      </c>
      <c r="D24" t="inlineStr">
        <is>
          <t>linkedin</t>
        </is>
      </c>
      <c r="E24" t="inlineStr"/>
      <c r="F24" t="inlineStr"/>
      <c r="G24" t="inlineStr">
        <is>
          <t>San Francisco, CA</t>
        </is>
      </c>
      <c r="H24" t="inlineStr"/>
      <c r="I24" t="inlineStr">
        <is>
          <t>**Responsibilities**
 We are looking for a Data Engineer or Analytics Engineer to join our Data team. You will collaborate with the data scientist and engineers to design, build, and scale high\-leverage data models, foundational datasets and scalable infrastructure that enables analytics, modeling, and experimentation. Your responsibilities includes:
* Build and optimize high\-quality ergonomic foundational datasets and the relevant data pipelines
* Establish data quality management processes at scale
* Build analytical dashboards
**Qualifications**
* Bachelors’ or above in quantitative discipline: Statistics, Applied Mathematics, Economics, Computer Science, Engineering, or related field
* A minimum of 2 years of work experience in data engineering
* Hands\-on experience in building robust data models and data pipelines
* A self\-starter with a bias for action and excellent communication skills, with ability to explain complex technical concepts in easy\-to\-understand ways
* Expert knowledge of SQL, and popular data engineering tools such as snowflake, dbt, Dagster etc
* Experience working with DS team
* A humble collaborative can\-do attitude and natural curiosity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 Medical, dental, and vision coverage \- Kikoff covers the full cost of health insurance for the employee!
 📈 Stock Options
 🏝 Flexible vacation policy to help you recharge
 💰 US salary range for this full\-time position consists of base \+ equity \+ benefits
 Location: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t>
        </is>
      </c>
    </row>
    <row r="25">
      <c r="A25" t="inlineStr">
        <is>
          <t>li-4368692730</t>
        </is>
      </c>
      <c r="B25" t="inlineStr">
        <is>
          <t>Senior Data Engineer</t>
        </is>
      </c>
      <c r="C25" t="inlineStr">
        <is>
          <t>Connie Health</t>
        </is>
      </c>
      <c r="D25" t="inlineStr">
        <is>
          <t>linkedin</t>
        </is>
      </c>
      <c r="E25" t="inlineStr"/>
      <c r="F25" t="inlineStr"/>
      <c r="G25" t="inlineStr">
        <is>
          <t>Boston, MA</t>
        </is>
      </c>
      <c r="H25" t="inlineStr"/>
      <c r="I25" t="inlineStr">
        <is>
          <t>**Description**
**About Connie Health**
 Connie Health is a fast\-growing Medicare brokerage on a mission to empower older Americans to make confident, worry\-free Medicare plan decisions. We offer a tech\-enabled Medicare navigation platform that combines an AI\-driven technology with local Medicare experts to help people select optimal healthcare plans and navigate their benefits. Our culture is mission\-driven, collaborative, and innovative, as we strive to transform healthcare through data\-driven insights and personalized guidance. We value Relationships First, Data\-Driven Decision Making, and being Accountable in delivering unbiased, high\-quality advice to our customers.
**Role Overview**
 Connie Health is seeking a Senior Data Engineer to architect, build, and scale the data platform that powers our analytics, operations, and AI\-driven products. This role sits at the core of our data ecosystem and is responsible for designing reliable, performant, and secure data pipelines that integrate information from our CRM, third\-party partners, and internal systems into a unified, analytics\-ready platform.
 You will be a technical leader who sets standards for data modeling, pipeline reliability, and engineering best practices. Beyond building, you will partner closely with Analytics, Sales, Operations, Finance, Product, and Engineering to ensure that high\-quality, trustworthy data is available for decision\-making, experimentation, and financial reporting. The ideal candidate is equally comfortable with low\-level pipeline implementation and high\-level system design, and enjoys solving complex data infrastructure problems at scale.
 This is a hybrid role, based out of our Boston office near South Station.
**What You’ll Do**
* Design, build, and maintain scalable batch and streaming data pipelines that ingest data from Salesforce, product systems, and external partners into our Redshift data warehouse.
* Own the architecture and evolution of our data platform, including ingestion, transformation, orchestration, and data quality monitoring.
* Develop and maintain robust data models and transformation layers that serve analytics, finance, operations, and machine learning use cases.
* Establish and enforce best practices for data reliability, testing, observability, and documentation across the data stack.
* Partner with Analytics and Business teams to translate analytical requirements into well\-structured, performant datasets.
* Collaborate with Product and Engineering to instrument new features and ensure event data is accurate, complete, and analysis\-ready.
* Ensure data security, access controls, and compliance with HIPAA and other regulatory requirements for handling sensitive healthcare data.
**Requirements**
**Minimum Qualifications**
* Bachelor’s degree in Computer Science, Engineering, or a related quantitative field, or equivalent practical experience.
* 5\+ years of experience in Data Engineering or Backend Engineering with a strong data focus.
* Deep expertise with data warehouses (Redshift) and cloud platforms (AWS).
* Advanced SQL skills and strong proficiency in Python (or a similar language) for building and maintaining data pipelines.
* Experience with orchestration tools (Airflow) and transformation frameworks (dbt).
* Strong understanding of data modeling, dimensional design, and performance/cost optimization.
* Proven ability to design reliable, fault\-tolerant systems and troubleshoot complex data pipeline failures.
* Excellent communication skills, with the ability to work cross\-functionally and explain technical concepts clearly.
**Preferred Qualifications**
* Experience with HIPAA compliant data warehouses and data architectures.
* Experience with Salesforce data models.
* Experience with Looker and LookML.
* Experience with managed ingestion frameworks (Fivetran)
* Experience supporting real\-time or near–real\-time analytics use cases alongside batch warehousing.
* Prior ownership of SLA/SLOs for data availability, freshness, and accuracy.
* Experience building or operating feature stores or analytics layers that support machine learning models.
**Why Join Connie Health?**
* Competitive salary and equity packages.
* Generous vacation policy and holiday observances.
* Hybrid work schedule with designated in\-office days at our fully stocked office.
* Comprehensive health insurance plans.
* 401k with company match.
 We are an equal opportunity employer and value diversity at our company. We do not discriminate on the basis of race, religion, color, national origin, gender, sexual orientation, age, marital status, veteran status, or disability status.</t>
        </is>
      </c>
    </row>
    <row r="26">
      <c r="A26" t="inlineStr">
        <is>
          <t>li-4368218308</t>
        </is>
      </c>
      <c r="B26" t="inlineStr">
        <is>
          <t>Senior Data Engineer</t>
        </is>
      </c>
      <c r="C26" t="inlineStr">
        <is>
          <t>RemoteHunter</t>
        </is>
      </c>
      <c r="D26" t="inlineStr">
        <is>
          <t>linkedin</t>
        </is>
      </c>
      <c r="E26" t="inlineStr"/>
      <c r="F26" t="inlineStr"/>
      <c r="G26" t="inlineStr"/>
      <c r="H26" t="inlineStr"/>
      <c r="I26" t="inlineStr">
        <is>
          <t>About the Opportunity:
 This role focuses on developing and operationalizing data pipelines to make data available for reports and advanced analytics. The position involves data ingestion, transformation, validation, pipeline optimization, and orchestration. It supports continuous integration and deployment processes and guides complex data management procedures. The role provides expertise on large\-scale, high\-volume data structures for business intelligence analytics and real\-time data processing applications. The position also drives improvements in data reliability, efficiency, and quality through automation.
 Responsibilities:
 • Develop and operationalize data pipelines for data consumption
 • Perform data ingestion, transformation, validation, and pipeline optimization
 • Collaborate with DevSecOps Engineer during continuous integration and deployment
 • Guide design and implementation of data staging, ingestion, preparation, provisioning, and destruction
 • Provide guidance on designing, developing, testing, documenting, and operating large\-scale data structures
 • Design, develop, and maintain real\-time processing applications and data pipelines
 • Ensure quality of technical solutions as data moves across environments
 • Provide senior\-level knowledge on data processing, storage, and utilization requirements
 • Develop, construct, test, and maintain architectures using advanced programming languages and tools
 • Identify and deploy solutions to improve data reliability, efficiency, and quality, including automation
 • Perform other duties as assigned
 • Comply with all policies and standards
 Requirements:
 • Bachelor’s degree in a quantitative or business field (e.g., statistics, mathematics, engineering, computer science)
 • 4 to 6 years of related experience or equivalent knowledge and skills
 • Experience with one or more of the following: Snowflake, AWS, SQL, Python
 Benefits \&amp; Perks:
 • Competitive pay
 • Health insurance
 • 401K and stock purchase plans
 • Tuition reimbursement
 • Paid time off plus holidays
 • Flexible work arrangements including remote, hybrid, field, or office schedules
 Compensation:
 • Pay range $87,000\.00 to $161,300\.00 per year
 • Actual pay adjusted based on skills, experience, education, and job\-related factors
 • Total compensation may include additional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li-4360777906</t>
        </is>
      </c>
      <c r="B27" t="inlineStr">
        <is>
          <t>Data Engineer</t>
        </is>
      </c>
      <c r="C27" t="inlineStr">
        <is>
          <t>CGI</t>
        </is>
      </c>
      <c r="D27" t="inlineStr">
        <is>
          <t>linkedin</t>
        </is>
      </c>
      <c r="E27" t="inlineStr"/>
      <c r="F27" t="inlineStr"/>
      <c r="G27" t="inlineStr">
        <is>
          <t>Fairfax, VA</t>
        </is>
      </c>
      <c r="H27" t="inlineStr"/>
      <c r="I27" t="inlineStr">
        <is>
          <t>Position Description
 CGI Federal is seeking a Data Engineer to design, build, and manage data pipelines and systems. You will help clients leverage large datasets to gain insights and improve decision\-making.
 This position is performed at the client site in Arlington, VA or Washington, DC; however, a hybrid working model is acceptable at the client's discretion."
 Your future duties and responsibilities
* Design and implement data pipelines to support business analytics.
* Work with data architects to define and maintain data models.
* Optimize and tune data workflows for performance and scalability.
* Ensure data quality and integrity throughout the data lifecycle.
* Collaborate with stakeholders to define data requirements and solutions.
* Azure experience is preferred including Databricks and PowerBI
**Required Qualifications To Be Successful In This Role**
 Required qualifications to be successful in this role:
* Bachelor's degree in Computer Science, Engineering, or related field.
* 0–4 years of experience in data engineering or data management.
* 1\-2 years experience with PowerBI surrounding capacities, deployment pipelines, and direct query vs dataflows
* Proficiency in SQL and experience with data modeling.
* Familiarity with cloud platforms (AWS, Azure, etc.) for data engineering. Preferably Azure.
* Strong problem\-solving and debugging skills.
 Desired qualifications/non\-essential skills required:
* Experience with big data technologies (Hadoop, Spark).
* Familiarity with data warehousing concepts.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$58,000\.00 \- $136,200\.00\.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8">
      <c r="A28" t="inlineStr">
        <is>
          <t>li-4311469960</t>
        </is>
      </c>
      <c r="B28" t="inlineStr">
        <is>
          <t>Senior Analytics Engineer I</t>
        </is>
      </c>
      <c r="C28" t="inlineStr">
        <is>
          <t>Upside</t>
        </is>
      </c>
      <c r="D28" t="inlineStr">
        <is>
          <t>linkedin</t>
        </is>
      </c>
      <c r="E28" t="inlineStr"/>
      <c r="F28" t="inlineStr"/>
      <c r="G28" t="inlineStr"/>
      <c r="H28" t="inlineStr"/>
      <c r="I28"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3\+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t>
        </is>
      </c>
    </row>
    <row r="29">
      <c r="A29" t="inlineStr">
        <is>
          <t>li-4314047646</t>
        </is>
      </c>
      <c r="B29" t="inlineStr">
        <is>
          <t>Senior Analytics Engineer I</t>
        </is>
      </c>
      <c r="C29" t="inlineStr">
        <is>
          <t>Upside</t>
        </is>
      </c>
      <c r="D29" t="inlineStr">
        <is>
          <t>linkedin</t>
        </is>
      </c>
      <c r="E29" t="inlineStr"/>
      <c r="F29" t="inlineStr"/>
      <c r="G29" t="inlineStr">
        <is>
          <t>New York, NY</t>
        </is>
      </c>
      <c r="H29" t="inlineStr"/>
      <c r="I29"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3\+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30">
      <c r="A30" t="inlineStr">
        <is>
          <t>li-4357741451</t>
        </is>
      </c>
      <c r="B30" t="inlineStr">
        <is>
          <t>Senior Data Engineer</t>
        </is>
      </c>
      <c r="C30" t="inlineStr">
        <is>
          <t>Go Intellects Inc</t>
        </is>
      </c>
      <c r="D30" t="inlineStr">
        <is>
          <t>linkedin</t>
        </is>
      </c>
      <c r="E30" t="inlineStr"/>
      <c r="F30" t="inlineStr"/>
      <c r="G30" t="inlineStr">
        <is>
          <t>Washington, DC</t>
        </is>
      </c>
      <c r="H30" t="inlineStr"/>
      <c r="I30" t="inlineStr">
        <is>
          <t>**DHCF Senior Data Engineer (793454\)**
**Rate:** 
**$90\.00/hour on W2**
**Work Arrangement: Hybrid**
**Worksite Address:** 
**Washington, DC**
**Duration:** 
 02/23/2026 to 09/30/2026
**Submittals due:** 
**02/06/2026**
**Interviews: Either Webcam or In Person**
**Background check:** 
 Extensive criminal history background check will be required. We cannot submit candidates with recent histories (go back seven years) of extensive driving, drug, robbery or any other illegal activity. Any criminal activity on the background check will eliminate the candidate from consideration. If selected, please make certain that you inform all candidates that they will have to complete this criminal background check prior to starting. NATIONAL background checks are required; Federal background checks are NOT compliant under this contract. A national background check is a national criminal background check that pulls criminal records from State and County Courts in almost every US State.
**Job Description:**
**Short Description** 
 :
 Ou client is looking for a senior data engineer for its data modernization efforts associated with its Medicaid data ecosystem.
**Complete Description** 
 :
* Position Purpose
 The Senior Data Engineer serves as the primary technical engine for the agency's Medicaid data ecosystem. This role is unique: it requires a high\-level mastery of our current legacy environment—characterized by SSIS ETL processes managed via Team Foundation Server (TFS)—while actively spearheading the execution of our cloud modernization roadmap. Under the direction of the Lead Data Warehouse Solution Architect, you will ensure the stability of current Medicaid reporting while building the future\-state Azure Synapse and Databricks Lakehouse.
 **B. Modernization \&amp; Migration Execution (Future State)** 
**C. Data Governance \&amp; Security** 
**3\. Competencies for Success** 
* Key Responsibilities
* Legacy Maintenance \&amp; Operational Excellence (Current State)
* ETL Management: Maintain, troubleshoot, and modify complex SSIS packages handling high\-volume Medicaid claims, provider, and member data.
* Version Control: Manage code deployments and branching strategies within TFS, ensuring continuous integration of legacy SQL assets.
* Legacy Reporting Support: Support and optimize SSRS report queries and SSAS tabular/multidimensional models to ensure federal and state compliance reporting remains uninterrupted.
* Cloud Development: Implement "Medallion Architecture" (Bronze/Silver/Gold) using Azure Databricks (PySpark/SQL) as designed by the Lead Architect.
* Pipeline Refactoring: Lead the transition of legacy SSIS logic into Azure Data Factory (ADF) and Databricks notebooks.
* DevOps Transformation: Facilitate the migration of source control and CI/CD pipelines from TFS to Azure DevOps (Git).
* Synapse Integration: Build and tune Dedicated and Serverless SQL Pools within Azure Synapse to facilitate advanced analytics and AI\-readiness.
* Medicaid Compliance: Implement Row\-Level Security (RLS) and automated data masking for PHI/PII in accordance with HIPAA, CMS MARS\-E, and NIST standards.
* Data Quality: Develop automated data validation frameworks to ensure data parity between legacy SQL systems and the new Cloud Lakehouse.
* Technical Agility: The ability to pivot between a 10\-year\-old SSIS package and a modern Databricks Spark job in the same day.
* Collaboration: Ability to take high\-level architectural blueprints from the Lead Architect and translate them into high\-performance, production\-ready code.
* Attention to Detail: Absolute precision in Medicaid data handling, where an error in logic can impact member benefits or federal funding.
**Contract Job Description**
**Responsibilities:**
* Leads the adoption or implementation of an advanced technology or platform.
* Expert on the functionality or usage of a particular system, platform, or technology product.
* Serves as a consultant to clients, guiding the efficient use or adoption of a particular IT product or platform.
* Creates implementation, testing, and/or integration plans.
* Demonstrates expertise in a particular IT platform or service, allowing for maximum IT investment.
**Minimum Education/ Certification Requirements:**
**Bachelor’s degree in Information Technology or related field or equivalent experience**
**Training or certification in a particular product or IT platform/service, as required**</t>
        </is>
      </c>
    </row>
    <row r="31">
      <c r="A31" t="inlineStr">
        <is>
          <t>li-4364645561</t>
        </is>
      </c>
      <c r="B31" t="inlineStr">
        <is>
          <t>Senior Data Engineer</t>
        </is>
      </c>
      <c r="C31" t="inlineStr">
        <is>
          <t>Bitly</t>
        </is>
      </c>
      <c r="D31" t="inlineStr">
        <is>
          <t>linkedin</t>
        </is>
      </c>
      <c r="E31" t="inlineStr"/>
      <c r="F31" t="inlineStr"/>
      <c r="G31" t="inlineStr"/>
      <c r="H31" t="inlineStr"/>
      <c r="I31" t="inlineStr">
        <is>
          <t>**Senior Data Engineer** 
**Remote** 
**$150K\-180K base salary \+ equity** 
**\*\*\* Must live in or be willing to relocate to one of the following states to be eligible for hire: Arizona, California, Colorado, Connecticut, Florida, Georgia, Illinois, Louisiana, Massachusetts, Michigan, Minnesota, New York, New Jersey, North Carolina, Pennsylvania, Texas, Vermont, Virginia, Washington \*\*\*** 
**Eligibility \&amp; Closing US applicants must be currently authorized to work in the United States on a full\-time basis. Bitly does not sponsor or support any immigration processing.** 
 Bitly is the world’s leading Connections Platform, empowering businesses to create memorable connections with their customers at every physical and digital touchpoint. From Fortune 500 companies to small businesses, millions of people around the world rely on Bitly for custom short links, QR Codes, and landing pages that are easy to create, share, and manage. With tools to track and optimize every interaction, we help businesses understand what drives the greatest impact.
 As we continue to redefine how brands interact with customers, we're looking for passionate individuals eager to drive innovation and shape the future of engagement. Join us in turning every click, tap, and scan into a powerful catalyst for connections.
 We know the best teams bring different backgrounds, perspectives, and lived experiences. If you're excited about a role and believe your skills and experiences align meaningfully with it, we encourage you to apply.
**The Role** 
 As a Senior Data Engineer at Bitly, you will be part of a seasoned data engineering team responsible for designing and building Bitly's next\-generation data platform that powers analytics, experimentation, and AI\-driven product features used by millions of users. You'll architect, build, and maintain infrastructure responsible for delivering data to our internal stakeholders as well as customer applications.
 Bitly supports every country in the world and every platform imaginable. Our systems are built to process an enormous amount of data (billions of monthly events). To support our scale, our infrastructure consists of hundreds of servers, dozens of services, and numerous real\-time data streams.
**What You'll Do** 
* Build well\-tested, well\-documented data services and improve existing ones—optimized for both traditional analytics and emerging GenAI/ML workloads.
* Create pipelines to move and transform data efficiently; Design flexible internal and external APIs to expose our data.
* Establish and enforce architectural and data quality standards, including monitoring, observability, and governance frameworks.
* Collaborate effectively with cross\-functional leaders (across product, data science, engineering, marketing, finance, analytics, etc.) to ensure on\-time delivery of key initiatives.
* Support our internal teams in maintaining and designing user tracking events.
* Mentor other engineers on best practices and implementation approaches and champion a culture of continuous learning, technical rigor, and AI\-first engineering practices.
**Who You Are** 
* You have hands\-on experience in data engineering on cloud platforms (GCP preferred), with focus on cost and performance optimization.
* You are adept at clearly communicating technical concepts to engineers and cross\-functional stakeholders.
* You are an expert in SQL and Python, with deep experience in data modeling, optimization, and reusable frameworks.
* You have proven track record with modern data stack: orchestration (Airflow), transformation (dbt), streaming (Beam/Spark), and data processing (Dataflow),
* You are experienced in data platform operations: containerization (Docker/Kubernetes), CI/CD pipelines, and data governance.
* You are familiar with modern data paradigms such as lakehouse architectures, event\-driven systems, and AI\-centric data tooling.
**US Employee Benefits** 
 Your benefits start on Day 1!
 Health \&amp; Wellbeing
* Inclusive health, dental, and vision plans built to support diverse lifestyles.
* Employer contribution to HSA plans.
* Generous paid parental leave.
* Enhanced support for reproductive health, family planning, and new parents.
* Robust mental health support and Employee Assistance Program (EAP) with confidential counseling services.
* Comprehensive well\-being benefits including reimbursement program.
* Flexible PTO policy.
 Financial
* 401k with up to 4% employer match, access to financial professionals to offer our employees the opportunity to plan for a strong financial future well beyond their working years,
* Company Stock Options.
* Life, Short\-term Disability, and Long\-term Disability options.
* Flexible workspace support provided, including home office, cell phone, and WiFi service reimbursement.
* Coworking reimbursement for eligible employees.
* Voluntary Benefits: Pet Insurance, LegalShield, IDShield, Hospitalization, and Accident coverages.
* Reimbursement for professional development.
 Inclusion \&amp; Belonging
* Impactful connections and community building through our Employee Resource Groups.
* Company\-sponsored events to connect Bitizens together.
**Our Values** 
* Be a Catalyst. As an innovative technology company, we build our products to be a catalyst for connection and encourage our team to be catalysts for meaningful impact both at work and in the world.
* Take Ownership. In our highly collaborative culture, Individual accountability is critical. We depend on each other to solve our customers' most challenging problems and celebrate the wins together.
* Champion Inclusion. Our product connects people of all backgrounds and abilities. And our company is built on the belief that our differences make us better and that everyone deserves the opportunity in which to thrive.
* Show Integrity. We don’t cut corners. We don’t look for the easy way out. We approach every day with a shared mindset \- let’s do the right thing, even if it’s the harder thing.
* Have Fun. Whether your time is here is as short as a Bitly link or as long as the links your grandma sends you, we want your experience at Bitly to be fun and memorable. We hope the connections you make here last a lifetime.</t>
        </is>
      </c>
    </row>
    <row r="32">
      <c r="A32" t="inlineStr">
        <is>
          <t>li-4365148426</t>
        </is>
      </c>
      <c r="B32" t="inlineStr">
        <is>
          <t>Data Engineer</t>
        </is>
      </c>
      <c r="C32" t="inlineStr">
        <is>
          <t>Barracuda</t>
        </is>
      </c>
      <c r="D32" t="inlineStr">
        <is>
          <t>linkedin</t>
        </is>
      </c>
      <c r="E32" t="inlineStr"/>
      <c r="F32" t="inlineStr"/>
      <c r="G32" t="inlineStr">
        <is>
          <t>Ann Arbor, MI</t>
        </is>
      </c>
      <c r="H32" t="inlineStr"/>
      <c r="I32" t="inlineStr">
        <is>
          <t>Req ID: 26\-491
 Come join our passionate team! Barracuda is a leading cybersecurity company providing complete protection against complex threats. Our platform protects email, data, applications, and networks with innovative solutions, and a managed XDR service, to strengthen cyber resilience. Hundreds of thousands of IT professionals and managed service providers worldwide trust us to protect and support them with solutions that are easy to buy, deploy, and use.
 We know a diverse workforce adds to our collective value and strength as an organization. Barracuda Networks is proud to be an Equal Opportunity Employer, committed to equal employment opportunity and equitable compensation regardless of race, gender, religion, sex, sexual orientation, national origin, or disability.
**Envision yourself at Barracuda**
 We currently have an exciting new position open for a
 **Data Engineer** 
 . This person will assist in driving technology innovation for engineering projects and work on architecture of AWS, Data Lake (Databricks/Elastic) and Kubernetes. They will also work closely with the Technology Architect to create and drive the Architecture Review Board.
**What You’ll Be Working On**
* Determine internal / external customer data needs and identify system specifications.
* Analyze the needs of large systems and breaking them down into smaller manageable parts.
* Responsible for designing the journey of data from various sources to the database and everything in between.
* Plan and design the structure of data, brainstorm with team.
* Analyze best technology products and systems for internal teams.
* Help provide build vs buy decisions on data architecture.
* Communicate data requirements to engineers; explain data architecture to them and aid throughout SDLC.
* Choose / maintain suitable software, hardware and integration methods.
* Assist security analysts in creating SIEM rules.
* Help resolve technical problems as and when they arise.
* Review testing procedures to ensure data performant and error free.
* Ensure that database satisfy quality standards and procedures. Setup such standards.
* Work with senior IT personnel to devise plans for future IT requirements of the organization.
* Produce progress reports on key infrastructures – Databricks, Elastic and Data Pipelines
**What You Bring To The Role**
* Bachelor Degree or Post Graduate in Computer Science, or relevant work experience
* 3\+ years of experience in an Engineering / Data ingestion and process heavy organization
* 1\+ years of experience as a Data Analysis and Data Design responsible for data architecture of a SaaS application
* Experience in understanding and designing of data streaming (like, Kafka) and data pipelines for ingestion and transformation, data sharding in a distributed database.
* Some Hands\-on experience in software development and system administration
* Knowledge of strategic IT solutions
* Familiarity with programming languages like Java or Python or PySpark
* Familiarity with Linux OS and Windows alike
* Experience in cloud computing and cloud Technologies (AWS, GCP, Azure)
* Excellent communication skills – you should be adept at listening to, understanding, and explaining key concepts to managerial and technical resources.
* Ability to prioritize and manage time – responsible for multiple streams of work at the same time.
* Relationship building \- Ability to form a good rapport with internal and external stakeholders.
* In\-depth knowledge about quality standards and security best practices
**Preferred Skills**
* Expert level understanding of Databricks, Structured streaming, Delta Live Tables (DLT), Notebooks, PySpark
* Good knowledge of Elastic eco system \- Elasticsearch, Logstash, Kibana, Filebeats.
* Good understanding of machine learning concepts, algorithms (e.g., natural language processing, predictive analytics), and specialized AI tools like LangChain.
* Understanding of secure tunnel communication using VPN
* Experience designing data at scale.
* AWS experience is preferred in Cloud Technologies
**What You’ll Get From Us**
 A team where you can voice your opinion, make an impact, and where you and your experience are valued. Internal mobility – there are opportunities for cross training and the ability to attain your next career step within Barracuda.
* Equity, in the form of non\-qualifying options
* High\-quality health benefits
* Retirement Plan with employer match
* Career\-growth opportunities
* Flexible Time Off and Paid Time Off benefits
* Volunteer opportunities
 The anticipated on\-target earnings range for this role is $80,000 to $125,000\. Actual compensation offered will be dependent upon the individual's skills, experience, and qualifications as they directly relate to the requirements of the position, the budget for the position, and applicable employment laws.</t>
        </is>
      </c>
    </row>
    <row r="33">
      <c r="A33" t="inlineStr">
        <is>
          <t>li-4365160186</t>
        </is>
      </c>
      <c r="B33" t="inlineStr">
        <is>
          <t>Data Engineer</t>
        </is>
      </c>
      <c r="C33" t="inlineStr">
        <is>
          <t>Barracuda</t>
        </is>
      </c>
      <c r="D33" t="inlineStr">
        <is>
          <t>linkedin</t>
        </is>
      </c>
      <c r="E33" t="inlineStr"/>
      <c r="F33" t="inlineStr"/>
      <c r="G33" t="inlineStr">
        <is>
          <t>Chelmsford, MA</t>
        </is>
      </c>
      <c r="H33" t="inlineStr"/>
      <c r="I33" t="inlineStr">
        <is>
          <t>Req ID: 26\-491
 Come join our passionate team! Barracuda is a leading cybersecurity company providing complete protection against complex threats. Our platform protects email, data, applications, and networks with innovative solutions, and a managed XDR service, to strengthen cyber resilience. Hundreds of thousands of IT professionals and managed service providers worldwide trust us to protect and support them with solutions that are easy to buy, deploy, and use.
 We know a diverse workforce adds to our collective value and strength as an organization. Barracuda Networks is proud to be an Equal Opportunity Employer, committed to equal employment opportunity and equitable compensation regardless of race, gender, religion, sex, sexual orientation, national origin, or disability.
**Envision yourself at Barracuda**
 We currently have an exciting new position open for a
 **Data Engineer** 
 . This person will assist in driving technology innovation for engineering projects and work on architecture of AWS, Data Lake (Databricks/Elastic) and Kubernetes. They will also work closely with the Technology Architect to create and drive the Architecture Review Board.
**What You’ll Be Working On**
* Determine internal / external customer data needs and identify system specifications.
* Analyze the needs of large systems and breaking them down into smaller manageable parts.
* Responsible for designing the journey of data from various sources to the database and everything in between.
* Plan and design the structure of data, brainstorm with team.
* Analyze best technology products and systems for internal teams.
* Help provide build vs buy decisions on data architecture.
* Communicate data requirements to engineers; explain data architecture to them and aid throughout SDLC.
* Choose / maintain suitable software, hardware and integration methods.
* Assist security analysts in creating SIEM rules.
* Help resolve technical problems as and when they arise.
* Review testing procedures to ensure data performant and error free.
* Ensure that database satisfy quality standards and procedures. Setup such standards.
* Work with senior IT personnel to devise plans for future IT requirements of the organization.
* Produce progress reports on key infrastructures – Databricks, Elastic and Data Pipelines
**What You Bring To The Role**
* Bachelor Degree or Post Graduate in Computer Science, or relevant work experience
* 3\+ years of experience in an Engineering / Data ingestion and process heavy organization
* 1\+ years of experience as a Data Analysis and Data Design responsible for data architecture of a SaaS application
* Experience in understanding and designing of data streaming (like, Kafka) and data pipelines for ingestion and transformation, data sharding in a distributed database.
* Some Hands\-on experience in software development and system administration
* Knowledge of strategic IT solutions
* Familiarity with programming languages like Java or Python or PySpark
* Familiarity with Linux OS and Windows alike
* Experience in cloud computing and cloud Technologies (AWS, GCP, Azure)
* Excellent communication skills – you should be adept at listening to, understanding, and explaining key concepts to managerial and technical resources.
* Ability to prioritize and manage time – responsible for multiple streams of work at the same time.
* Relationship building \- Ability to form a good rapport with internal and external stakeholders.
* In\-depth knowledge about quality standards and security best practices
**Preferred Skills**
* Expert level understanding of Databricks, Structured streaming, Delta Live Tables (DLT), Notebooks, PySpark
* Good knowledge of Elastic eco system \- Elasticsearch, Logstash, Kibana, Filebeats.
* Good understanding of machine learning concepts, algorithms (e.g., natural language processing, predictive analytics), and specialized AI tools like LangChain.
* Understanding of secure tunnel communication using VPN
* Experience designing data at scale.
* AWS experience is preferred in Cloud Technologies
**What You’ll Get From Us**
 A team where you can voice your opinion, make an impact, and where you and your experience are valued. Internal mobility – there are opportunities for cross training and the ability to attain your next career step within Barracuda.
* Equity, in the form of non\-qualifying options
* High\-quality health benefits
* Retirement Plan with employer match
* Career\-growth opportunities
* Flexible Time Off and Paid Time Off benefits
* Volunteer opportunities
 The anticipated on\-target earnings range for this role is $80,000 to $125,000\. Actual compensation offered will be dependent upon the individual's skills, experience, and qualifications as they directly relate to the requirements of the position, the budget for the position, and applicable employment laws.</t>
        </is>
      </c>
    </row>
    <row r="34">
      <c r="A34" t="inlineStr">
        <is>
          <t>li-4368245213</t>
        </is>
      </c>
      <c r="B34" t="inlineStr">
        <is>
          <t>Senior Data Engineer</t>
        </is>
      </c>
      <c r="C34" t="inlineStr">
        <is>
          <t>Elios Talent</t>
        </is>
      </c>
      <c r="D34" t="inlineStr">
        <is>
          <t>linkedin</t>
        </is>
      </c>
      <c r="E34" t="inlineStr"/>
      <c r="F34" t="inlineStr"/>
      <c r="G34" t="inlineStr">
        <is>
          <t>Baltimore, MD</t>
        </is>
      </c>
      <c r="H34" t="inlineStr"/>
      <c r="I34" t="inlineStr">
        <is>
          <t>**Senior Data Engineer / Software Engineer** 
 Hybrid \| DMV Area
 Contract\-to\-Hire (CTH)
 Target Conversion Salary: $170,000 – $200,000
**Role Overview** 
 We’re seeking a
 **hands\-on Senior Data Engineer / Software Engineer** 
 to help design, build, and scale modern data pipelines and APIs in a
 **hybrid cloud environment** 
 . This role blends
 **data engineering, backend software development, and platform collaboration** 
 , with a strong emphasis on real\-world delivery over theory.
 You’ll play a key role in shaping
 **GraphQL\-based data architecture** 
 , implementing production\-grade pipelines, and acting as a technical SME across data and integration workflows. This is an ideal opportunity for someone who enjoys being deep in the code while influencing technical direction.
**Key Responsibilities** 
* Design and implement
 **GraphQL\-based data architectures** 
 supporting scalable, high\-quality data access
* Build and maintain
 **data pipelines** 
 operating across hybrid environments
* Develop production\-ready solutions using
 **TypeScript** 
 with a focus on performance, reliability, and maintainability
* Collaborate closely with platform and infrastructure teams to support deployment, monitoring, and scalability
* Assist with
 **CI/CD troubleshooting** 
 and pipeline optimization when needed
* Reverse\-engineer and improve existing data flows, integrations, and processing logic
* Act as a
 **hands\-on subject matter expert** 
 , providing technical leadership through execution
* Contribute to architecture decisions while staying grounded in practical implementation
**Required Qualifications** 
* Senior\-level experience in
 **data engineering and/or backend software engineering**
* Intermediate to advanced
 **TypeScript** 
 proficiency with real production delivery experience
* Strong experience designing and implementing
 **data pipelines** 
 in complex environments
* Practical, hands\-on mindset — execution\-focused rather than purely theoretical
* Comfort working in
 **hybrid (on\-prem \+ cloud)** 
 architectures
* Strong problem\-solving skills and ability to work through ambiguity
* Clear communication skills and ability to collaborate across engineering disciplines
**Nice to Have** 
* Experience with
 **GraphQL** 
 at scale (schema design, performance optimization, governance)
* Familiarity with
 **platform engineering** 
 concepts and tooling
* Experience troubleshooting or supporting
 **CI/CD pipelines**
* Exposure to
 **Camunda** 
 or similar data engineering / workflow orchestration platforms
* Background working in enterprise or modernization environments</t>
        </is>
      </c>
    </row>
    <row r="35">
      <c r="A35" t="inlineStr">
        <is>
          <t>li-4368250313</t>
        </is>
      </c>
      <c r="B35" t="inlineStr">
        <is>
          <t>Senior Data Engineer (TS/SCI)</t>
        </is>
      </c>
      <c r="C35" t="inlineStr">
        <is>
          <t>Kentro</t>
        </is>
      </c>
      <c r="D35" t="inlineStr">
        <is>
          <t>linkedin</t>
        </is>
      </c>
      <c r="E35" t="inlineStr"/>
      <c r="F35" t="inlineStr"/>
      <c r="G35" t="inlineStr">
        <is>
          <t>Tampa, FL</t>
        </is>
      </c>
      <c r="H35" t="inlineStr"/>
      <c r="I35" t="inlineStr">
        <is>
          <t>Thank you for considering IT Concepts dba Kentro, where innovation drives opportunity and collaboration leads to success. Our dynamic community of experts is fully committed to advancing our customers' missions, fostering professional growth, and making a positive impact on our communities.
 By joining our supportive community, you will find that Kentro is dedicated to your personal and professional development. Together, we can drive meaningful change, spark innovation, and achieve extraordinary milestones.
 Kentro is hiring a
 **Senior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**Location:** 
 Onsite in Tampa, FL
**Position Duration:** 
 The duration of this role is 18 months from project commencement, with the possibility of extension (Project expected to commence in January 2026\).
****Requirements****
* Master's degree (MA/MS)
* 10\+ years of relevant experience
* Data Discovery Expertise: Proven experience deploying and managing enterprise data discovery and governance platforms such as BigID, Varonis, NetApp BlueXP (Data Sense), or Informatica.
* Storage \&amp; Database Knowledge: Strong understanding of storage protocols (NFS, SMB/CIFS, S3\) and database structures (SQL, NoSQL) to troubleshoot connectivity and scanning access.
* Containerization: Proficiency with Kubernetes and Docker, as many modern discovery collectors are deployed as containerized microservices.
* Data Handling: Experience dealing with large\-scale data inventories (Petabyte scale) and understanding of data lineage and provenance concepts.
**Preferred Experience \&amp; Skills ("Nice\-to\-Haves"):**
* Experience with Microsoft Purview Data Map (formerly Azure Purview).
* Knowledge of Regex for custom data pattern definition.
* Background in Data Engineering or ETL pipeline development.
* Familiarity with USSOCOM network architecture and storage standards.
****Certifications:****
* Required: CompTIA Security\+ CE (or higher) to meet DoD 8570 IAT Level II requirements.
* Preferred: Certified Kubernetes Administrator (CKA).
* Preferred: Azure Data Engineer Associate or BigID Certified Professional.
****Clearance:****
* Active Top\-Secret clearance with SCI eligibility.
****Benefits****
**The Company**
 We believe in generating success collaboratively, enabling long\-term mission success, and building trust for the next challenge. With you as our partner, let's solve challenges, think innovatively, and maximize impact. As a valued member of our team,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and two CMMI ML 3 ratings (DEV and SVC).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competitive benefits package including paid time off, healthcare benefits, supplemental benefits, 401k including an employer match, discount perks, rewards, and more. We invest in our employees \- Every employee is eligible for education reimbursement for certifications, degrees, or professional development. Reimbursement amounts may fluctuate due to IRS limitations. We want you to grow as an expert and a leader and offer flexibility for you to take a course, complete a certification, or other professional growth and networking. We are committed to supporting your curiosity and sustaining a culture that prioritizes commitment to continuous professional development.
 We work hard; we play hard. Kentro is committed to incorporating fun into every day. We dedicate funds for activities \- virtual and in\-person \- e.g., we host happy hours, holiday events, fitness \&amp; wellness events, and annual celebrations. In alignment with our commitment to our communities, we also host and attend charity galas/events. We believe in appreciating your commitment and building a positive workspace for you to be creative, innovative, and happy.
**Commitment Equal Opportunity Employment \&amp; VEVRAA**
 Kentro is an equal opportunity employer. All qualified applicants will receive consideration for employment without regard to disability, status as a protected veteran or any other status protected by applicable federal, state or local law.
 Kentro is strongly committed to compliance with VEVRAA and other applicable federal, state, and local laws governing equal employment opportunity. We have developed comprehensive policies and procedures to ensure our hiring practices align with these requirements.
 As part of our VEVRAA compliance efforts, Kentro has established an equal opportunity plan outlining our commitment to recruiting, hiring, and advancing protected veterans. This plan is regularly reviewed and updated to ensure its effectiveness.
 We encourage protected veterans to self\-identify during the application process. This information is strictly confidential and will only be used for reporting and compliance purposes as required by law. Providing this information is voluntary and will not impact your employment eligibility.
 Our commitment to equal employment opportunity extends beyond legal compliance. We are dedicated to fostering an inclusive workplace where all employees, including protected veterans, are treated with dignity, respect, and fairness.
****How To Apply****
 To apply to Kentro Positions\- Please click on the: "Apply for this Job" button at the bottom of this Job Description or the button at the top: "Application." Please upload your resume and complete all the application steps. You must submit the application for Kentro to consider you for a position. If you need alternative application methods, please email careers@kentro.us and request assistance.
**Accommodations**
 To perform this job successfully, an individual must be able to perform each essential duty satisfactorily. Reasonable Accommodations may be made to enable qualified individuals with disabilities to perform the essential functions. If you need to discuss reasonable accommodations, please email careers@kentro.us.</t>
        </is>
      </c>
    </row>
    <row r="36">
      <c r="A36" t="inlineStr">
        <is>
          <t>li-4344270846</t>
        </is>
      </c>
      <c r="B36" t="inlineStr">
        <is>
          <t>Data Engineer</t>
        </is>
      </c>
      <c r="C36" t="inlineStr">
        <is>
          <t>NinjaOne</t>
        </is>
      </c>
      <c r="D36" t="inlineStr">
        <is>
          <t>linkedin</t>
        </is>
      </c>
      <c r="E36" t="inlineStr"/>
      <c r="F36" t="inlineStr"/>
      <c r="G36" t="inlineStr">
        <is>
          <t>Connecticut, United States</t>
        </is>
      </c>
      <c r="H36" t="inlineStr"/>
      <c r="I36" t="inlineStr">
        <is>
          <t>**Description**
 About the Role
 At NinjaOne, we’re looking for a skilled Data Engineer to join our team and help drive the future of our data infrastructure. You’ll play a critical role in building, maintaining, and scaling our systems to ensure smooth data flow, accuracy, and security across the organization. This is an exciting opportunity to work on innovative projects, collaborate with cross\-functional teams, and help shape how we leverage data to fuel growth, optimize products, and drive business decisions.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Data Pipeline Development: Design and implement scalable data pipelines that move and transform large volumes of data from multiple sources to central data warehouses, transforming data to enable business reporting and advanced analytics.
* Database Management: Manage and optimize the performance of relational databases, ensuring data availability, reliability, and consistency.
* Automation \&amp; Optimization: Automate and optimize data workflows to reduce manual processes and improve efficiency in data collection, storage, and processing.
* Monitoring \&amp; Maintenance: Ensure the integrity and security of data across systems, monitor performance, and troubleshoot any issues that arise within the data pipeline.
* Data Visualization: Build dashboards and reports in Tableau and Databricks to expose key data points and trends to business stakeholders.
* Collaboration: Work closely with data scientists, analysts, and other teams to gather requirements, understand data needs, and provide solutions that support data\-driven decision\-making.
* Other duties as needed.
**About You**
* Bachelor’s degree in Computer Science, Computer Engineering, Information Technology or equivalent work experience preferred.
* 3\+ years of experience in software development, with a strong focus on data engineering and data science.
* Experience in building data pipelines and managing large\-scale data systems using technologies like SQL and Python
* Proficiency in cloud platforms like AWS, GCP, or Azure, and experience with tools like Airflow, Kafka or dbt for orchestrating data workflows.
* Experience with both relational databases including MySQL, PostgreSQL and NoSQL databases like MongoDB, Cassandra.
* Experience with data warehousing concepts and tools such as Redshift, BigQuery, Snowflake.
**About Us**
 NinjaOne automates the hardest parts of IT to deliver visibility, security, and control over all endpoints for more than 20,000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federal government security requirements associated with our FedRAMP\-authorized environment, candidates must be U.S. citizens or lawful permanent residents.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$90,000 to $170,000 per year.
 For roles based in New York, the base salary hiring range for this position is $90,000 to $170,000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37">
      <c r="A37" t="inlineStr">
        <is>
          <t>li-4368269132</t>
        </is>
      </c>
      <c r="B37" t="inlineStr">
        <is>
          <t>Senior Data Engineer</t>
        </is>
      </c>
      <c r="C37" t="inlineStr">
        <is>
          <t>Lorven Technologies Inc.</t>
        </is>
      </c>
      <c r="D37" t="inlineStr">
        <is>
          <t>linkedin</t>
        </is>
      </c>
      <c r="E37" t="inlineStr"/>
      <c r="F37" t="inlineStr"/>
      <c r="G37" t="inlineStr">
        <is>
          <t>Boston, MA</t>
        </is>
      </c>
      <c r="H37" t="inlineStr"/>
      <c r="I37" t="inlineStr">
        <is>
          <t>**Role: Senior Data Engineer** 
**Location: Brighton, MA 02135 – 4 days onsite** 
**Full Time Role** 
**Job description:** 
 You'll build scalable data pipelines to power insurance analytics. Preference for candidates with insurance domain expertise.
**Some of your key responsibilities include:** 
1. At least 8 to 10 years of overall IT experience. 5\+ years of relevant experience in design and development complete end\-end to design of enterprise\-wide big data solution.
2. Experience in designing \&amp; developing a big data solution using Spark, Scala, AWS Glue, Lambda is a must.
3. Strong Application development experience in Java/Scala/Python.
4. Strong Database SQL experience, preferably Redshift or Snowflake.
5. Acts as a Technical Leader and mentor to the team.
6. Experience in Insurance or Investment Management functions is highly preferred.
7. Advise on architectural decisions and design.
8. Participate in design workshops.
9. Create integration and application technical design documentation.
10. Conduct peer\-reviews of functional design documentation
11. Provide guidance on intended solution and best practices during development, configuration, and testing phases.
12. Complete development, configuration, and unit testing of high complexity areas
13. Perform code reviews and ensure standards are applied to each solution component.
14. Resolve complex defects during testing phases.
15. Provide guidance to developers in resolving defects.
16. Support and execute performance testing.
17. Provides guidance on infrastructure and environment setup.
18. Production Support: Assist in troubleshooting production environment and tuning environments.
19. Ensures best practices are followed from a technical perspective during all phases of the project.
**As a Senior Data Engineer, you will be responsible for:** 
1. Developing our application \- by delivering new features according to the business requirements, ensuring their high quality and timely delivery. We expect you to develop maintainable, well\-documented solutions, with an eye toward standardization, reusability, simplicity, performance, robustness, and other attributes of enterprise\-strength solutions.
2. Contributing to the application design \- creating Proofs of Concepts or prototypes when needed, contributing to technical design of applications, helping to choose the right tech stack, choosing, and applying system integration patterns, contributing to DB \&amp; data model design.
3. Helping to define application requirements \- using your technical expertise to work with business analysts, business representatives and other stakeholders to define requirements.
4. Thorough validation of the developed system – by utilizing advanced techniques and comprehensive testing approach (e.g. negative testing, testing boundary conditions, etc.), and working with the business stakeholders to support UAT testing.
5. Supporting our business stakeholders with your technical expertise \- replying to inquiries, investigating, and resolving encountered issues, addressing production incidents, and maintaining a helpful, “high\-touch” approach to working with our business users.
6. Following and improving Agile practices \- participating in Scrum Development team, encouraging others to follow the rules of Agile development, continuously improving our development methodology.</t>
        </is>
      </c>
    </row>
    <row r="38">
      <c r="A38" t="inlineStr">
        <is>
          <t>li-4368259492</t>
        </is>
      </c>
      <c r="B38" t="inlineStr">
        <is>
          <t>Data Platform Engineer - CA (Remote)- Fulltime- USC/ Green Card of California only</t>
        </is>
      </c>
      <c r="C38" t="inlineStr">
        <is>
          <t>OM Housing</t>
        </is>
      </c>
      <c r="D38" t="inlineStr">
        <is>
          <t>linkedin</t>
        </is>
      </c>
      <c r="E38" t="inlineStr"/>
      <c r="F38" t="inlineStr"/>
      <c r="G38" t="inlineStr">
        <is>
          <t>California, United States</t>
        </is>
      </c>
      <c r="H38" t="inlineStr"/>
      <c r="I38" t="inlineStr">
        <is>
          <t>**🚀 Hiring: Data Platform Engineers (Multiple Levels)** 
**📍 Location: USA** 
**🛂 Eligibility: US Citizen / Green Card Holder \- California only** 
**💼 Type: Full\-time \| High\-Impact Engineering Role** 
 Get in touch with me at charneet@omtechllc.com for more information. Fake profiles won't be considered.
**🌟 About the Role** 
 We are looking for Data Platform Engineers at various levels to design, build, and manage scalable data platforms and infrastructure that power advanced analytics, reporting, and high\-performance query engines.
 This is an opportunity to work on modern data architectures using technologies like Trino (Presto), Redshift, BigQuery, Apache Iceberg, and other columnar data solutions.
 As an early team member, you’ll take ownership from day one, help define engineering best practices, and build systems that are robust, scalable, and business\-critical.
**🛠️ What You’ll Do** 
 🔹 Architect, build, and maintain scalable \&amp; reliable data platforms
 🔹 Develop and optimize analytic query engines (Trino, Redshift, BigQuery)
 🔹 Design and support Apache Iceberg–based data management solutions
 🔹 Collaborate with Data Engineering \&amp; Analytics teams for seamless integration
 🔹 Implement observability frameworks to monitor pipelines \&amp; performance
 🔹 Apply best practices for:
* Data modeling
* Schema design \&amp; evolution
* Pipeline fan\-out strategies
 🔹 Ensure data integrity across:
* 🧱 Medallion architectures
* ⭐ Star schemas
* 🌊 Lakehouse environments
 🔹 Proactively improve scalability, efficiency, and reliability
**✅ What We’re Looking For** 
 ✔️ 3\+ years in Data Platform Engineering or related infrastructure roles
 ✔️ Strong hands\-on experience with:
* Trino (Presto)
* Redshift
* BigQuery
* Apache Iceberg
 ✔️ Expertise in Medallion architecture, star schemas \&amp; schema evolution
 ✔️ Experience with observability, automated schema detection \&amp; performance tuning
 ✔️ Proficiency with cloud platforms (AWS / Azure / GCP)
 ✔️ Strong Python skills
 ✔️ Experience with modern infrastructure automation tools
 ✔️ Excellent problem\-solving skills in complex, high\-scale data environments
 ✔️ Strong communication skills (technical \&amp; non\-technical)
 ✔️ Comfortable working independently and in fast\-paced teams
**🌟 Ways to Stand Out** 
 ✨ Experience building highly observable \&amp; scalable data platforms
 ✨ Advanced expertise in query optimization \&amp; database scaling
 ✨ Familiarity with Infrastructure as Code (IaC) tools:
* Terraform
* Pulumi
* AWS CDK
 ✨ Ability to align platform engineering with business strategy
**💡 Why This Role?** 
 🚀 High ownership \&amp; visibility
 🧠 Solve complex, real\-world data problems
 📈 Work on scalable systems used for advanced analytics
 🤝 Collaborate with strong engineering \&amp; analytics teams
 🏗️ Build platforms that truly matter</t>
        </is>
      </c>
    </row>
    <row r="39">
      <c r="A39" t="inlineStr">
        <is>
          <t>li-4314047645</t>
        </is>
      </c>
      <c r="B39" t="inlineStr">
        <is>
          <t>Senior Analytics Engineer I</t>
        </is>
      </c>
      <c r="C39" t="inlineStr">
        <is>
          <t>Upside</t>
        </is>
      </c>
      <c r="D39" t="inlineStr">
        <is>
          <t>linkedin</t>
        </is>
      </c>
      <c r="E39" t="inlineStr"/>
      <c r="F39" t="inlineStr"/>
      <c r="G39" t="inlineStr">
        <is>
          <t>Washington, DC</t>
        </is>
      </c>
      <c r="H39" t="inlineStr"/>
      <c r="I39"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3\+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40">
      <c r="A40" t="inlineStr">
        <is>
          <t>li-4368641390</t>
        </is>
      </c>
      <c r="B40" t="inlineStr">
        <is>
          <t>AI / Data Engineer — Compliance-First AI Platform (WealthTech)</t>
        </is>
      </c>
      <c r="C40" t="inlineStr">
        <is>
          <t>Kanika</t>
        </is>
      </c>
      <c r="D40" t="inlineStr">
        <is>
          <t>linkedin</t>
        </is>
      </c>
      <c r="E40" t="inlineStr"/>
      <c r="F40" t="inlineStr"/>
      <c r="G40" t="inlineStr">
        <is>
          <t>Connecticut, United States</t>
        </is>
      </c>
      <c r="H40" t="inlineStr"/>
      <c r="I40" t="inlineStr">
        <is>
          <t>**Summary** 
 We’re building a compliance\-first AI platform for regulated financial data. The goal is to enable wealth managers and compliance teams to ask complex questions of their data—securely, reliably, and without increasing regulatory risk.
 This is
**not** 
 a general\-purpose chatbot role. The AI layer is designed to support structured, permissioned data access in regulated environments, with a strong emphasis on correctness, traceability, and trust.
 We’re looking for an AI / Data Engineer to own the AI\-assisted query layer, data validation logic, and system guardrails that make the platform production\-ready in a compliance\-sensitive context.
**What You’ll Build** 
 This role sits at the intersection of
**AI, data integrity, and regulated systems** 
 .
**AI\-assisted query layer** 
* Translate natural language questions into structured, validated data queries
* Apply constraints and rules so outputs remain reliable and reproducible
* Design safeguards that prevent unsafe or unsupported queries
**Data normalization and validation** 
* Work with data from multiple external systems and feeds
* Implement consistency and quality checks across datasets
* Surface confidence indicators and source attribution alongside results
**Compliance\-oriented AI guardrails** 
* Ensure AI\-assisted workflows operate within defined system boundaries
* Restrict outputs to verified data and approved query paths
* Maintain clear linkage between user intent, system queries, and results
**Auditability and explainability** 
* Capture metadata around query intent, execution, and outputs
* Provide clear explanations of how results were produced
* Support exportable, review\-ready outputs for compliance and oversight teams
**What Makes This Role Different** 
 Most AI roles optimize for speed or novelty. This one optimizes for
**trust** 
 .
* Outputs must be reviewable and explainable
* Systems must behave predictably under real\-world constraints
* AI is used to
*augment* 
 structured workflows—not replace them
 If you’re interested in building AI that can operate inside regulated, high\-stakes environments, this role is designed for that challenge.
**Responsibilities** 
* Own the AI\-assisted query and validation layer
* Design a semantic abstraction for complex financial data
* Implement data quality checks and anomaly detection
* Partner closely with the Lead Engineer on architecture, performance, and security
* Design mechanisms for explainability and audit readiness
* Ship an MVP quickly and iterate with early design partners
**Ideal Background** 
**Must\-haves** 
* Strong SQL and data modeling skills
* Experience working with large, structured datasets
* Practical experience applying LLMs to production workflows
* Ability to design constraints, validation steps, and guardrails
* Strong Python skills
**Nice\-to\-haves** 
* Experience in fintech or other regulated industries
* Familiarity with modern data tooling (or willingness to learn)
* Exposure to security, compliance, or governance requirements
* Understanding of data lineage, auditability, or explainability concepts
**Tech Stack (Early Direction)** 
 We’re pragmatic and flexible, but expect something along the lines of:
* AI layer: LLMs used in constrained, system\-guided workflows
* Backend: Python\-based APIs
* Data: Relational database with a normalized schema
* Cloud: AWS
* Observability and logging focused on traceability
* Frontend: Lightweight React\-based admin UI
**What Success Looks Like (First \~90 Days)** 
* AI\-assisted query prototype operating within defined constraints
* Data validation and consistency checks in place
* End\-to\-end traceability from user input to output
* System ready for early design partner pilots
**Compensation** 
* Competitive seed\-stage salary
* Meaningful equity
* High ownership and direct influence on product direction
**Why Now** 
 AI adoption in wealth management is accelerating—but trust and compliance remain the limiting factors. We’re focused on building the infrastructure layer that makes AI usable in real, regulated financial workflows.
 If you want to help define that category from the ground up, we’d love to talk.
 Send your resume and a short note to
**info@getkanika.com** 
 .</t>
        </is>
      </c>
    </row>
    <row r="41">
      <c r="A41" t="inlineStr">
        <is>
          <t>li-4352616393</t>
        </is>
      </c>
      <c r="B41" t="inlineStr">
        <is>
          <t>Senior Data Engineer</t>
        </is>
      </c>
      <c r="C41" t="inlineStr">
        <is>
          <t>Koch</t>
        </is>
      </c>
      <c r="D41" t="inlineStr">
        <is>
          <t>linkedin</t>
        </is>
      </c>
      <c r="E41" t="inlineStr"/>
      <c r="F41" t="inlineStr"/>
      <c r="G41" t="inlineStr">
        <is>
          <t>Dallas, TX</t>
        </is>
      </c>
      <c r="H41" t="inlineStr"/>
      <c r="I41"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with flexibility.**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42">
      <c r="A42" t="inlineStr">
        <is>
          <t>li-4368804687</t>
        </is>
      </c>
      <c r="B42" t="inlineStr">
        <is>
          <t>Senior Data Engineer | $25M funded HealthTech Start-up</t>
        </is>
      </c>
      <c r="C42" t="inlineStr">
        <is>
          <t>evoke</t>
        </is>
      </c>
      <c r="D42" t="inlineStr">
        <is>
          <t>linkedin</t>
        </is>
      </c>
      <c r="E42" t="inlineStr"/>
      <c r="F42" t="inlineStr"/>
      <c r="G42" t="inlineStr"/>
      <c r="H42" t="inlineStr"/>
      <c r="I42" t="inlineStr">
        <is>
          <t>**Senior Data Engineer \| $160k – $220k \+ Equity \| New York** 
 We’re working with a fast\-growing, $25M\-funded AI HealthTech startup founded by serial entrepreneurs (prior exits worth billions), on a mission to transform healthcare workforce management.
 The company builds AI agents that automate the toughest operational challenges in hospitals and clinics — smarter onboarding, 24/7 staffing optimisation, and complex payroll automation. You’ll join a small, high\-impact engineering team and build systems that directly affect how caregivers deliver care.
 They are hiring for a
 **Senior Software Engineer, Data,** 
 to design and scale pipelines/integrations with Airbyte, Dagster, RPA tools, and Postgres.
**Tech Stack:** 
 Python, Node.js, Postgres, Kubernetes, CI/CD, Airbyte, Dagster, GCP
**Package:** 
 $160,000 – $220,000 \+ equity \+ benefits
 You should apply if you have:
* 5\+ years of software engineering experience with a focus on data systems
* Strong experience with SQL and Postgres
* Have worked with Airbyte, Dagster or similar
* Experience with CI/CD pipelines and working in cloud environments</t>
        </is>
      </c>
    </row>
    <row r="43">
      <c r="A43" t="inlineStr">
        <is>
          <t>li-4365563254</t>
        </is>
      </c>
      <c r="B43" t="inlineStr">
        <is>
          <t>Senior Data Engineer</t>
        </is>
      </c>
      <c r="C43" t="inlineStr">
        <is>
          <t>Trepp, Inc.</t>
        </is>
      </c>
      <c r="D43" t="inlineStr">
        <is>
          <t>linkedin</t>
        </is>
      </c>
      <c r="E43" t="inlineStr"/>
      <c r="F43" t="inlineStr"/>
      <c r="G43" t="inlineStr"/>
      <c r="H43" t="inlineStr"/>
      <c r="I43"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44">
      <c r="A44" t="inlineStr">
        <is>
          <t>li-4352741172</t>
        </is>
      </c>
      <c r="B44" t="inlineStr">
        <is>
          <t>Senior Data Engineer</t>
        </is>
      </c>
      <c r="C44" t="inlineStr">
        <is>
          <t>Koch</t>
        </is>
      </c>
      <c r="D44" t="inlineStr">
        <is>
          <t>linkedin</t>
        </is>
      </c>
      <c r="E44" t="inlineStr"/>
      <c r="F44" t="inlineStr"/>
      <c r="G44" t="inlineStr">
        <is>
          <t>Atlanta, GA</t>
        </is>
      </c>
      <c r="H44" t="inlineStr"/>
      <c r="I44"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with flexibility.**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45">
      <c r="A45" t="inlineStr">
        <is>
          <t>li-4352646304</t>
        </is>
      </c>
      <c r="B45" t="inlineStr">
        <is>
          <t>Senior Data Engineer</t>
        </is>
      </c>
      <c r="C45" t="inlineStr">
        <is>
          <t>Koch</t>
        </is>
      </c>
      <c r="D45" t="inlineStr">
        <is>
          <t>linkedin</t>
        </is>
      </c>
      <c r="E45" t="inlineStr"/>
      <c r="F45" t="inlineStr"/>
      <c r="G45" t="inlineStr">
        <is>
          <t>Plano, TX</t>
        </is>
      </c>
      <c r="H45" t="inlineStr"/>
      <c r="I45"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with flexibility.**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46">
      <c r="A46" t="inlineStr">
        <is>
          <t>li-4364937175</t>
        </is>
      </c>
      <c r="B46" t="inlineStr">
        <is>
          <t>Data Engineer (AWS/Redshift) - Hybrid Tampa (Contract-to-Hire)</t>
        </is>
      </c>
      <c r="C46" t="inlineStr">
        <is>
          <t>Confidential</t>
        </is>
      </c>
      <c r="D46" t="inlineStr">
        <is>
          <t>linkedin</t>
        </is>
      </c>
      <c r="E46" t="inlineStr"/>
      <c r="F46" t="inlineStr"/>
      <c r="G46" t="inlineStr"/>
      <c r="H46" t="inlineStr"/>
      <c r="I46" t="inlineStr">
        <is>
          <t>***Local Tampa candidates \| No sponsorship available \- must have GC or Citizen***
 We are seeking a
 **Data Engineer (contract\-to\-hire)** 
 to join our team in a
 **hybrid role based in Tampa, FL** 
 . In this position, you will play a key role in the design, development, and ongoing support of our data warehouse environment built on
 **Amazon Redshift** 
 . The ideal candidate brings strong data engineering expertise, hands\-on experience with
 **AWS services** 
 , and the ability to work with both
 **structured and unstructured data** 
 . You will also contribute to business insights by building impactful dashboards and reports using
 **Amazon QuickSight** 
 .
 Key Responsibilities
* Design, develop, and maintain scalable and reliable data warehouse solutions using
 **Amazon Redshift** 
 .
* Partner with cross\-functional teams to gather requirements and integrate data from a variety of sources, including databases, external files, and structured/unstructured datasets.
* Build, optimize, and maintain
 **ETL pipelines** 
 to support efficient data ingestion, transformation, and loading using AWS\-native tools.
* Ensure data quality, integrity, availability, and performance across data storage and processing systems.
* Implement and support
 **data governance, security, and compliance** 
 best practices.
* Develop and manage data pipelines and workflows using AWS services such as
 **Glue, Lambda, Step Functions, Athena, DMS, and Redshift** 
 .
* Design and publish interactive dashboards and reports in
 **Amazon QuickSight** 
 to support analytics and decision\-making.
* Perform data validation and analysis to ensure accuracy and consistency across multiple data sources.
* Diagnose and resolve complex data processing and performance issues.
* Stay up to date on emerging trends, tools, and best practices in data engineering and AWS technologies.
 Qualifications
* Demonstrated experience as a
 **Data Engineer** 
 , with an emphasis on data warehouse design and development.
* 3\-5 years hands on experience with AWS services including
 **Redshift, S3, and QuickSight** 
 .
* Experience working with MySQL databases and data formats such as Parquet.
* Solid understanding of data modeling, database design, and data warehousing principles.
* Experience designing and maintaining ETL frameworks and tools.
* Strong collaboration and communication skills, with the ability to work effectively in a team environment.
* Must be local to Tampa FL, and willing to work hybrid.
* Goal is to convert this contractor to FT employee.</t>
        </is>
      </c>
    </row>
    <row r="47">
      <c r="A47" t="inlineStr">
        <is>
          <t>li-4359214887</t>
        </is>
      </c>
      <c r="B47" t="inlineStr">
        <is>
          <t>Senior Data Engineer</t>
        </is>
      </c>
      <c r="C47" t="inlineStr">
        <is>
          <t>Robert Half</t>
        </is>
      </c>
      <c r="D47" t="inlineStr">
        <is>
          <t>linkedin</t>
        </is>
      </c>
      <c r="E47" t="inlineStr"/>
      <c r="F47" t="inlineStr"/>
      <c r="G47" t="inlineStr">
        <is>
          <t>Southfield, MI</t>
        </is>
      </c>
      <c r="H47" t="inlineStr"/>
      <c r="I47" t="inlineStr">
        <is>
          <t>Our client is seeking a Senior Data Engineer to design, build, and operate scalable, production\-grade data pipelines that power analytics, automation, and operational workflows across the organization.
 This role works within a modern, cloud\-native data platform and focuses on integrating data from internal systems and external partners, transforming it into reliable, analytics\-ready datasets, and delivering it consistently to downstream users and applications. The Senior Data Engineer partners closely with Business Intelligence, Technology, and business teams to ensure data solutions are scalable, reliable, and aligned with real business needs.
 Key Responsibilities
* Design, build, and maintain data pipelines ingesting data from APIs, vendors, files, databases, and cloud storage.
* Enable bi\-directional data integrations between Snowflake and operational systems.
* Transform and model data using SQL, Python, and dbt to support analytics and automation.
* Build and operate workflows using orchestration tools such as Prefect, Dagster, or Airflow.
* Monitor pipeline performance, resolve data quality issues, and improve reliability and observability.
* Collaborate with analysts and business partners to translate requirements into scalable data solutions.
* Contribute to data engineering standards, documentation, and best practices.
 Required Qualifications
* 5\+ years of experience in data engineering or related roles.
* Hands\-on experience with Snowflake or a similar cloud data warehouse.
* Strong SQL and Python skills for data transformation and pipeline development.
* Experience with modern ETL/ELT pipelines and workflow orchestration tools.
* Familiarity with AWS services (e.g., S3, Lambda, SQS, ECS/Fargate).
* Experience working with Git\-based version control and CI/CD pipelines.
* Ability to work with semi\-structured data (JSON, APIs, file\-based inputs).
 Preferred Qualifications
* Experience with dbt.
* Exposure to operational or automation\-driven data workflows.
* Experience with BI tools such as Sigma, Tableau, or Power BI.
* Background in financial services or auto finance.</t>
        </is>
      </c>
    </row>
    <row r="48">
      <c r="A48" t="inlineStr">
        <is>
          <t>li-4282845259</t>
        </is>
      </c>
      <c r="B48" t="inlineStr">
        <is>
          <t>Databricks Data Engineer - Senior - Consulting - Location Open</t>
        </is>
      </c>
      <c r="C48" t="inlineStr">
        <is>
          <t>EY</t>
        </is>
      </c>
      <c r="D48" t="inlineStr">
        <is>
          <t>linkedin</t>
        </is>
      </c>
      <c r="E48" t="inlineStr"/>
      <c r="F48" t="inlineStr"/>
      <c r="G48" t="inlineStr">
        <is>
          <t>San Jose, CA</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li-4275749066</t>
        </is>
      </c>
      <c r="B49" t="inlineStr">
        <is>
          <t>Staff Data Engineer</t>
        </is>
      </c>
      <c r="C49" t="inlineStr">
        <is>
          <t>Life360</t>
        </is>
      </c>
      <c r="D49" t="inlineStr">
        <is>
          <t>linkedin</t>
        </is>
      </c>
      <c r="E49" t="inlineStr"/>
      <c r="F49" t="inlineStr"/>
      <c r="G49" t="inlineStr"/>
      <c r="H49" t="inlineStr"/>
      <c r="I49" t="inlineStr">
        <is>
          <t>**About Life360**
 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**About The Team**
 The Data Platform team’s purpose is to design, build, and maintain scalable and efficient data infrastructure that empowers Life360 teams to make data\-driven decisions. We transform raw data into reliable, accessible, and actionable insights, ensuring data quality, compliance, security, costs and performance at every step. By leveraging innovative technologies and best practices, we enable Product, Analytics and Partners to unlock the full potential of data, driving operational excellence and strategic growth.
**For candidates based in the US, the salary range for this position is $166,500 to $280,500 USD. For candidates based out of Canada, the salary range for this position is 195,500 to 260,000 CAD.** 
**Note: Please be aware that the job title for positions in Canada will be "Developer" in lieu of "Engineer."**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**About The Job**
 At Life360, we collect a lot of data: 60 billion unique location points, 12 billion user actions, 8 billion miles driven every single month, and so much more. As a Staff Data Engineer, you will contribute to enhancing and modernizing our data platform infrastructure towards a robust and secure data system. You should have a strong engineering background and even more importantly a desire to take ownership of our data systems to make them world class.
**What You’ll Do**
 Primary responsibilities include, but are not limited to:
* Design, implement, and manage scalable data processing platforms used for real\-time analytics and exploratory data analysis.
* Build and Manage our core data infrastructure from ingestion through ETL to storage and batch and real\-time processing utilizing the latest tools and tech in the industry.
* Automate, test and harden all data workflows.
* Architect logical and physical data models to ensure the needs of the business are met.
* Collaborate with multiple stakeholders like mobile app, cloud, product, data science and analytics teams, in recommendation and applying best practices
* Architect and develop systems and algorithms for distributed real\-time analytics and data processing
* Implement strategies for acquiring data to develop new insights
* Mentor junior engineers, imparting best practices and institutionalizing efficient processes to foster growth and innovation within the team
**What We’re Looking For**
 Experiences required for success in this role include:
* Minimum 8\+ years of experience working with high volume data infrastructure.
* Experience with Databricks, AWS, ETL and Job orchestration tooling.
* Extensive experience programming in one of the following languages: Python / Java.
* Experience in data security, data governance, data contracts, data quality, cost management, optimizing SQL queries, and system performance tuning.
* You are proficient with SQL, AWS, Databases, Apache Spark, Spark Streaming, EMR, and Kinesis/Kafka
* Experience in modern data engineering SDLC including Agile methodology, CI/CD, automated deployments using Terraform, GitHub Actions etc.
* Knowledge and proficiency in the latest open source and data frameworks, lakehouse architecture, open table format, modern data platform tech stacks and tools.
* Always be learning and staying up to speed with the fast moving data world.
* You have good communication skills and can work independently
* BS in Computer Science, Software Engineering, Mathematics, or equivalent experience
**Our Benefits**
* Competitive pay and benefits
* Medical, dental, vision, life, and disability insurance plans (100% paid for US employees). We offer supplemental medical and dental plans for Canadian employees
* 401(k) plan with company matching program
* RRSP plan with DPSP company matching program
* Employee Assistance Program (EAP) for mental wellness
* Flexible PTO and 12 company\-wide days off throughout the year
* Learning \&amp; Development programs
* Equipment, tools, and reimbursement support for a productive remote environment
* Free Life360 Platinum Membership for your preferred circle
**Life360 Values**
 Our company’s mission\-driven culture is guided by our shared values to create a trusted work environment where you can bring your authentic self to work and make a positive difference.
* Be a Good Person \- We have a team of people with high integrity who you can trust.
* Be Direct With Respect \- We communicate directly, even when it’s hard.
* Members Before Metrics \- We focus on building an exceptional experience for families.
* High\-Intensity High Impact \- We do whatever it takes to get the job done.</t>
        </is>
      </c>
    </row>
    <row r="50">
      <c r="A50" t="inlineStr">
        <is>
          <t>li-4282848082</t>
        </is>
      </c>
      <c r="B50" t="inlineStr">
        <is>
          <t>Databricks Data Engineer - Manager - Consulting - Location Open</t>
        </is>
      </c>
      <c r="C50" t="inlineStr">
        <is>
          <t>EY</t>
        </is>
      </c>
      <c r="D50" t="inlineStr">
        <is>
          <t>linkedin</t>
        </is>
      </c>
      <c r="E50" t="inlineStr"/>
      <c r="F50" t="inlineStr"/>
      <c r="G50" t="inlineStr">
        <is>
          <t>Tampa, FL</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li-4352209912</t>
        </is>
      </c>
      <c r="B51" t="inlineStr">
        <is>
          <t>Databricks Data Engineer - Manager - Consulting - Miami</t>
        </is>
      </c>
      <c r="C51" t="inlineStr">
        <is>
          <t>EY</t>
        </is>
      </c>
      <c r="D51" t="inlineStr">
        <is>
          <t>linkedin</t>
        </is>
      </c>
      <c r="E51" t="inlineStr"/>
      <c r="F51" t="inlineStr"/>
      <c r="G51" t="inlineStr">
        <is>
          <t>Secaucus, NJ</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li-4282843548</t>
        </is>
      </c>
      <c r="B52" t="inlineStr">
        <is>
          <t>Databricks Data Engineer - Senior - Consulting - Location Open</t>
        </is>
      </c>
      <c r="C52" t="inlineStr">
        <is>
          <t>EY</t>
        </is>
      </c>
      <c r="D52" t="inlineStr">
        <is>
          <t>linkedin</t>
        </is>
      </c>
      <c r="E52" t="inlineStr"/>
      <c r="F52" t="inlineStr"/>
      <c r="G52" t="inlineStr">
        <is>
          <t>Dallas, TX</t>
        </is>
      </c>
      <c r="H52" t="inlineStr"/>
      <c r="I5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3">
      <c r="A53" t="inlineStr">
        <is>
          <t>li-4352420534</t>
        </is>
      </c>
      <c r="B53" t="inlineStr">
        <is>
          <t>Databricks Data Engineer - Manager - Consulting - Miami</t>
        </is>
      </c>
      <c r="C53" t="inlineStr">
        <is>
          <t>EY</t>
        </is>
      </c>
      <c r="D53" t="inlineStr">
        <is>
          <t>linkedin</t>
        </is>
      </c>
      <c r="E53" t="inlineStr"/>
      <c r="F53" t="inlineStr"/>
      <c r="G53" t="inlineStr">
        <is>
          <t>San Jose, CA</t>
        </is>
      </c>
      <c r="H53" t="inlineStr"/>
      <c r="I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4">
      <c r="A54" t="inlineStr">
        <is>
          <t>li-4352273211</t>
        </is>
      </c>
      <c r="B54" t="inlineStr">
        <is>
          <t>Databricks Data Engineer - Manager - Consulting - Miami</t>
        </is>
      </c>
      <c r="C54" t="inlineStr">
        <is>
          <t>EY</t>
        </is>
      </c>
      <c r="D54" t="inlineStr">
        <is>
          <t>linkedin</t>
        </is>
      </c>
      <c r="E54" t="inlineStr"/>
      <c r="F54" t="inlineStr"/>
      <c r="G54" t="inlineStr">
        <is>
          <t>Palo Alto, CA</t>
        </is>
      </c>
      <c r="H54" t="inlineStr"/>
      <c r="I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5">
      <c r="A55" t="inlineStr">
        <is>
          <t>li-4368800566</t>
        </is>
      </c>
      <c r="B55" t="inlineStr">
        <is>
          <t>Lead Data Engineer</t>
        </is>
      </c>
      <c r="C55" t="inlineStr">
        <is>
          <t>Northwell Health</t>
        </is>
      </c>
      <c r="D55" t="inlineStr">
        <is>
          <t>linkedin</t>
        </is>
      </c>
      <c r="E55" t="inlineStr"/>
      <c r="F55" t="inlineStr"/>
      <c r="G55" t="inlineStr">
        <is>
          <t>Lake Success, NY</t>
        </is>
      </c>
      <c r="H55" t="inlineStr"/>
      <c r="I55" t="inlineStr">
        <is>
          <t>178721
**Job Description**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Previous experience working with Google Cloud Platform (GCP), including BigQuery to build out data warehouses.
* Prior experience working in an Agile team, using Jira/Confluence.
* Prior experience writing and scheduling DAGs using Airflow.
* Proficiency in Python and SQL.
* Experience with CI/CD pipelines and version control systems (GitHub).
* Understanding of DevOps practices and SDLC (software development lifecycle) best practices.
* Ability to understand and troubleshoot Microsoft SQL Server SSIS packages.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56">
      <c r="A56" t="inlineStr">
        <is>
          <t>li-4282843556</t>
        </is>
      </c>
      <c r="B56" t="inlineStr">
        <is>
          <t>Databricks Data Engineer - Senior - Consulting - Location Open</t>
        </is>
      </c>
      <c r="C56" t="inlineStr">
        <is>
          <t>EY</t>
        </is>
      </c>
      <c r="D56" t="inlineStr">
        <is>
          <t>linkedin</t>
        </is>
      </c>
      <c r="E56" t="inlineStr"/>
      <c r="F56" t="inlineStr"/>
      <c r="G56" t="inlineStr">
        <is>
          <t>San Diego, CA</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li-4282843549</t>
        </is>
      </c>
      <c r="B57" t="inlineStr">
        <is>
          <t>Databricks Data Engineer - Senior - Consulting - Location Open</t>
        </is>
      </c>
      <c r="C57" t="inlineStr">
        <is>
          <t>EY</t>
        </is>
      </c>
      <c r="D57" t="inlineStr">
        <is>
          <t>linkedin</t>
        </is>
      </c>
      <c r="E57" t="inlineStr"/>
      <c r="F57" t="inlineStr"/>
      <c r="G57" t="inlineStr">
        <is>
          <t>Cleveland, OH</t>
        </is>
      </c>
      <c r="H57" t="inlineStr"/>
      <c r="I5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8">
      <c r="A58" t="inlineStr">
        <is>
          <t>li-4282841809</t>
        </is>
      </c>
      <c r="B58" t="inlineStr">
        <is>
          <t>Databricks Data Engineer - Senior - Consulting - Location Open</t>
        </is>
      </c>
      <c r="C58" t="inlineStr">
        <is>
          <t>EY</t>
        </is>
      </c>
      <c r="D58" t="inlineStr">
        <is>
          <t>linkedin</t>
        </is>
      </c>
      <c r="E58" t="inlineStr"/>
      <c r="F58" t="inlineStr"/>
      <c r="G58" t="inlineStr">
        <is>
          <t>Fort Worth, TX</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li-4282842626</t>
        </is>
      </c>
      <c r="B59" t="inlineStr">
        <is>
          <t>Databricks Data Engineer - Senior - Consulting - Location Open</t>
        </is>
      </c>
      <c r="C59" t="inlineStr">
        <is>
          <t>EY</t>
        </is>
      </c>
      <c r="D59" t="inlineStr">
        <is>
          <t>linkedin</t>
        </is>
      </c>
      <c r="E59" t="inlineStr"/>
      <c r="F59" t="inlineStr"/>
      <c r="G59" t="inlineStr">
        <is>
          <t>Irvine, CA</t>
        </is>
      </c>
      <c r="H59" t="inlineStr"/>
      <c r="I5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0">
      <c r="A60" t="inlineStr">
        <is>
          <t>li-4282847171</t>
        </is>
      </c>
      <c r="B60" t="inlineStr">
        <is>
          <t>Databricks Data Engineer - Senior - Consulting - Location Open</t>
        </is>
      </c>
      <c r="C60" t="inlineStr">
        <is>
          <t>EY</t>
        </is>
      </c>
      <c r="D60" t="inlineStr">
        <is>
          <t>linkedin</t>
        </is>
      </c>
      <c r="E60" t="inlineStr"/>
      <c r="F60" t="inlineStr"/>
      <c r="G60" t="inlineStr">
        <is>
          <t>Greenville, SC</t>
        </is>
      </c>
      <c r="H60" t="inlineStr"/>
      <c r="I6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1">
      <c r="A61" t="inlineStr">
        <is>
          <t>li-4352263995</t>
        </is>
      </c>
      <c r="B61" t="inlineStr">
        <is>
          <t>Databricks Data Engineer - Manager - Consulting - Miami</t>
        </is>
      </c>
      <c r="C61" t="inlineStr">
        <is>
          <t>EY</t>
        </is>
      </c>
      <c r="D61" t="inlineStr">
        <is>
          <t>linkedin</t>
        </is>
      </c>
      <c r="E61" t="inlineStr"/>
      <c r="F61" t="inlineStr"/>
      <c r="G61" t="inlineStr">
        <is>
          <t>Jacksonville, FL</t>
        </is>
      </c>
      <c r="H61" t="inlineStr"/>
      <c r="I6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2">
      <c r="A62" t="inlineStr">
        <is>
          <t>li-4368238513</t>
        </is>
      </c>
      <c r="B62" t="inlineStr">
        <is>
          <t>Data Engineer</t>
        </is>
      </c>
      <c r="C62" t="inlineStr">
        <is>
          <t>Jobs via Dice</t>
        </is>
      </c>
      <c r="D62" t="inlineStr">
        <is>
          <t>linkedin</t>
        </is>
      </c>
      <c r="E62" t="inlineStr"/>
      <c r="F62" t="inlineStr"/>
      <c r="G62" t="inlineStr">
        <is>
          <t>Texas City, TX</t>
        </is>
      </c>
      <c r="H62" t="inlineStr"/>
      <c r="I62" t="inlineStr">
        <is>
          <t>Dice is the leading career destination for tech experts at every stage of their careers. Our client, Raas Infotek LLC, is seeking the following. Apply via Dice today!
**Job Title:** 
 Data Engineer
**Location:** 
 Texas, USA
**Employment Type:** 
 W2
**Experience:** 
 12\+ Years
**Job Description**
 We are seeking an experienced
 **Data Engineer** 
 to design, build, and maintain scalable data pipelines and platforms. The ideal candidate will have strong expertise in data integration, transformation, and performance optimization, enabling analytics and data\-driven decision\-making across the organization.
**Key Responsibilities**
* Design, develop, and maintain ETL/ELT data pipelines.
* Build and optimize data models for analytics and reporting.
* Work with structured and semi\-structured data from multiple sources.
* Ensure data quality, reliability, and performance.
* Collaborate with data analysts, data scientists, and business teams.
* Optimize queries and improve data processing efficiency.
* Support production issues and provide ongoing maintenance.
**Required Skills \&amp; Qualifications**
* 6–10\+ years of experience as a Data Engineer.
* Strong experience with SQL and relational databases.
* Hands\-on experience with ETL tools (Informatica, DataStage, Airflow, etc.).
* Experience with data warehousing (Snowflake, Redshift, BigQuery, Azure Synapse).
* Programming skills in Python, Java, or Scala.
* Experience working with cloud platforms (AWS, Azure, or Google Cloud Platform).
**Preferred Qualifications**
* Experience with big data technologies (Spark, Hadoop).
* Familiarity with data streaming tools (Kafka).
* Experience in Agile/Scrum environments.
* Knowledge of data governance and security best practices.
**Education**
* Bachelor’s or Master’s degree in Computer Science, Data Engineering, or related field.</t>
        </is>
      </c>
    </row>
    <row r="63">
      <c r="A63" t="inlineStr">
        <is>
          <t>li-4368808744</t>
        </is>
      </c>
      <c r="B63" t="inlineStr">
        <is>
          <t>Tech Lead/Data Engineer III</t>
        </is>
      </c>
      <c r="C63" t="inlineStr">
        <is>
          <t>Medica</t>
        </is>
      </c>
      <c r="D63" t="inlineStr">
        <is>
          <t>linkedin</t>
        </is>
      </c>
      <c r="E63" t="inlineStr"/>
      <c r="F63" t="inlineStr"/>
      <c r="G63" t="inlineStr">
        <is>
          <t>Hopkins, MN</t>
        </is>
      </c>
      <c r="H63" t="inlineStr"/>
      <c r="I63" t="inlineStr">
        <is>
          <t>Medica is seeking an experienced
 **Tech Lead/Data Engineer III.** 
 This role is ideal for an innovative and strategic thinker with a depth of experience in enterprise data and broader cloud\-based data engineering initiatives. This individual is someone who thrives in a mission\-driven, healthcare\-focused organization and is passionate about ensuring efficiency, scalability, financial integrity and compliance.
**Key Responsibilities:**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Design, build, implement, and maintain data storage structures and processing pipelines for the extraction, transformation, and loading (ETL) of data from a variety of sources. Develop robust and scalable solutions that transform data into a useful format for analysis, enhance data flow, and enable efficient, cost\-effective consumption and analysis of data. Write complex SQL queries to support analytics needs. Evaluate and recommend tools and technologies for data infrastructure and processing, including modern cloud platforms such as Snowflake, Azure, AWS, and data integration tools like Apache Airflow, dbt, Informatica Intelligent Data Management Cloud (IDMC), and distributed processing frameworks such as Apache Spark.
**Key Accountabilities:**
* Designing and implementing scalable data pipelines and storage solutions to support enterprise analytics.
* Ensuring data quality, integrity, and security across all stages of the data lifecycle.
* Collaborating with stakeholders to define data requirements and translate them into technical specifications.
* Monitoring and optimizing performance of data systems and ETL processes.
* Supporting the deployment and maintenance of data infrastructure in cloud environments.
* Developing and maintaining complex SQL scripts and stored procedures for data transformation and reporting.
* Leveraging Informatica IDMC for cloud\-native data integration, data quality, and governance workflows.
 In addition to engineering responsibilities, the Data Generalist component of this role includes:
* Performing exploratory data analysis and generating actionable insights.
* Creating dashboards and visualizations using tools like Power BI, Tableau, or Excel.
* Collaborating with cross\-functional teams to align data efforts with business goals.
* Automating data workflows using scripting languages such as Python or R.
* Supporting business intelligence initiatives and translating data into strategic recommendations.
* Documenting data processes and contributing to data governance standards.
* Applying AI and machine learning techniques to enhance predictive analytics, automate decision\-making, and uncover deeper insights from complex datasets.
* Utilizing preferred AI tools and platforms such as TensorFlow, Azure Machine Learning, scikit\-learn, and PyTorch to build and deploy models that support enterprise analytics and innovation.
**Qualifications:**
* Bachelor's degree or equivalent experience in related field
* 5 years of related work experience beyond the degree
* Proficient use of SQL
**Skills And Abilities**
* Microsoft Certified: (or equivalent cloud) Azure Data Engineer
* Microsoft Certified: Azure Fundamentals
* Snowflake SnowPro Core Certification
* Snowflake Advanced Architect Certification
* Healthcare industry experience is desired
 This position is an Office role, which requires an employee to work onsite at our Minnetonka, MN office, on average, 3 days per week.
 The full salary grade for this position is $100,300 \- $172,000\. While the full salary grade is provided, the typical hiring salary range for this role is expected to be between $100,300 \- $150,465\.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64">
      <c r="A64" t="inlineStr">
        <is>
          <t>li-4282847128</t>
        </is>
      </c>
      <c r="B64" t="inlineStr">
        <is>
          <t>Databricks Data Engineer - Manager - Consulting - Location Open</t>
        </is>
      </c>
      <c r="C64" t="inlineStr">
        <is>
          <t>EY</t>
        </is>
      </c>
      <c r="D64" t="inlineStr">
        <is>
          <t>linkedin</t>
        </is>
      </c>
      <c r="E64" t="inlineStr"/>
      <c r="F64" t="inlineStr"/>
      <c r="G64" t="inlineStr">
        <is>
          <t>Detroit, MI</t>
        </is>
      </c>
      <c r="H64" t="inlineStr"/>
      <c r="I6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li-4352219666</t>
        </is>
      </c>
      <c r="B65" t="inlineStr">
        <is>
          <t>Databricks Data Engineer - Manager - Consulting - Miami</t>
        </is>
      </c>
      <c r="C65" t="inlineStr">
        <is>
          <t>EY</t>
        </is>
      </c>
      <c r="D65" t="inlineStr">
        <is>
          <t>linkedin</t>
        </is>
      </c>
      <c r="E65" t="inlineStr"/>
      <c r="F65" t="inlineStr"/>
      <c r="G65" t="inlineStr">
        <is>
          <t>Arlington, VA</t>
        </is>
      </c>
      <c r="H65" t="inlineStr"/>
      <c r="I6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li-4282840913</t>
        </is>
      </c>
      <c r="B66" t="inlineStr">
        <is>
          <t>Databricks Data Engineer - Senior - Consulting - Location Open</t>
        </is>
      </c>
      <c r="C66" t="inlineStr">
        <is>
          <t>EY</t>
        </is>
      </c>
      <c r="D66" t="inlineStr">
        <is>
          <t>linkedin</t>
        </is>
      </c>
      <c r="E66" t="inlineStr"/>
      <c r="F66" t="inlineStr"/>
      <c r="G66" t="inlineStr">
        <is>
          <t>Grand Rapids, MI</t>
        </is>
      </c>
      <c r="H66" t="inlineStr"/>
      <c r="I6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7">
      <c r="A67" t="inlineStr">
        <is>
          <t>li-4352238178</t>
        </is>
      </c>
      <c r="B67" t="inlineStr">
        <is>
          <t>Databricks Data Engineer - Manager - Consulting - Miami</t>
        </is>
      </c>
      <c r="C67" t="inlineStr">
        <is>
          <t>EY</t>
        </is>
      </c>
      <c r="D67" t="inlineStr">
        <is>
          <t>linkedin</t>
        </is>
      </c>
      <c r="E67" t="inlineStr"/>
      <c r="F67" t="inlineStr"/>
      <c r="G67" t="inlineStr">
        <is>
          <t>Irvine, CA</t>
        </is>
      </c>
      <c r="H67" t="inlineStr"/>
      <c r="I6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8">
      <c r="A68" t="inlineStr">
        <is>
          <t>li-4352219660</t>
        </is>
      </c>
      <c r="B68" t="inlineStr">
        <is>
          <t>Databricks Data Engineer - Manager - Consulting - Miami</t>
        </is>
      </c>
      <c r="C68" t="inlineStr">
        <is>
          <t>EY</t>
        </is>
      </c>
      <c r="D68" t="inlineStr">
        <is>
          <t>linkedin</t>
        </is>
      </c>
      <c r="E68" t="inlineStr"/>
      <c r="F68" t="inlineStr"/>
      <c r="G68" t="inlineStr">
        <is>
          <t>Chantilly, VA</t>
        </is>
      </c>
      <c r="H68" t="inlineStr"/>
      <c r="I6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9">
      <c r="A69" t="inlineStr">
        <is>
          <t>li-4352322474</t>
        </is>
      </c>
      <c r="B69" t="inlineStr">
        <is>
          <t>Databricks Data Engineer - Manager - Consulting - Miami</t>
        </is>
      </c>
      <c r="C69" t="inlineStr">
        <is>
          <t>EY</t>
        </is>
      </c>
      <c r="D69" t="inlineStr">
        <is>
          <t>linkedin</t>
        </is>
      </c>
      <c r="E69" t="inlineStr"/>
      <c r="F69" t="inlineStr"/>
      <c r="G69" t="inlineStr">
        <is>
          <t>McLean, VA</t>
        </is>
      </c>
      <c r="H69" t="inlineStr"/>
      <c r="I6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0">
      <c r="A70" t="inlineStr">
        <is>
          <t>li-4307113190</t>
        </is>
      </c>
      <c r="B70" t="inlineStr">
        <is>
          <t>Lead Software Engineer - Data Engineer</t>
        </is>
      </c>
      <c r="C70" t="inlineStr">
        <is>
          <t>JPMorganChase</t>
        </is>
      </c>
      <c r="D70" t="inlineStr">
        <is>
          <t>linkedin</t>
        </is>
      </c>
      <c r="E70" t="inlineStr"/>
      <c r="F70" t="inlineStr"/>
      <c r="G70" t="inlineStr">
        <is>
          <t>Jersey City, NJ</t>
        </is>
      </c>
      <c r="H70" t="inlineStr"/>
      <c r="I70" t="inlineStr">
        <is>
          <t>**Job Description**
 We have an opportunity to impact your career and provide an adventure where you can push the limits of what's possible.
 As a Lead Software Engineer at JPMorgan Chase within the Corporate Sector's Finance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Join us as a Lead Software Engineer and play a pivotal role in building the next\-generation platform designed specifically for our Financial Planning and Analysis teams. You’ll empower finance professionals across the bank—from strategic planners to forecasting experts and business analysts—to model, consult, forecast, and plan with unprecedented agility and insight.
 This is your opportunity to transform how our FP\&amp;A teams operate, enabling smarter decision\-making, deeper analysis, and more effective financial strategies at one of the world’s most innovative financial institutions.
**Job Responsibilities**
* Architect and Build: Design and develop robust, scalable, and high\-performance platforms for finance users, enabling advanced analysis, modeling, forecasting, and planning capabilities.
* Lead and Inspire: Guide a talented team of engineers, fostering a culture of innovation, collaboration, and technical excellence.
* Drive Transformation: Work closely with product managers, finance experts, and stakeholders to deliver solutions that redefine how financial data is leveraged across the organization.
* Innovate: Leverage the latest technologies in cloud, data engineering, and AI/ML to create tools that set new standards in the industry.
* Mentor: Share your expertise and help grow the next generation of engineering talent within JPMorgan Chase.
**Required Qualifications, Capabilities, And Skills**
* Formal training or certification on software engineering concepts and 5\+ years applied experience
* Experience as a software engineer, with a track record of leading complex projects and engineering teams to successful delivery.
* Experience in building large\-scale platforms, with deep knowledge of data quality, observability, and entitlement management to ensure robust, secure, and reliable solutions.
* Expertise in modern programming languages such as Java, Python, or Scala.
* Experience with the AWS platform, including its core services, architecture best practices, and security features.
* Experience with big data technologies, including Apache Spark, for large\-scale data processing and analytics.
* Expertise in building data\-driven applications, ideally within finance, banking, or related domains, with an understanding of financial planning and analysis workflows.
* Experience collaborating with other platform teams to design and build common, reusable frameworks that drive standardization and enable wider adoption across the organization.
* Passion for solving complex problems and delivering impactful, scalable solutions that drive business value.
* Excellent communication and leadership skills, with the ability to collaborate effectively with cross\-functional teams, mentor junior engineers, and engage with stakeholders across the organization.
**Preferred Qualifications, Capabilities, And Skills**
* Exposure to Databricks
* Experience with data visualization and business intelligence platforms.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71">
      <c r="A71" t="inlineStr">
        <is>
          <t>li-4368238512</t>
        </is>
      </c>
      <c r="B71" t="inlineStr">
        <is>
          <t>Data Platform Engineer</t>
        </is>
      </c>
      <c r="C71" t="inlineStr">
        <is>
          <t>Jobs via Dice</t>
        </is>
      </c>
      <c r="D71" t="inlineStr">
        <is>
          <t>linkedin</t>
        </is>
      </c>
      <c r="E71" t="inlineStr"/>
      <c r="F71" t="inlineStr"/>
      <c r="G71" t="inlineStr">
        <is>
          <t>Wilmington, DE</t>
        </is>
      </c>
      <c r="H71" t="inlineStr"/>
      <c r="I71" t="inlineStr">
        <is>
          <t>Dice is the leading career destination for tech experts at every stage of their careers. Our client, Talent Wave Associates, is seeking the following. Apply via Dice today!
**Are you a seasoned expert in SQL Server and ETL looking to elevate your career?**
 Our client is searching for a dedicated professional with 8\-10 years of experience to join their team. This role involves developing and maintaining robust data platforms, ensuring seamless data integration, and supporting secure data flows across the organization.
**Data Platform Development \&amp; Support**
* Build and maintain SQL Server databases, schemas, and data structures.
* Develop and optimize SQL logic, including Stored Procedures and ETL components.
* Manage data ingestion from various sources such as databases, APIs, and files.
* Deliver processed data through direct integrations or flat file exports.
* Monitor and troubleshoot ETL jobs and automated workflows.
**Dimensional Modelling \&amp; Reporting Support**
* Design and maintain dimensional models for reporting and analytics.
* Ensure consistency in data models and reporting workflows.
**Security, Compliance \&amp; Documentation**
* Manage SQL Server roles, permissions, and access controls.
* Conduct security reviews and maintain documentation for data processes.
**Qualifications**
* 8\-10 years of experience in SQL Server development, administration, and ETL.
* Strong skills in SQL, Stored Procedures, and query tuning.
* Experience with dimensional modeling and data integration.
* Proficiency in Cognos or Power BI is advantageous.
*At Talent Wave Associates, we connect outstanding talent with exceptional opportunities. We're proud to be an Equal Opportunity Employer and are committed to fostering an inclusive, people\-first recruiting experience. Ready to ride the wave of opportunity? Apply today!
 \#26\-00055*</t>
        </is>
      </c>
    </row>
    <row r="72">
      <c r="A72" t="inlineStr">
        <is>
          <t>li-4282843509</t>
        </is>
      </c>
      <c r="B72" t="inlineStr">
        <is>
          <t>Databricks Data Engineer - Manager - Consulting - Location Open</t>
        </is>
      </c>
      <c r="C72" t="inlineStr">
        <is>
          <t>EY</t>
        </is>
      </c>
      <c r="D72" t="inlineStr">
        <is>
          <t>linkedin</t>
        </is>
      </c>
      <c r="E72" t="inlineStr"/>
      <c r="F72" t="inlineStr"/>
      <c r="G72" t="inlineStr">
        <is>
          <t>New Orleans, LA</t>
        </is>
      </c>
      <c r="H72" t="inlineStr"/>
      <c r="I7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3">
      <c r="A73" t="inlineStr">
        <is>
          <t>li-4368263097</t>
        </is>
      </c>
      <c r="B73" t="inlineStr">
        <is>
          <t>Data Platform Engineer L3</t>
        </is>
      </c>
      <c r="C73" t="inlineStr">
        <is>
          <t>Wipro</t>
        </is>
      </c>
      <c r="D73" t="inlineStr">
        <is>
          <t>linkedin</t>
        </is>
      </c>
      <c r="E73" t="inlineStr"/>
      <c r="F73" t="inlineStr"/>
      <c r="G73" t="inlineStr">
        <is>
          <t>Santa Clara, UT</t>
        </is>
      </c>
      <c r="H73" t="inlineStr"/>
      <c r="I73" t="inlineStr">
        <is>
          <t>Job description:
 Job Description
**Role Purpose** 
 The purpose of this role is to design, test and maintain software programs for operating systems or applications which needs to be deployed at a client end and ensure its meet 100% quality assurance parameters
 ͏
**Required Skills:** 
**Managed File Transfer (MFT)** 
 \- GoAnywhere MFT, Other MFT tools (Control‑M, etc.) 
 **Workflow Orchestration** 
  \- Apache Airflow, Job scheduling, monitoring, dependencies. 
 **Cloud Platforms** 
 \- AWS (S3, CloudWatch, Lambda), GCP (GCS, Compute Engine, Cloud Functions) 
 **Logging \&amp; Monitoring** 
  \- Splunk (must\-have), Reviewing MFT logs / system logs CloudWatch alerts 
 **Scripting \&amp; Automation** 
 \- Python, Shell / Bash, Automation of pipelines \&amp; processes 
 **Linux / Unix** 
  \- File systems, Permissions, Troubleshooting skills 
 **Data Transfer Protocols** 
 \- SFTP / FTP / FTPS, HTTPS, Encryption/Decryption standards, Regex, SMB \&amp; Message Queues 
 **Operational Excellence** 
 \- Incident management, Ticketing systems, UAT \&amp; Production validation, Creating SOPs \&amp; runbooks.  
 **Data Workflow Skills** 
  \- File completeness validation, Onboarding new workflows, Hybrid data movement (on‑prem ↔ cloud)͏
**Additional Skills** 
 \-  
 (Strong Differentiators) \- Advanced Splunk (SPL, dashboards), Custom Airflow DAG development, SQL for validation, Cloud automation (Lambda/Cloud Functions). 
 Competencies Client CentricityPassion for ResultsExecution ExcellenceCollaborative WorkingLearning AgilityProblem Solving \&amp; Decision MakingEffective communication
 Experience: 3\-5 Years
 .
 The expected compensation for this role ranges from $45,000 to $121,000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74">
      <c r="A74" t="inlineStr">
        <is>
          <t>li-4361540622</t>
        </is>
      </c>
      <c r="B74" t="inlineStr">
        <is>
          <t>Distinguished Data Engineer - Card Data</t>
        </is>
      </c>
      <c r="C74" t="inlineStr">
        <is>
          <t>Capital One</t>
        </is>
      </c>
      <c r="D74" t="inlineStr">
        <is>
          <t>linkedin</t>
        </is>
      </c>
      <c r="E74" t="inlineStr"/>
      <c r="F74" t="inlineStr"/>
      <c r="G74" t="inlineStr">
        <is>
          <t>Chicago, IL</t>
        </is>
      </c>
      <c r="H74" t="inlineStr"/>
      <c r="I74"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Capital One is seeking a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3 years of experience in data architecture
* At least 2 years of experience building applications in AWS
**Preferred Qualifications:**
* Masters’ Degree
* 9\+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Distinguished Data Engineer
 McLean, VA: $269,100 \- $307,200 for Distinguished Data Engineer
 New York, NY: $293,600 \- $335,100 for Distinguished Data Engineer
 Richmond, VA: $244,700 \- $279,200 for Distinguished Data Engineer
 San Francisco, CA: $293,600 \- $335,100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5">
      <c r="A75" t="inlineStr">
        <is>
          <t>li-4352263997</t>
        </is>
      </c>
      <c r="B75" t="inlineStr">
        <is>
          <t>Databricks Data Engineer - Manager - Consulting - Miami</t>
        </is>
      </c>
      <c r="C75" t="inlineStr">
        <is>
          <t>EY</t>
        </is>
      </c>
      <c r="D75" t="inlineStr">
        <is>
          <t>linkedin</t>
        </is>
      </c>
      <c r="E75" t="inlineStr"/>
      <c r="F75" t="inlineStr"/>
      <c r="G75" t="inlineStr">
        <is>
          <t>Tucson, AZ</t>
        </is>
      </c>
      <c r="H75" t="inlineStr"/>
      <c r="I7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6">
      <c r="A76" t="inlineStr">
        <is>
          <t>li-4350797708</t>
        </is>
      </c>
      <c r="B76" t="inlineStr">
        <is>
          <t>MDM Data Engineer</t>
        </is>
      </c>
      <c r="C76" t="inlineStr">
        <is>
          <t>Jobs via eFinancialCareers</t>
        </is>
      </c>
      <c r="D76" t="inlineStr">
        <is>
          <t>linkedin</t>
        </is>
      </c>
      <c r="E76" t="inlineStr"/>
      <c r="F76" t="inlineStr"/>
      <c r="G76" t="inlineStr">
        <is>
          <t>Springfield, MA</t>
        </is>
      </c>
      <c r="H76" t="inlineStr"/>
      <c r="I76"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77">
      <c r="A77" t="inlineStr">
        <is>
          <t>li-4296673117</t>
        </is>
      </c>
      <c r="B77" t="inlineStr">
        <is>
          <t>SCM Analytics Engineer</t>
        </is>
      </c>
      <c r="C77" t="inlineStr">
        <is>
          <t>Southern Glazer's Wine &amp; Spirits</t>
        </is>
      </c>
      <c r="D77" t="inlineStr">
        <is>
          <t>linkedin</t>
        </is>
      </c>
      <c r="E77" t="inlineStr"/>
      <c r="F77" t="inlineStr"/>
      <c r="G77" t="inlineStr">
        <is>
          <t>Miami, FL</t>
        </is>
      </c>
      <c r="H77" t="inlineStr"/>
      <c r="I77" t="inlineStr">
        <is>
          <t>**What You Need To Know**
 Shape a remarkable future with us. Build a career working for an industry leader that truly invests in their people – and equips them with leading technology, continuous learning, and the ability to bring their best selves to work. As the premier wine and spirits distributor, Southern Glazer’s isn't just one of Forbes’ Top Private Companies; it's a family\-owned business with deep roots dating back to 1933\.
 The reputation of Southern Glazer’s is well\-established, and it's no surprise that we are regularly recognized for our culture. Southern Glazer’s has been recognized by Newsweek as one of America’s Greatest Workplaces for Inclusion and Diversity, as well as for Women and Parents and Families. These accolades speak volumes about our commitment to creating a supportive and inclusive culture of belonging for all employees.
 As a full\-time employee, you can choose from a wide\-ranging menu of our Top Shelf Benefits, including comprehensive medical and prescription drug coverage, dental and vision plans, tax\-saving Flexible Spending Accounts, disability coverage, life insurance plans, and a 401(k) plan. We also offer tuition assistance, a wellness program, parental leave, vacation accrual, paid sick leave, and more.
 By joining Southern Glazer’s, you would be part of a team that values excellence, innovation, and community. This is more than just a job – it's an opportunity to build the future of beverage distribution and grow with a company that truly cares about its people.
**Must be eligible to work as a full\-time employee in the US without sponsorship.**
**Overview**
 The SCM Analytics Developer will partner with functional members of Supply Chain to understand the current and future business requirements. They will be responsible for gathering data across various sources, analyzing it, and providing insights used for informed decision\-making. They will ensure the appropriate use of analytical tools so that analysis and reporting are accurate, timely, thorough, and professional. They will also optimize existing data processes and resources, setting clear goals and benchmarks for improvement, development, and effective management of sound business practices.
**Primary Responsibilities**
* Develop reporting on SAP Business Objects, Tableau Dashboards, and create Excel refreshable files through Open Database Connectivity (ODBC) connections and Power Queries
* Automate processes using Amazon Web Services (AWS), including Step Functions, EventBridge, Simple Storage Service (S3\) Buckets, and AWS Glue. Additionally, leveraged SharePoint Site services—such as lists and workflows—integrated through Power Automate
* Maintain data quality through identifying issues, removing duplicates, data cleansing, and enriching data quality
* Develop, design, and manage efficient processes, tabular reports, list reports, score cards, dynamic models, and dashboards that effectively monitor various key performance indicators (KPI)s and assist the supply chain business teams
* Apply the appropriate use of analytical tools to optimize reporting for current business requirements and create new processes and solutions for future business requirements
* Provide mentoring and support to other analysts to assist in their development surrounding data, processes, reporting, and utilizing self\-service tools
* Assist with timely, accurate, pertinent information and analysis, as well as aid in monitoring, evaluating, and improving performance and related metrics of the Supply Chain
**Additional Primary Responsibilities**
* Support the long\-term vision of the supply chain through the effective implementation of data reporting
* Ability to understand and translate data into business insights
* Summarize analysis and findings for users
* Ability to join data from multiple systems and sources through the use of Excel, SQL, Python, AWS services, and other components
* Ability to mine large sets of data analytics and insights
* Perform other job\-related duties as assigned
**Minimum Qualifications**
* Bachelor’s Degree and three years of experience or equivalent education and related experience
* Experience in data preparation, blending, discovery, and visualization using modern BI \&amp; Analytics tools such as AWS services like Step Functions, Glue, Sage Maker, and other components, SAP Business Objects, Tableau, Alteryx, and Excel
* Expert knowledge in Excel, including pivot tables, Power Queries, vlookup, and other advanced formulas
* Intermediate knowledge of SQL (Joins, Stored Procedures, Views, Jobs, and Troubleshooting)
* Experience developing, improving, and streamlining processes and reporting
* Thorough analytical, investigative, and problem\-solving skills
* Timeliness, accuracy, and professionalism
**Physical Demands**
* Physical demands include a considerable amount of time sitting and typing/keyboarding, using a computer (e.g., keyboard, mouse, and monitor), or a mobile device
* Physical demands with activity or condition may occasionally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*If you have any questions or concerns about whether this posting complies/adheres with local pay transparency requirements, please contact the SGWS talent acquisition team at NationalTA@sgws.com*</t>
        </is>
      </c>
    </row>
    <row r="78">
      <c r="A78" t="inlineStr">
        <is>
          <t>li-4368690922</t>
        </is>
      </c>
      <c r="B78" t="inlineStr">
        <is>
          <t>Data Engineer</t>
        </is>
      </c>
      <c r="C78" t="inlineStr">
        <is>
          <t>The Value Maximizer</t>
        </is>
      </c>
      <c r="D78" t="inlineStr">
        <is>
          <t>linkedin</t>
        </is>
      </c>
      <c r="E78">
        <f>HYPERLINK("https://www.linkedin.com/jobs/view/4368690922", "https://www.linkedin.com/jobs/view/4368690922")</f>
        <v/>
      </c>
      <c r="F78" t="inlineStr"/>
      <c r="G78" t="inlineStr">
        <is>
          <t>Austin, TX</t>
        </is>
      </c>
      <c r="H78" t="inlineStr"/>
      <c r="I78"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79">
      <c r="A79" t="inlineStr">
        <is>
          <t>li-4357811077</t>
        </is>
      </c>
      <c r="B79" t="inlineStr">
        <is>
          <t>Data Engineer</t>
        </is>
      </c>
      <c r="C79" t="inlineStr">
        <is>
          <t>Northwestern Medicine</t>
        </is>
      </c>
      <c r="D79" t="inlineStr">
        <is>
          <t>linkedin</t>
        </is>
      </c>
      <c r="E79">
        <f>HYPERLINK("https://www.linkedin.com/jobs/view/4357811077", "https://www.linkedin.com/jobs/view/4357811077")</f>
        <v/>
      </c>
      <c r="F79" t="inlineStr"/>
      <c r="G79" t="inlineStr">
        <is>
          <t>Chicago, IL</t>
        </is>
      </c>
      <c r="H79" t="inlineStr"/>
      <c r="I79" t="inlineStr">
        <is>
          <t>At Northwestern Medicine, every patient interaction makes a difference in cultivating a positive workplace. This patient\-first approach is what sets us apart as a leader in the healthcare industry. As an integral part of our team, you'll have the opportunity to join our quest for better health care, no matter where you work within the Northwestern Medicine system. We pride ourselves on providing competitive benefits: from tuition reimbursement and loan forgiveness to 401(k) matching and lifecycle benefits, our goal is to take care of our employees. Ready to join our quest for better?
**Job Description**
 The
 **Data Engineer** 
 , reflects the mission, vision, and values of NM, adheres to the organization’s Code of Ethics and Corporate Compliance Program, and complies with all relevant policies, procedures, guidelines and all other regulatory and accreditation standards.
 Northwestern Medicine Information Services drives innovative, high\-value solutions to transform health care.
 We are committed to supporting the relentless pursuit of better medicine by providing exceptional service to our patients and guests as well as internal clients across the organization. To ensure excellence, our team goes to extraordinary lengths to ensure that our systems work together seamlessly.
 Northwestern Medicine understands that technology plays an integral role in shaping the future of health care. Information Services strategically supports the organization by:
* Leveraging AI, automation and rollout of advanced cyber controls that support digital transformation strategies
* Implementing advanced technologies in clinical and administrative areas
* Furthering development of the end user support model to help enhance modern infrastructure
**Responsibilities:**
* The Data Engineer is responsible for delivering data warehouse and analytic solutions by ingesting, integrating, and curating data, building analytical solutions, and administering systems to deliver information to the health system.
* Serves as a functional and content expert of the data warehouse to synthesize raw data into actionable information to be used in analytical solutions.
* Applies knowledge of relational database skills including advanced SQL knowledge and the ability to create complex queries and stored procedures.
* Collaborates with the Architecture team in the design and execution of solutions.
* Ensures that new and existing data models and databases are consistent with approved data architecture standards.
* Provide facilitation, analysis, design, and execution of architecture solutions and ensure solutions are leveraged. Create, document, and communicate the integration approach of all the components of the solution.
* Define key solutions and ensure they are managed for consumption by users and across teams. Research, analyze, determine capabilities and propose solution alternatives to address specific business needs and product/service strategies.
* Maintain knowledge of current trends and development in the field. Actively explores emerging technologies.
* Independently work with business users to gather and scope requirements and recommend analytical solutions to meet business needs.
* Assists with ETL design and development including data analysis, source\-target mapping, quality profiling, change data capture, code performance.
* Evaluate data quality and interpret results in a clear, concise manner.
* Document all programming changes and design, system modifications and their associated maintenance.
* Own analytics projects and be accountable for collaborating with the business to gather requirements, execute to provide analytical solutions, which exceed customer expectations.
* Work collaboratively with and support multi\-departments efforts and projects.
* Mentor staff by sharing skills, experience, knowledge, and expertise on analytic tools and solutions.
* Serve as subject matter expert within the department.
* Provide training and support through the organization on the use of analytics tools. Performs other duties and functions as assigned.
**Qualifications**
**Required:**
* Bachelor’s degree or four additional years of experience
* Five or more years of experience in a role querying, analyzing data, and/or data modeling/architecture
* Experience working with a variety of data warehousing models and design fundamentals (e.g., Inmom Kimball)
* Experience with developing and maintaining ETL / data pipeline (e.g., Microsoft SSIS, Azure Data Factory)
* Experience with OLAP or Tabular cube software
* Experience using SQL for data extraction, manipulation, and reporting
* Previous experience working in an Agile environment
* Strong knowledge of relational database skills including advanced SQL knowledge and the ability to create complex queries and stored procedures
* Experience with report writing and data visualization tools such as: Microsoft Power BI, Tableau, Crystal Reports, SSRS, etc.
* 1\-2 yrs Advanced proficiency in Python, with demonstrated work experience developing data solutions using Python
**Preferred:**
* Experience developing, designing and supporting applications and relational databases
* Experience using a software package for statistical analysis (R, Python, etc)
* Previous experience working with Epic Clarity data
* Previous healthcare experience, ideally with a health system
**Additional Information**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80">
      <c r="A80" t="inlineStr">
        <is>
          <t>li-4368811754</t>
        </is>
      </c>
      <c r="B80" t="inlineStr">
        <is>
          <t>Data Engineer</t>
        </is>
      </c>
      <c r="C80" t="inlineStr">
        <is>
          <t>The Value Maximizer</t>
        </is>
      </c>
      <c r="D80" t="inlineStr">
        <is>
          <t>linkedin</t>
        </is>
      </c>
      <c r="E80">
        <f>HYPERLINK("https://www.linkedin.com/jobs/view/4368811754", "https://www.linkedin.com/jobs/view/4368811754")</f>
        <v/>
      </c>
      <c r="F80" t="inlineStr"/>
      <c r="G80" t="inlineStr">
        <is>
          <t>Florida, United States</t>
        </is>
      </c>
      <c r="H80" t="inlineStr"/>
      <c r="I80"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81">
      <c r="A81" t="inlineStr">
        <is>
          <t>li-4368696879</t>
        </is>
      </c>
      <c r="B81" t="inlineStr">
        <is>
          <t>Data Engineer</t>
        </is>
      </c>
      <c r="C81" t="inlineStr">
        <is>
          <t>The Value Maximizer</t>
        </is>
      </c>
      <c r="D81" t="inlineStr">
        <is>
          <t>linkedin</t>
        </is>
      </c>
      <c r="E81">
        <f>HYPERLINK("https://www.linkedin.com/jobs/view/4368696879", "https://www.linkedin.com/jobs/view/4368696879")</f>
        <v/>
      </c>
      <c r="F81" t="inlineStr"/>
      <c r="G81" t="inlineStr">
        <is>
          <t>New Jersey, United States</t>
        </is>
      </c>
      <c r="H81" t="inlineStr"/>
      <c r="I81"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82">
      <c r="A82" t="inlineStr">
        <is>
          <t>li-4368255940</t>
        </is>
      </c>
      <c r="B82" t="inlineStr">
        <is>
          <t>Data Engineer III</t>
        </is>
      </c>
      <c r="C82" t="inlineStr">
        <is>
          <t>McDonald's</t>
        </is>
      </c>
      <c r="D82" t="inlineStr">
        <is>
          <t>linkedin</t>
        </is>
      </c>
      <c r="E82">
        <f>HYPERLINK("https://www.linkedin.com/jobs/view/4368255940", "https://www.linkedin.com/jobs/view/4368255940")</f>
        <v/>
      </c>
      <c r="F82" t="inlineStr"/>
      <c r="G82" t="inlineStr">
        <is>
          <t>Chicago, IL</t>
        </is>
      </c>
      <c r="H82" t="inlineStr"/>
      <c r="I82" t="inlineStr">
        <is>
          <t>**Company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 Using AI, robotics and emerging tech, we’re digitizing the Golden Arches. Combine that with our unparalleled global scale, and we’re reshaping all areas of the business, industry and every community that is home to a McDonald’s restaurant. We face complex tech challenges every day. But that’s where our diverse and talented teams come in. They’re made up of the best and brightest from all over the globe, and they thrive in the space where feel\-good meets fast\-paced.   
 Check out the McDonald’s  Global Technology Technical Blog to learn how technology and our global team are directly enabling the Accelerating the Arches strategy.  
 Department Overview
 McDonald’s is creating smarter, more responsive digital and data systems that transform operations and elevate guest experiences. The Enterprise Data, Analytics, and AI (EDAA) organization empowers every function—marketing, operations, supply chain, and more—through seamless integration of business and technology.
 McDonald’s is hiring a Data Engineer III, focused on Digital Payments data ingestion, curation and analytics.  This area covers data flowing from our payment providers and McDonald's payment services. This role sits within Data Analytics, Architecture and AI. This group manages data from various areas of the business, including Sales, Restaurant, Finance and People, and many more. You will work alongside passionate data engineering professionals and business stakeholders focused on Digital Payments, Treasury and MarTech. 
 Responsibilities
 * Builds and maintains relevant and reliable products that support Digital Payments across the organization. Develops and implements new technology solutions as needed to ensure ongoing improvement with data reliability and observability as the key output.
* Participates in new software development engineering and Lead data engineering initiatives, ensuring timely and accurate delivery of products.
* Work closely with the Product owner and help to define business rules that determines the quality of relevant datasets.
* Drive and implement best practices for pipeline development, data governance, data security and quality across the data landscape.
* Ensure scalability, maintainability, and quality of data systems powering payment and marketing decisions.
* Staying up to date with emerging data engineering technologies, trends, and best practices, and evaluating their applicability to meet evolving analytics needs.
* Document data engineering processes, workflows, and solutions for knowledge sharing and future reference.
* Mentor and coach junior data engineers on best practices using on\-the\-job experiences.
* Ability and flexibility to coordinate and work with teams distributed across time zones, as needed.
 Qualifications
 * Bachelor's or master's degree in computer science or related engineering field and deep experience with Cloud computing
* 5\+ years of professional experience in data engineering or related fields
* Proficiency in Python, Java, or Scala for data processing and automation
* Hands\-on experience with data orchestration tools (e.g., Apache Airflow, Luigi) and big data ecosystems (e.g., Hadoop, Spark, NoSQL)
* Expert knowledge of Data quality functions like cleansing, standardization, parsing, de\-duplication, mapping, hierarchy management, etc.
* Deep understanding of Data Product Lifecycle, Standards and Practices
* Ability to perform extensive data analysis (comparing multiple datasets) using a variety of tools
* Proven ability to mentor team members and lead technical initiatives across multiple workstreams
* Effective communication and stakeholder management skills to drive alignment and adoption of data engineering standards
* Demonstrated experience in data management \&amp; data governance capabilities
* Familiarity with data warehousing principles and best practices.
* Excellent problem solver \- use of data and technology to solve problems or answer complex data related questions
* Excellent collaboration skills to work effectively in cross\-functional teams.
 Compensation
**Bonus Eligible: Yes** 
**Long \- Term Incentive: Yes** 
**Benefits Eligible: Yes** 
 Salary Range
 The expected salary range for this role is $138,207 \- $172,758 per year
 The above represents the expected salary range for this job requisition. Ultimately, in determining your pay, we may also consider your experience, and other job\-related factors.
 Competencies Execution Proficiency Background \&amp; Values Strategic Proficiency Building Blocks Talent Proficiency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Long term Incentive eligible: This position is eligible for stock or other equity grants pursuant to McDonald’s long\-term incentive plan.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t>
        </is>
      </c>
    </row>
    <row r="83">
      <c r="A83" t="inlineStr">
        <is>
          <t>li-4368286695</t>
        </is>
      </c>
      <c r="B83" t="inlineStr">
        <is>
          <t>Senior Data Engineer</t>
        </is>
      </c>
      <c r="C83" t="inlineStr">
        <is>
          <t>StockX</t>
        </is>
      </c>
      <c r="D83" t="inlineStr">
        <is>
          <t>linkedin</t>
        </is>
      </c>
      <c r="E83">
        <f>HYPERLINK("https://www.linkedin.com/jobs/view/4368286695", "https://www.linkedin.com/jobs/view/4368286695")</f>
        <v/>
      </c>
      <c r="F83" t="inlineStr"/>
      <c r="G83" t="inlineStr">
        <is>
          <t>Detroit, MI</t>
        </is>
      </c>
      <c r="H83" t="inlineStr"/>
      <c r="I83" t="inlineStr">
        <is>
          <t>**Help empower our global customers to connect to culture through their passions.** 
**Why you'll love this role** 
 As a Senior Data Engineer, you will be empowered to leverage data to drive amazing customer experiences and business results. You will own the end to end development of data engineering solutions to support analytical needs of the business. The ideal candidate will be passionate about working with disparate datasets and be someone who loves to bring data together to answer business questions at speed. You should have deep expertise in the creation and management of datasets and the proven ability to translate the data into meaningful insights through collaboration with analysts, data scientists and business stakeholders.You will partner with accounting and finance business teams in expanding Financial Data Repository to support new business initiatives. Sr Data Engineer of Finance Data Repository is most challenging and exciting role to work for, with new business initiative launches in payments, finance , tax and ordering platform. Its highly critical to manage the changes on daily basis for proper accounting to keep our books clean and accurate. 
**What you'll do** 
* Design and build mission critical data pipelines with a highly scalable distributed architecture \- including data ingestion (streaming, events and batch), data integration, data curation
* Help continually improve ongoing reporting and analysis processes, simplifying self\-service support for business stakeholders
* Build and support reusable framework to ingest, integration and provision data
* Automation of end to end data pipeline with metadata, data quality checks and audit
* Build and support a big data platform on the cloud
* Define and implement automation of jobs and testing
* Optimize the data pipeline to support ML workloads and use cases
* Support mission critical applications and near real time data needs from the data platform
* Capture and publish metadata and new data to subscribed users
* Work collaboratively with business analysts, product managers, data scientists as well as business partners and actively participate in design thinking session
* Participate in design and code reviews
* Motivate, coach, and serve as a role model and mentor for other development team associates/members that leverage the platform
**About you** 
* 3 to 5 years' experience in data warehouse / data lake house technical architecture
* 3\+ years of experience in using programming languages (Python / Scala / Java / C\#) Minimum
* 3 years of Big Data and Big Data tools in one or more of the following: Batch Processing (e.g. Hadoop distributions, Spark), Real time processing (e.g. Kafka, Flink/Spark Streaming)
* Minimum of 2 years' experience with AWS or engineering in other cloud environments
* Strong Knowledge of Databricks SQL/Scala \- Data Engineering Pipelines
* Experience with Database Architecture/Schema design
* Strong familiarity with batch processing and workflow tools such as dbt, AirFlow, NiFi
* Ability to work independently with business partners and management to understand their needs and exceed expectations in delivering tools/solutions
* Strong interpersonal, verbal and written communication skills and ability to present complex technical/analytical concepts to executive audience
* Strong business mindset with customer obsession; ability to collaborate with business partners to identify needs and opportunities for improved data management and delivery
* Experience providing technical leadership and mentoring other engineers for best practices on data engineering
* Bachelor's degree in Computer Science, or a related technical field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*Pursuant to the Colorado Fair Pay Act, the base salary range in Colorado for this position is $140,000 to $160,000, plus opportunities for benefits (e.g., medical, dental), equity and discretionary bonuses. Compensation in other geographies may vary.* 
 **About StockX**
 StockX is proud to be a Detroit\-based technology leader focused on the large and growing online market for sneakers, apparel, accessories, electronics, collectibles, trading cards, and more. StockX's powerful platform connects buyers and sellers of high\-demand consumer goods from around the world using dynamic pricing mechanics. This approach affords access and market visibility powered by real\-time data that empowers buyers and sellers to determine and transact based on market value. The StockX platform features hundreds of brands across verticals including Jordan Brand, adidas, Nike, Supreme, BAPE, Off\-White, Louis Vuitton, Gucci; collectibles from brands including LEGO, KAWS, Bearbrick, and Pop Mart; and electronics from industry\-leading manufacturers Sony, Microsoft, Meta, and Apple. Launched in 2016, StockX employs 1,000 people across offices and verification centers around the world. Learn more at www.stockx.com.  
 *We are an equal opportunity employer and value diversity at our company. We do not discriminate on the basis of race, religion, color, national origin, gender, sexual orientation, age, marital status, veteran status, or disability status.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StockX reserves the right to amend this job description at any time.
 *StockX may utilize AI to rank job applicant submissions against the position requirements to assist in determining candidate alignment.**</t>
        </is>
      </c>
    </row>
    <row r="84">
      <c r="A84" t="inlineStr">
        <is>
          <t>li-4368262876</t>
        </is>
      </c>
      <c r="B84" t="inlineStr">
        <is>
          <t>Senior Data Engineer</t>
        </is>
      </c>
      <c r="C84" t="inlineStr">
        <is>
          <t>DTE Energy</t>
        </is>
      </c>
      <c r="D84" t="inlineStr">
        <is>
          <t>linkedin</t>
        </is>
      </c>
      <c r="E84">
        <f>HYPERLINK("https://www.linkedin.com/jobs/view/4368262876", "https://www.linkedin.com/jobs/view/4368262876")</f>
        <v/>
      </c>
      <c r="F84" t="inlineStr"/>
      <c r="G84" t="inlineStr">
        <is>
          <t>Detroit, MI</t>
        </is>
      </c>
      <c r="H84" t="inlineStr"/>
      <c r="I84" t="inlineStr">
        <is>
          <t>DTE is one of the nation’s largest diversified energy companies. Our electric and gas companies have fueled our customer’s homes and Michigan’s progress for more than a century. And as Michigan’s largest source of renewable energy, we’re creating a cleaner, healthier environment to power our future. We’re also serving communities beyond Michigan, where our affiliated businesses offer renewable energy, emission control technologies, and energy services to industries in 19 states.
 But we’re more than a leading energy company... and working at DTE is more than just a job. At DTE, we take great care of each other and our customers, and we use our energy to be a force for growth and prosperity in our communities. When you join us, you’ll be part of a team that welcomes, recognizes, and celebrates differences and values everyone’s health, safety, and wellbeing. Are you ready to make that kind of difference? Bring your energy to DTE. Together, we can achieve great things.
**Testing Required:** 
 Not Applicable
**Hybrid Role:** 
 This role is hybrid, with an established schedule of in\-person work required at an assigned work location. Any remote work is expected to be performed from an employee’s primary residence, unless allowed (or prohibited) through the Company’s remote work guidelines.
**Emergency Response:** 
 Yes – Must be available to perform a primary assignment in support of DTE’s emergency response to storms or other events that impact service to our customers.
**Job Summary**
 Leads data integration and analytics projects that support data collection, automation, transformation, storage, delivery, and reporting processes. Serves as senior advisor for a large business unit or enterprise\-level data projects. Optimizes data retrieval and processing, including performance tuning, delivery design for downstream analytics, machine learning modeling (including feature engineering), and reporting. Mentors less\-experienced team members. Span of control: 0; individual contributor.
**Key Accountabilities**
* Leads data engineering projects and collaborates with stakeholders to formulate end\-to\-end solutions, including data structure design to feed downstream analytics, machine learning modeling, feature engineering, prototype development, and reporting
* Develops complex data sets and automated pipelines that support data requirements for process improvement and operational efficiency metrics
* Designs and implements data process pipelines in on\-premise or Cloud platforms required for optimal extraction, transformation, and loading of data from multiple data sources
* Builds reporting and visualizations that utilize data pipeline to provide actionable insights into compliance rates, operational efficiency, and other key business performance metrics
* Designs and implements effective testing strategies for data pipelines and processing methods
* Deploys and automates Machine Learning Models in a data environment (e.g., SQL server, Cloud platform, on\-premise servers and machines), including workflow orchestration, scheduling and advanced data processing implementation, and data delivery tools
* Educates leaders and other employees on complex data and analytical findings in basic terms and with storytelling and data visualization
* Researches and maintains industry best practices for data engineering practices and solutions
**Minimum Education \&amp; Experience Requirements**
 This is a dual\-track base requirement job; education and experience requirements can be satisfied through one of the following two options:
* Bachelor’s degree with emphasis on coursework of a quantitative nature (e.g., Computer Science, Mathematics, Physics, Data Science, Econometrics, etc.) and 6 years of experience working in a data engineering, data analytical or computer programming function; OR
* Master’s degree with emphasis on coursework of a quantitative nature (e.g., Computer Science, Mathematics, Physics, Data Science, Econometrics, etc.) and 4 years of experience working in a data engineering, data analytical or computer programming function
* PhD degree with emphasis on coursework of a quantitative nature (e.g., Computer Science, Mathematics, Physics, Data Science, Econometrics, etc.) and 2 years of experience working in a data engineering, data analytical or computer programming function
**Other Qualifications**
 Preferred Qualifications:
* Experience optimizing database, Spark, and Databricks jobs for performance, reliability, and cost, and implementing CI/CD pipelines for data workflows (e.g., Azure DevOps, GitHub Actions).
* Strong business domain knowledge with the ability to translate business needs into scalable data and analytics solutions.
* Hands‑on experience with cloud platforms (Azure or AWS), including Databricks for scalable, distributed data pipelines.
**Other Requirements**
* Advanced programming proficiency in SQL and one or more general\-purpose languages (e.g., Python, Java).
* Advanced experience building and supporting data pipelines for analytics, AI/ML, and GenAI use cases, including feature engineering and model‑ready datasets.
* Experience supporting data infrastructure for agentic AI systems, including autonomous workflows, tool‑using agents, and event\-driven pipelines.
* Advanced proficiency with Big Data platforms, including data extraction, processing, and analytics connectivity.
* Advanced proficiency with business intelligence, data blending, and visualization tools (e.g., Microsoft Power Platform, Power BI).
* Demonstrated ability to establish and enforce data engineering best practices, including coding standards, architecture, data governance, security, lineage, and compliance.
* Strong analytical, problem‑solving, and communication skills, with the ability to select appropriate tools, recommend optimal solutions, and clearly explain complex concepts to non‑technical audiences.
**Additional Information**
 Incumbents may engage in all or some combination of the activities and accountabilities and utilize a variety of the competencies cited in this description, depending upon the organization and role to which they are assigned. This description is intended to describe the general nature and level of work performed by incumbents in this job. It is not intended as an all\-inclusive list of accountabilities or responsibilities, nor is it intended to limit the rights of supervisors or management representatives to assign, direct, and control the work of employees under their supervision.
**PRIVACY NOTICE TO CALIFORNIA JOB APPLICANTS**
 At DTE Energy, we are committed to providing an inclusive workplace where everyone feels welcome and a sense of belonging. We seek individuals with a heart for service, a passion to help our communities prosper, and ideas to help shape the future of energy. We are proud to be an equal opportunity, employer that considers all qualified applicants without regard to race, color, sex, sexual orientation, gender identity, age, religion, disability, national origin, citizenship, height, weight, genetic information, marital status, pregnancy, protected veteran status or any other status protected by applicable federal and/or state laws.</t>
        </is>
      </c>
    </row>
    <row r="85">
      <c r="A85" t="inlineStr">
        <is>
          <t>li-4362024326</t>
        </is>
      </c>
      <c r="B85" t="inlineStr">
        <is>
          <t>Senior Analytics Engineer</t>
        </is>
      </c>
      <c r="C85" t="inlineStr">
        <is>
          <t>BetterUp</t>
        </is>
      </c>
      <c r="D85" t="inlineStr">
        <is>
          <t>linkedin</t>
        </is>
      </c>
      <c r="E85">
        <f>HYPERLINK("https://www.linkedin.com/jobs/view/4362024326", "https://www.linkedin.com/jobs/view/4362024326")</f>
        <v/>
      </c>
      <c r="F85">
        <f>HYPERLINK("https://jobs.ashbyhq.com/betterup/e7d96b10-fcf1-4b49-a458-60261a9c0c32?utm_source=linkedin_promoted&amp;urlHash=4F5t", "https://jobs.ashbyhq.com/betterup/e7d96b10-fcf1-4b49-a458-60261a9c0c32?utm_source=linkedin_promoted&amp;urlHash=4F5t")</f>
        <v/>
      </c>
      <c r="G85" t="inlineStr">
        <is>
          <t>New York, United States</t>
        </is>
      </c>
      <c r="H85" t="inlineStr"/>
      <c r="I85"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6">
      <c r="A86" t="inlineStr">
        <is>
          <t>li-4362102681</t>
        </is>
      </c>
      <c r="B86" t="inlineStr">
        <is>
          <t>Senior Analytics Engineer</t>
        </is>
      </c>
      <c r="C86" t="inlineStr">
        <is>
          <t>BetterUp</t>
        </is>
      </c>
      <c r="D86" t="inlineStr">
        <is>
          <t>linkedin</t>
        </is>
      </c>
      <c r="E86">
        <f>HYPERLINK("https://www.linkedin.com/jobs/view/4362102681", "https://www.linkedin.com/jobs/view/4362102681")</f>
        <v/>
      </c>
      <c r="F86">
        <f>HYPERLINK("https://jobs.ashbyhq.com/betterup/e7d96b10-fcf1-4b49-a458-60261a9c0c32?utm_source=linkedin_promoted&amp;urlHash=4F5t", "https://jobs.ashbyhq.com/betterup/e7d96b10-fcf1-4b49-a458-60261a9c0c32?utm_source=linkedin_promoted&amp;urlHash=4F5t")</f>
        <v/>
      </c>
      <c r="G86" t="inlineStr">
        <is>
          <t>San Francisco, CA</t>
        </is>
      </c>
      <c r="H86" t="inlineStr"/>
      <c r="I86"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7">
      <c r="A87" t="inlineStr">
        <is>
          <t>li-4368840321</t>
        </is>
      </c>
      <c r="B87" t="inlineStr">
        <is>
          <t>Analytics Engineer</t>
        </is>
      </c>
      <c r="C87" t="inlineStr">
        <is>
          <t>Dune</t>
        </is>
      </c>
      <c r="D87" t="inlineStr">
        <is>
          <t>linkedin</t>
        </is>
      </c>
      <c r="E87">
        <f>HYPERLINK("https://www.linkedin.com/jobs/view/4368840321", "https://www.linkedin.com/jobs/view/4368840321")</f>
        <v/>
      </c>
      <c r="F87" t="inlineStr"/>
      <c r="G87" t="inlineStr"/>
      <c r="H87" t="inlineStr"/>
      <c r="I87" t="inlineStr">
        <is>
          <t>**About Dune**
 Dune is on a mission to make crypto data accessible. We’re a collaborative multi\-chain analytics platform used by thousands of developers, analysts, \&amp; investors to understand the on\-chain world and the frontiers of finance. We’re a team of \~60 employees, working together across Europe and eastern US timezones 🌍️. We believe in our mission, and in building a powerful, open product that allows individuals and communities to do deep research into important ecosystems like Bitcoin, Ethereum, Solana, and many more.
 We’re backed by some of the world's best investors. In February 2022, we announced our Series B funding round led by Coatue and Union Square Ventures, an important milestone that allowed us to double down on our mission. We’re using the funds to educate, reward and empower a new generation of onchain analysts aka Wizards 🧙‍♀️
 If you want to have one of the highest impact jobs on the planet, come join our wonderful team of Galaxy brains.
**Learn more about us:**
 Dune's Vision
 Values and working at Dune
**About The Role**
 Dune’s data team turns raw on\-chain activity into trustworthy, reusable datasets that power dashboards, products, and research. We’re hiring a Data Engineer to build and operate reliable pipelines, model complex protocol mechanics into durable schemas, and scale curated datasets across chains. You’ll collaborate with product and our customers, bringing strong data engineering fundamentals and curiosity, with blockchain data intuition as a plus.
****In this role you will****
* Design, implement, and maintain data pipelines that standardize how on\-chain data is consumed by Dune customers
* Establish the right architecture to ensure data quality and timely delivery, including validation gates, SLAs, observability, and lineage\-aware deployments
* Triage, analyze, and fix pipeline issues independently, driving root\-cause analysis and long\-term reliability improvements
* Own end\-to\-end transformation pipelines with robust testing, CI, documentation, and cost awareness from raw to curated layers
* Build and orchestrate reliable pipelines using modern schedulers and control planes to handle high\-volume community contributions
* Partner with product, go\-to\-market, and community contributors to unlock clear user value and faster time to insight
* Replicate curated datasets efficiently into Kafka, Snowflake, BigQuery, and Databricks with appropriate partitioning, compression, and change data capture strategies
****You might be a great fit if you have****
* Strong SQL skills and experience modeling large datasets in modern warehouses, with expertise in at least one of Trino, Snowflake, or ClickHouse
* Proficiency in Python for pipeline development, tooling, and automation
* Proven track record operating robust pipelines and orchestration with tools like Prefect, Airflow, Elementary, or similar
* Solid computer science fundamentals, system design skills, and experience in public cloud and container orchestration (e.g., Kubernetes)
* Ability to analyze, debug, and resolve data pipeline and modeling issues independently in a remote, async environment
* Strong blockchain data intuition, including reading transactions, events, and traces
* Interest in query engine internals and performance optimization
* Experience with data lakes, large\-scale data processing, and systems performance
* Familiarity with CI for data, observability, cost optimization, and leveraging AI tools to accelerate development and operations
**Perks \&amp; Benefits**
* A competitive salary and equity package 🚀. Both salary and equity is top 25% of companies in the space
* Our employee equity scheme has world\-class employee\-friendly terms with a heavily discounted strike price (\~90%) and a 10\-year exercise window
* 5 weeks PTO \+ local public holidays (that can be swapped to suit you) 🏖
* A fully remote\-first approach 🧑‍💻 within a distributed team with flexible working hours; you structure your own day
* Say goodbye to meeting overload! We believe in a healthy mix of async and sync work, so you can focus on what truly matters—no more wasted time on endless meetings!
* Good health is important, so we offer private medical insurance, dental \&amp; vision as standard 🩺
* We believe in paid parental leave 👶 to help you celebrate this important milestone, transition to your new life, and bond with your new baby. We offer 16 weeks to primary and 6 weeks to secondary caregivers, fully paid. Plus a 2\-week part\-time phased return at full pay to help you get used to your new (and slightly more complex!) schedule
* Quarterly offsites in various exciting locations as a company or team to connect, work together and have fun (so far in Tuscany 🇮🇹 Berlin 🇩🇪 Austria 🇦🇹 and Athens 🇬🇷).
* On top of this 👆each person gets a yearly travel allowance to connect and co\-work with someone or a team of people for a few days.
* An allowance for your at\-home setup, to ensure you are happy, comfortable and productive. If you prefer a local co\-working space, we’ll pay for your desk.
* Work with some of the best people you’ll ever get to meet!
* And of course, you get some awesome Dune swag! ✌️😎
 We are dedicated to building a diverse, inclusive, and authentic workplace, so if you’re excited about this role but your experience doesn’t align perfectly with every qualification in the job description, we encourage you to apply anyway. You may be just the right candidate for this or other roles.</t>
        </is>
      </c>
    </row>
    <row r="88">
      <c r="A88" t="inlineStr">
        <is>
          <t>li-4368277006</t>
        </is>
      </c>
      <c r="B88" t="inlineStr">
        <is>
          <t>Sr. Data Engineer, Enterprise Data &amp; Analytics</t>
        </is>
      </c>
      <c r="C88" t="inlineStr">
        <is>
          <t>Rivian</t>
        </is>
      </c>
      <c r="D88" t="inlineStr">
        <is>
          <t>linkedin</t>
        </is>
      </c>
      <c r="E88">
        <f>HYPERLINK("https://www.linkedin.com/jobs/view/4368277006", "https://www.linkedin.com/jobs/view/4368277006")</f>
        <v/>
      </c>
      <c r="F88" t="inlineStr"/>
      <c r="G88" t="inlineStr">
        <is>
          <t>Riverdale, GA</t>
        </is>
      </c>
      <c r="H88" t="inlineStr"/>
      <c r="I88"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critical role, you will work directly with our Facilities team to enable our business leaders and domain analysts to leverage data from across the enterprise to enable data\-driven decision\-making. You will also partner with extended team of data engineers within the Enterprise Data team to consistently implement best practices related to data pipelines and data modeling. This role will be located in Atlanta, GA and report to our Director of Enterprise Data \&amp; Analytics.
**Responsibilities**
* Own and drive the design, development and implementation of Facilities data pipelines and data \+ analytics catalog (ELT) to provide stakeholders access to structured data
* Build and maintain large scale data pipelines from internal and external data sources into our datalake on Databricks – you will be building the data ingestion and transformation layer, including bronze, silver and gold tables
* Build modular set of data services using SQL, Python, DBT, AWS services, and other tools with appropriate controls as set by Data Governance policy
* Automate and schedule jobs and optimize for performance
* Implement observability on pipelines to ensure accuracy of high priority datasets using tools such as Lakehouse Monitoring, Montecarlo etc.
**Qualifications**
* Bachelor’s degree in Business Analytics, Economics, Statistics, Engineering, Computer Science or related area; Master’s degree a plus
* 5\+ years of hands\-on experience in data with a deep understanding of data engineering best practices and datawarehousing principles
* Expert in analytics tech stack and scripting/automation – Databricks, Fivetran, SQL, Python, DBT, Git
* Experience with cloud technologies, such as S3, ECS, EMR, lambdas, Glue
* We operate like a start up \- You have to be a quick learner, very quick on your feet and self sufficient
* Comfortable working in a fast\-paced, agile environment
* Strong communication skills, attention to detail and ability to partner effectively with extended team and stakeholders
**Preferred Experience**
* Experience in data engineering or analytics supporting large\-scale capital programs, infrastructure projects, or construction.
* Familiarity with data ecosystems and ERPs common in the Commercial Real Estate (CRE) industry, particularly from an owner's, operator's, or developer's perspective.
**Pay Disclosure**
 Salary Range for this role is $111,000 \- $138,700 for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February 6, 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89">
      <c r="A89" t="inlineStr">
        <is>
          <t>li-4366879646</t>
        </is>
      </c>
      <c r="B89" t="inlineStr">
        <is>
          <t>Senior Analytics Engineer</t>
        </is>
      </c>
      <c r="C89" t="inlineStr">
        <is>
          <t>BetterUp</t>
        </is>
      </c>
      <c r="D89" t="inlineStr">
        <is>
          <t>linkedin</t>
        </is>
      </c>
      <c r="E89">
        <f>HYPERLINK("https://www.linkedin.com/jobs/view/4366879646", "https://www.linkedin.com/jobs/view/4366879646")</f>
        <v/>
      </c>
      <c r="F89">
        <f>HYPERLINK("https://jobs.ashbyhq.com/betterup/e7d96b10-fcf1-4b49-a458-60261a9c0c32?utm_source=linkedin_promoted&amp;urlHash=4F5t", "https://jobs.ashbyhq.com/betterup/e7d96b10-fcf1-4b49-a458-60261a9c0c32?utm_source=linkedin_promoted&amp;urlHash=4F5t")</f>
        <v/>
      </c>
      <c r="G89" t="inlineStr">
        <is>
          <t>San Francisco, CA</t>
        </is>
      </c>
      <c r="H89" t="inlineStr"/>
      <c r="I89"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0">
      <c r="A90" t="inlineStr">
        <is>
          <t>li-4368038819</t>
        </is>
      </c>
      <c r="B90" t="inlineStr">
        <is>
          <t>Senior Analytics Engineer</t>
        </is>
      </c>
      <c r="C90" t="inlineStr">
        <is>
          <t>BetterUp</t>
        </is>
      </c>
      <c r="D90" t="inlineStr">
        <is>
          <t>linkedin</t>
        </is>
      </c>
      <c r="E90">
        <f>HYPERLINK("https://www.linkedin.com/jobs/view/4368038819", "https://www.linkedin.com/jobs/view/4368038819")</f>
        <v/>
      </c>
      <c r="F90" t="inlineStr"/>
      <c r="G90" t="inlineStr">
        <is>
          <t>Arlington, VA</t>
        </is>
      </c>
      <c r="H90" t="inlineStr"/>
      <c r="I90"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1">
      <c r="A91" t="inlineStr">
        <is>
          <t>li-4362004267</t>
        </is>
      </c>
      <c r="B91" t="inlineStr">
        <is>
          <t>Senior Analytics Engineer</t>
        </is>
      </c>
      <c r="C91" t="inlineStr">
        <is>
          <t>BetterUp</t>
        </is>
      </c>
      <c r="D91" t="inlineStr">
        <is>
          <t>linkedin</t>
        </is>
      </c>
      <c r="E91">
        <f>HYPERLINK("https://www.linkedin.com/jobs/view/4362004267", "https://www.linkedin.com/jobs/view/4362004267")</f>
        <v/>
      </c>
      <c r="F91" t="inlineStr"/>
      <c r="G91" t="inlineStr">
        <is>
          <t>Texas, United States</t>
        </is>
      </c>
      <c r="H91" t="inlineStr"/>
      <c r="I91"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2">
      <c r="A92" t="inlineStr">
        <is>
          <t>li-4362034434</t>
        </is>
      </c>
      <c r="B92" t="inlineStr">
        <is>
          <t>Senior Analytics Engineer</t>
        </is>
      </c>
      <c r="C92" t="inlineStr">
        <is>
          <t>BetterUp</t>
        </is>
      </c>
      <c r="D92" t="inlineStr">
        <is>
          <t>linkedin</t>
        </is>
      </c>
      <c r="E92">
        <f>HYPERLINK("https://www.linkedin.com/jobs/view/4362034434", "https://www.linkedin.com/jobs/view/4362034434")</f>
        <v/>
      </c>
      <c r="F92" t="inlineStr"/>
      <c r="G92" t="inlineStr">
        <is>
          <t>Austin, CO</t>
        </is>
      </c>
      <c r="H92" t="inlineStr"/>
      <c r="I9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3">
      <c r="A93" t="inlineStr">
        <is>
          <t>li-4368835613</t>
        </is>
      </c>
      <c r="B93" t="inlineStr">
        <is>
          <t>Data Engineer</t>
        </is>
      </c>
      <c r="C93" t="inlineStr">
        <is>
          <t>Shrive Technologies</t>
        </is>
      </c>
      <c r="D93" t="inlineStr">
        <is>
          <t>linkedin</t>
        </is>
      </c>
      <c r="E93">
        <f>HYPERLINK("https://www.linkedin.com/jobs/view/4368835613", "https://www.linkedin.com/jobs/view/4368835613")</f>
        <v/>
      </c>
      <c r="F93">
        <f>HYPERLINK("https://www.adzuna.com/details/5610827229?v=64C0A5DCC2E8D8E2314C172E11D6FE9923E6DB53&amp;frd=8902d48baa9a689faf80cf3a2cf27699&amp;r=21193715&amp;ccd=7b69f782634f962f210d9b3283802f08&amp;utm_source=linkedin7&amp;utm_medium=organic&amp;chnlid=1931&amp;title=Data%20Engineer&amp;a=e&amp;urlHash=4pqS", "https://www.adzuna.com/details/5610827229?v=64C0A5DCC2E8D8E2314C172E11D6FE9923E6DB53&amp;frd=8902d48baa9a689faf80cf3a2cf27699&amp;r=21193715&amp;ccd=7b69f782634f962f210d9b3283802f08&amp;utm_source=linkedin7&amp;utm_medium=organic&amp;chnlid=1931&amp;title=Data%20Engineer&amp;a=e&amp;urlHash=4pqS")</f>
        <v/>
      </c>
      <c r="G93" t="inlineStr">
        <is>
          <t>Texas, United States</t>
        </is>
      </c>
      <c r="H93" t="inlineStr"/>
      <c r="I93" t="inlineStr">
        <is>
          <t>**Open Seat Description**
 Looking for a Snowflake Data Architect with experience in designing and implementing data warehousing solutions using Snowflake. Key responsibilities will include data modeling, data governance, data security, and data integration. The architect must have a strong understanding of Snowflake's architecture, storage model, compute engine, automation tools, and governance capabilities. They must also be familiar with data engineering concepts, including data pipelines, data lakes, and data warehouses. Additionally, the architect should have experience with cloud\-based data platforms and be able to design and implement scalable and secure data solutions.
 More Required Skills: Cloud platforms, understanding of data sharing, streams, warehouses, materialized views, tasks, and performance tuning.
**Required Skills**
 Data Architecture with hands\-on Snowflake experience
 Advanced SQL
 Data modeling (dimensional/Kimball), ETL/ELT tools)
 Git
 CI/CD</t>
        </is>
      </c>
    </row>
    <row r="94">
      <c r="A94" t="inlineStr">
        <is>
          <t>li-4368813646</t>
        </is>
      </c>
      <c r="B94" t="inlineStr">
        <is>
          <t>Data Engineer</t>
        </is>
      </c>
      <c r="C94" t="inlineStr">
        <is>
          <t>Eli Lilly and Company</t>
        </is>
      </c>
      <c r="D94" t="inlineStr">
        <is>
          <t>linkedin</t>
        </is>
      </c>
      <c r="E94">
        <f>HYPERLINK("https://www.linkedin.com/jobs/view/4368813646", "https://www.linkedin.com/jobs/view/4368813646")</f>
        <v/>
      </c>
      <c r="F94" t="inlineStr"/>
      <c r="G94" t="inlineStr">
        <is>
          <t>Indianapolis, IN</t>
        </is>
      </c>
      <c r="H94" t="inlineStr"/>
      <c r="I94"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**What You Will Do**
 A Data Engineer is responsible for designing, developing, and maintaining the data solutions that ensure the availability and quality of data for analysis and/or business transactions. They design and implement efficient data storage, processing and retrieval solutions for datasets and build data pipelines, optimize database designs, and work closely with data scientists, architects, and analysts to ensure data quality and accessibility. Data engineers require strong skillsets in data integration, acquisition, cleansing, harmonization, and transforming data. They play a crucial role in transforming raw data into datasets designed for analysis which enable organizations to unlock valuable insights for decision making.
* Design, build, and maintain scalable and reliable data pipelines for batch and real\-time processing.
* Own incident response and resolution, including root cause analysis and post\-mortem reporting for data failures and performance issues.
* Develop and optimize data models, ETL/ELT workflows, and data integration across multiple systems and platforms.
* Collaborate with data scientists, analysts, and business stakeholders to understand data requirements and deliver solutions.
* Implement data governance, security, and quality standards across data assets.
* Lead end\-to\-end data engineering projects and contribute to architectural decisions.
* Design and implement cloud\-native solutions on AWS (preferred) using tools such as AWS Glue, EMR, and Databricks. Experience with Azure or GCP is a plus.
* Promote best practices in coding, testing, and deployment.
* Monitor, troubleshoot, and improve performance and reliability of data infrastructure.
* Automate manual processes and identify opportunities to optimize data workflows and reduce costs.
**Your Basic Qualifications**
* Bachelor’s degree
* At least 2 years of experience in data engineering using core technologies such as SQL, Python, PySpark, and AWS services including Lambda, Glue, S3, Redshift, Athena, and IAM roles/policies.
* 1\+ years of experience working in Agile environments, with hands\-on experience using GitHub and CI/CD pipelines for code deployment.
* 1\+ years of experience with orchestration tools like Airflow for workflow automation.
* Proven experience in architecting and building high\-performance, scalable data pipelines following Data Lakehouse, Data Warehouse, and Data Mart standards.
* Strong expertise in data modelling ( both OLTP and OLAP ), managing large datasets, and implementing secure, compliant data governance practices.
* Hands\-on experience with Databricks, including cluster management, workspace configuration, notebook development, and performance optimization.
* Qualified candidates must be legally authorized to be employed in the United States. Lilly does not anticipate providing sponsorship for employment visa status (e.g., H\-1B, OPT, TN status)
**How You Will Succeed**
* Deliver scalable solutions by designing robust data pipelines and architectures that meet performance and reliability standards.
* Collaborate effectively with cross\-functional teams to turn business needs into technical outcomes.
* Lead with expertise, mentoring peers and driving adoption of best practices in data engineering and cloud technologies.
* Continuously improve systems through automation, performance tuning, and proactive issue resolution.
* Communicate with clarity to ensure alignment across technical and non\-technical stakeholders.
**What You Should Bring**
* Strong proficiency in SQL and Python.
* Hands\-on experience with cloud platforms (AWS, Azure, or GCP) and tools like Glue, EMR, Redshift, Lambda, or Databricks.
* Deep understanding of ETL/ELT workflows, data modelling, and data warehousing concepts.
* Familiarity with big data and streaming frameworks (e.g., Apache Spark, Kafka, Flink).
* Knowledge of data governance, security, and quality practices.
* Working knowledge of Databricks for building and optimizing scalable data pipelines and analytics workflows.
* Experience with CI/CD, version control (Git), and infrastructure\-as\-code tools is a plus.
* A problem\-solving mindset, attention to detail, and a passion for clean, maintainable code.
* Strong communication and collaboration skills to work with both technical and non\-technical stakeholders.
* Domain experience in healthcare, pharmaceutical ( Customer Master, Product Master, Alignment Master, Activity, Consent etc. ), or regulated industries is a plus.
* Partner with and influence vendor resources on solution development to ensure understanding of data and technical direction for solutions as well as delivery
* AWS Certified Data Engineer
* Databricks Certified Data Engineer (Associate)
* Familiarity with AI/ML workflows and integrating machine learning models into data pipelines
* Ability to collaborate with business stakeholders to translate key business requirements into scalable technical solutions.
* Familiarity with security models and developing solutions on large\-scale, distributed data systems.
**Additional Information**
**Qualified candidates must be legally authorized to be employed in the United States. Lilly does not anticipate providing sponsorship for employment visa status (e.g., H\-1B, OPT, TN status)**
**About The Tech At Lilly Organization**
 Tech at Lilly builds and maintains capabilities using cutting edge technologies like most prominent tech companies. What differentiates Tech at Lilly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the enterprise.
**About The Business Function**
 Tech at Lilly Business Units is a global organization strategically positioned so that through information and technology leadership and solutions, we create meaningful connections and remarkable experiences, so people feel genuinely cared for. The Business Unit organization is accountable for designing, developing, and supporting commercial or customer engagement services and capabilities that span multiple Business Units (Bio\-Medicines, Diabetes, Oncology, International), functions, geographies, and digital channels. The areas supported by Business Unit includes: Customer Operations, Marketing and Commercial Operations, Medical Affairs, Market Research, Pricing, Reimbursement and Access, Customer Support Programs, Digital Production and Distribution, Global Patient Outcomes, and Real\-World Evidence.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$184,800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95">
      <c r="A95" t="inlineStr">
        <is>
          <t>li-4368828761</t>
        </is>
      </c>
      <c r="B95" t="inlineStr">
        <is>
          <t>Data Engineer</t>
        </is>
      </c>
      <c r="C95" t="inlineStr">
        <is>
          <t>KMM Technologies, Inc.</t>
        </is>
      </c>
      <c r="D95" t="inlineStr">
        <is>
          <t>linkedin</t>
        </is>
      </c>
      <c r="E95">
        <f>HYPERLINK("https://www.linkedin.com/jobs/view/4368828761", "https://www.linkedin.com/jobs/view/4368828761")</f>
        <v/>
      </c>
      <c r="F95" t="inlineStr"/>
      <c r="G95" t="inlineStr">
        <is>
          <t>Plano, TX</t>
        </is>
      </c>
      <c r="H95" t="inlineStr"/>
      <c r="I95" t="inlineStr">
        <is>
          <t>**Job Position: Data Engineer**
 Location: 5600 Granite Pkwy, Plano, TX
 3 days a week onsite
**Description**
* Develop scripts and tools for automation of system provisioning, deployment, upgrade, and scaling (Python)
* Create ETLs to take data from various operational systems.
* Development solutions on Cloud based architecture.
* Evangelizing key strategic technologies in the areas of public API's, Big Data, and Analytics
* 5\+ years of hands\-on relational, dimensional, and/or analytic experience (using RDBMS, dimensional, NoSQL data platform technologies, and ETL and data ingestion protocols).
* Experience with data warehouse, data lake, and enterprise big data platforms.
* Good Knowledge of metadata management, data modeling, and related tools required.
* Experience in team management, communication, and Advanced SQL skills
* AWS CloudFormation and Lambda experience
* Terraform and GitLab is a must have due to the client's ecosystem
* Advanced knowledge in Python development
* Good technical Acumen around AWS environment for Data driven projects.
 if interested please share resume to thulasiram@kmmtechnologies.com</t>
        </is>
      </c>
    </row>
    <row r="96">
      <c r="A96" t="inlineStr">
        <is>
          <t>li-4368670481</t>
        </is>
      </c>
      <c r="B96" t="inlineStr">
        <is>
          <t>Data Engineer</t>
        </is>
      </c>
      <c r="C96" t="inlineStr">
        <is>
          <t>VieCure</t>
        </is>
      </c>
      <c r="D96" t="inlineStr">
        <is>
          <t>linkedin</t>
        </is>
      </c>
      <c r="E96">
        <f>HYPERLINK("https://www.linkedin.com/jobs/view/4368670481", "https://www.linkedin.com/jobs/view/4368670481")</f>
        <v/>
      </c>
      <c r="F96" t="inlineStr"/>
      <c r="G96" t="inlineStr"/>
      <c r="H96" t="inlineStr"/>
      <c r="I96" t="inlineStr">
        <is>
          <t>**This job requires the job holder to be in our Denver office 5 days per week minimum. Please only apply if you are comfortable with the location and commute.** 
 Are you interested in leading the transformation of cancer care through putting world\-leading scientific data and knowledge in the hands of doctors and other members of the medical team? Do you have a passion for solutions that empower patients to take charge of their care and bring world\-class solutions to winning the cancer battle? If so, join our team at VieCure, the company that promises to revolutionize the way cancer care is delivered.
 At VieCure, we are dedicated to transforming the oncology space through innovative technology solutions. Our mission is to empower clinicians and patients with data\-driven insights, supporting personalized cancer care. Join our team of passionate professionals working to make a difference in people’s lives.
 We are seeking a skilled and collaborative
 **Data Engineer** 
 to join our team in Denver, CO. The ideal candidate will work alongside our DBA and API/Services team to design, build, and maintain scalable data solutions that support the company's growing needs. This role is critical in ensuring the seamless flow, transformation, and quality of data across systems to drive operational and analytical excellence.
**Key Responsibilities** 
 :
* **Data Pipeline Development** 
 : Design, build, and maintain scalable and reliable ETL/ELT pipelines to support data ingestion, transformation, and loading into Azure SQL and SQL Server databases.
* **Data Integration** 
 : Collaborate with the API/Services team to develop seamless integrations between APIs, microservices, and database systems, ensuring efficient data exchange and synchronization.
* **Data Modeling** 
 : Work with the DBA to design and implement optimized database schemas and data models that align with application and reporting requirements.
* **Data Quality Assurance** 
 : Implement processes and tools to monitor, validate, and ensure the quality and integrity of the data across the pipeline.
* **Cross\-Team Collaboration** 
 : Act as a liaison between the DBA, API/Services team, and business stakeholders to understand data requirements and deliver solutions that support business goals.
* **Documentation** 
 : Maintain comprehensive documentation for pipelines, data models, and processes to ensure smooth knowledge transfer and onboarding.
* **Security \&amp; Compliance** 
 : Ensure data engineering practices adhere to data security, privacy, and compliance regulations, working alongside the DBA to enforce database\-level policies.
* **Data Insights Enablement** 
 : Enable analytics and reporting by preparing data for visualization and analysis (e.g., aggregating or transforming data for Power BI, dashboards, etc.).
**Experience \&amp; Skills** 
 :
* Proven experience with
 **Azure SQL** 
 and
 **SQL Server** 
 .
* Hands\-on experience building and maintaining ETL/ELT pipelines.
* Familiarity with data integration best practices and tools.
* Knowledge of
 **Power BI** 
 or similar visualization tools.
* Strong understanding of relational database design and data modeling.
* Experience in cross\-functional collaboration and stakeholder communication.
* Understanding of data security, privacy, and compliance considerations.
* Strong analytical and problem\-solving skills.
**Preferred Qualifications** 
 :
* Familiarity with tools such as Azure Data Factory or SSIS.
* Experience working in a healthcare or regulated environment.
* Certifications such as
 **Azure Data Engineer Associate** 
 (preferred but not required).
**Work Environment** 
 :
 This position is
 **full\-time, on\-site** 
 at our Denver, CO office. We value collaboration and teamwork, and our office culture is designed to foster innovation and creativity.
**Why Join Us?** 
* Competitive salary and benefits package.
* Opportunity to work on impactful projects in the healthcare technology space.
* Collaborative and supportive work environment.
* A chance to make a tangible difference in patients’ lives.</t>
        </is>
      </c>
    </row>
    <row r="97">
      <c r="A97" t="inlineStr">
        <is>
          <t>li-4357901084</t>
        </is>
      </c>
      <c r="B97" t="inlineStr">
        <is>
          <t>Data Engineer</t>
        </is>
      </c>
      <c r="C97" t="inlineStr">
        <is>
          <t>McAfee</t>
        </is>
      </c>
      <c r="D97" t="inlineStr">
        <is>
          <t>linkedin</t>
        </is>
      </c>
      <c r="E97">
        <f>HYPERLINK("https://www.linkedin.com/jobs/view/4357901084", "https://www.linkedin.com/jobs/view/4357901084")</f>
        <v/>
      </c>
      <c r="F97" t="inlineStr"/>
      <c r="G97" t="inlineStr">
        <is>
          <t>Frisco, TX</t>
        </is>
      </c>
      <c r="H97" t="inlineStr"/>
      <c r="I97" t="inlineStr">
        <is>
          <t>**Role Overview**
 McAfee is seeking a Data Engineer to transform operational analytics for the consumer protection team and analyze customer and internal data to improve both what our products deliver and how they are delivered. Drive efficiency of the CP organization and enhance effectiveness and reliability of CP products through scalable data pipelines, AI\-powered insights, and real\-time monitoring. Lead proof\-of\-concepts using internal and external data sources to build insights, translate into tools to improvise the solutions and contribute to production solutions for customer\-facing products and internal developer productivity tools.
 This is a Hybrid position located in Frisco, TX. You will be required to be on\-site on an as\-needed basis; when you are not working on\-site, you will work from your home office. You must be within commutable distance of Frisco, TX. We are not offering relocation assistance at this time.
**About The Role**
* Design comprehensive data metrics from telemetry and user data for threat analysis and UX optimization
* Design solutions to combine data sources, external and internal to drive enhanced consumer experience
* Ensure data quality, integrity, and security
* Build and automate near real\-time dashboards for product health, system health, security monitoring, and operational issue detection
* Develop scalable ETL pipelines processing large\-volume telemetry across heterogeneous systems
* Create automated data quality validation frameworks
* Drive and optimize data insights and solutions leveraging AI
* Optimize polyglot codebase using AI across Android, iOS, macOS, and Windows
* Ensure seamless AI integration while maintaining platform\-specific performance
* Develop MCP servers for AI model deployment and workflow management
**About You**
* 5\+ years data engineering, 1\+ years AI/ML experience
* Python proficiency; Flutter/Dart, Swift awareness
* Data engineering: Spark, Kafka, ETL pipelines, data warehousing (Snowflake, BigQuery)
* AI/ML: TensorFlow, PyTorch, scikit\-learn experience
* LLM integration: OpenAI API, Claude API, LangChain
* Cloud platforms: AWS/Azure/GCP with AI/ML services focus
* Databases: SQL/NoSQL (PostgreSQL, MongoDB, Redis)
* Cross\-platform development (Windows, macOS, iOS, Android)
* API development (REST, GraphQL) and real\-time systems
* Cybersecurity understanding and secure data handling
* MLOps and model lifecycle management
* Cybersecurity platform knowledge is a plus
* MCP implementation experience is a plus
* Bachelor's/Master's in Computer Science, Data Science, or equivalent is a plus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98">
      <c r="A98" t="inlineStr">
        <is>
          <t>li-4365489930</t>
        </is>
      </c>
      <c r="B98" t="inlineStr">
        <is>
          <t>Azure Data Engineer</t>
        </is>
      </c>
      <c r="C98" t="inlineStr">
        <is>
          <t>Ascend Technologies</t>
        </is>
      </c>
      <c r="D98" t="inlineStr">
        <is>
          <t>linkedin</t>
        </is>
      </c>
      <c r="E98">
        <f>HYPERLINK("https://www.linkedin.com/jobs/view/4365489930", "https://www.linkedin.com/jobs/view/4365489930")</f>
        <v/>
      </c>
      <c r="F98" t="inlineStr"/>
      <c r="G98" t="inlineStr"/>
      <c r="H98" t="inlineStr"/>
      <c r="I98" t="inlineStr">
        <is>
          <t>This position is a fully remote position, however, occasional travel within the United States may be required.
**Purpose**
 Seeking an Azure Data Engineer (3–5 years) to join cross\-functional teams of Developers, Azure engineers, and Azure Security professionals. In this role, you will also design, deploy, and maintain Azure Data within various SQL and NoSQL platforms. Operational support and optimizations including performance optimization, replication, backup, restore and disaster recovery. Expert level skills in Azure and Microsoft Database platforms including IaaS, PaaS and SAS solutions.
 CI/CD pipelines; automate operations with Bash, PowerShell, and Python; design and implement Zero Trust and least\-privilege models; and manage Azure DevOps security and permissions. Close collaboration with application developers and infrastructure colleagues in a team setting.
**Responsibilities**
**Databases**
* Microsoft SQL, Mongo, Postgres, Qdrant
* Wide area network data replication
* On\-Premises to Azure migrations
* Secure Identities and groups
**Security \&amp; Permissions**
* Configure Azure Database security, service connections, user/group permissions
* Implement least\-privilege access with Azure RBAC and Management Groups
* Enforce Azure Policy assignments
**Agile Process \&amp; Boards Management**
* Create and maintain work items (Epics, Features, Tasks)
* Team sprint planning, backlog creation, and reporting on velocity and cycle time
**Automation \&amp; Scripting**
* Write and maintain deployment and operational scripts in Bash, PowerShell, and Python
* Other Responsibilities as assigned by management
**Minimum Skills, Education And Experience**
* Expert at designing, deploying, and operating Azure data infrastructure
* Working Azure infrastructure knowledge: compute (VMs, scale sets), storage accounts, load balancers, networking, and identity services, App Service, Web Application Gateway
* Scripting skills in Bash, PowerShell, and Python
* Strong understanding of Zero Trust and least\-privilege security models
* Experience managing Azure DevOps security and permissions
* Experience facilitating Agile ceremonies and reporting metrics
* Self\-starter with strong communication skills
* SSIS, SSRS, PowerBI, T\-SQL, Microsoft Fabric
* Azure Certifications
* Azure Security tools, Key Vault, Entra identity
* Exposure to application development (C\#, Python, etc.)
* Linux and Windows experience
 Starting Compensation: $130,000/year
 At Ascend Technologies we firmly believe that diversity, equity, and inclusion are not only fundamental values but also powerful drivers of innovation, growth, and success. We are committed to fostering an environment where every individual feels valued, respected, and empowered.
**CORE VALUES**
 We are seeking highly motivated individuals who have the willingness and ability to demonstrate Ascend core values:
* Committed to Client Success: Our actions and our words always align with the best interest of the client.
* One Team: We work collaboratively to overcome challenges with humility and respect and do what it takes to find innovative solutions.
* Integrity: We are unquestionably committed to doing the right thing even when it is hard.
* Accountability: We hold ourselves and each other accountable for keeping our commitments to our clients, our communities, and one another.
* Transparency: We create open lines of communication with each other and our clients, fostering relationships founded on candor and trust.
 The salary for this position is commensurate with experience, skills, and qualifications. The range is intended to reflect our commitment to attracting top talent, and the final offer will be based on factors including, but not limited to, the candidate's previous experience, expertise in the field, relevant certifications, and the specific requirements of the role. In addition, internal equity, market trends, and geographic location may also influence the final salary.
 Along with a competitive salary, we offer a comprehensive benefits package, including health, dental, and vision insurance, retirement savings options, flexible time off (FTO), and professional development opportunities. We are open to discussing compensation and benefits further during the interview process to ensure alignment with the candidate’s expectations and experience.</t>
        </is>
      </c>
    </row>
    <row r="99">
      <c r="A99" t="inlineStr">
        <is>
          <t>li-4367349157</t>
        </is>
      </c>
      <c r="B99" t="inlineStr">
        <is>
          <t>Data Engineer</t>
        </is>
      </c>
      <c r="C99" t="inlineStr">
        <is>
          <t>Wolverine Trading</t>
        </is>
      </c>
      <c r="D99" t="inlineStr">
        <is>
          <t>linkedin</t>
        </is>
      </c>
      <c r="E99">
        <f>HYPERLINK("https://www.linkedin.com/jobs/view/4367349157", "https://www.linkedin.com/jobs/view/4367349157")</f>
        <v/>
      </c>
      <c r="F99" t="inlineStr"/>
      <c r="G99" t="inlineStr">
        <is>
          <t>Chicago, IL</t>
        </is>
      </c>
      <c r="H99" t="inlineStr"/>
      <c r="I99" t="inlineStr">
        <is>
          <t>**Department:** 
 Technology
**Location:** 
 Chicago, IL
**Description**
 We are seeking a motivated, self\-directed, and technically outstanding data engineer to join our team of engineers responsible for designing, building, and maintaining the data pipelines that are critical to our business. The ideal candidate enjoys optimizing data systems and building them from the ground up. You should be comfortable supporting our developers, data analysts, and traders to ensure data delivery is consistent, high\-quality, and secure.
**Hours**
* Hours for this position will be 5:30 AM CST to 2:30 initially and are expected to shift to the evening at a later date.
**Location**
* Our office is in Chicago, and a Chicago based employee is preferred. However, due to the non\-standard working hours required, we will consider a remote employee with the right experience and skillset
**What You’ll Do**
* Pipeline Development: Design, construct, and manage scalable data pipelines.
* Architecture: Build the infrastructure required for optimal extraction, transformation, and loading of data from a wide variety of data sources.
* Optimization: Identify, design, and implement internal process improvements: automating manual processes, optimizing data delivery, and re\-designing infrastructure for greater scalability.
* Data Modeling: Create and maintain optimal data pipeline architecture and database schemas
* Gather requirements, design solutions, iterate on implementations with peers and business partners, participate in code reviews, and deliver products in a timely manner
* Troubleshoot and solve the most complex problems escalated by support staff, developers, or traders
* Provide insights on and help prioritize tasks to optimize, modernize, and simplify our system on your own initiative, as well as ways to improve usability and scalability
* Document the requirements and usage of tools and systems
* Keep abreast of emerging technologies, new language features, and new APIs or tools
**What We’re Looking For**
* Have 3\+ years of experience in a data engineering role
* Languages: Expert\-level SQL and proficiency in Python, C\#/.Net, or some other programming language
* Broad technical knowledge with strong conceptual understanding of Linux sysadmin (bash)
* Be organized, self\-directed, and dependable. Be able to manage your own workload and provide reasonable estimates for task completion
* Have superb analytical and problem\-solving skills
* Have excellent verbal and written communication skills, able to convey design decisions in both technical and layman’s terms
* Familiarity with data pipeline workflow tools like Apache Airflow or similar
* Background in performance tuning for data systems, including caching, indexing, and database optimization
**Why Join Us**
 Our flat organizational structure promotes teamwork across the Firm and offers easy access to senior staff. While we work exceptionally well as a team in the office, our bonds are further strengthened through company events, activities and giving back. Volleyball, soccer, hockey, 5K runs, picnic, parties, and trivia nights provide friendly competition and build better relationships. By getting out of our usual environment and doing out\-of\-the\-ordinary things together, we foster creativity and broaden our imaginations to accomplish new challenges.
**Benefits**
* Highly competitive salary \&amp; bonus opportunity
* Generous paid time off and flexible scheduling
* 100% coverage of medical, dental, vision, life, and disability benefits for single coverage
* Generous Paid Parental Leave
* Retirement Plans: 401K and Roth 401K
* Profit sharing plan
* Long\- and short\-term disability
**Additional Perks:**
* Free breakfast and lunch from our in\-house kitchen with rotating menus (including snacks!)
* On\-site gym with a subsidized membership
* Frequent company outings
* Opportunity to give back to organizations that help individuals in need in the Chicagoland area
**Professional Development:**
* In\-house education team – classes and resources are offered for continuous learning opportunities
* Mentorship Program through your first six months of employment
 The base compensation range for this role is approximately $80,000\-$120,000 contingent on experience. Wolverine Trading's total compensation model includes base salary and an annual discretionary bonus.</t>
        </is>
      </c>
    </row>
    <row r="100">
      <c r="A100" t="inlineStr">
        <is>
          <t>li-4368691690</t>
        </is>
      </c>
      <c r="B100" t="inlineStr">
        <is>
          <t>Data Engineer</t>
        </is>
      </c>
      <c r="C100" t="inlineStr">
        <is>
          <t>Northwell Health</t>
        </is>
      </c>
      <c r="D100" t="inlineStr">
        <is>
          <t>linkedin</t>
        </is>
      </c>
      <c r="E100">
        <f>HYPERLINK("https://www.linkedin.com/jobs/view/4368691690", "https://www.linkedin.com/jobs/view/4368691690")</f>
        <v/>
      </c>
      <c r="F100">
        <f>HYPERLINK("https://nslij.contacthr.com/150880991&amp;urlHash=GVBD", "https://nslij.contacthr.com/150880991&amp;urlHash=GVBD")</f>
        <v/>
      </c>
      <c r="G100" t="inlineStr">
        <is>
          <t>New Hyde Park, NY</t>
        </is>
      </c>
      <c r="H100" t="inlineStr"/>
      <c r="I100" t="inlineStr">
        <is>
          <t>179082
**Job Description**
 Analyzes and implements information systems to manage financial functions for Patient Financial Services/Accounts. Ensures systems compliance to applicable laws, regulatory standards and policies.
 Job Responsibility
* Implements the information system initiatives to meet user requirements; communicates with user departments and project teams regarding implementation activities and system changes to ensure feasibility; develops system specifications that appropriately meet department requirements.
* Assesses the patient management inpatient and outpatient registration pathways for constant improvement and enhancement; incorporates financial regulatory requirements; administers system support for patient management system users; evaluates information technology to promote operational efficiency and financial reimbursement.
* Oversees managed care contracts; compiles and tracks managed care financial and statistical information related to contract development and financial impact analysis; maintains rate database and contractual terms of managed care contracts (prosthetics and implants, MR copying charges, etc.).
* Develops systems to track data in comprehensive and innovative ways; collaborates with hospital departments and outside vendors to facilitate managed care contract implementation; facilitates the implementation of managed care contracts.
* Responds to inquiries and interprets contract language as it relates to managed care; coordinates and maintains communication between the hospital and vendor(s) regarding system applications; coordinates communication with the vendor representative regarding enhancements, issues, etc. for the system applications.
* Reviews contractual obligations, ensures status of deliverables, and resolves related issues; performs periodic post\-installation reviews of system initiatives.
* Reviews and evaluates post\-installation processing per documented specifications; creates ad\-hoc reports to ensure system builds are functioning according to specifications and ensures accurate payments.
* Develops and conducts in\-services for Patient Financial Services/Accounts; creates appropriate in\-service training materials.
* Conducts system\-wide in\-services with managers and staff, as necessary; ensures systems compliance to applicable laws, regulatory standards and policies.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Minimum of two (2\) years of experience with Apache Hadoop, NoSQL, setting up cloud clusters, Apache Spark, and other advanced data science and big data technologies, required.
* Experience in software development in enterprise/ web/ cloud applications, solutioning, architecture and frameworks.
* Big data expertise with cloud and enterprise level design/implementation.
* Experience in architecting data warehouses and/or data lakes with traditional database enterprise\-class RDBMS technologies.
* Strong knowledge of programming languages/tools including: Java, Python, Spark, SQL, R, and Shell Scripts.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01">
      <c r="A101" t="inlineStr">
        <is>
          <t>li-4368668589</t>
        </is>
      </c>
      <c r="B101" t="inlineStr">
        <is>
          <t>Data Engineer</t>
        </is>
      </c>
      <c r="C101" t="inlineStr">
        <is>
          <t>TribolaTech Inc</t>
        </is>
      </c>
      <c r="D101" t="inlineStr">
        <is>
          <t>linkedin</t>
        </is>
      </c>
      <c r="E101">
        <f>HYPERLINK("https://www.linkedin.com/jobs/view/4368668589", "https://www.linkedin.com/jobs/view/4368668589")</f>
        <v/>
      </c>
      <c r="F101" t="inlineStr"/>
      <c r="G101" t="inlineStr">
        <is>
          <t>California, United States</t>
        </is>
      </c>
      <c r="H101" t="inlineStr"/>
      <c r="I101" t="inlineStr">
        <is>
          <t>**Job Summary** 
 We are looking for a
 **Data Engineer** 
 to design, build, and maintain reliable data pipelines and data warehouse solutions. This role requires strong expertise in
 **Python, SQL, Airflow, and Data Modeling** 
 , with exposure to
 **Big Data technologies** 
 such as Hadoop and Spark being a strong plus. The position is execution\-focused and simpler in scope
**Key Responsibilities** 
* Design, develop, and maintain
 **data pipelines** 
 using Python and Airflow
* Build and manage
 **Data Marts and Data Warehouses**
* Develop, optimize, and maintain complex
 **SQL queries**
* Design database objects in
 **MySQL, SQL Server, and Vertica**
* Apply
 **data modeling concepts** 
 and clearly explain data flow from source to destination
* Integrate data using
 **REST and SOAP APIs**
* Ensure data accuracy, consistency, and performance
* Create
 **dashboards and analytical reports** 
 , including reports for
 **C\-level executives**
* Troubleshoot data issues and deliver solutions under tight deadlines
**Mandatory Skills \&amp; Qualifications** 
* Strong expertise in
 **SQL** 
 (expert\-level query writing required)
* Strong proficiency in
 **Python**
* Hands\-on experience with
 **Airflow** 
 for workflow orchestration
* Strong
 **Data Modeling** 
 skills
* Solid understanding of
 **Data Warehousing concepts**
* Experience creating data pipelines using Python
* Familiarity with
 **REST and SOAP APIs**
* Excellent problem\-solving, analytical, verbal, and written communication skills
**Big Data Requirements** 
* Experience with
 **Hadoop platform / Big Data ecosystem**
* **Spark experience** 
 is ideal
* Other Big Data experience such as
 **Scala, Kafka** 
 , etc. is acceptable
* Total experience:
 **\~5 years** 
 , with
 **1–2 years in Big Data**
**Nice\-to\-Have Skills** 
* Vertica Datamart experience
* SSIS, Informatica
* Tableau or other BI tools
* SQL Server
* Understanding of distributed computing (HDFS, Spark, Presto)
* Proficiency in
 **Scala, Splunk**
* Experience working with systems at scale
* Exposure to
 **Docker, Kubernetes, Jenkins CI/CD pipelines**
* Experience with Big Data tools: Hadoop, Hive, Spark, Kafka, HDFS
* Experience with data science libraries: Pandas, NumPy, R
* Experience with messaging queues: Kafka or RabbitMQ
* Exposure to
 **React JS, Node JS** 
 , REST APIs, or web development (preferred but not mandatory)
**Additional Information** 
* Role is
 **Data Engineer** 
 (not Data Scientist)
* Internal reassignment is being evaluated; if unsuccessful, hiring will proceed
* Immediate or near\-immediate availability preferred</t>
        </is>
      </c>
    </row>
    <row r="102">
      <c r="A102" t="inlineStr">
        <is>
          <t>li-4368832523</t>
        </is>
      </c>
      <c r="B102" t="inlineStr">
        <is>
          <t>Data Engineer</t>
        </is>
      </c>
      <c r="C102" t="inlineStr">
        <is>
          <t>CGS Federal (Contact Government Services)</t>
        </is>
      </c>
      <c r="D102" t="inlineStr">
        <is>
          <t>linkedin</t>
        </is>
      </c>
      <c r="E102">
        <f>HYPERLINK("https://www.linkedin.com/jobs/view/4368832523", "https://www.linkedin.com/jobs/view/4368832523")</f>
        <v/>
      </c>
      <c r="F102" t="inlineStr"/>
      <c r="G102" t="inlineStr">
        <is>
          <t>Michigan, United States</t>
        </is>
      </c>
      <c r="H102" t="inlineStr"/>
      <c r="I102" t="inlineStr">
        <is>
          <t>Data Engineer Employment Type: Full\-Time, Mid\-levelDepartment: Business Intelligence CGS is seeking a passionate and driven Data Engineer to support a rapidly growing Data Analytics and Business Intelligence platform focused on providing solutions that empower our federal customers with the tools and capabilities needed to turn data into actionable insights. The ideal candidate is a critical thinker and perpetual learner; excited to gain exposure and build skillsets across a range of technologies while solving some of our clients’ toughest challenges.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success:\-Complete development efforts across data pipeline to store, manage, store, and provision to data consumers.\-Being an active and collaborating member of an Agile/Scrum team and following all Agile/Scrum best practices.\-Write code to ensure the performance and reliability of data extraction and processing.\-Support continuous process automation for data ingest.\-Achieve technical excellence by advocating for and adhering to lean\-agile engineering principles and practices such as API\-first design, simple design, continuous integration, version control, and automated testing.\-Work with program management and engineers to implement and document complex and evolving requirements.\-Help cultivate an environment that promotes customer service excellence, innovation, collaboration, and teamwork.\-Collaborate with others as part of a cross\-functional team that includes user experience researchers and designers, product managers, engineers, and other functional specialists.
 Qualifications:\-Must be a US Citizen.\-Must be able to obtain a Public Trust Clearance.\-7\+ years of IT experience including experience in design, management, and solutioning of large, complex data sets and models.\-Experience with developing data pipelines from many sources from structured and unstructured data sets in a variety of formats.\-Proficiency in developing ETL processes, and performing test and validation steps.\-Proficiency to manipulate data (Python, R, SQL, SAS).\-Strong knowledge of big data analysis and storage tools and technologies.\-Strong understanding of the agile principles and ability to apply them.\-Strong understanding of the CI/CD pipelines and ability to apply them.\-Experience with relational database, such as, PostgreSQL.\-Work comfortably in version control systems, such as, Git Repositories.
 Ideally, you will also have:\-Experience creating and consuming APIs.\-Experience with DHS and knowledge of DHS standards a plus.\-Candidates will be given special consideration for extensive experience with Python.\-Ability to develop visualizations utilizing Tableau or PowerBI.\-Experience in developing Shell scripts on Linux.\-Demonstrated experience translating business and technical requirements into comprehensive data strategies and analytic solutions.\-Demonstrated ability to communicate across all levels of the organization and communicate technical terms to non\-technical audiences.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package:\-Health, Dental, and Vision\-Life Insurance\-401k\-Flexible Spending Account (Health, Dependent Care, and Commuter)\-Paid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Board:https://cgsfederal.com/join\-our\-team/
 For more information about CGS please visit: https://www.cgsfederal.com or contact:Email: \[email protected]
 \#CJ$112,597\.33 \- $152,810\.66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3">
      <c r="A103" t="inlineStr">
        <is>
          <t>li-4357725457</t>
        </is>
      </c>
      <c r="B103" t="inlineStr">
        <is>
          <t>Analytics Engineer - Hybrid</t>
        </is>
      </c>
      <c r="C103" t="inlineStr">
        <is>
          <t>NRG Energy</t>
        </is>
      </c>
      <c r="D103" t="inlineStr">
        <is>
          <t>linkedin</t>
        </is>
      </c>
      <c r="E103">
        <f>HYPERLINK("https://www.linkedin.com/jobs/view/4357725457", "https://www.linkedin.com/jobs/view/4357725457")</f>
        <v/>
      </c>
      <c r="F103" t="inlineStr"/>
      <c r="G103" t="inlineStr">
        <is>
          <t>Utah, United States</t>
        </is>
      </c>
      <c r="H103" t="inlineStr"/>
      <c r="I103"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**Job Description**
 Our mission is to redefine the home experience with tech and services to create a smarter, greener, safer home that saves our customers money every month.
**Summary**
 As a
 **Analytics Engineer** 
 on our Data Engineering team, you will be responsible for developing the core service that provides data to the entire enterprise. You will be responsible for building the data models consumed throughout Vivint. Working closely with our internal business teams, you will build and help maintain a data platform that provides timely, accurate, and reliable data to thousands of users.
**Primary Responsibilities**
* Build cross functional relationships with other technology teams, business operations teams, and data analytics teams to understand how they generate value as a business unit and how to provide data solutions that support or augment that value.
* Help build and maintain an enterprise data platform with its associated dimensional modeling and ETL processes
* Responsible for designing, building, and maintaining robust data models and pipelines
* Implement best practices and innovative solutions to provide timely, accurate, \&amp; reliable data
* Constantly evaluate and optimize deployment of data models to achieve greater efficiency and reliability
**Required Skills And Experience**
* Must have a passion for data and helping the business turn data into understanding and action
* Ability to both initiate and deliver enterprise\-grade data solutions
* Ability to communicate effectively with business leaders and engineers
* Strong in SQL, databases, and data modeling methodologies
* Bachelor's or Master's degree
* 3\+ years of full\-time data engineering or SQL\-based analytics as your core role using either Snowflake, BigQuery, or Databricks
* Professional experience with dbt (Cloud preferred)
* Professional experience with CI/CD, Azure DevOps, Bitbucket, or similar tools
**Nice\-to\-have Skills And Experience**
* Professional experience with Python based data transformations or Streamlit apps
* Professional experience with Snowflake
 If you reside in or intend to work remotely from California, Colorado, Connecticut, Hawaii, Illinois, Minnesota, Nevada, New York, Ohio, Washington D.C., Washington State or another state or locality with a pay transparency law, you may contact Careers@nrg.com for compensation information related to this position and other information as required by applicable law. Please include the job title in your request.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04">
      <c r="A104" t="inlineStr">
        <is>
          <t>li-4368853071</t>
        </is>
      </c>
      <c r="B104" t="inlineStr">
        <is>
          <t>Lead Data Engineer</t>
        </is>
      </c>
      <c r="C104" t="inlineStr">
        <is>
          <t>Accellor</t>
        </is>
      </c>
      <c r="D104" t="inlineStr">
        <is>
          <t>linkedin</t>
        </is>
      </c>
      <c r="E104">
        <f>HYPERLINK("https://www.linkedin.com/jobs/view/4368853071", "https://www.linkedin.com/jobs/view/4368853071")</f>
        <v/>
      </c>
      <c r="F104" t="inlineStr"/>
      <c r="G104" t="inlineStr">
        <is>
          <t>Boston, MA</t>
        </is>
      </c>
      <c r="H104" t="inlineStr"/>
      <c r="I104" t="inlineStr">
        <is>
          <t>**Accellor is an AI\-first digital transformation partner built for the next generation of enterprise.** 
 We help global organizations turn cloud, data, and AI into real, measurable business outcomes at scale.
 At Accellor,
 **people come first** 
 . You’ll be trusted, empowered, and challenged to solve meaningful problems, collaborate with exceptional teams, and continuously grow your skills while building solutions that matter.
 Trusted by Fortune 100 companies and global innovators, we work across industries delivering AI solutions, data platforms, and product engineering using modern, scalable technologies. If you want your work to
 **create real impact and shape the future of enterprise** 
 , Accellor is where it happens.
 As a Lead Data Engineer, you will play a crucial role in architecting and implementing robust data engineering solutions. Your expertise in managing and optimizing data flows, migrations, and transformations will be vital in supporting our projects. The ideal candidate will possess a mix of technical skills and strategic vision, ensuring that we leverage data to its fullest potential, thus achieving our business objectives.
**Responsibilities**
* Design and build scalable, high\-performance data pipelines and architecture.
* Lead and mentor a team of data engineers, fostering a culture of best practices in data management and engineering.
* Collaborate with cross\-functional teams to grasp business needs and translate them into technical requirements.
* Ensure data quality, integrity, and security throughout the data lifecycle.
* Stay updated with emerging technologies and industry trends to innovate and enhance our data practices.
* Contribute to the continuous improvement of our data infrastructure and processes.
**Requirements**
* 7\+ years of experience in data engineering or a related field.
* Proficiency in programming languages such as Python, Java, or Scala.
* Strong knowledge of SQL and experience with database technologies (e.g., PostgreSQL, MySQL).
* Hands\-on experience with ETL tools and data integration techniques.
* Excellent understanding of data modeling concepts and best practices.
* Ability to work collaboratively and communicate effectively with team members and stakeholders.
* Experience with cloud platforms (AWS, Azure, GCP) is a plus.
* Strong analytical, problem\-solving skills, and attention to detail.
* Experience with big data technologies like Hadoop or Spark is advantageous.
* Certification in relevant technologies (e.g., AWS, Azure) would be beneficial.</t>
        </is>
      </c>
    </row>
    <row r="105">
      <c r="A105" t="inlineStr">
        <is>
          <t>li-4368858013</t>
        </is>
      </c>
      <c r="B105" t="inlineStr">
        <is>
          <t>Senior Data Engineer</t>
        </is>
      </c>
      <c r="C105" t="inlineStr">
        <is>
          <t>Flatiron Health</t>
        </is>
      </c>
      <c r="D105" t="inlineStr">
        <is>
          <t>linkedin</t>
        </is>
      </c>
      <c r="E105">
        <f>HYPERLINK("https://www.linkedin.com/jobs/view/4368858013", "https://www.linkedin.com/jobs/view/4368858013")</f>
        <v/>
      </c>
      <c r="F105" t="inlineStr"/>
      <c r="G105" t="inlineStr"/>
      <c r="H105" t="inlineStr"/>
      <c r="I105" t="inlineStr">
        <is>
          <t>Reimagine the infrastructure of cancer care within a community that values integrity, inspires growth, and is uniquely positioned to create a more modern, connected oncology ecosystem.
 We’re looking for a Senior Data Engineer to help us accomplish our mission to improve and extend lives by learning from the experience of every person with cancer. Are you ready to be the next changemaker in cancer care?
**What You'll Do**
 This role will design and develop data pipeline frameworks and technology in partnership with software engineering teams in New York. Additionally, this role will collaborate with other Flatiron employees across our UK, Germany, and Japan offices, and will work day\-to\-day with oncologists, clinicians, product leaders, quantitative scientists, and customers to understand their challenges and how technology can help solve them. In addition, you will:
* Create new or enhance existing business critical, complex data pipelines using a variety of data processing tools and automation
* Implement ETL frameworks that ensure our delivered data products meet high standards for quality, reliability, and depth
* Innovate new ways of integrating emerging AI technologies with existing systems
* Devise creative solutions for technical and business challenges to help the team scale
* Contribute to shaping the direction of team roadmaps and technology development
* Rapidly iterate on products while maintaining engineering practices that ensure stability, extensibility, and security
* Bring or develop a deep knowledge of healthcare in the US, including data sources, security, privacy, information governance requirements, and emerging trends
**Who You Are**
 You're a kind, passionate and collaborative problem\-solver who values the opportunity to think beyond the way things are. You're excited by the prospect of working on difficult and meaningful problems each day. You seek and give candid feedback, and value the chance to make an important impact on cancer patients and society.
* You’re a data engineer with 4\-8 years of relevant professional experience
* You are excited about working in a passionate, fast\-paced, technology\-driven culture
* You have a nose for value and empathy for your customers
* You have experience with agile development environments using object\-oriented programming and database languages (e.g. Python, C\#, SQL), but are also language agnostic and willing to pick up new programming languages as needed
* You have experience working with cloud platforms like AWS and data warehouse solutions like Snowflake
* You act as an expert in your domain area, and as a partner with product teams
* You understand the purpose of “boring” technology (as described in this blog post) and are willing to use the right tools to get the job done
* You can collaborate and easily explain technical terms to a non\-technical, highly sophisticated audience; you have superior communication skills
* You are comfortable with ambiguity and always willing to teach and learn
 Extra credit
* You have experience working in healthcare in the United States or exposure to healthcare\-related standards
* You hold a Bachelors, Masters, and/or Ph.D. in computer science or a related field
* You have experience applying modern AI tools (e.g., LLMs and agentic coding assistants) in software workflows
* You have experience in infrastructure, devops, or security engineering
**Where You’ll Work**
 In this hybrid role, you’ll have a defined work location that includes work from home and 3 office days set by you and your team. For more information on our approach to hybrid work, please visit the how we work website.
**Life at Flatiron**
 At Flatiron Health, we offer a full range of benefits to support you and your loved ones so you can focus your working hours on improving cancer care and accelerating cancer research, and your non\-working hours on everything else life has to offer:
* Work/life autonomy via flexible work hours and flexible paid time off
* Comprehensive compensation package
* 401(k) contribution to help you reach your retirement planning goals
* Financial health resources including 1:1 financial advice
* Mental well\-being tools and services
* Parental benefits and policies including family\-building care and generous leave
* Path to parenthood programs supporting fertility, adoption and surrogacy
* Travel support for safe healthcare services
 In addition to our robust benefit offerings, visit our Life at Flatiron page to learn how we support continuous learning and celebrate inclusion and belonging in the workplace.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06">
      <c r="A106" t="inlineStr">
        <is>
          <t>li-4357770346</t>
        </is>
      </c>
      <c r="B106" t="inlineStr">
        <is>
          <t>Senior Data Engineer</t>
        </is>
      </c>
      <c r="C106" t="inlineStr">
        <is>
          <t>SoTalent</t>
        </is>
      </c>
      <c r="D106" t="inlineStr">
        <is>
          <t>linkedin</t>
        </is>
      </c>
      <c r="E106">
        <f>HYPERLINK("https://www.linkedin.com/jobs/view/4357770346", "https://www.linkedin.com/jobs/view/4357770346")</f>
        <v/>
      </c>
      <c r="F106" t="inlineStr"/>
      <c r="G106" t="inlineStr">
        <is>
          <t>Frisco, TX</t>
        </is>
      </c>
      <c r="H106" t="inlineStr"/>
      <c r="I106" t="inlineStr">
        <is>
          <t>**Job Title: Principal Data Engineer** 
**Location: Frisco, Texas, United States** 
**Type: Full Time** 
 Our Client is seeking a highly experienced Principal Data Engineer to lead the design and development of modern, scalable data platforms. This role is ideal for a technical leader who thrives on building robust data architectures, optimizing analytics ecosystems, and shaping best‑in‑class engineering practices across data teams.
**What You’ll Do** 
**Data Engineering \&amp; Architecture** 
* Architect and implement scalable data pipelines and transformation workflows using tools such as dbt, SnowSQL, and cloud‑native technologies.
* Design and maintain enterprise‑level data lakes, data warehouses, and curated transformation layers leveraging modern patterns such as the Medallion (Bronze–Silver–Gold) architecture.
* Define and implement best practices for data ingestion, modeling, quality assurance, and lineage to ensure trusted, reliable, and consistent data delivery.
* Build reusable frameworks and automation tools for deployment, monitoring, and lifecycle management of data assets.
* Optimize data platforms for performance, reliability, and cost efficiency to support advanced analytics and machine learning workloads.
**Requirements** 
**Education** 
* Bachelor’s or Master’s degree in Computer Science, Data Science, Information Systems, or a related technical field.
**Experience** 
* 10\+ years of experience in data management, including integration, modeling, architecture, and performance optimization.
* Hands‑on experience with analytics platforms and tools such as Snowflake or Informatica Cloud.
* Expert‑level proficiency in SQL, SnowSQL, ETL development, and enterprise data warehousing concepts.
**Core Skills** 
* Strong background in conceptual architecture, data integration design, and technical wireframing.
* Familiarity with DevOps and Agile environments (preferred).
* Excellent communication, presentation, and change‑management skills.
**Nice to Have** 
* Exposure to SAP ERP and SAP‑based data integration processes.
* Experience with CI/CD pipelines, DevOps practices, and Git‑based workflows.
* Understanding of AI/ML use cases in data operations, such as anomaly detection or intelligent data quality.
* Certifications related to Snowflake, dbt, or major cloud platforms.</t>
        </is>
      </c>
    </row>
    <row r="107">
      <c r="A107" t="inlineStr">
        <is>
          <t>li-4368245213</t>
        </is>
      </c>
      <c r="B107" t="inlineStr">
        <is>
          <t>Senior Data Engineer</t>
        </is>
      </c>
      <c r="C107" t="inlineStr">
        <is>
          <t>Elios Talent</t>
        </is>
      </c>
      <c r="D107" t="inlineStr">
        <is>
          <t>linkedin</t>
        </is>
      </c>
      <c r="E107">
        <f>HYPERLINK("https://www.linkedin.com/jobs/view/4368245213", "https://www.linkedin.com/jobs/view/4368245213")</f>
        <v/>
      </c>
      <c r="F107" t="inlineStr"/>
      <c r="G107" t="inlineStr">
        <is>
          <t>Baltimore, MD</t>
        </is>
      </c>
      <c r="H107" t="inlineStr"/>
      <c r="I107" t="inlineStr">
        <is>
          <t>**Senior Data Engineer / Software Engineer** 
 Hybrid \| DMV Area
 Contract\-to\-Hire (CTH)
 Target Conversion Salary: $170,000 – $200,000
**Role Overview** 
 We’re seeking a
 **hands\-on Senior Data Engineer / Software Engineer** 
 to help design, build, and scale modern data pipelines and APIs in a
 **hybrid cloud environment** 
 . This role blends
 **data engineering, backend software development, and platform collaboration** 
 , with a strong emphasis on real\-world delivery over theory.
 You’ll play a key role in shaping
 **GraphQL\-based data architecture** 
 , implementing production\-grade pipelines, and acting as a technical SME across data and integration workflows. This is an ideal opportunity for someone who enjoys being deep in the code while influencing technical direction.
**Key Responsibilities** 
* Design and implement
 **GraphQL\-based data architectures** 
 supporting scalable, high\-quality data access
* Build and maintain
 **data pipelines** 
 operating across hybrid environments
* Develop production\-ready solutions using
 **TypeScript** 
 with a focus on performance, reliability, and maintainability
* Collaborate closely with platform and infrastructure teams to support deployment, monitoring, and scalability
* Assist with
 **CI/CD troubleshooting** 
 and pipeline optimization when needed
* Reverse\-engineer and improve existing data flows, integrations, and processing logic
* Act as a
 **hands\-on subject matter expert** 
 , providing technical leadership through execution
* Contribute to architecture decisions while staying grounded in practical implementation
**Required Qualifications** 
* Senior\-level experience in
 **data engineering and/or backend software engineering**
* Intermediate to advanced
 **TypeScript** 
 proficiency with real production delivery experience
* Strong experience designing and implementing
 **data pipelines** 
 in complex environments
* Practical, hands\-on mindset — execution\-focused rather than purely theoretical
* Comfort working in
 **hybrid (on\-prem \+ cloud)** 
 architectures
* Strong problem\-solving skills and ability to work through ambiguity
* Clear communication skills and ability to collaborate across engineering disciplines
**Nice to Have** 
* Experience with
 **GraphQL** 
 at scale (schema design, performance optimization, governance)
* Familiarity with
 **platform engineering** 
 concepts and tooling
* Experience troubleshooting or supporting
 **CI/CD pipelines**
* Exposure to
 **Camunda** 
 or similar data engineering / workflow orchestration platforms
* Background working in enterprise or modernization environments</t>
        </is>
      </c>
    </row>
    <row r="108">
      <c r="A108" t="inlineStr">
        <is>
          <t>li-4368250313</t>
        </is>
      </c>
      <c r="B108" t="inlineStr">
        <is>
          <t>Senior Data Engineer (TS/SCI)</t>
        </is>
      </c>
      <c r="C108" t="inlineStr">
        <is>
          <t>Kentro</t>
        </is>
      </c>
      <c r="D108" t="inlineStr">
        <is>
          <t>linkedin</t>
        </is>
      </c>
      <c r="E108">
        <f>HYPERLINK("https://www.linkedin.com/jobs/view/4368250313", "https://www.linkedin.com/jobs/view/4368250313")</f>
        <v/>
      </c>
      <c r="F108" t="inlineStr"/>
      <c r="G108" t="inlineStr">
        <is>
          <t>Tampa, FL</t>
        </is>
      </c>
      <c r="H108" t="inlineStr"/>
      <c r="I108" t="inlineStr">
        <is>
          <t>Thank you for considering IT Concepts dba Kentro, where innovation drives opportunity and collaboration leads to success. Our dynamic community of experts is fully committed to advancing our customers' missions, fostering professional growth, and making a positive impact on our communities.
 By joining our supportive community, you will find that Kentro is dedicated to your personal and professional development. Together, we can drive meaningful change, spark innovation, and achieve extraordinary milestones.
 Kentro is hiring a
 **Senior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**Location:** 
 Onsite in Tampa, FL
**Position Duration:** 
 The duration of this role is 18 months from project commencement, with the possibility of extension (Project expected to commence in January 2026\).
****Requirements****
* Master's degree (MA/MS)
* 10\+ years of relevant experience
* Data Discovery Expertise: Proven experience deploying and managing enterprise data discovery and governance platforms such as BigID, Varonis, NetApp BlueXP (Data Sense), or Informatica.
* Storage \&amp; Database Knowledge: Strong understanding of storage protocols (NFS, SMB/CIFS, S3\) and database structures (SQL, NoSQL) to troubleshoot connectivity and scanning access.
* Containerization: Proficiency with Kubernetes and Docker, as many modern discovery collectors are deployed as containerized microservices.
* Data Handling: Experience dealing with large\-scale data inventories (Petabyte scale) and understanding of data lineage and provenance concepts.
**Preferred Experience \&amp; Skills ("Nice\-to\-Haves"):**
* Experience with Microsoft Purview Data Map (formerly Azure Purview).
* Knowledge of Regex for custom data pattern definition.
* Background in Data Engineering or ETL pipeline development.
* Familiarity with USSOCOM network architecture and storage standards.
****Certifications:****
* Required: CompTIA Security\+ CE (or higher) to meet DoD 8570 IAT Level II requirements.
* Preferred: Certified Kubernetes Administrator (CKA).
* Preferred: Azure Data Engineer Associate or BigID Certified Professional.
****Clearance:****
* Active Top\-Secret clearance with SCI eligibility.
****Benefits****
**The Company**
 We believe in generating success collaboratively, enabling long\-term mission success, and building trust for the next challenge. With you as our partner, let's solve challenges, think innovatively, and maximize impact. As a valued member of our team,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and two CMMI ML 3 ratings (DEV and SVC).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competitive benefits package including paid time off, healthcare benefits, supplemental benefits, 401k including an employer match, discount perks, rewards, and more. We invest in our employees \- Every employee is eligible for education reimbursement for certifications, degrees, or professional development. Reimbursement amounts may fluctuate due to IRS limitations. We want you to grow as an expert and a leader and offer flexibility for you to take a course, complete a certification, or other professional growth and networking. We are committed to supporting your curiosity and sustaining a culture that prioritizes commitment to continuous professional development.
 We work hard; we play hard. Kentro is committed to incorporating fun into every day. We dedicate funds for activities \- virtual and in\-person \- e.g., we host happy hours, holiday events, fitness \&amp; wellness events, and annual celebrations. In alignment with our commitment to our communities, we also host and attend charity galas/events. We believe in appreciating your commitment and building a positive workspace for you to be creative, innovative, and happy.
**Commitment Equal Opportunity Employment \&amp; VEVRAA**
 Kentro is an equal opportunity employer. All qualified applicants will receive consideration for employment without regard to disability, status as a protected veteran or any other status protected by applicable federal, state or local law.
 Kentro is strongly committed to compliance with VEVRAA and other applicable federal, state, and local laws governing equal employment opportunity. We have developed comprehensive policies and procedures to ensure our hiring practices align with these requirements.
 As part of our VEVRAA compliance efforts, Kentro has established an equal opportunity plan outlining our commitment to recruiting, hiring, and advancing protected veterans. This plan is regularly reviewed and updated to ensure its effectiveness.
 We encourage protected veterans to self\-identify during the application process. This information is strictly confidential and will only be used for reporting and compliance purposes as required by law. Providing this information is voluntary and will not impact your employment eligibility.
 Our commitment to equal employment opportunity extends beyond legal compliance. We are dedicated to fostering an inclusive workplace where all employees, including protected veterans, are treated with dignity, respect, and fairness.
****How To Apply****
 To apply to Kentro Positions\- Please click on the: "Apply for this Job" button at the bottom of this Job Description or the button at the top: "Application." Please upload your resume and complete all the application steps. You must submit the application for Kentro to consider you for a position. If you need alternative application methods, please email careers@kentro.us and request assistance.
**Accommodations**
 To perform this job successfully, an individual must be able to perform each essential duty satisfactorily. Reasonable Accommodations may be made to enable qualified individuals with disabilities to perform the essential functions. If you need to discuss reasonable accommodations, please email careers@kentro.us.</t>
        </is>
      </c>
    </row>
    <row r="109">
      <c r="A109" t="inlineStr">
        <is>
          <t>li-4368269132</t>
        </is>
      </c>
      <c r="B109" t="inlineStr">
        <is>
          <t>Senior Data Engineer</t>
        </is>
      </c>
      <c r="C109" t="inlineStr">
        <is>
          <t>Lorven Technologies Inc.</t>
        </is>
      </c>
      <c r="D109" t="inlineStr">
        <is>
          <t>linkedin</t>
        </is>
      </c>
      <c r="E109">
        <f>HYPERLINK("https://www.linkedin.com/jobs/view/4368269132", "https://www.linkedin.com/jobs/view/4368269132")</f>
        <v/>
      </c>
      <c r="F109" t="inlineStr"/>
      <c r="G109" t="inlineStr">
        <is>
          <t>Boston, MA</t>
        </is>
      </c>
      <c r="H109" t="inlineStr"/>
      <c r="I109" t="inlineStr">
        <is>
          <t>**Role: Senior Data Engineer** 
**Location: Brighton, MA 02135 – 4 days onsite** 
**Full Time Role** 
**Job description:** 
 You'll build scalable data pipelines to power insurance analytics. Preference for candidates with insurance domain expertise.
**Some of your key responsibilities include:** 
1. At least 8 to 10 years of overall IT experience. 5\+ years of relevant experience in design and development complete end\-end to design of enterprise\-wide big data solution.
2. Experience in designing \&amp; developing a big data solution using Spark, Scala, AWS Glue, Lambda is a must.
3. Strong Application development experience in Java/Scala/Python.
4. Strong Database SQL experience, preferably Redshift or Snowflake.
5. Acts as a Technical Leader and mentor to the team.
6. Experience in Insurance or Investment Management functions is highly preferred.
7. Advise on architectural decisions and design.
8. Participate in design workshops.
9. Create integration and application technical design documentation.
10. Conduct peer\-reviews of functional design documentation
11. Provide guidance on intended solution and best practices during development, configuration, and testing phases.
12. Complete development, configuration, and unit testing of high complexity areas
13. Perform code reviews and ensure standards are applied to each solution component.
14. Resolve complex defects during testing phases.
15. Provide guidance to developers in resolving defects.
16. Support and execute performance testing.
17. Provides guidance on infrastructure and environment setup.
18. Production Support: Assist in troubleshooting production environment and tuning environments.
19. Ensures best practices are followed from a technical perspective during all phases of the project.
**As a Senior Data Engineer, you will be responsible for:** 
1. Developing our application \- by delivering new features according to the business requirements, ensuring their high quality and timely delivery. We expect you to develop maintainable, well\-documented solutions, with an eye toward standardization, reusability, simplicity, performance, robustness, and other attributes of enterprise\-strength solutions.
2. Contributing to the application design \- creating Proofs of Concepts or prototypes when needed, contributing to technical design of applications, helping to choose the right tech stack, choosing, and applying system integration patterns, contributing to DB \&amp; data model design.
3. Helping to define application requirements \- using your technical expertise to work with business analysts, business representatives and other stakeholders to define requirements.
4. Thorough validation of the developed system – by utilizing advanced techniques and comprehensive testing approach (e.g. negative testing, testing boundary conditions, etc.), and working with the business stakeholders to support UAT testing.
5. Supporting our business stakeholders with your technical expertise \- replying to inquiries, investigating, and resolving encountered issues, addressing production incidents, and maintaining a helpful, “high\-touch” approach to working with our business users.
6. Following and improving Agile practices \- participating in Scrum Development team, encouraging others to follow the rules of Agile development, continuously improving our development methodology.</t>
        </is>
      </c>
    </row>
    <row r="110">
      <c r="A110" t="inlineStr">
        <is>
          <t>li-4368293333</t>
        </is>
      </c>
      <c r="B110" t="inlineStr">
        <is>
          <t>Data Engineer</t>
        </is>
      </c>
      <c r="C110" t="inlineStr">
        <is>
          <t>Randstad Digital Americas</t>
        </is>
      </c>
      <c r="D110" t="inlineStr">
        <is>
          <t>linkedin</t>
        </is>
      </c>
      <c r="E110">
        <f>HYPERLINK("https://www.linkedin.com/jobs/view/4368293333", "https://www.linkedin.com/jobs/view/4368293333")</f>
        <v/>
      </c>
      <c r="F110" t="inlineStr"/>
      <c r="G110" t="inlineStr">
        <is>
          <t>Sacramento, CA</t>
        </is>
      </c>
      <c r="H110" t="inlineStr"/>
      <c r="I110" t="inlineStr">
        <is>
          <t>**Job Summary**
 We have a 3\-6 month contract opportunity for a Data Engineer in Sacramento, CA. This position is hybrid and will work 3 days onsite, 2 days remote. This role may become permanent.
 Key Skills for this position: Fabric, Azure cloud experience, very strong SQL skills as well as Python/Pyspark and great communication skills.
 location: Sacramento, California
 job type: Contract
 salary: $67 \- 72 per hour
 work hours: 8am to 5pm
 education: Bachelors
**Responsibilities**
 ROLE
 As a Data Engineer, you will play a critical role in designing,
 building, and maintaining data
 pipelines and infrastructure to support our organization's analytics and reporting needs by converting raw data into
 usable information. You will work closely with
 business data lead, bi engineers and business stakeholders to ensure data quality, consistency, security, accessibility
 and solution performance.
**Essential**
 RESPONSIBILITIES
**Data Pipeline Development**
* Outstanding analytical and programming skills.
* Design and implement scalable complex data
 pipelines to extract, transform, and load (ETL) data
 from various sources (e.g., databases, APIs, files).
* Optimize data pipelines for performance and
 efficiency.
* Develop automated data ingestion, mock data
 generation and validation processes.
* Maintain source control hygiene (branch protection,
 git\-flow)
* CI/CD that includes build, test and automated deployment (like
 Jenkins, Travis, DevOps)
**Database Design And Tuning**
* Ensure referential integrity and query
 optimization. Design and implement scalable complex
 data pipelines to extract, transform, and load (ETL) data from various sources (e.g., databases, APIs,
 files).
* Optimize data pipelines for performance and
 efficiency.
**Data Infrastructure Management**
* Manage and maintain data warehouses, data lakes,
 and other data storage solutions.
* Ensure data security, privacy, and compliance
 with relevant regulations.
* Monitor system performance and troubleshoot
 issues.
**Data Modeling**
* Create and maintain data models that accurately
 represent the organization's business processes
 and data entities.
* Implement data governance policies and standards.
 Data Quality
**Assurance**
* Develop and implement data quality checks and
 validation procedures.
* Identify and resolve data quality issues.
**Tool Selection And Implementation**
* Evaluate and select appropriate data engineering
 tools and technologies.
* Implement and manage data engineering platforms.
**Collaboration**
* Collaborate with business data lead, project
 managers and business stakeholders to
 understand their data requirements.
* Provide technical guidance and support for
 data\-driven initiatives.
* Participating in agile software planning and development
 activities including daily standups, user story and task organization and
 grooming activities, and effort estimation
* Analyze business and technical requirements to develop
 documentation, designs, code and tests
* Willingness to jump in where needed, learn new tech, and work
 effectively across full stack
**Qualifications**
* Preferred
 Azure Fabric experience and Azure cloud expertise. \- Significant experience working
 with relational database technologies such as Oracle \&amp; SQL Server and
 No\-SQL databases.
* Advanced working SQL knowledge and
 experience working with relational databases, query authoring (SQL) as
 well as working familiarity with a variety of databases
* Experience in performance tuning
 of data pipelines and queries. \- Experience
 working with common languages and frameworks such as python and pyspark.
* In\-depth understanding of modern
 application design principles, DevOps \&amp; microservices
* Strong
 analytical, quantitative and problem\-solving abilities \- Strong written and verbal
 communication skills including ability to convey proposed solutions
 through natural language, diagrams, and design patterns \- High school diploma or GED
 required.
* Bachelor's
 degree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111">
      <c r="A111" t="inlineStr">
        <is>
          <t>li-4368421107</t>
        </is>
      </c>
      <c r="B111" t="inlineStr">
        <is>
          <t>Data Engineer II (Epic)</t>
        </is>
      </c>
      <c r="C111" t="inlineStr">
        <is>
          <t>Children's Wisconsin</t>
        </is>
      </c>
      <c r="D111" t="inlineStr">
        <is>
          <t>linkedin</t>
        </is>
      </c>
      <c r="E111">
        <f>HYPERLINK("https://www.linkedin.com/jobs/view/4368421107", "https://www.linkedin.com/jobs/view/4368421107")</f>
        <v/>
      </c>
      <c r="F111" t="inlineStr"/>
      <c r="G111" t="inlineStr">
        <is>
          <t>Milwaukee, WI</t>
        </is>
      </c>
      <c r="H111" t="inlineStr"/>
      <c r="I111" t="inlineStr">
        <is>
          <t>*At Children’s Wisconsin, we believe kids deserve the best.*
*Children’s Wisconsin is a nationally recognized health system dedicated solely to the health and well\-being of children. We provide primary care, specialty care, urgent care, emergency care, community health services, foster and adoption services, child and family counseling, child advocacy services and family resource centers. Our reputation draws patients and families from around the country.*
*We offer a wide variety of rewarding career opportunities and are seeking individuals dedicated to helping us achieve our vision of the healthiest kids in the country. If you want to work for an organization that makes a difference for children and families, and encourages you to be at your best every day, please apply today.*
***Please follow this link for a closer look at what it’s like to work at Children’s Wisconsin:***
 https://www.instagram.com/lifeatcw/
 Children’s Wisconsin is seeking a Data Engineer II to support our Data Warehousing and Business Intelligence initiatives. In this role, you’ll design, develop, and maintain enterprise ETL solutions that power insights across the organization. This is an opportunity to work with modern data tools, collaborate across teams, and apply your expertise in a mission\-driven healthcare environment where data truly matters.
 What you will do:
 The Data Engineer II designs, develops and maintains key components of Children's Extract, Transformation and Load routines using Microsoft SQL Server, SSIS, Microsoft Fabric, stored procedures and other available tools. Identified as an application expert and primary contact in SSIS or similar ETL tool. Performs work that is complex and cross functional in nature. This role is a key contributor to the organization's Data Warehousing and Business Intelligence programs. Performs development, testing, changes to code and/or routines utilizing defined frameworks and development standards.
 What you will need:
* Bachelor's degree in or equivalent experience in IT or healthcare related field of study required.
* Certifications related to work area of focus, or Apprenticeship diploma preferred. 3 years of experience preferred. Master's degree in related field preferred.
* Epic experience preferred
* Knowledge of healthcare delivery systems preferred.
* Demonstrated strong analytical skills. Exhibits the aptitude in the following Competencies: Action Oriented, Manages Complexity, Collaborates and Optimizes Work Processes.
* Demonstrated experience designing and developing data quality, master data management or similar solutions. Strong critical thinking, problem solving and attentiveness to detail.
 Children's Wisconsin is an equal opportunity / affirmative action employer. We are committed to creating a diverse and inclusive environment for all employees. We treat everyone with dignity, respect, and fairness. We do not discriminate against any person on the basis of race, color, religion, sex, gender, gender identity and/or expression, sexual orientation, national origin, age, disability, veteran status, or any other status or condition protected by the law.
**Certifications/Licenses:**</t>
        </is>
      </c>
    </row>
    <row r="112">
      <c r="A112" t="inlineStr">
        <is>
          <t>li-4357890783</t>
        </is>
      </c>
      <c r="B112" t="inlineStr">
        <is>
          <t>Workforce Data Engineer</t>
        </is>
      </c>
      <c r="C112" t="inlineStr">
        <is>
          <t>UCSF Health</t>
        </is>
      </c>
      <c r="D112" t="inlineStr">
        <is>
          <t>linkedin</t>
        </is>
      </c>
      <c r="E112">
        <f>HYPERLINK("https://www.linkedin.com/jobs/view/4357890783", "https://www.linkedin.com/jobs/view/4357890783")</f>
        <v/>
      </c>
      <c r="F112">
        <f>HYPERLINK("https://sjobs.brassring.com/TGnewUI/Search/home/HomeWithPreLoad?PageType=JobDetails&amp;partnerid=6495&amp;siteid=5861&amp;jobId=3709477&amp;urlHash=Wz2S", "https://sjobs.brassring.com/TGnewUI/Search/home/HomeWithPreLoad?PageType=JobDetails&amp;partnerid=6495&amp;siteid=5861&amp;jobId=3709477&amp;urlHash=Wz2S")</f>
        <v/>
      </c>
      <c r="G112" t="inlineStr">
        <is>
          <t>San Francisco, CA</t>
        </is>
      </c>
      <c r="H112" t="inlineStr"/>
      <c r="I112" t="inlineStr">
        <is>
          <t>IT \- Enterprise Report Writing
 Full Time
 87724BR
**Job Summary**
 Having significant experience, applies advanced data / information management concepts and campus / medical center / OP objectives to resolve highly complex issues where analyses of situations, information or data require an in\-depth evaluation of variable factors. Selects methods and techniques to obtain desired results.
 Workforce Data Engineer will support maintenance of UCSF’s governed Master Person Registry (Person Dimension). Will also design, develop, and validate workforce data models that integrate traditional and AI\-augmented approaches. Leveraging dimensional modeling principles (Kimball methodology) and SSIS\-supported data pipelines, this role integrates data from multiple enterprise sources to create reliable analytic datasets and metrics. The analyst monitors and validates results, including generated by AI on platforms such as Power BI/Data Fabric, Databricks, and Tableau Pulse, tuning inputs, thresholds, and feature selections to ensure accuracy, relevance, and business alignment.
 Serving as a liaison with external vendors, the role evaluates analytic solutions and dashboards for quality, transparency, and adherence to both Kimball and enterprise standards. The analyst translates complex analytic findings into clear, actionable insights, dashboards, and visualizations for leadership, guiding data\-driven decisions while maintaining rigorous standards for governance, privacy, and security. This position represents a significant expansion of scope, combining technical proficiency, AI stewardship, vendor engagement, and independent analytic judgment.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$143,900 \- $215,800 (Annual Rate).
 To learn more about the benefits of working at UCSF, including total compensation, please visit: https://ucnet.universityofcalifornia.edu/compensation\-and\-benefits/index.html
**Department Description**
 The mission of the Enterprise Information and Analytics (EIA) department is to advance UCSF’s institutional priorities by enhancing access to and the use of data and analytics, including appropriate data platforms and data governance, in a manner that meets the unique needs across the education, research, and care mission areas. The department achieves its goals by working with clinical, research, education, and business partners to organize, integrate, govern, and transform UCSF’s data assets into actionable insight and information.
 People Analytics owns enterprise\-wide assets for UCSF as a whole, used for both operational and analytical purposes, as well as departmental and business assets to drive business insights and decisions.
**Required Qualifications**
* Bachelor’s degree and a minimum of 5 years’ experience in data analytics or data management; or an equivalent combination of education and experience.
* Minimum 4 years of experience performing advanced data analysis using SQL and/or analytic programming languages (e.g., R, Python, Stata, SPSS) T\-SQL in Microsoft SQL Management Studio preferred.
* Demonstrated experience integrating data from multiple enterprise systems for analytic purposes
* Experience developing analytic datasets, metrics, and dashboards supporting decision\-making
* Working knowledge of data warehouse concepts, ETL principles, and analytic data modeling
* Hands\-on experience developing and supporting SSIS pipelines for analytic data preparation
* Strong written and verbal communication skills, including with internal and external stakeholders
* Demonstrated ability to validate, interpret, and contextualize analytic outputs
* Professionalism and discretion in handling sensitive and confidential workforce data
* Demonstrated ability to work with others from diverse backgrounds. Demonstrated effective communication and interpersonal skills. Demonstrated service orientation skills.
* Demonstrated ability to communicate technical information to technical and non\-technical personnel at various levels in the organization.
* Self\-motivated and works independently and as part of a team. Able to self\-manage projects once priorities are set.
* Demonstrated advanced problem\-solving skills. Able to learn effectively and meet deadlines.
**Preferred Qualifications**
* Experience applying Kimball dimensional modeling principles in analytic datasets
* Experience with PeopleSoft HCM or similar HR systems; Experience with workforce analytics or people\-related data
* 3\+ years of experience integrating data from diverse sources and formats, including delimited text files (CSV/TSV/PSV), fixed\-width files, JSON, XML, YAML, Parquet/Avro/ORC, and Excel (XLS/XLSX), as well as relational databases via ODBC/JDBC.
* 2\+ years of experience developing or integrating with APIs for data ingestion (REST/JSON), including secure authentication (OAuth2/API keys) and operational support (logging/monitoring/error handling).
**About UCSF**
 At UCSF Health, our mission of innovative patient care, advanced technology and pioneering research is redefining what’s possible for the patients we serve – a promise we share with the professionals who make up our team.
 Consistently ranked among the top 10 hospitals nationwide by U.S. News \&amp; World Report –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Health
**Job Code and Payroll Title**
 000599 DATA SYS ANL 4
**Job Category**
 Clinical Systems / IT Professionals
**Bargaining Unit**
 99 \- Policy\-Covered (No Bargaining Unit)
**Employee Class**
 Career
**Percentage**
 100%
**Location**
 San Francisco, CA
**Campus**
 Mission Center Building (SF)
**Work Style**
 Flexible
**Shift**
 Days
**Shift Length**
 8 Hours
**Additional Shift Details**
 Monday \- Friday</t>
        </is>
      </c>
    </row>
    <row r="113">
      <c r="A113" t="inlineStr">
        <is>
          <t>li-4368821689</t>
        </is>
      </c>
      <c r="B113" t="inlineStr">
        <is>
          <t>Data Engineer Skill Level 4</t>
        </is>
      </c>
      <c r="C113" t="inlineStr">
        <is>
          <t>Onyx Point, LLC.</t>
        </is>
      </c>
      <c r="D113" t="inlineStr">
        <is>
          <t>linkedin</t>
        </is>
      </c>
      <c r="E113">
        <f>HYPERLINK("https://www.linkedin.com/jobs/view/4368821689", "https://www.linkedin.com/jobs/view/4368821689")</f>
        <v/>
      </c>
      <c r="F113">
        <f>HYPERLINK("https://www.adzuna.com/details/5528066531?v=3FA16B7FEEFBE222C02E0BDF93B9AE191A00C102&amp;ccd=861ae86484cc4f057b75297e838b8032&amp;frd=c8720af434188e7844d9ff3b19f2173d&amp;r=21193715&amp;utm_source=linkedin7&amp;utm_medium=organic&amp;chnlid=1931&amp;title=Data%20Engineer%20Skill%20Level%204&amp;a=e&amp;urlHash=aQaG", "https://www.adzuna.com/details/5528066531?v=3FA16B7FEEFBE222C02E0BDF93B9AE191A00C102&amp;ccd=861ae86484cc4f057b75297e838b8032&amp;frd=c8720af434188e7844d9ff3b19f2173d&amp;r=21193715&amp;utm_source=linkedin7&amp;utm_medium=organic&amp;chnlid=1931&amp;title=Data%20Engineer%20Skill%20Level%204&amp;a=e&amp;urlHash=aQaG")</f>
        <v/>
      </c>
      <c r="G113" t="inlineStr">
        <is>
          <t>Tysons Corner, VA</t>
        </is>
      </c>
      <c r="H113" t="inlineStr"/>
      <c r="I113" t="inlineStr">
        <is>
          <t>**TO BE CONSIDERED FOR THIS POSITION YOU MUST CURRENTLY HAVE AN ACTIVE TS/SCI WITH POLYGRAPH SECURITY CLEARANCE WITH THE FEDERAL GOVERNMENT. (U.S. CITIZENSHIP REQUIRED).**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10 years experience
* Bachelor's Degree in Computer Science, Information Technology Management or Engineering, or other comparable degree or experience
* Active TS/SCI \+ Poly
* 8\+ years of experience in Data/ML engineering
* Expert Experience with ETL, data labeling, and data preparation
* 8\+ years experience with at least 2 of the following technologies: Cloudera, DataBricks, Snowflake, NiFi, Python, SQL, Kafka
* Expert experience designing, developing, and deploying data solutions in classified AWS cloud environments up to IL6\+
* Expert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 Ability to perform data analytics on program related or system related activities. \-This will include assessing performance and manual processes implementing methods/algorithms to automate/optimize.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 Additional Perks:
* Flexible work arrangements, including remote work options
* Flexible Spending Accounts (FSAs)
* Employee referral programs
* Bonus opportunities
* Technology allowance
* A diverse, inclusive, and supportive workplace culture</t>
        </is>
      </c>
    </row>
    <row r="114">
      <c r="A114" t="inlineStr">
        <is>
          <t>li-4368270913</t>
        </is>
      </c>
      <c r="B114" t="inlineStr">
        <is>
          <t>Analytics Engineer</t>
        </is>
      </c>
      <c r="C114" t="inlineStr">
        <is>
          <t>RemoteHunter</t>
        </is>
      </c>
      <c r="D114" t="inlineStr">
        <is>
          <t>linkedin</t>
        </is>
      </c>
      <c r="E114">
        <f>HYPERLINK("https://www.linkedin.com/jobs/view/4368270913", "https://www.linkedin.com/jobs/view/4368270913")</f>
        <v/>
      </c>
      <c r="F114" t="inlineStr"/>
      <c r="G114" t="inlineStr"/>
      <c r="H114" t="inlineStr"/>
      <c r="I114"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5">
      <c r="A115" t="inlineStr">
        <is>
          <t>li-4368264414</t>
        </is>
      </c>
      <c r="B115" t="inlineStr">
        <is>
          <t>Data Engineer</t>
        </is>
      </c>
      <c r="C115" t="inlineStr">
        <is>
          <t>Haystack</t>
        </is>
      </c>
      <c r="D115" t="inlineStr">
        <is>
          <t>linkedin</t>
        </is>
      </c>
      <c r="E115">
        <f>HYPERLINK("https://www.linkedin.com/jobs/view/4368264414", "https://www.linkedin.com/jobs/view/4368264414")</f>
        <v/>
      </c>
      <c r="F115">
        <f>HYPERLINK("https://us.haystackapp.io/roles/697fdf64ef1758ea64b89c52?src=linkedin&amp;urlHash=1DL9", "https://us.haystackapp.io/roles/697fdf64ef1758ea64b89c52?src=linkedin&amp;urlHash=1DL9")</f>
        <v/>
      </c>
      <c r="G115" t="inlineStr"/>
      <c r="H115" t="inlineStr"/>
      <c r="I115" t="inlineStr">
        <is>
          <t>**Multimodal Data Analytics Engineer \| Laurel, MD \| On\-site \| $105,000 \- $245,000** 
 We're working with Johns Hopkins Applied Physics Laboratory on this exciting opportunity.
 Are you a visionary Multimodal Data Analytics Engineer ready to uncover hidden narratives within vast, complex datasets? Join a pioneering team tackling critical national security challenges, leveraging advanced AI/ML techniques to transform cyber\-physical data into actionable intelligence. This is your chance to make a tangible impact by developing innovative data analytic capabilities that safeguard our nation.
**The Role** 
 • Conceive, design, and refine analytical approaches that transform complex, multimodal data into meaningful insights.
 • Build robust, mission\-focused software tools that operationalize these analytical techniques for research, demonstration, and operational applications.
 • Mentor and develop junior staff, providing guidance in both technical execution and professional growth within a cutting\-edge environment.
 • Identify emerging mission needs and propose innovative capabilities and concepts to sponsors, shaping the future of national security.
 • Clearly document methods and results, and effectively present findings to stakeholders within the lab and across the broader technical community.
**What You'll Need** 
 • Bachelor's Degree in Computer Science, Data Science/Engineering, AI/ML, or a related field, demonstrating a strong foundational understanding.
 • At least 7 years of relevant experience in analytical tool development, with proven expertise in AI/ML methods and their application.
 • Demonstrated ability to develop high\-quality software solutions that are accurate, efficient, reliable, maintainable, and scalable.
 • Strong knowledge of data engineering fundamentals, including data ingestion, cleaning, transformation, storage, fusion, and visualization.
 • Experience with C, C\+\+, and/or Python, along with open data analysis packages such as Pandas, GeoPandas, OpenCV, Scapy, Zeek, TensorFlow, or LangChain is a plus.
**What's On Offer** 
 • Engage in meaningful work where your innovations directly contribute to national security and make a real\-world impact.
 • Be part of a vibrant, welcoming atmosphere that encourages creativity, bold ideas, and strong connections with inspiring teammates.
 • Enjoy generous benefits, including a robust education assistance program, unparalleled retirement contributions, and a healthy work/life balance.
 • Opportunity to obtain an Interim Top Secret level security clearance, opening doors to highly impactful projects.
**Apply via Haystack today!**</t>
        </is>
      </c>
    </row>
    <row r="116">
      <c r="A116" t="inlineStr">
        <is>
          <t>li-4368287564</t>
        </is>
      </c>
      <c r="B116" t="inlineStr">
        <is>
          <t>Full Stack Data Engineer &amp; Analytics Developer</t>
        </is>
      </c>
      <c r="C116" t="inlineStr">
        <is>
          <t>Yochana</t>
        </is>
      </c>
      <c r="D116" t="inlineStr">
        <is>
          <t>linkedin</t>
        </is>
      </c>
      <c r="E116">
        <f>HYPERLINK("https://www.linkedin.com/jobs/view/4368287564", "https://www.linkedin.com/jobs/view/4368287564")</f>
        <v/>
      </c>
      <c r="F116" t="inlineStr"/>
      <c r="G116" t="inlineStr">
        <is>
          <t>Texas, United States</t>
        </is>
      </c>
      <c r="H116" t="inlineStr"/>
      <c r="I116" t="inlineStr">
        <is>
          <t>**Position:** 
 Full Stack Data Engineer \&amp; Analytics Developer
**Location:** 
 Austin, TX(On site)
**Duration:** 
 12 Months Contract
**Job Summary:** 
 We are seeking a highly skilled and business savvy Full Stack Data Engineer \&amp; Analytics Developer to join our team. This role blends data analytics, backend engineering, and frontend development. The ideal candidate will possess strong analytical expertise, full stack development capabilities, and hands\-on experience with databases including Postgres and Snowflake. You will help bridge the gap between raw data, scalable systems, and actionable business insights.
**Key Responsibilities:** 
* Develop, maintain, and optimize interactive dashboards and reports using Power BI.
* Collaborate with cross functional teams to translate business objectives into analytical and technical solutions.
* Extract, manipulate, and analyze large datasets using SQL (Postgres, Snowflake) and Python.
* Build and maintain backend services using Python Flask and SQLAlchemy.
* Develop and enhance front\-end interfaces using JavaScript, React, Ag\-Grid, and CSS.
* Identify key trends, patterns, and anomalies in data to support strategic decision making.
* Build and maintain data pipelines and integrations, ensuring data integrity, performance, and reliability.
* Conduct ad\-hoc analysis to support operational and strategic initiatives.
* Present technical and analytical insights to stakeholders in a clear and compelling manner.
* Stay current with emerging tools, frameworks, and best practices in analytics and full stack development.
**Required Qualifications:** 
* Bachelor’s degree in business, Data Science, Computer Science, Statistics, or related field.
* 3\+ years of experience in data analytics, full stack development, or similar hybrid roles.
* Advanced Power BI skills including DAX, data modeling, and report optimization.
* Proficiency with SQL (joins, CTEs, subqueries) and experience with Postgres and Snowflake.
* Strong programming skills in Python (pandas, NumPy, matplotlib, seaborn) and experience with Flask and SQLAlchemy.
* Frontend experience using JavaScript, React, Ag\-Grid, HTML, and CSS.
* Ability to communicate complex findings to non\-technical stakeholders.
* Experience with data warehousing and ETL processes is a plus.
* Web development experience (Ajax, HTML, CSS, JavaScript).
**Preferred Qualifications:** 
* Familiarity with version control tools (e.g., Git).
* Exposure to business domains such as finance, marketing, operations, or sales analytics.
* Knowledge of machine learning or predictive modeling.
* Bonus points: Experience with PHP, ThoughtSpot, Sigma Computing.
 If interested, Please share your updated resume and let me know your best time to discuss further.
**Thanks \&amp; Regards,** 
**Karunakar Aakiti** 
**Resource Specialist** 
**karunakar@yochana.com**
 Yochana Solutions INC.</t>
        </is>
      </c>
    </row>
    <row r="117">
      <c r="A117" t="inlineStr">
        <is>
          <t>li-4368231882</t>
        </is>
      </c>
      <c r="B117" t="inlineStr">
        <is>
          <t>Junior Data Engineer</t>
        </is>
      </c>
      <c r="C117" t="inlineStr">
        <is>
          <t>Jobs via Dice</t>
        </is>
      </c>
      <c r="D117" t="inlineStr">
        <is>
          <t>linkedin</t>
        </is>
      </c>
      <c r="E117">
        <f>HYPERLINK("https://www.linkedin.com/jobs/view/4368231882", "https://www.linkedin.com/jobs/view/4368231882")</f>
        <v/>
      </c>
      <c r="F117" t="inlineStr"/>
      <c r="G117" t="inlineStr">
        <is>
          <t>Columbus, OH</t>
        </is>
      </c>
      <c r="H117" t="inlineStr"/>
      <c r="I117" t="inlineStr">
        <is>
          <t>**Description**
 We're looking for a Junior Data Engineer who has foundational experience with data lakes and is eager to grow into modern lakehouse engineering. This role supports the migration of legacy data platforms into scalable, cloud\-based data lake environments. They should have exposure to big\-data tools, cloud platforms, and modern data engineering concepts. You'll work closely with senior engineers and architects to build ingestion pipelines, organize data in lakehouse structures, and support modernization initiatives across the enterprise. Support the design and build of data lake and lakehouse environments Assist in migrating legacy systems (RDBMS, Hadoop, ETL tools) into cloud\-based data lakes Develop and maintain Spark\-based data pipelines (PySpark or Scala) Help organize data into raw, curated, and serving layers Work with columnar formats (Parquet, ORC, Avro) and basic partitioning strategies Assist with data ingestion from batch and streaming sources Contribute to data quality checks, validation rules, and metadata updates Collaborate with senior engineers to troubleshoot pipeline issues and optimize performance Work within a cloud ecosystem (AWS, Azure, or Google Cloud Platform) to support data engineering workloads
**Skills**
 PySpark, Scala, Data Lake, ETL, Parquet, SQL, Azure, Google Cloud Platform, IAM, Kafka, Hadoop
**Top Skills Details**
 PySpark,Scala,Data Lake,ETL,Parquet,SQL
**Additional Skills \&amp; Qualifications**
 Experience with Databricks, EMR, Glue, ADF, or Dataflow Exposure to Delta Lake, Iceberg, or Hudi Basic knowledge of streaming tools (Kafka, Kinesis, Pub/Sub) Familiarity with orchestration tools (Airflow, ADF, Glue, Composer) Understanding of data governance, lineage, or cataloging tools
**Experience Level**
 Entry Level
**Job Type \&amp; Location**
 This is a Contract position based out of Columbus, OH.
**Pay And Benefits**
 The pay range for this position is $41\.09 \- $46\.00/hr.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Columbus,OH.
**Application Deadline**
 This position is anticipated to close on Feb 6,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18">
      <c r="A118" t="inlineStr">
        <is>
          <t>li-4368847551</t>
        </is>
      </c>
      <c r="B118" t="inlineStr">
        <is>
          <t>Data Engineer, Smart Factory Solutions</t>
        </is>
      </c>
      <c r="C118" t="inlineStr">
        <is>
          <t>Magna International</t>
        </is>
      </c>
      <c r="D118" t="inlineStr">
        <is>
          <t>linkedin</t>
        </is>
      </c>
      <c r="E118">
        <f>HYPERLINK("https://www.linkedin.com/jobs/view/4368847551", "https://www.linkedin.com/jobs/view/4368847551")</f>
        <v/>
      </c>
      <c r="F118" t="inlineStr"/>
      <c r="G118" t="inlineStr">
        <is>
          <t>Troy, MI</t>
        </is>
      </c>
      <c r="H118" t="inlineStr"/>
      <c r="I118" t="inlineStr">
        <is>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Magna is more than one of the world’s largest suppliers in the automotive space. We are a mobility technology company built to innovate, with a global, entrepreneurial\-minded team. With 65\+ years of expertise, our ecosystem of interconnected products combined with our complete vehicle expertise uniquely positions us to advance mobility in an expanded transportation landscape.
****Job Responsibilities:****
* Salary: Starting at $95,000 USD per year
* Immediate, open position
 Magna is looking for Data Engineer to support their data initiatives which will modernize their environment and set them up for future opportunities in the data space (AI, ML, etc). We are looking for a passionate individual who is self learner, has good communication skills and inclination for new technologies.
****Your Responsibilities****
* Collaborate closely with stakeholders and other engineers to develop new and unique data\-driven solutions using Big Data platforms, creative analytical methods, and data visualization techniques (Data Modeling etc.)
* Connect and build pipelines between various data sources
* Support operational improvement and business decision making through ad\-hoc statistical analysis of curated enterprise data and self\-constructed data sets
* Leading BI software development, deployment, and maintenance
* Documenting contents in a data warehouse and meta\-data storage
* Creating technical documentation for BI tools
* Data modeling
* Develop KPI dashboards
* Perform additional duties as assigned
* Act with honesty and integrity and make ethical business choices in accordance with Magna’s Compliance Policies and Procedures
****Who We Are Looking For****
* Bachelor’s Degree in Business, Engineering, Statistics, Computer Science, Mathematics, Supply Chain or equivalent combination of education and experience
* Minimum three (3\) years of related experience required
* Expertise in using advance level calculations on the data sets
* In\-depth understanding of database management systems, online analytical processing (OLAP) and ETL (Extract, transform, load) framework
* Strong experience with relational databases like SQL Server, MySQL, and Oracle. NoSQL databases experience is a plus
* Experience with user\-defined workflows
****Your Preferred Qualifications****
* Working knowledge of data management software like Data factory, or other ETL tools a plus.
* Knowledgeable of statistical methods such as regression, probability analysis, risk analysis, statistical process control, and clustering is desired
* Able to implement row level security on data and understand application security layer models
* Data and business analysis background
* Proficient with Microsoft Office applications, specifically Excel, Word, and PowerPoint
* Ability to explain Production / technical concepts and analysis implications clearly to a wide audience and be able to translate business objectives into actionable analyses.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****In Addition, We Offer You The Following Site Benefits:****
 An overview of our benefits will be discussed during the recruitment process.
**Awareness. Unity. Empowerment.**
 At Magna, we believe that a diverse workforce is critical to our success. That’s why we are proud to be an equal opportunity employer. We hire based on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**AI\-Assisted Screening Disclosure**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**Under conditions defined by applicable law, you may have the right to request an explanation of how AI is used to support decision\-making.**
 If you have any questions or concerns about this process, feel free to contact our Talent Attraction team.
****Worker Type:****
 Regular / Permanent
****Group:****
 Magna Corporate</t>
        </is>
      </c>
    </row>
    <row r="119">
      <c r="A119" t="inlineStr">
        <is>
          <t>li-4368828793</t>
        </is>
      </c>
      <c r="B119" t="inlineStr">
        <is>
          <t>Automation Data Engineer</t>
        </is>
      </c>
      <c r="C119" t="inlineStr">
        <is>
          <t>Ensign Services</t>
        </is>
      </c>
      <c r="D119" t="inlineStr">
        <is>
          <t>linkedin</t>
        </is>
      </c>
      <c r="E119">
        <f>HYPERLINK("https://www.linkedin.com/jobs/view/4368828793", "https://www.linkedin.com/jobs/view/4368828793")</f>
        <v/>
      </c>
      <c r="F119" t="inlineStr"/>
      <c r="G119" t="inlineStr">
        <is>
          <t>Dallas, TX</t>
        </is>
      </c>
      <c r="H119" t="inlineStr"/>
      <c r="I119" t="inlineStr">
        <is>
          <t>Location: Dallas, TX Metroplex Work schedule: Hybrid work (2 days for now and can change) in office.
**Overview**
 Ensign Services, Inc. is seeking a motivated and detail\-oriented Junior Automation Data Engineer to join our growing team. This entry to mid\-level role is ideal for early\-career professionals with a passion for data, automation, and continuous learning. You’ll work alongside experienced engineers and stakeholders to support the design and implementation of data solutions that drive process automation and business efficiency.
**Responsibilities**
* Assist in designing and supporting data solutions for automation projects.
* Collaborate with business analysts and subject matter experts to understand data requirements.
* Help interpret data models and extract insights from various source systems.
* Participate in testing, deployment, and maintenance of data pipelines and automation tools.
* Document processes and contribute to project deliverables.
* Learn and apply best practices in data engineering and automation.
* Stay informed on emerging technologies and tools relevant to data and automation.
* Support internal controls and ensure data integrity across systems.
**Requirements**
* Bachelor’s degree in Information Systems, Computer Science, Data Engineering, or a related field, with or Master’s degree.
* 2\+ years of experience in data engineering, automation, or software development.
* Familiarity with Python programming, java\-scripts and SQL.
* Exposure to cloud platforms (AWS preferred) and data tools such as S3, Glue, Lambda, Athena, Redshift, etc.
* Understanding of ETL concepts and basic data pipeline design.
* Willingness to learn visualization tools like Quicksight, and Power\-BI.
* Strong problem\-solving skills and eagerness to grow in a collaborative environment.
**Nice\-to\-Haves**
* Basic knowledge of Spark SQL, Iceberg, or Glue.
* Exposure to automation frameworks or workflow tools.
* Understanding of data warehousing concepts.
* Interest in business operations.
**Additional Information**
* Salary range: $85,000 \- $120,000, DOE.
* Location: local to Dallas Metroplex,
* Work schedule: Hybrid work (2 days for now and can change) in office.
* Pre\-employment criminal background screening required.
 We are committed to providing a competitive benefits and compensation package which includes medical/dental/vision coverage, company\-provided life insurance, 401(k) with company match, and sick/vacation plans. We also believe in supporting our employee’s professional growth and development through our Learning Management System as well as training sessions and seminars. Ensign Services, Inc. is an Equal Opportunity Employer.</t>
        </is>
      </c>
    </row>
    <row r="120">
      <c r="A120" t="inlineStr">
        <is>
          <t>li-4368810873</t>
        </is>
      </c>
      <c r="B120" t="inlineStr">
        <is>
          <t>Principal Data Engineer</t>
        </is>
      </c>
      <c r="C120" t="inlineStr">
        <is>
          <t>Johnson &amp; Johnson MedTech</t>
        </is>
      </c>
      <c r="D120" t="inlineStr">
        <is>
          <t>linkedin</t>
        </is>
      </c>
      <c r="E120">
        <f>HYPERLINK("https://www.linkedin.com/jobs/view/4368810873", "https://www.linkedin.com/jobs/view/4368810873")</f>
        <v/>
      </c>
      <c r="F120" t="inlineStr"/>
      <c r="G120" t="inlineStr">
        <is>
          <t>Jacksonville, FL</t>
        </is>
      </c>
      <c r="H120" t="inlineStr"/>
      <c r="I120"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
**Job Sub Function**
 Data Engineering
**Job Category**
 Scientific/Technology
**All Job Posting Locations:**
 Jacksonville, Florida, United States of America
**Job Description**
 We are currently recruiting for Principal Data Engineer based in Jacksonville FL, Raritan NJ, Spring House PA, Irvine, CA or any other J\&amp;J East Coast locations.
 Come be part of a dynamic and global team!
**About Vision**
 Fueled by innovation at the intersection of biology and technology, we’re developing the next generation of smarter, less invasive, more personalized treatments.
 Are you passionate about improving and expanding on the possibilities of vision treatments? Ready to join a team that’s reimagining how vision is improved? Our Vision team solves the toughest health challenges. Help combine cutting\-edge insights, science, technology, and people to encourage eye care professionals and patients to proactively protect, correct and enhance healthy sight for life. Our products and services address these needs – from the pediatric to aging eye – in a patient’s lifetime.
 Your unique talents will help patients on their journey to wellness. Learn more at https://www.jnj.com/medtech
**About The Role**
 We are seeking an experienced Data Engineer to design, build, and maintain the data infrastructure that powers our analytics, AI, and machine learning solutions.
 As the first dedicated global data engineering lead on the team, you will establish best\-in\-class data engineering practices, enabling our data scientists to focus on model development and analytics while ensuring data pipelines are reliable, secure, and scalable.
 This role will also partner closely with data governance professionals to embed governance and compliance requirements directly into our data architecture, ensuring data quality, lineage, and policy adoption across the enterprise.
**The Principal Data Engineer Will**
* Work closely with data scientists to understand their data needs and enable rapid experimentation through efficient, reusable pipelines.
* Provide engineering support for feature engineering, data preparation, and production model integration.
* Help create shared tools, libraries, and templates for AI/ML projects.
* Design, develop, and maintain ETL/ELT processes and automated data pipelines across structured and unstructured sources.
* Optimize data workflows for performance, scalability, and cost efficiency in cloud environments.
* Implement robust data quality monitoring and logging solutions.
* Build data architecture frameworks that support advanced analytics, AI, and reporting use cases.
* Collaborate with data governance leads to ensure adoption of updated data policies across all engineering workflows.
* Integrate data lineage tracking and metadata management into pipelines.
* Ensure compliance with data privacy laws, security policies, and responsible AI guidelines.
* Drive internal education and best practice sessions on compliant data handling.
* Perform other related tasks as assigned by management
**Required Qualifications**
* Master’s Degree / PhD \+ 4 years’ experience, OR Bachelor’s Degree \+ 6 years’ experience
* Educational degree in quantitative field, such as Statistics, Mathematics, Computer Science, Data Science, Engineering, Economics, and/or related quantitative
* Advanced proficiency in SQL and Python for data processing, transformation, and automation.
* Hands\-on experience building and optimizing ETL/ELT pipelines using tools such as Apache Airflow, dbt, Spark, or similar.
* Strong understanding of data modeling, data warehousing, and distributed data processing frameworks.
* Experience working with cloud\-based data platforms (Azure, AWS, or GCP) and managed services (e.g., Snowflake, BigQuery, Databricks).
* Proven experience using Dataiku (or similar AI/analytics platforms) for end\-to\-end data preparation, pipeline orchestration, and production deployment.
* Ability to embed data governance principles directly into engineering workflows — including data cataloging, lineage, and quality monitoring — ideally within Dataiku.
* Excellent collaboration and communication skills for working with data scientists, data governance professionals, and business stakeholders.
* Experience interpreting and communicating analytic results to analytical and non\-analytical business partners
* Ability to travel both domestically and internationally may be required (\~5\-10%).
* Ability to flex hours to accommodate multiple time zones when necessary.
**Preferred Qualifications**
* Advanced Dataiku expertise, including project design, flow optimization, automation scenarios, API integrations, and platform administration.
* Experience setting Dataiku usage standards for large practitioner communities, including governance\-compliant design patterns and role\-based access controls.
* Background in machine learning operations (MLOps) or supporting AI/ML workloads with engineered features and automated pipelines.
* Familiarity with DataOps practices for CI/CD, testing, and monitoring of data pipelines.
* Experience implementing security and privacy controls for sensitive datasets, including HIPAA, GDPR, or similar compliance frameworks.
* Knowledge of streaming data technologies (Kafka, Kinesis, Spark Streaming).
* Certifications in cloud platforms (Azure Data Engineer, AWS Big Data Specialty, Google Professional Data Engineer) or in Dataiku Core Designer / Advanced Designer.
* Experience working in large matrixed organization, with Global footprint
**Required Skills**
**Preferred Skills:**
 Advanced Analytics, Agility Jumps, Coaching, Critical Thinking, Data Engineering, Data Governance, Data Modeling, Data Privacy Standards, Data Science, Digital Fluency, Execution Focus, Hybrid Clouds, Organizing, Presentation Design, Technical Development, Technical Writing, Technologically Savvy
**The anticipated base pay range for this position is :**
 $102,000\.00 \- $177,100\.00
**Additional Description For Pay Transparency**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t>
        </is>
      </c>
    </row>
    <row r="121">
      <c r="A121" t="inlineStr">
        <is>
          <t>li-4368283409</t>
        </is>
      </c>
      <c r="B121" t="inlineStr">
        <is>
          <t>Data Engineer (Databricks)</t>
        </is>
      </c>
      <c r="C121" t="inlineStr">
        <is>
          <t>Jobs via Dice</t>
        </is>
      </c>
      <c r="D121" t="inlineStr">
        <is>
          <t>linkedin</t>
        </is>
      </c>
      <c r="E121">
        <f>HYPERLINK("https://www.linkedin.com/jobs/view/4368283409", "https://www.linkedin.com/jobs/view/4368283409")</f>
        <v/>
      </c>
      <c r="F121" t="inlineStr"/>
      <c r="G121" t="inlineStr"/>
      <c r="H121" t="inlineStr"/>
      <c r="I121" t="inlineStr">
        <is>
          <t>Dice is the leading career destination for tech experts at every stage of their careers. Our client, Lightning Minds Inc., is seeking the following. Apply via Dice today!
**Job Description Data Engineer (Databricks)**
 Level: Mid\-level
 Experience: 5 7 years
 Employment Type: Contract
 Shift Time: PST time Zone
**About The Role**
 We are seeking a skilled Data Engineer with 5 7 years of experience to join our data engineering team. The ideal candidate will have strong hands\-on experience building and optimizing scalable ETL pipelines using PySpark and Databricks. This role requires solid problem\-solving skills, a performance\-driven mindset, and the ability to collaborate effectively with both technical and non\-technical stakeholders.
 Key Responsibilities
 Design, develop, and maintain scalable ETL pipelines for large\-scale data processing.
 Build and optimize data transformations using PySpark (intermediate to advanced) and Databricks.
 Ensure high performance, scalability, reliability, and cost efficiency of data pipelines.
 Collaborate with cross\-functional teams to gather requirements and deliver robust data solutions.
 Troubleshoot, debug, and resolve issues related to data processing and pipeline failures.
 Implement best practices for data quality, governance, monitoring, and performance tuning.
 Must\-Have Skills
 5 7 years of hands\-on experience in Data Engineering.
 Strong proficiency in PySpark (intermediate to advanced level).
 Proven hands\-on experience with Databricks.
 Strong understanding of ETL processes, data transformations, and pipeline orchestration.
 Experience in performance optimization for large\-scale data pipelines.
 Excellent analytical, problem\-solving, and communication skills.
 Good\-to\-Have Skills
 Experience working with cloud platforms such as AWS or Google Cloud Platform.
 Knowledge of modern data architectures, including data lakes and data warehouses.
 Exposure to CI/CD pipelines for data engineering workflows.</t>
        </is>
      </c>
    </row>
    <row r="122">
      <c r="A122" t="inlineStr">
        <is>
          <t>li-4368262039</t>
        </is>
      </c>
      <c r="B122" t="inlineStr">
        <is>
          <t>Senior Snowflake Data Engineer with DBT</t>
        </is>
      </c>
      <c r="C122" t="inlineStr">
        <is>
          <t>Perficient</t>
        </is>
      </c>
      <c r="D122" t="inlineStr">
        <is>
          <t>linkedin</t>
        </is>
      </c>
      <c r="E122">
        <f>HYPERLINK("https://www.linkedin.com/jobs/view/4368262039", "https://www.linkedin.com/jobs/view/4368262039")</f>
        <v/>
      </c>
      <c r="F122" t="inlineStr"/>
      <c r="G122" t="inlineStr">
        <is>
          <t>Irvine, CA</t>
        </is>
      </c>
      <c r="H122" t="inlineStr"/>
      <c r="I122" t="inlineStr">
        <is>
          <t>**Job Description** 
 We currently have a career opportunity for a
 **Snowflake Engineer** 
 to join our Data \&amp; Analytics Team
 The Snowflake Data Engineer will be responsible for designing, developing, and maintaining data pipelines and solutions to enable our client to harness the power of the data for further analytics. The engineer will work with modern data technologies, emphasizing
 **Snowflake and dbt (Data Build Tool)** 
 to automate, build, test, and maintain the data infrastructure. Additionally, it is expected that people participate actively in all aspects of the data lifecycle and provide recommendations aligned with best practices within the process.
**Job Overview:** 
 As a Technical Consultant, you will participate in all aspects of the software development lifecycle, which includes estimating, technical design, implementation, documentation, testing, deployment, and support of applications developed for our clients. As a member working in a team environment, you will work with solution architects and developers on the interpretation/translation of wireframes and creative designs into functional requirements, and subsequently into technical design.
 Perficient is always looking for the best and brightest talent, and we need you! We’re a quickly growing, global digital consulting leader, and we’re transforming the world’s largest enterprises and biggest brands. You’ll work with the latest technologies, expand your skills, and become a part of our global community of talented, diverse, and knowledgeable colleagues.
**Responsibilities** 
* Design, develop and maintain ELT pipelines using Snowflake and DBT
* Build and optimize data models in Snowflake to support analytics and reporting
* Implement modular testable SQL transformations using DBT
* Integrate DBT workflows into CICD pipelines and manage infrastructure as code using Terraform
* Collaborate with data scientists analysts and business stakeholders to translate requirements into technical solutions
* Optimize Snowflake performance through clustering partitioning indexing and materialized views
* Automate data ingestion and transformation workflows using Airflow or similar orchestration tools
* Ensure data quality governance and security across pipelines
* Troubleshoot and resolve performance bottlenecks and data issues
* Maintain documentation for data architecture pipelines and operational procedures
* Develop and maintain effective working relationships with team members.
* Demonstrate the ability to adapt and work with team members of various experience levels.
**Qualifications** 
* BS in Computer Science, Engineering, or related technical field.
* Passionate data engineer with 2\- 6 years of experience, with a focus on Snowflake and DBT
* Solid SQL skills and understanding of database systems
* Experience with data integration, data processing, and data quality
* Experience with object storage, data lakes, and lakehouses
* Experience with version control tools such as Git
* Team\-oriented, interpersonal, highly motivated, passionate, and creative team\-player with the ability to develop and maintain collaborative relationships with all levels within and external to the organization
* Familiarity with Azure Data Services, including Azure Data Factory, Azure Storage, and Azure Synapse, is a plus
* Familiarity with Databricks is a plus
* Knowledge of data processing technologies like Apache Spark and Kafka is a plus
* Cloud platform certifications are a plus
* Client\-facing or consulting experience is highly preferred.
* Ability to communicate effectively via multiple channels (verbal, written, etc.) with technical and non\-technical staff.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$73,008 to $120,640\. Please note that the salary range posted reflects the base salary only and does not include benefits or any potential equity or variable bonus programs. Information regarding the benefits available for this position are in our benefits overview .
**Who We Are** 
 Perficient is a leading global digital consultancy. We imagine, create, engineer, and run digital transformation solutions that help our clients exceed customers’ expectations, outpace competition, and grow their business. With unparalleled strategy, creative, and technology capabilities, our colleagues bring big thinking and innovative ideas, along with a practical approach to help our clients – the world’s largest enterprises and biggest brands succeed.
**What We Believe** 
 At Perficient, we promise to challenge, champion, and celebrate our people. You will experience a unique and collaborative culture that values every voice. Join our team, and you’ll become part of something truly special.
 We believe in developing a workforce that is as diverse and inclusive as the clients we work with. We’re committed to actively listening, learning, and acting to further advance our organization, our communities, and our future leaders… and we’re not done yet.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**About Us** 
 Perficient is always looking for the best and brightest talent and we need you! We’re a quickly growing, global digital consulting leader, and we’re transforming the world’s largest enterprises and biggest brands. You’ll work with the latest technologies, expand your skills, experience work\-life balance, and become a part of our global community of talented, diverse, and knowledgeable colleagues.</t>
        </is>
      </c>
    </row>
    <row r="123">
      <c r="A123" t="inlineStr">
        <is>
          <t>li-4368808744</t>
        </is>
      </c>
      <c r="B123" t="inlineStr">
        <is>
          <t>Tech Lead/Data Engineer III</t>
        </is>
      </c>
      <c r="C123" t="inlineStr">
        <is>
          <t>Medica</t>
        </is>
      </c>
      <c r="D123" t="inlineStr">
        <is>
          <t>linkedin</t>
        </is>
      </c>
      <c r="E123">
        <f>HYPERLINK("https://www.linkedin.com/jobs/view/4368808744", "https://www.linkedin.com/jobs/view/4368808744")</f>
        <v/>
      </c>
      <c r="F123" t="inlineStr"/>
      <c r="G123" t="inlineStr">
        <is>
          <t>Hopkins, MN</t>
        </is>
      </c>
      <c r="H123" t="inlineStr"/>
      <c r="I123" t="inlineStr">
        <is>
          <t>Medica is seeking an experienced
 **Tech Lead/Data Engineer III.** 
 This role is ideal for an innovative and strategic thinker with a depth of experience in enterprise data and broader cloud\-based data engineering initiatives. This individual is someone who thrives in a mission\-driven, healthcare\-focused organization and is passionate about ensuring efficiency, scalability, financial integrity and compliance.
**Key Responsibilities:**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Design, build, implement, and maintain data storage structures and processing pipelines for the extraction, transformation, and loading (ETL) of data from a variety of sources. Develop robust and scalable solutions that transform data into a useful format for analysis, enhance data flow, and enable efficient, cost\-effective consumption and analysis of data. Write complex SQL queries to support analytics needs. Evaluate and recommend tools and technologies for data infrastructure and processing, including modern cloud platforms such as Snowflake, Azure, AWS, and data integration tools like Apache Airflow, dbt, Informatica Intelligent Data Management Cloud (IDMC), and distributed processing frameworks such as Apache Spark.
**Key Accountabilities:**
* Designing and implementing scalable data pipelines and storage solutions to support enterprise analytics.
* Ensuring data quality, integrity, and security across all stages of the data lifecycle.
* Collaborating with stakeholders to define data requirements and translate them into technical specifications.
* Monitoring and optimizing performance of data systems and ETL processes.
* Supporting the deployment and maintenance of data infrastructure in cloud environments.
* Developing and maintaining complex SQL scripts and stored procedures for data transformation and reporting.
* Leveraging Informatica IDMC for cloud\-native data integration, data quality, and governance workflows.
 In addition to engineering responsibilities, the Data Generalist component of this role includes:
* Performing exploratory data analysis and generating actionable insights.
* Creating dashboards and visualizations using tools like Power BI, Tableau, or Excel.
* Collaborating with cross\-functional teams to align data efforts with business goals.
* Automating data workflows using scripting languages such as Python or R.
* Supporting business intelligence initiatives and translating data into strategic recommendations.
* Documenting data processes and contributing to data governance standards.
* Applying AI and machine learning techniques to enhance predictive analytics, automate decision\-making, and uncover deeper insights from complex datasets.
* Utilizing preferred AI tools and platforms such as TensorFlow, Azure Machine Learning, scikit\-learn, and PyTorch to build and deploy models that support enterprise analytics and innovation.
**Qualifications:**
* Bachelor's degree or equivalent experience in related field
* 5 years of related work experience beyond the degree
* Proficient use of SQL
**Skills And Abilities**
* Microsoft Certified: (or equivalent cloud) Azure Data Engineer
* Microsoft Certified: Azure Fundamentals
* Snowflake SnowPro Core Certification
* Snowflake Advanced Architect Certification
* Healthcare industry experience is desired
 This position is an Office role, which requires an employee to work onsite at our Minnetonka, MN office, on average, 3 days per week.
 The full salary grade for this position is $100,300 \- $172,000\. While the full salary grade is provided, the typical hiring salary range for this role is expected to be between $100,300 \- $150,465\.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124">
      <c r="A124" t="inlineStr">
        <is>
          <t>li-4368828542</t>
        </is>
      </c>
      <c r="B124" t="inlineStr">
        <is>
          <t>Systems Engineer/Senior Data Engineer - Splunk, ServiceNow &amp; AppDynamics</t>
        </is>
      </c>
      <c r="C124" t="inlineStr">
        <is>
          <t>KDA CONSULTING INC</t>
        </is>
      </c>
      <c r="D124" t="inlineStr">
        <is>
          <t>linkedin</t>
        </is>
      </c>
      <c r="E124">
        <f>HYPERLINK("https://www.linkedin.com/jobs/view/4368828542", "https://www.linkedin.com/jobs/view/4368828542")</f>
        <v/>
      </c>
      <c r="F124" t="inlineStr"/>
      <c r="G124" t="inlineStr">
        <is>
          <t>Herndon, VA</t>
        </is>
      </c>
      <c r="H124" t="inlineStr"/>
      <c r="I124" t="inlineStr">
        <is>
          <t>**\*\*\*Security Clearance:** 
 Must possess an active TS/SCI with Full Scope Polygraph\*\*\*
**KDA** 
 is seeking a highly skilled and experienced Systems Engineer/Senior Data Engineer with a strong background in designing, implementing, and optimizing data pipelines and solutions for critical security and operational platforms, specifically Splunk, ServiceNow, and AppDynamics. The ideal candidate will be a proactive, problem\-solving individual with a proven track record of managing complex data ingestion, normalization, and correlation processes within highly visible, operationally driven environments. This role requires an individual who thrives in a collaborative setting, possesses excellent communication skills, and is dedicated to continuous improvement and innovation.
**Key Responsibilities**
* Splunk Data Engineering:
* Design, engineer, and maintain robust Splunk infrastructures, including clustered environments, for large\-scale data ingestion, correlation, and reporting.
* Automate complex data ingestion methods (e.g., S3, syslog, JSON, APIs) from diverse sources across multiple enclaves.
* Develop and implement methods for data tagging and cataloging to ensure compliance with evolving security standards and facilitate efficient data discovery.
* Optimize data ingest performance and efficiency across various network environments. Familiar with Technical Add\-ons.
* Parse and normalize non\-standard data sets to enable comprehensive analysis and correlation within Splunk.
* Develop and refine Splunk queries, dashboards, and reports to visualize security events, infrastructure health, and operational metrics.
* Collaborate with IT operations and cyber security teams to enrich data sets, ascertain cyber threats, and bolster security posture.
* Maintain ITSI and SIEM\-like tools and custom content within virtualized environments.
* Perform tuning and filtering of events and information, creating custom views and content.
* Familiar with UBA and Splunk.
* Collaborate with cross\-functional teams to design and implement data integrations between various security and operational tools (including Splunk and AppDynamics) and ServiceNow.
* Develop and maintain data pipelines to ensure accurate and timely flow of security incidents, alerts, and operational metrics into ServiceNow for incident management, problem management, and reporting.
* Assist in defining and implementing data models within ServiceNow to support security operations and compliance initiatives.
* Work with third\-party services for design review and optimal deployment configuration for enterprise cloud service utilization (relevant to integrations).
* Design and implement data collection strategies for AppDynamics, ensuring comprehensive monitoring of application performance and infrastructure.
* Integrate AppDynamics data with Splunk for centralized visibility and correlation with other security and operational logs.
* Troubleshoot problematic service deployments and data flows, utilizing forensic tools and audit log review (relevant to monitoring and analysis).
* Develop methods to leverage AppDynamics data for identifying potential risks and optimizing application performance.
**General Data Engineering \&amp; Systems Expertise:**
* Collaborate with mission partners to develop long\-term enterprise audit solutions and normalize non\-standard data sets.
* Engineer and maintain secure virtualized and cloud environments for data platforms.
* Deploy and harden servers running Linux OS in accordance with CIS and other STIG guidelines.
* Develop runbooks, SOPs, and documentation for new processes and systems.
* Perform liaison duties between service providers and clients to bridge communication gaps and ensure adherence to SLAs.
* Review and evaluate data integrity and develop use cases for various data sets.
* Maintain system baselines and configuration management for data engineering tools.
* Contribute to the development of plans to safeguard data against unauthorized modification, destruction, or disclosure.
* Strong understanding of cyber security principles and experience with various security tools (e.g., Next\-Gen Firewalls, IPS/IDS, Tenable Nessus, Rapid7 Nexpose, McAfee EPO, Symantec SEP).
**Required Skills \&amp; Experience**
* 20\+ years of progressive experience in Information Technology and Security, with a strong focus on data engineering and systems integration.
* Security Clearance: Candidate must possess an active TS/SCI with Full Scope Polygraph
* Demonstrated expertise in engineering and maintaining large\-scale Splunk environments, including data ingestion, parsing, normalization, and content development.
* Experience with automating complex data ingestion methods (e.g., S3, syslog, JSON, APIs).
* Strong understanding of data tagging, cataloging, and data governance best practices.
* Proficiency with Linux OS administration and hardening.
* Familiarity with cloud security principles and deploying commercial services into protected/secured enclaves (e.g., AWS).
* Experience with SIEM solutions and their implementation, configuration, and maintenance.
* Strong scripting skills (e.g., BASH, Python, PowerShell).
* Excellent collaboration and communication skills, with the ability to work effectively in small teams and large collaborative efforts.
* Ability to troubleshoot complex technical issues and perform root cause analysis.
* Proven ability to develop and maintain documentation (runbooks, SOPs).
**Desired Skills (Plus, But Not Required)**
* Experience with ServiceNow platform administration, development, or integration.
* Experience with AppDynamics for application performance monitoring and data collection.
* Experience with configuration management tools \- Git, Ansible</t>
        </is>
      </c>
    </row>
    <row r="125">
      <c r="A125" t="inlineStr">
        <is>
          <t>li-4368297322</t>
        </is>
      </c>
      <c r="B125" t="inlineStr">
        <is>
          <t>Senior Data Engineer (Public Trust)</t>
        </is>
      </c>
      <c r="C125" t="inlineStr">
        <is>
          <t>Praescient Analytics</t>
        </is>
      </c>
      <c r="D125" t="inlineStr">
        <is>
          <t>linkedin</t>
        </is>
      </c>
      <c r="E125">
        <f>HYPERLINK("https://www.linkedin.com/jobs/view/4368297322", "https://www.linkedin.com/jobs/view/4368297322")</f>
        <v/>
      </c>
      <c r="F125">
        <f>HYPERLINK("https://praescientanalytics.applicantstack.com/x/detail/a2uae9b8n4ak/aa1b?noia=1&amp;urlHash=hMC1", "https://praescientanalytics.applicantstack.com/x/detail/a2uae9b8n4ak/aa1b?noia=1&amp;urlHash=hMC1")</f>
        <v/>
      </c>
      <c r="G125" t="inlineStr">
        <is>
          <t>Bethesda, MD</t>
        </is>
      </c>
      <c r="H125" t="inlineStr"/>
      <c r="I125" t="inlineStr">
        <is>
          <t>**Location:** 
 Bethesda, MD (Hybrid)
**Clearance:** 
 Public Trust (Role may require additional background investigations)
**Employment Type:** 
 Full\-Time
**Position Overview**
**US Citizenship is Required**
 Praescient Analytics is seeking an experienced
 **Senior Data Engineer** 
 to support a major federal data modernization and analytics program. This role is responsible for the
 **design, development, optimization, and operational support of scalable, secure, and high\-quality data pipelines** 
 that enable advanced analytics, machine learning, and AI\-driven decision support in a regulated government environment.
 The Senior Data Engineer plays a critical role in the client’s transition from legacy, on\-premises systems to a
 **cloud\-native, open\-source analytics ecosystem built on Microsoft Azure** 
 . This position ensures that data is reliable, performant, well\-governed, and readily consumable by data scientists, analysts, and AI/ML engineers supporting mission\-critical use cases.
**Key Responsibilities** 
* Design, build, and maintain production\-grade ETL/ELT pipelines to ingest, transform, and curate large volumes of structured and unstructured data.
* Develop data workflows using Python\-based frameworks and Microsoft Azure services, ensuring scalability, reliability, and fault tolerance.
* Optimize data pipelines for performance, cost efficiency, and maintainability.
* Architect and implement data solutions within Microsoft Azure, including:
+ Azure Data Lake Storage (ADLS Gen2\)
+ Azure SQL and related data services
+ Azure Synapse Analytics
* Design and manage workflow orchestration using Azure Data Factory (or equivalent) for scheduling, monitoring, and automation.
* Build and maintain Python\-based data services and utilities using open\-source libraries such as Pandas, NumPy, and related frameworks.
* Implement logging, monitoring, alerting, and performance tuning to support operational reliability.
* Apply data governance best practices, including data lineage, reproducibility, auditability, and compliance with federal standards.
* Maintain comprehensive documentation, including data dictionaries, pipeline designs, and process flows.
* Work closely with data scientists, AI/ML engineers, analysts, architects, and Agile project managers to ensure data pipelines meet analytical and operational requirements.
**Experience**
**Required Qualifications:**
* Minimum of 5\+ years of experience designing, building, and operating data pipelines supporting analytics and/or machine learning.
* Demonstrated experience working with large\-scale datasets in production environments.
* Proven experience supporting cloud\-based data platforms.
* Bachelor's degree in Data Science, Computer Science, Engineering, Statistics, or related field — or equivalent professional experience.
**Technical Skills**
* Strong proficiency in Python (Pandas required; NumPy, scikit\-learn, and related libraries preferred).
* Advanced SQL skills and experience integrating relational data sources.
* Hands\-on experience with Microsoft Azure, including Azure Data Lake Storage and Azure SQL.
* Experience with workflow orchestration tools such as Azure Data Factory.
* Familiarity with open\-source data processing and ETL frameworks.
* Experience with logging, monitoring, and performance optimization for data systems.
* Proficiency with Git\-based version control and collaborative development practices.
**Clearance:** 
 Minimum of a Public Trust (
 **U.S. Citizenship is Required)**
**Preferred Qualifications**
* Master’s degree or higher in Data Science, Computer Science, Engineering, Statistics, or related field — or equivalent professional experience.
* Microsoft Azure certifications (e.g., Azure Data Engineer Associate) strongly preferred.
* Experience working in federal, public\-sector, or other regulated environments.
* Familiarity with data engineering patterns for secure, scalable systems.
* Experience supporting AI/ML workloads, feature engineering pipelines, or near\-real\-time analytics.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healthcare for you (We pay your premiums and deductibles)
* 401(k) with company match
* Travel \&amp; performance incentives
* 3 weeks paid time off (plus Federal Holidays)
* $5K annual training allowance
* $500 book allowance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126">
      <c r="A126" t="inlineStr">
        <is>
          <t>li-4351611133</t>
        </is>
      </c>
      <c r="B126" t="inlineStr">
        <is>
          <t>Senior Data Engineer - Fisher Investments</t>
        </is>
      </c>
      <c r="C126" t="inlineStr">
        <is>
          <t>Jobs via eFinancialCareers</t>
        </is>
      </c>
      <c r="D126" t="inlineStr">
        <is>
          <t>linkedin</t>
        </is>
      </c>
      <c r="E126">
        <f>HYPERLINK("https://www.linkedin.com/jobs/view/4351611133", "https://www.linkedin.com/jobs/view/4351611133")</f>
        <v/>
      </c>
      <c r="F126">
        <f>HYPERLINK("https://click.appcast.io/t/uuiNMe7tvmeX2P96EGcMMoPO96dPgpb3SVqBOmnwVls=&amp;urlHash=CZIl", "https://click.appcast.io/t/uuiNMe7tvmeX2P96EGcMMoPO96dPgpb3SVqBOmnwVls=&amp;urlHash=CZIl")</f>
        <v/>
      </c>
      <c r="G126" t="inlineStr">
        <is>
          <t>Plano, TX</t>
        </is>
      </c>
      <c r="H126" t="inlineStr"/>
      <c r="I126" t="inlineStr">
        <is>
          <t>It's an exciting time to be a member of the Fisher Investments Technology Department.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to design and provide modern data solutions using cloud\-based platforms and AI\-driven innovations. You will partner with business, technology, and governance teams to ensure scalable, secure and compliant data platforms that power advanced analytics and AI. You will be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various platforms to meet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the following:
+ Multiple cloud technologies in the Microsoft Stack (Azure IaaS and PaaS) along with familiarity with alternative cloud technologies
+ Design and development of on\-premises and cloud\-based (Azure) infrastructure and platform components
+ Hands\-on development and deployment experience with Azure cloud using T\-SQL, Azure SQL, Azure Storage, Azure Data Factory, Azure Synapse, Cosmos DB, GitHub, Azure DevOps, and CI/CD pipelines
* Advanced knowledge of Extract/Transform/Load and Extract/Load/Transform tools, including both batch and real\-time data transmission applications such as SSIS, Informatica, Kafka, Spark, or MuleSoft
* Advanced knowledge of database technologies such as Microsoft SQL Server, Oracle, or NoSQL databases
* Advanced knowledge of multiple programming languages, such as Python, SQL, or Scala
* Advanced knowledge of IT infrastructure standards and tools, such as application performance monitoring, IT service management, or DevOps software
* Bachelor's degree in Computer Science, Information Technology, or other relevant field
 Preferred qualifications:
* Experience with Databricks
* Experience with Power BI
* Experience implementing and supporting multi\-vendor data lake solutions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27">
      <c r="A127" t="inlineStr">
        <is>
          <t>li-4366318819</t>
        </is>
      </c>
      <c r="B127" t="inlineStr">
        <is>
          <t>2-Senior Data Engineers Needed | Major NYC Hospital | Snowflake Exp. | Salary + Bonus!</t>
        </is>
      </c>
      <c r="C127" t="inlineStr">
        <is>
          <t>Integris Group</t>
        </is>
      </c>
      <c r="D127" t="inlineStr">
        <is>
          <t>linkedin</t>
        </is>
      </c>
      <c r="E127">
        <f>HYPERLINK("https://www.linkedin.com/jobs/view/4366318819", "https://www.linkedin.com/jobs/view/4366318819")</f>
        <v/>
      </c>
      <c r="F127" t="inlineStr"/>
      <c r="G127" t="inlineStr"/>
      <c r="H127" t="inlineStr"/>
      <c r="I127" t="inlineStr">
        <is>
          <t>Integris Group is partnering with a leading New York City hospital to hire
 **(2\) Senior Data Engineers** 
 for full\-time, permanent roles who have strong experience with
 **Snowflake!** 
 This is a
 **Hybrid position
 *(4 days Onsite, 1 Day Remote – no exceptions)***
 offering a competitive salary, annual bonus, 401(k), PTO, and top\-tier medical, dental, and vision benefits, along with additional excellent company perks.
**Job Title:** 
**2\-Senior Data Engineer's** 
 (last two spots left on the team).
**Location:** 
 New York, NY
**Position Type:** 
***Full\-Time, Hybrid (4 day's Onsite \| 1 day Remote)***
**About the Role:** 
 Our client is seeking 2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128">
      <c r="A128" t="inlineStr">
        <is>
          <t>li-4368269856</t>
        </is>
      </c>
      <c r="B128" t="inlineStr">
        <is>
          <t>Data Engineer || Leawood, KS (Local Only)</t>
        </is>
      </c>
      <c r="C128" t="inlineStr">
        <is>
          <t>Jobs via Dice</t>
        </is>
      </c>
      <c r="D128" t="inlineStr">
        <is>
          <t>linkedin</t>
        </is>
      </c>
      <c r="E128">
        <f>HYPERLINK("https://www.linkedin.com/jobs/view/4368269856", "https://www.linkedin.com/jobs/view/4368269856")</f>
        <v/>
      </c>
      <c r="F128" t="inlineStr"/>
      <c r="G128" t="inlineStr">
        <is>
          <t>Leawood, KS</t>
        </is>
      </c>
      <c r="H128" t="inlineStr"/>
      <c r="I128" t="inlineStr">
        <is>
          <t>Dice is the leading career destination for tech experts at every stage of their careers. Our client, InfiCare Technologies, is seeking the following. Apply via Dice today!
**Title: Date Engineer**
**Location: Leawood, Kansas Hybrid ( 3 days onsite)**
**Duration: 12\+ Months**
**Job Description**
 Senior Quality Engineer / Test Architect with 12\-15 years of experience for the Data Engineering Platform with Data pipeline, serving as a senior individual contributor responsible for defining and driving the quality strategy for Snowflake\-based data platforms and large\-scale ETL/ELT pipelines.
 The role requires deep expertise in data testing, automation architecture, governance, and solving complex data issues.
 The Senior QE builds automated data validation frameworks, implements shift\-left testing, ensures data accuracy, and drives performance, reliability, and observability.
 The role works with data engineers and architects, enforces best practices, mentors QE members, and ensures compliance with data protection standards.
 Skills include strong SQL for profiling and validation, deep knowledge of Data Warehousing and ETL/ELT, hands\-on Python for automation, expertise in Snowflake and SQL Server, strong analytical and problem\-solving skills, and solid understanding of Agile, CI/CD, Soda , Coalesce and QE processes.
**Mandatory Skills**
* Playwright
* Data Pipeline
* Selenium
* Cypress API automation
* Python
* Javascript
* Azure DevOps CI/CD pipeline
* Azure DevOps
* Snowflake
* GitLab
* ETL
* Azure SQL Server
* SQL Profiler
* Agile
* Data Quality</t>
        </is>
      </c>
    </row>
    <row r="129">
      <c r="A129" t="inlineStr">
        <is>
          <t>li-4368691124</t>
        </is>
      </c>
      <c r="B129" t="inlineStr">
        <is>
          <t>Principal Enterprise/Integration  Data Engineer</t>
        </is>
      </c>
      <c r="C129" t="inlineStr">
        <is>
          <t>The Depository Trust &amp; Clearing Corporation (DTCC)</t>
        </is>
      </c>
      <c r="D129" t="inlineStr">
        <is>
          <t>linkedin</t>
        </is>
      </c>
      <c r="E129">
        <f>HYPERLINK("https://www.linkedin.com/jobs/view/4368691124", "https://www.linkedin.com/jobs/view/4368691124")</f>
        <v/>
      </c>
      <c r="F129" t="inlineStr"/>
      <c r="G129" t="inlineStr">
        <is>
          <t>Tampa, FL</t>
        </is>
      </c>
      <c r="H129" t="inlineStr"/>
      <c r="I129"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As a Principal Engineer, you will play a key role in designing and delivering enterprise\-wide technology and data solutions that drive innovation and efficiency across the organization. You will translate strategic business objectives—both long\-term and short\-term—into actionable designs and implementation plans for data strategy, architecture, and solutions. This role also defines corporate technology standards that align with enterprise goals and ensures that all product and project implementations conform to these standards. Collaboration with Infrastructure, Application Development, Information Security, and Product Management teams will be essential to deliver solutions that support the enterprise strategy.
**Primary Responsibilities**
* Design and develop shared enterprise technology solutions and capabilities.
* Create and document data solutions, including technical designs, standards, and guidelines for enterprise\-wide adoption.
* Participate in the design, specification, and implementation of business and technology projects, ensuring alignment with enterprise architecture principles and incorporating lessons learned.
* Promote awareness and reuse of existing data capabilities to optimize efficiency.
* Maintain a deep understanding of existing DTCC applications and technology solutions to leverage data design reuse and consolidate architectures.
* Identify and research opportunities to converge diverse DTCC solutions into a unified data architecture.
* Lead and foster collaboration across technology domains—Application Development, Infrastructure, Information Security, and Architecture—to ensure cohesive delivery.
* Stay current on emerging data architecture concepts, methodologies, and technology trends.
* Conduct presentations and training sessions to educate teams on data capabilities and solutions.
**Qualifications**
* Minimum of 6–8 years of relevant experience.
* Bachelor’s degree preferred or equivalent professional experience.
**Talent Needed for Success**
* 8\+ years of hands\-on development experience with Java and Spring\-based applications.
* 3\+ years of hands\-on development experience with Apache Kafka.
* Strong SQL expertise, including query optimization and handling large data volumes.
* Solid knowledge of UNIX environments.
**Preferred Skills**
* Experience with Apache Camel.
* Familiarity with containerization (OpenShift/OCP).
* Exposure to AWS EC2 and cloud\-based architectures.
* Knowledge of Snowflake and modern data ingestion tools.
**Knowledge and Skills Required**
* Strong understanding of Agile development methodologies.
* Excellent grasp of distributed and cloud\-based data technologies and analytics tools.
* Up\-to\-date knowledge of technology and architecture trends.
* Exceptional collaboration and interpersonal skills.
* Strong written and verbal communication abilities.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30">
      <c r="A130" t="inlineStr">
        <is>
          <t>li-4368269816</t>
        </is>
      </c>
      <c r="B130" t="inlineStr">
        <is>
          <t>Senior Data Engineer - Hybrid</t>
        </is>
      </c>
      <c r="C130" t="inlineStr">
        <is>
          <t>Jobs via Dice</t>
        </is>
      </c>
      <c r="D130" t="inlineStr">
        <is>
          <t>linkedin</t>
        </is>
      </c>
      <c r="E130">
        <f>HYPERLINK("https://www.linkedin.com/jobs/view/4368269816", "https://www.linkedin.com/jobs/view/4368269816")</f>
        <v/>
      </c>
      <c r="F130">
        <f>HYPERLINK("https://click.appcast.io/t/u6yMVtJ8APHfjm229_z_yjApzWNz5odVa3cP77oJvnQ=&amp;urlHash=J72h", "https://click.appcast.io/t/u6yMVtJ8APHfjm229_z_yjApzWNz5odVa3cP77oJvnQ=&amp;urlHash=J72h")</f>
        <v/>
      </c>
      <c r="G130" t="inlineStr">
        <is>
          <t>New York, NY</t>
        </is>
      </c>
      <c r="H130" t="inlineStr"/>
      <c r="I130" t="inlineStr">
        <is>
          <t>Dice is the leading career destination for tech experts at every stage of their careers. Our client, MHK TECH INC, is seeking the following. Apply via Dice today!
* Design, implement, and extend core data system that enables reporting and data visualizations
* Manages data integrations within the company's domain technology stack
* Provide runtime and automation solutions that empower developers to migrate and run workloads in the public cloud
* Responsible for maintaining and supporting all data workflows
* Design, implement, enhancement and support of CI/CD frameworks, container solutions, runtime environments, and supporting public cloud infrastructure
* Produce and maintain complex data workflows to meet all the quality requirements of the data management policy
* Design, and documents database architecture
* Responsible for creating and maintaining operational data store
* Responsible for ingestion and extraction of data using MDM tools like Informatica, Amperity, etc.
* Expertise in Data Warehousing and familiarity with cloud offerings for warehouses.
* Creates and maintains diagnoses, alerting, and monitoring code.
* Builds database schemas, tables, procedures, and permissions
* Develops database utilities and automated reporting
* Prepares written materials for the purpose of documenting activities, providing written reference, and/or conveying information
* Full\-stack design, development, deployment, and operation of core data stack including data lake, data warehouse, and data pipelines
* Experience building data flow for data acquisition, aggregation, and modeling, using both batch and steaming paradigms
* Experience working public cloud provider (AWS, Google Cloud Platform, Azure)
* Experience building and managing CI/CD pipelines
* Have created and managed Kubernetes clusters in different types of environments
* Familiarity with access controls, secrets management, monitoring, and service discovery in Kubernetes clusters
* Experience working with containerized workflows, applications, and drive container adoption among developers and teams
* Experience building ingestion, ETL data pipelines, especially via code\-oriented systems like Spark, Airflow, Luigi, or similar, and with varied data formats
* Experience operating in a secure networking environment (e.g. behind a corporate proxy) is a plus
* Expertise in data engineering languages such as Python, Java, Scala, SQL
* Familiarity with visualizing data with Power BI, Tableau, and similar tools
* Experience creating business requirements documents and/or other application systems related documents</t>
        </is>
      </c>
    </row>
    <row r="131">
      <c r="A131" t="inlineStr">
        <is>
          <t>li-4367509969</t>
        </is>
      </c>
      <c r="B131" t="inlineStr">
        <is>
          <t>HR Data Engineer/Data Scientist</t>
        </is>
      </c>
      <c r="C131" t="inlineStr">
        <is>
          <t>Jobs via Dice</t>
        </is>
      </c>
      <c r="D131" t="inlineStr">
        <is>
          <t>linkedin</t>
        </is>
      </c>
      <c r="E131">
        <f>HYPERLINK("https://www.linkedin.com/jobs/view/4367509969", "https://www.linkedin.com/jobs/view/4367509969")</f>
        <v/>
      </c>
      <c r="F131" t="inlineStr"/>
      <c r="G131" t="inlineStr">
        <is>
          <t>Reston, VA</t>
        </is>
      </c>
      <c r="H131" t="inlineStr"/>
      <c r="I131" t="inlineStr">
        <is>
          <t>ICF is seeking a highly capable
 **HR Data Engineer / Data Scientist** 
 to support a large federal client in modernizing its enterprise learning and workforce data ecosystem. This role centers on designing and sustaining a scalable data integration capability that unifies multiple workforce\-related data sources into a consistent, validated structure suitable for downstream HR and training systems. This position requires expertise in enterprise data engineering, workflow automation, data quality frameworks, metadata governance, and the translation of complex business rules into reliable technical logic. The ideal candidate brings experience working with HR, identity, or workforce\-related datasets in large organizations and can partner directly with senior stakeholders across technical and business domains.
 Prior experience working in federally\-regulated environments and proximity to the DC\-Maryland\-Virginia (DMV) area with the ability to go onsite as needed is strongly preferred.
**Key Responsibilities**
* Design, build, and maintain automated pipelines that unify multiple HR and workforce\-related datasets into standardized, validated outputs.
* Develop and document transformation rules, business logic, mapping structures, and data quality checks to ensure accuracy and consistency.
* Create scalable workflows for ingesting structured and semi\-structured data from diverse systems with varying formats and update cycles.
* Implement validation routines, anomaly detection, and error\-handling mechanisms to maintain reliable, high\-quality data products.
* Produce well\-structured, standardized outputs compatible with enterprise learning or workforce management platforms.
* Collaborate with technical and non\-technical stakeholders to refine requirements, resolve data ambiguities, and support decision\-making.
* Maintain alignment with enterprise\-wide data standards, schemas, and governance guidance as they evolve.
* Participate in cross\-team or cross\-agency coordination forums to represent program needs and communicate the impact of data\-related decisions.
* Develop and execute test plans, including business\-rule validation, regression checks, and iterative QA cycles.
* Identify process improvements, integration gaps, and opportunities to enhance automation, scalability, and sustainability.
* Ensure solutions continue functioning amid changes to enterprise systems, dependencies, or data availability.
* Prepare and deliver technical documentation, operational procedures, and knowledge\-transfer materials for long\-term maintainability.
* Communicate risks, dependencies, and technical impacts clearly and proactively to project managers, leadership, and governance groups.
**Basic Qualifications**
* Bachelor's degree in a related field (e.g., Data Science, Computer Science, Engineering, Mathematics, Information Systems, HR Analytics, or similar).
* 8\+ years of professional experience in data engineering, data science, analytics, or a closely related field.
**Additional Qualifications**
* Extensive experience sourcing, integrating, transforming, and validating structured and unstructured data from diverse systems (e.g., developing Spark jobs, performing data manipulation with PySpark/pandas, and authoring robust, production\-grade SQL transformations).
* Proven ability to design and implement automated data workflows, integration pipelines, and large\-scale transformation logic (e.g., orchestrating pipelines using Apache Airflow, Azure Data Factory (ADF), or AWS Glue).
* Hands\-on experience developing predictive models, statistical analyses, or machine learning solutions (e.g., building and validating models in Python using PySpark ML, pandas, or related libraries).
* Strong understanding of data quality management, validation frameworks, error\-handling approaches, data governance, master data management, and enterprise metadata practices (e.g., MDM survivorship rules, identity resolution logic, validation utilizing Great Expectations).
* Demonstrated ability to facilitate requirements gathering, define business rules, and translate stakeholder needs into clear technical specifications (e.g., documenting required import fields and formats, converting business logic into ETL/ELT transformations).
* Excellent communication skills with the ability to clearly convey complex technical concepts to non\-technical or cross\-functional audiences (e.g., explaining data lineage, logging, and metrics practices used to ensure pipeline traceability).
* Exceptional documentation abilities and attention to detail (e.g., version\-controlled artifacts in Git, CI/CD deployment documentation, and test suites using pytest and Great Expectations).
**Preferred Qualifications**
* Master's degree preferred.
* 5\+ years of experience supporting large\-scale or complex data ecosystems, preferably in government, healthcare, or highly regulated domains.
* Experience supporting HR import processes for enterprise systems (e.g., HRIS, LMS, identity systems).
* Background working with federal clients or within environments that require strict attention to data standards, compliance, and documentation.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$131,256\.00 \- $223,134\.00
 Nationwide Remote Office (US99\)</t>
        </is>
      </c>
    </row>
    <row r="132">
      <c r="A132" t="inlineStr">
        <is>
          <t>li-4367284267</t>
        </is>
      </c>
      <c r="B132" t="inlineStr">
        <is>
          <t>Data Engineer (Op AI)</t>
        </is>
      </c>
      <c r="C132" t="inlineStr">
        <is>
          <t>Jobs via Dice</t>
        </is>
      </c>
      <c r="D132" t="inlineStr">
        <is>
          <t>linkedin</t>
        </is>
      </c>
      <c r="E132">
        <f>HYPERLINK("https://www.linkedin.com/jobs/view/4367284267", "https://www.linkedin.com/jobs/view/4367284267")</f>
        <v/>
      </c>
      <c r="F132" t="inlineStr"/>
      <c r="G132" t="inlineStr">
        <is>
          <t>San Diego, CA</t>
        </is>
      </c>
      <c r="H132" t="inlineStr"/>
      <c r="I132" t="inlineStr">
        <is>
          <t>Job ID: 2600881
**Location:** 
 SAN DIEGO, CA, US
**Date Posted:** 
 2026\-01\-29
**Category:** 
 Information Technology
**Subcategory:** 
 Database Engr
**Schedule:** 
 Full\-time
**Shift:** 
 Day Job
**Travel:** 
 No
**Minimum Clearance Required:** 
 Top Secret
**Clearance Level Must Be Able to Obtain:** 
 TS/SCI
**Potential for Remote Work:** 
 No
**Description**
 SAIC is seeking a
 **Data Engineer** 
 in support of NAVWAR's Naval Operational Architecture (NOA) program in San Diego, CA. The Data Engineer will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SAIC is seeking a
 **Data Engineer** 
 in support of NAVWAR's Naval Operational Architecture (NOA) program in San Diego, CA. The Data Engineer will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CA.**
 Please view our program page for more information and to view all open positions available:
**Job Duties:**
* Conduct data pre\-processing, exploratory data analysis, and data pipeline engineering to ensure performant and high\-quality data output.
* Conduct thorough testing and validation of data pipelines and analytics to ensure accuracy, reliability, and robustness.
* Design or normalize data to common standards to support interoperability and analytical workflows.
* Develop and deploy data pipelines and analytics in real\-world applications.
* Work with multiple data formats, including CSV, JSON, XML, Parquet, and ORC.
* Perform exploratory data analysis, algorithm development, and testing.
* Deploy, monitor, and improve data pipelines for operational environments.
* Implement event streaming pipelines using Apache Kafka, RabbitMQ, or ZeroMQ.
* Collaborate with analytics, engineering, and mission teams to ensure effective data integration and output quality.
* Stay current with emerging trends in data engineering, distributed systems, and modern data architecture.
* Document data processes, pipeline structures, and engineering best practices.
**Qualifications**
**Education and Years of Experience Requirements:**
* Bachelor's degree in computer science, Data Science, Engineering, Mathematics, Statistics, or a related STEM field and eight (8\) years of experience in of AI/ML experience in defense or intelligence environments.
**Citizenship and Clearance requirements:**
* No dual citizenship.
* Active Top Secret clearance required; TS SCI clearance preferred.
**Required Skills and Experience:**
* Experience as a business analyst, data analyst, data scientist, data engineer, database administrator, geospatial analyst/engineer, machine learning engineer, or software engineer.
* Strong programming skills in Python.
* Experience designing or normalizing data to common standards.
* Experience with data pipeline development and real\-world deployment.
* Experience with multiple data formats: CSV, JSON, XML, Parquet, ORC.
* Familiarity with event streaming platforms (Kafka, RabbitMQ, ZeroMQ).
* Experience with exploratory data analysis, algorithm development, and testing.
* Experience deploying, monitoring, and improving data pipelines.
* Strong problem\-solving and analytical skills.
* Excellent communication skills and ability to work effectively in a collaborative team environment.
* Familiarity with data pipeline frameworks and libraries (AirByte, Apache Airflow, dbt, Apache Iceberg, Snowflake).
* Experience retrieving and managing GIS data (ArcGIS, PostGIS).
* Programming skills in Go or Rust.
* Expertise with Elasticsearch, Redis, S3, PostgreSQL, or similar data stores.
* Experience with AWS native data services: EFS, RDS, S3, SNS, SQS.
* Experience with distributed computing and parallel processing (AWS Lambda, DASK, Spark).
* Familiarity with cloud platforms (AWS, Azure) and containerization (Docker, Kubernetes).
* Understanding of cybersecurity principles in the context of data applications.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 Ability to operate in a DDIL office environment.
**Preferred Skills and Experience:**
* Experience with large\-scale data architecture across secure DoD or government environments.
* Experience supporting NAVWAR, NIWC Pacific, or other Navy programs.
* Experience integrating data pipelines into operational mission systems.
* Familiarity with ML Ops or data engineering in classified or cross\-domain environments.
 Target salary range: $120,001 \- $160,000\.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133">
      <c r="A133" t="inlineStr">
        <is>
          <t>li-4368233821</t>
        </is>
      </c>
      <c r="B133" t="inlineStr">
        <is>
          <t>Senior Data Engineer</t>
        </is>
      </c>
      <c r="C133" t="inlineStr">
        <is>
          <t>Elios Talent</t>
        </is>
      </c>
      <c r="D133" t="inlineStr">
        <is>
          <t>linkedin</t>
        </is>
      </c>
      <c r="E133">
        <f>HYPERLINK("https://www.linkedin.com/jobs/view/4368233821", "https://www.linkedin.com/jobs/view/4368233821")</f>
        <v/>
      </c>
      <c r="F133" t="inlineStr"/>
      <c r="G133" t="inlineStr">
        <is>
          <t>Northern Virginia, VA</t>
        </is>
      </c>
      <c r="H133" t="inlineStr"/>
      <c r="I133" t="inlineStr">
        <is>
          <t>**Senior Data Engineer / Software Engineer** 
 Hybrid \| DMV Area
 Contract\-to\-Hire (CTH)
 Target Conversion Salary: $170,000 – $200,000
**Role Overview** 
 We’re seeking a
 **hands\-on Senior Data Engineer / Software Engineer** 
 to help design, build, and scale modern data pipelines and APIs in a
 **hybrid cloud environment** 
 . This role blends
 **data engineering, backend software development, and platform collaboration** 
 , with a strong emphasis on real\-world delivery over theory.
 You’ll play a key role in shaping
 **GraphQL\-based data architecture** 
 , implementing production\-grade pipelines, and acting as a technical SME across data and integration workflows. This is an ideal opportunity for someone who enjoys being deep in the code while influencing technical direction.
**Key Responsibilities** 
* Design and implement
 **GraphQL\-based data architectures** 
 supporting scalable, high\-quality data access
* Build and maintain
 **data pipelines** 
 operating across hybrid environments
* Develop production\-ready solutions using
 **TypeScript** 
 with a focus on performance, reliability, and maintainability
* Collaborate closely with platform and infrastructure teams to support deployment, monitoring, and scalability
* Assist with
 **CI/CD troubleshooting** 
 and pipeline optimization when needed
* Reverse\-engineer and improve existing data flows, integrations, and processing logic
* Act as a
 **hands\-on subject matter expert** 
 , providing technical leadership through execution
* Contribute to architecture decisions while staying grounded in practical implementation
**Required Qualifications** 
* Senior\-level experience in
 **data engineering and/or backend software engineering**
* Intermediate to advanced
 **TypeScript** 
 proficiency with real production delivery experience
* Strong experience designing and implementing
 **data pipelines** 
 in complex environments
* Practical, hands\-on mindset — execution\-focused rather than purely theoretical
* Comfort working in
 **hybrid (on\-prem \+ cloud)** 
 architectures
* Strong problem\-solving skills and ability to work through ambiguity
* Clear communication skills and ability to collaborate across engineering disciplines
**Nice to Have** 
* Experience with
 **GraphQL** 
 at scale (schema design, performance optimization, governance)
* Familiarity with
 **platform engineering** 
 concepts and tooling
* Experience troubleshooting or supporting
 **CI/CD pipelines**
* Exposure to
 **Camunda** 
 or similar data engineering / workflow orchestration platforms
* Background working in enterprise or modernization environments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2026-02-03T21:10:44Z</dcterms:created>
  <dcterms:modified xsi:type="dcterms:W3CDTF">2026-02-03T21:10:44Z</dcterms:modified>
</cp:coreProperties>
</file>