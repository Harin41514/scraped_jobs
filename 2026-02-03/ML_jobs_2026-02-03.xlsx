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in-96413c657d26429c</t>
        </is>
      </c>
      <c r="B2" t="inlineStr">
        <is>
          <t>AI Engineer II</t>
        </is>
      </c>
      <c r="C2" t="inlineStr">
        <is>
          <t>Lean Techniques</t>
        </is>
      </c>
      <c r="D2" t="inlineStr">
        <is>
          <t>indeed</t>
        </is>
      </c>
      <c r="E2" t="inlineStr"/>
      <c r="F2" t="inlineStr"/>
      <c r="G2" t="inlineStr">
        <is>
          <t>Johnston, IA, US</t>
        </is>
      </c>
      <c r="H2" s="2" t="n">
        <v>46055</v>
      </c>
      <c r="I2" t="inlineStr">
        <is>
          <t>Maybe you’re bored and need a new challenge. Or you’re tired of proof\-of\-concepts that never go anywhere and want to build AI that actually ships. Or maybe you just want to work somewhere that trusts you to do great work without all the red tape.
Whatever the reason, we want you to know that LT is different. And not just air quotes “different,” but more like “breathing easy for the first time in a long time” different.
It’s a place where you can write your own story and make a difference along the way. At LT, you’ll have the freedom and flexibility to do what you think needs to be done — while working alongside a team of curious individuals who love a good challenge.
We’re currently looking to add an **AI Engineer II** to this nerd club of ours. If you’ve got a few years of real\-world experience building machine learning or AI\-powered systems and are ready to level up, we’d love to chat.
### **Here’s what you can expect as an AI Engineer II at LT:**
* You’ll work with a small, collaborative team (typically 3–5 people) to design, build, and deploy AI\-driven solutions that solve real business problems.
* You’ll develop and productionize machine learning models — from data exploration and feature engineering to training, evaluation, and deployment.
* You’ll collaborate closely with software engineers, product owners, and clients to integrate AI capabilities into scalable, maintainable applications.
* You’ll help improve data pipelines, model performance, and system reliability.
* You’ll follow best practices around testing, monitoring, documentation, and responsible AI use.
* You’ll continue sharpening your skills through hands\-on experience, mentorship, and ongoing learning opportunities.
### **What we’re generally looking for:**
* 2–5 years of experience working with machine learning, data science, or AI systems in a professional setting
* Strong Python skills and experience with ML frameworks (TensorFlow, PyTorch, scikit\-learn, etc.)
* Experience working with real\-world data
* Familiarity with deploying models into production environments (cloud platforms, APIs, pipelines)
* Azure AI experience is a plus
* Curiosity, problem\-solving mindset, and a desire to keep learning</t>
        </is>
      </c>
    </row>
    <row r="3">
      <c r="A3" t="inlineStr">
        <is>
          <t>in-a9a9730e379a2b1c</t>
        </is>
      </c>
      <c r="B3" t="inlineStr">
        <is>
          <t>Lead AI/ML Engineer - Remote</t>
        </is>
      </c>
      <c r="C3" t="inlineStr">
        <is>
          <t>Optum</t>
        </is>
      </c>
      <c r="D3" t="inlineStr">
        <is>
          <t>indeed</t>
        </is>
      </c>
      <c r="E3" t="inlineStr"/>
      <c r="F3" t="inlineStr"/>
      <c r="G3" t="inlineStr">
        <is>
          <t>Eden Prairie, MN, US</t>
        </is>
      </c>
      <c r="H3" s="2" t="n">
        <v>46055</v>
      </c>
      <c r="I3"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Optum Technology Digital team is on a mission to disrupt the healthcare industry, transforming UHG into an industry\-leading Consumer brand. We deliver hyper\-personalized digital solutions that empower direct\-to\-consumer, digital\-first experiences, educating, guiding, and empowering consumers to access the right care at the right time. Our mission is to revolutionize healthcare for patients and providers by delivering cutting\-edge, personalized and conversational digital solutions. We're Consumer Obsessed, ensuring they receive exceptional support throughout their healthcare journeys. As we drive this transformation, we're revolutionizing customer interactions with the healthcare system, leveraging AI, cloud computing, and other disruptive technologies to tackle complex challenges. Serving UnitedHealth Group's digital technology needs, the Consumer Engineering team impacts millions of lives through UnitedHealthcare \&amp; Optum.
The Optum Technology Chief Digital Office (CDO) Leadership team is transforming Optum to be an industry\-leading Consumer brand. We are on a journey towards delivering a best\-in\-the\-industry consumer experience to our patients and providers by delivering personalized digital solutions that support our consumers throughout their healthcare journeys. This team is transforming to meet the moment \- to begin radically altering the way our customers engage with the healthcare system using modern tech to solve some of the most complex problems experienced along the way.
Serving all of UnitedHealth Group's digital technology needs, the CDO team is responsible for driving outcomes across nearly 30 million\+ human lives with UnitedHealthcare insurance, a number which puts UHC at the top of the pack as the largest managed care provider in the United States.
You'll enjoy the flexibility to work remotely \* from anywhere within the U.S. as you take on some tough challenges. For all hires in the Minneapolis or Washington, D.C. area, you will be required to work in the office a minimum of four days per week.
 **Primary Responsibilities:**
* Lead and contribute to the design and hands\-on implementation of AI/ML systems that enables Optum to provide delighting consumer conversational ai experiences in a reliable, and cost\-effective manner
* Partner with product managers, data scientists, software engineers, and business stakeholders to translate business requirements into scalable AI systems
* Leverage AI assisted tools for design, implementation, code reviews, and testing, driving cross\-org architectural alignment
* Ensure the delivery of high\-quality, maintainable, and efficient code and specifications. Lead by example to deliver product quality the first time
* Drive architectural decisions and contribute to our long\-term technical strategy for AI/ML systems
* Own the full lifecycle of AI/ML initiatives\-from problem definition and data exploration to agent development, deployment, and monitoring
* Define project scope, success metrics, and timelines in collaboration with cross\-functional teams and ensure timely delivery while not compromising on quality
* Stay ahead of the curve on emerging AI/ML technologies, tools, and research, and evaluate their applicability to business problems
* Embrace and promote a culture of innovation through rapid iteration, experimentation and data driven decision\-making
* Be a trusted technical advisor to management, internal stakeholders, and customers
* Mentor and lead other engineers to reach their potential
* Participate in peer mentorship across the organization through knowledge sharing and cross\-team initiatives, help set agentic ai engineering standards, and influence executive\-level stakeholders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Data Science, or related field
* 7\+ years of experience in engineering, preferably with experience working on consumer\-facing products
* 5\+ years of experience leading technical teams
* 4\+ years of hands\-on experience in modern cloud infrastructure (AWS, Google, Azure)
* 2\+ years of experience in a team lead role
* Practical experience with AI technology stacks and deployment and operations methodologies in public cloud (Amazon Web Services technology stack preferred)
* Demonstratable knowledge of multiple programming languages
 **Preferred Qualifications:**
* Experience building robust, consumer\-facing software cloud\-native applications
* Experience with security reviews, threat modeling, or red\-teaming
* Proven solid communication skills to articulate technical concepts to other engineers and non\-technical stakeholders
* Proven solid infrastructure as code experience (Terraform, CDK, CloudFormation or equivalent)
* Proven solid governance / change management mindset, ideally with experience in data privacy / risk management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4">
      <c r="A4" t="inlineStr">
        <is>
          <t>in-be7ebbb03bb6f036</t>
        </is>
      </c>
      <c r="B4" t="inlineStr">
        <is>
          <t>Applied Scientist II, Prime Video - Personalization and Discovery Science, Personalization and Discovery Science</t>
        </is>
      </c>
      <c r="C4" t="inlineStr">
        <is>
          <t>Amazon.com</t>
        </is>
      </c>
      <c r="D4" t="inlineStr">
        <is>
          <t>indeed</t>
        </is>
      </c>
      <c r="E4" t="inlineStr"/>
      <c r="F4" t="inlineStr"/>
      <c r="G4" t="inlineStr">
        <is>
          <t>Sunnyvale, CA, US</t>
        </is>
      </c>
      <c r="H4" s="2" t="n">
        <v>45930</v>
      </c>
      <c r="I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in-9c3460baa5624492</t>
        </is>
      </c>
      <c r="B5" t="inlineStr">
        <is>
          <t>Applied Scientist II, Prime Video - Personalization and Discovery Science, Personalization and Discovery Science</t>
        </is>
      </c>
      <c r="C5" t="inlineStr">
        <is>
          <t>Amazon.com</t>
        </is>
      </c>
      <c r="D5" t="inlineStr">
        <is>
          <t>indeed</t>
        </is>
      </c>
      <c r="E5" t="inlineStr"/>
      <c r="F5" t="inlineStr"/>
      <c r="G5" t="inlineStr">
        <is>
          <t>New York, NY, US</t>
        </is>
      </c>
      <c r="H5" s="2" t="n">
        <v>45930</v>
      </c>
      <c r="I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in-30e385688149a2bd</t>
        </is>
      </c>
      <c r="B6" t="inlineStr">
        <is>
          <t>Applied Scientist II, Prime Video - Personalization and Discovery Science, Personalization and Discovery Science</t>
        </is>
      </c>
      <c r="C6" t="inlineStr">
        <is>
          <t>Amazon.com</t>
        </is>
      </c>
      <c r="D6" t="inlineStr">
        <is>
          <t>indeed</t>
        </is>
      </c>
      <c r="E6" t="inlineStr"/>
      <c r="F6" t="inlineStr"/>
      <c r="G6" t="inlineStr">
        <is>
          <t>Seattle, WA, US</t>
        </is>
      </c>
      <c r="H6" s="2"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in-1170786bde7061ac</t>
        </is>
      </c>
      <c r="B7" t="inlineStr">
        <is>
          <t>Sr. Applied Scientist, Prime Video - Personalization and Discovery Science</t>
        </is>
      </c>
      <c r="C7" t="inlineStr">
        <is>
          <t>Amazon.com</t>
        </is>
      </c>
      <c r="D7" t="inlineStr">
        <is>
          <t>indeed</t>
        </is>
      </c>
      <c r="E7" t="inlineStr"/>
      <c r="F7" t="inlineStr"/>
      <c r="G7" t="inlineStr">
        <is>
          <t>Seattle, WA, US</t>
        </is>
      </c>
      <c r="H7" s="2" t="n">
        <v>45881</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in-8ed7076a855da468</t>
        </is>
      </c>
      <c r="B8" t="inlineStr">
        <is>
          <t>Applied Scientist II, Prime Video - Personalization and Discovery Science</t>
        </is>
      </c>
      <c r="C8" t="inlineStr">
        <is>
          <t>Amazon.com</t>
        </is>
      </c>
      <c r="D8" t="inlineStr">
        <is>
          <t>indeed</t>
        </is>
      </c>
      <c r="E8" t="inlineStr"/>
      <c r="F8" t="inlineStr"/>
      <c r="G8" t="inlineStr">
        <is>
          <t>Seattle, WA, US</t>
        </is>
      </c>
      <c r="H8" s="2" t="n">
        <v>45881</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in-0184780a801375ae</t>
        </is>
      </c>
      <c r="B9" t="inlineStr">
        <is>
          <t>Sr. Applied Scientist, Prime Video - Personalization and Discovery Science</t>
        </is>
      </c>
      <c r="C9" t="inlineStr">
        <is>
          <t>Amazon.com</t>
        </is>
      </c>
      <c r="D9" t="inlineStr">
        <is>
          <t>indeed</t>
        </is>
      </c>
      <c r="E9" t="inlineStr"/>
      <c r="F9" t="inlineStr"/>
      <c r="G9" t="inlineStr">
        <is>
          <t>Sunnyvale, CA, US</t>
        </is>
      </c>
      <c r="H9" s="2" t="n">
        <v>45881</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in-ff90d9756e4a7610</t>
        </is>
      </c>
      <c r="B10" t="inlineStr">
        <is>
          <t>Sr. Applied Scientist, Prime Video - Personalization and Discovery Science</t>
        </is>
      </c>
      <c r="C10" t="inlineStr">
        <is>
          <t>Amazon.com</t>
        </is>
      </c>
      <c r="D10" t="inlineStr">
        <is>
          <t>indeed</t>
        </is>
      </c>
      <c r="E10" t="inlineStr"/>
      <c r="F10" t="inlineStr"/>
      <c r="G10" t="inlineStr">
        <is>
          <t>New York, NY, US</t>
        </is>
      </c>
      <c r="H10" s="2" t="n">
        <v>45881</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in-ebc5167d3eb23242</t>
        </is>
      </c>
      <c r="B11" t="inlineStr">
        <is>
          <t>Applied Scientist II, Prime Video - Personalization and Discovery Science</t>
        </is>
      </c>
      <c r="C11" t="inlineStr">
        <is>
          <t>Amazon.com</t>
        </is>
      </c>
      <c r="D11" t="inlineStr">
        <is>
          <t>indeed</t>
        </is>
      </c>
      <c r="E11" t="inlineStr"/>
      <c r="F11" t="inlineStr"/>
      <c r="G11" t="inlineStr">
        <is>
          <t>Sunnyvale, CA, US</t>
        </is>
      </c>
      <c r="H11" s="2" t="n">
        <v>45881</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in-e63ecd956b30b3fe</t>
        </is>
      </c>
      <c r="B12" t="inlineStr">
        <is>
          <t>Applied Scientist II, Prime Video - Personalization and Discovery Science</t>
        </is>
      </c>
      <c r="C12" t="inlineStr">
        <is>
          <t>Amazon.com</t>
        </is>
      </c>
      <c r="D12" t="inlineStr">
        <is>
          <t>indeed</t>
        </is>
      </c>
      <c r="E12" t="inlineStr"/>
      <c r="F12" t="inlineStr"/>
      <c r="G12" t="inlineStr">
        <is>
          <t>New York, NY, US</t>
        </is>
      </c>
      <c r="H12" s="2" t="n">
        <v>45881</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in-1a5a2cf26a8a40fa</t>
        </is>
      </c>
      <c r="B13" t="inlineStr">
        <is>
          <t>Applied Scientist, Amazon Special Projects</t>
        </is>
      </c>
      <c r="C13" t="inlineStr">
        <is>
          <t>Amazon.com</t>
        </is>
      </c>
      <c r="D13" t="inlineStr">
        <is>
          <t>indeed</t>
        </is>
      </c>
      <c r="E13" t="inlineStr"/>
      <c r="F13" t="inlineStr"/>
      <c r="G13" t="inlineStr">
        <is>
          <t>Seattle, WA, US</t>
        </is>
      </c>
      <c r="H13" s="2" t="n">
        <v>46026</v>
      </c>
      <c r="I1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in-75a20fc83f7117e8</t>
        </is>
      </c>
      <c r="B14" t="inlineStr">
        <is>
          <t>Applied Scientist, Amazon Special Projects</t>
        </is>
      </c>
      <c r="C14" t="inlineStr">
        <is>
          <t>Amazon.com</t>
        </is>
      </c>
      <c r="D14" t="inlineStr">
        <is>
          <t>indeed</t>
        </is>
      </c>
      <c r="E14" t="inlineStr"/>
      <c r="F14" t="inlineStr"/>
      <c r="G14" t="inlineStr">
        <is>
          <t>Boston, MA, US</t>
        </is>
      </c>
      <c r="H14" s="2" t="n">
        <v>46026</v>
      </c>
      <c r="I14"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in-f17c618fde2b391b</t>
        </is>
      </c>
      <c r="B15" t="inlineStr">
        <is>
          <t>Applied Scientist, Last Mile Delivery Automation</t>
        </is>
      </c>
      <c r="C15" t="inlineStr">
        <is>
          <t>Amazon.com</t>
        </is>
      </c>
      <c r="D15" t="inlineStr">
        <is>
          <t>indeed</t>
        </is>
      </c>
      <c r="E15" t="inlineStr"/>
      <c r="F15" t="inlineStr"/>
      <c r="G15" t="inlineStr">
        <is>
          <t>Santa Clara, CA, US</t>
        </is>
      </c>
      <c r="H15" s="2" t="n">
        <v>46026</v>
      </c>
      <c r="I15"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in-e8105ad030d94b43</t>
        </is>
      </c>
      <c r="B16" t="inlineStr">
        <is>
          <t>Applied Scientist, Last Mile Delivery Automation</t>
        </is>
      </c>
      <c r="C16" t="inlineStr">
        <is>
          <t>Amazon.com</t>
        </is>
      </c>
      <c r="D16" t="inlineStr">
        <is>
          <t>indeed</t>
        </is>
      </c>
      <c r="E16" t="inlineStr"/>
      <c r="F16" t="inlineStr"/>
      <c r="G16" t="inlineStr">
        <is>
          <t>Bellevue, WA, US</t>
        </is>
      </c>
      <c r="H16" s="2" t="n">
        <v>46026</v>
      </c>
      <c r="I16"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in-7d4d69801df38fbd</t>
        </is>
      </c>
      <c r="B17" t="inlineStr">
        <is>
          <t>Senior Applied Scientist, Distributed SQL</t>
        </is>
      </c>
      <c r="C17" t="inlineStr">
        <is>
          <t>Amazon Web Services</t>
        </is>
      </c>
      <c r="D17" t="inlineStr">
        <is>
          <t>indeed</t>
        </is>
      </c>
      <c r="E17" t="inlineStr"/>
      <c r="F17" t="inlineStr"/>
      <c r="G17" t="inlineStr">
        <is>
          <t>East Palo Alto, CA, US</t>
        </is>
      </c>
      <c r="H17" s="2" t="n">
        <v>46012</v>
      </c>
      <c r="I1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8">
      <c r="A18" t="inlineStr">
        <is>
          <t>in-f1a0c9bc18f69620</t>
        </is>
      </c>
      <c r="B18" t="inlineStr">
        <is>
          <t>Senior Applied Scientist, Distributed SQL</t>
        </is>
      </c>
      <c r="C18" t="inlineStr">
        <is>
          <t>Amazon Web Services</t>
        </is>
      </c>
      <c r="D18" t="inlineStr">
        <is>
          <t>indeed</t>
        </is>
      </c>
      <c r="E18" t="inlineStr"/>
      <c r="F18" t="inlineStr"/>
      <c r="G18" t="inlineStr">
        <is>
          <t>Seattle, WA, US</t>
        </is>
      </c>
      <c r="H18" s="2" t="n">
        <v>46012</v>
      </c>
      <c r="I1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19">
      <c r="A19" t="inlineStr">
        <is>
          <t>in-65ea8f3b63440318</t>
        </is>
      </c>
      <c r="B19" t="inlineStr">
        <is>
          <t>Sr. Applied Scientist, Amazon Ads</t>
        </is>
      </c>
      <c r="C19" t="inlineStr">
        <is>
          <t>Amazon.com</t>
        </is>
      </c>
      <c r="D19" t="inlineStr">
        <is>
          <t>indeed</t>
        </is>
      </c>
      <c r="E19" t="inlineStr"/>
      <c r="F19" t="inlineStr"/>
      <c r="G19" t="inlineStr">
        <is>
          <t>Tukwila, WA, US</t>
        </is>
      </c>
      <c r="H19" s="2" t="n">
        <v>45998</v>
      </c>
      <c r="I1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0">
      <c r="A20" t="inlineStr">
        <is>
          <t>in-6c42d2adf5e9bf35</t>
        </is>
      </c>
      <c r="B20" t="inlineStr">
        <is>
          <t>Sr. Applied Scientist, Amazon Ads</t>
        </is>
      </c>
      <c r="C20" t="inlineStr">
        <is>
          <t>Amazon.com</t>
        </is>
      </c>
      <c r="D20" t="inlineStr">
        <is>
          <t>indeed</t>
        </is>
      </c>
      <c r="E20" t="inlineStr"/>
      <c r="F20" t="inlineStr"/>
      <c r="G20" t="inlineStr">
        <is>
          <t>Palo Alto, CA, US</t>
        </is>
      </c>
      <c r="H20" s="2" t="n">
        <v>45998</v>
      </c>
      <c r="I2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1">
      <c r="A21" t="inlineStr">
        <is>
          <t>in-01f5534fa6660dfe</t>
        </is>
      </c>
      <c r="B21" t="inlineStr">
        <is>
          <t>Sr. Applied Scientist, Amazon Ads</t>
        </is>
      </c>
      <c r="C21" t="inlineStr">
        <is>
          <t>Amazon.com</t>
        </is>
      </c>
      <c r="D21" t="inlineStr">
        <is>
          <t>indeed</t>
        </is>
      </c>
      <c r="E21" t="inlineStr"/>
      <c r="F21" t="inlineStr"/>
      <c r="G21" t="inlineStr">
        <is>
          <t>Corvallis, OR, US</t>
        </is>
      </c>
      <c r="H21" s="2" t="n">
        <v>45998</v>
      </c>
      <c r="I2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2">
      <c r="A22" t="inlineStr">
        <is>
          <t>in-15f4641d8a5b2fdc</t>
        </is>
      </c>
      <c r="B22" t="inlineStr">
        <is>
          <t>Sr. Applied Scientist, Amazon Ads</t>
        </is>
      </c>
      <c r="C22" t="inlineStr">
        <is>
          <t>Amazon.com</t>
        </is>
      </c>
      <c r="D22" t="inlineStr">
        <is>
          <t>indeed</t>
        </is>
      </c>
      <c r="E22" t="inlineStr"/>
      <c r="F22" t="inlineStr"/>
      <c r="G22" t="inlineStr">
        <is>
          <t>Boston, MA, US</t>
        </is>
      </c>
      <c r="H22" s="2" t="n">
        <v>45998</v>
      </c>
      <c r="I2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3">
      <c r="A23" t="inlineStr">
        <is>
          <t>in-16d2ff666e786f5b</t>
        </is>
      </c>
      <c r="B23" t="inlineStr">
        <is>
          <t>Sr. Applied Scientist, Amazon Ads</t>
        </is>
      </c>
      <c r="C23" t="inlineStr">
        <is>
          <t>Amazon.com</t>
        </is>
      </c>
      <c r="D23" t="inlineStr">
        <is>
          <t>indeed</t>
        </is>
      </c>
      <c r="E23" t="inlineStr"/>
      <c r="F23" t="inlineStr"/>
      <c r="G23" t="inlineStr">
        <is>
          <t>Seattle, WA, US</t>
        </is>
      </c>
      <c r="H23" s="2" t="n">
        <v>45998</v>
      </c>
      <c r="I2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4">
      <c r="A24" t="inlineStr">
        <is>
          <t>in-884356df471008f7</t>
        </is>
      </c>
      <c r="B24" t="inlineStr">
        <is>
          <t>Sr. Applied Scientist, Amazon Ads</t>
        </is>
      </c>
      <c r="C24" t="inlineStr">
        <is>
          <t>Amazon.com</t>
        </is>
      </c>
      <c r="D24" t="inlineStr">
        <is>
          <t>indeed</t>
        </is>
      </c>
      <c r="E24" t="inlineStr"/>
      <c r="F24" t="inlineStr"/>
      <c r="G24" t="inlineStr">
        <is>
          <t>Santa Monica, CA, US</t>
        </is>
      </c>
      <c r="H24" s="2" t="n">
        <v>45998</v>
      </c>
      <c r="I2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5">
      <c r="A25" t="inlineStr">
        <is>
          <t>in-fcc6303caf8cb3a5</t>
        </is>
      </c>
      <c r="B25" t="inlineStr">
        <is>
          <t>Sr. Applied Scientist, Amazon Ads</t>
        </is>
      </c>
      <c r="C25" t="inlineStr">
        <is>
          <t>Amazon.com</t>
        </is>
      </c>
      <c r="D25" t="inlineStr">
        <is>
          <t>indeed</t>
        </is>
      </c>
      <c r="E25" t="inlineStr"/>
      <c r="F25" t="inlineStr"/>
      <c r="G25" t="inlineStr">
        <is>
          <t>Sunnyvale, CA, US</t>
        </is>
      </c>
      <c r="H25" s="2" t="n">
        <v>45998</v>
      </c>
      <c r="I2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6">
      <c r="A26" t="inlineStr">
        <is>
          <t>in-cffb5ebeeff2ed64</t>
        </is>
      </c>
      <c r="B26" t="inlineStr">
        <is>
          <t>Sr. Applied Scientist, Amazon Ads</t>
        </is>
      </c>
      <c r="C26" t="inlineStr">
        <is>
          <t>Amazon.com</t>
        </is>
      </c>
      <c r="D26" t="inlineStr">
        <is>
          <t>indeed</t>
        </is>
      </c>
      <c r="E26" t="inlineStr"/>
      <c r="F26" t="inlineStr"/>
      <c r="G26" t="inlineStr">
        <is>
          <t>Boulder, CO, US</t>
        </is>
      </c>
      <c r="H26" s="2" t="n">
        <v>45998</v>
      </c>
      <c r="I2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7">
      <c r="A27" t="inlineStr">
        <is>
          <t>in-95038bd2657a55d7</t>
        </is>
      </c>
      <c r="B27" t="inlineStr">
        <is>
          <t>Sr. Applied Scientist, Amazon Ads</t>
        </is>
      </c>
      <c r="C27" t="inlineStr">
        <is>
          <t>Amazon.com</t>
        </is>
      </c>
      <c r="D27" t="inlineStr">
        <is>
          <t>indeed</t>
        </is>
      </c>
      <c r="E27" t="inlineStr"/>
      <c r="F27" t="inlineStr"/>
      <c r="G27" t="inlineStr">
        <is>
          <t>New York, NY, US</t>
        </is>
      </c>
      <c r="H27" s="2" t="n">
        <v>45998</v>
      </c>
      <c r="I2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8">
      <c r="A28" t="inlineStr">
        <is>
          <t>in-c023c4f47a2664c2</t>
        </is>
      </c>
      <c r="B28" t="inlineStr">
        <is>
          <t>Sr. Applied Scientist, Amazon Ads</t>
        </is>
      </c>
      <c r="C28" t="inlineStr">
        <is>
          <t>Amazon.com</t>
        </is>
      </c>
      <c r="D28" t="inlineStr">
        <is>
          <t>indeed</t>
        </is>
      </c>
      <c r="E28" t="inlineStr"/>
      <c r="F28" t="inlineStr"/>
      <c r="G28" t="inlineStr">
        <is>
          <t>Brooklyn, NY, US</t>
        </is>
      </c>
      <c r="H28" s="2" t="n">
        <v>45998</v>
      </c>
      <c r="I2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29">
      <c r="A29" t="inlineStr">
        <is>
          <t>in-a562ad68472c14d9</t>
        </is>
      </c>
      <c r="B29" t="inlineStr">
        <is>
          <t>Sr. Machine Learning Engineer, AGIF | Finetuning</t>
        </is>
      </c>
      <c r="C29" t="inlineStr">
        <is>
          <t>Amazon.com</t>
        </is>
      </c>
      <c r="D29" t="inlineStr">
        <is>
          <t>indeed</t>
        </is>
      </c>
      <c r="E29" t="inlineStr"/>
      <c r="F29" t="inlineStr"/>
      <c r="G29" t="inlineStr">
        <is>
          <t>Sunnyvale, CA, US</t>
        </is>
      </c>
      <c r="H29" s="2" t="n">
        <v>45984</v>
      </c>
      <c r="I2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in-3354907bf95e07ed</t>
        </is>
      </c>
      <c r="B30" t="inlineStr">
        <is>
          <t>Sr. Machine Learning Engineer, AGIF | Finetuning</t>
        </is>
      </c>
      <c r="C30" t="inlineStr">
        <is>
          <t>Amazon.com</t>
        </is>
      </c>
      <c r="D30" t="inlineStr">
        <is>
          <t>indeed</t>
        </is>
      </c>
      <c r="E30" t="inlineStr"/>
      <c r="F30" t="inlineStr"/>
      <c r="G30" t="inlineStr">
        <is>
          <t>Bellevue, WA, US</t>
        </is>
      </c>
      <c r="H30" s="2" t="n">
        <v>45984</v>
      </c>
      <c r="I30"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in-e66831459b85cd52</t>
        </is>
      </c>
      <c r="B31" t="inlineStr">
        <is>
          <t>Sr. Machine Learning Engineer, AGIF | Finetuning</t>
        </is>
      </c>
      <c r="C31" t="inlineStr">
        <is>
          <t>Amazon.com</t>
        </is>
      </c>
      <c r="D31" t="inlineStr">
        <is>
          <t>indeed</t>
        </is>
      </c>
      <c r="E31" t="inlineStr"/>
      <c r="F31" t="inlineStr"/>
      <c r="G31" t="inlineStr">
        <is>
          <t>New York, NY, US</t>
        </is>
      </c>
      <c r="H31" s="2" t="n">
        <v>45984</v>
      </c>
      <c r="I3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in-5be405ff34651675</t>
        </is>
      </c>
      <c r="B32" t="inlineStr">
        <is>
          <t>Senior Applied Scientist, Artificial General Intelligence</t>
        </is>
      </c>
      <c r="C32" t="inlineStr">
        <is>
          <t>Amazon.com</t>
        </is>
      </c>
      <c r="D32" t="inlineStr">
        <is>
          <t>indeed</t>
        </is>
      </c>
      <c r="E32" t="inlineStr"/>
      <c r="F32" t="inlineStr"/>
      <c r="G32" t="inlineStr">
        <is>
          <t>New York, NY, US</t>
        </is>
      </c>
      <c r="H32" s="2" t="n">
        <v>45980</v>
      </c>
      <c r="I3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in-4e3e8fd3f65fc251</t>
        </is>
      </c>
      <c r="B33" t="inlineStr">
        <is>
          <t>Senior Applied Scientist, Artificial General Intelligence</t>
        </is>
      </c>
      <c r="C33" t="inlineStr">
        <is>
          <t>Amazon.com</t>
        </is>
      </c>
      <c r="D33" t="inlineStr">
        <is>
          <t>indeed</t>
        </is>
      </c>
      <c r="E33" t="inlineStr"/>
      <c r="F33" t="inlineStr"/>
      <c r="G33" t="inlineStr">
        <is>
          <t>Sunnyvale, CA, US</t>
        </is>
      </c>
      <c r="H33" s="2" t="n">
        <v>45980</v>
      </c>
      <c r="I3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in-dddb410e43266817</t>
        </is>
      </c>
      <c r="B34" t="inlineStr">
        <is>
          <t>Senior Applied Scientist, Artificial General Intelligence</t>
        </is>
      </c>
      <c r="C34" t="inlineStr">
        <is>
          <t>Amazon.com</t>
        </is>
      </c>
      <c r="D34" t="inlineStr">
        <is>
          <t>indeed</t>
        </is>
      </c>
      <c r="E34" t="inlineStr"/>
      <c r="F34" t="inlineStr"/>
      <c r="G34" t="inlineStr">
        <is>
          <t>Seattle, WA, US</t>
        </is>
      </c>
      <c r="H34" s="2" t="n">
        <v>45980</v>
      </c>
      <c r="I3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in-f3d26b3e1468f314</t>
        </is>
      </c>
      <c r="B35" t="inlineStr">
        <is>
          <t>Senior Applied Scientist, Artificial General Intelligence</t>
        </is>
      </c>
      <c r="C35" t="inlineStr">
        <is>
          <t>Amazon.com</t>
        </is>
      </c>
      <c r="D35" t="inlineStr">
        <is>
          <t>indeed</t>
        </is>
      </c>
      <c r="E35" t="inlineStr"/>
      <c r="F35" t="inlineStr"/>
      <c r="G35" t="inlineStr">
        <is>
          <t>Boston, MA, US</t>
        </is>
      </c>
      <c r="H35" s="2" t="n">
        <v>45980</v>
      </c>
      <c r="I3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in-9bb1627db8a0dc3f</t>
        </is>
      </c>
      <c r="B36" t="inlineStr">
        <is>
          <t>Applied Scientist II, SPB Advertiser Guidance</t>
        </is>
      </c>
      <c r="C36" t="inlineStr">
        <is>
          <t>Amazon.com</t>
        </is>
      </c>
      <c r="D36" t="inlineStr">
        <is>
          <t>indeed</t>
        </is>
      </c>
      <c r="E36" t="inlineStr"/>
      <c r="F36" t="inlineStr"/>
      <c r="G36" t="inlineStr">
        <is>
          <t>New York, NY, US</t>
        </is>
      </c>
      <c r="H36" s="2" t="n">
        <v>45980</v>
      </c>
      <c r="I36"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in-6f9a794ab5fc13b8</t>
        </is>
      </c>
      <c r="B37" t="inlineStr">
        <is>
          <t>Applied Scientist II, SPB Advertiser Guidance</t>
        </is>
      </c>
      <c r="C37" t="inlineStr">
        <is>
          <t>Amazon.com</t>
        </is>
      </c>
      <c r="D37" t="inlineStr">
        <is>
          <t>indeed</t>
        </is>
      </c>
      <c r="E37" t="inlineStr"/>
      <c r="F37" t="inlineStr"/>
      <c r="G37" t="inlineStr">
        <is>
          <t>Palo Alto, CA, US</t>
        </is>
      </c>
      <c r="H37" s="2" t="n">
        <v>45980</v>
      </c>
      <c r="I37"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in-b8a093a1f904920e</t>
        </is>
      </c>
      <c r="B38" t="inlineStr">
        <is>
          <t>Applied Scientist II, SPB Advertiser Guidance</t>
        </is>
      </c>
      <c r="C38" t="inlineStr">
        <is>
          <t>Amazon.com</t>
        </is>
      </c>
      <c r="D38" t="inlineStr">
        <is>
          <t>indeed</t>
        </is>
      </c>
      <c r="E38" t="inlineStr"/>
      <c r="F38" t="inlineStr"/>
      <c r="G38" t="inlineStr">
        <is>
          <t>Seattle, WA, US</t>
        </is>
      </c>
      <c r="H38" s="2" t="n">
        <v>45980</v>
      </c>
      <c r="I38"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in-a00bcf321af0e4a7</t>
        </is>
      </c>
      <c r="B39" t="inlineStr">
        <is>
          <t>Principal Applied Scientist, Sponsored Products and Brands</t>
        </is>
      </c>
      <c r="C39" t="inlineStr">
        <is>
          <t>Amazon.com</t>
        </is>
      </c>
      <c r="D39" t="inlineStr">
        <is>
          <t>indeed</t>
        </is>
      </c>
      <c r="E39" t="inlineStr"/>
      <c r="F39" t="inlineStr"/>
      <c r="G39" t="inlineStr">
        <is>
          <t>Seattle, WA, US</t>
        </is>
      </c>
      <c r="H39" s="2" t="n">
        <v>45979</v>
      </c>
      <c r="I39"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in-d7f51bc65e66daf5</t>
        </is>
      </c>
      <c r="B40" t="inlineStr">
        <is>
          <t>Principal Applied Scientist, Sponsored Products and Brands</t>
        </is>
      </c>
      <c r="C40" t="inlineStr">
        <is>
          <t>Amazon.com</t>
        </is>
      </c>
      <c r="D40" t="inlineStr">
        <is>
          <t>indeed</t>
        </is>
      </c>
      <c r="E40" t="inlineStr"/>
      <c r="F40" t="inlineStr"/>
      <c r="G40" t="inlineStr">
        <is>
          <t>New York, NY, US</t>
        </is>
      </c>
      <c r="H40" s="2" t="n">
        <v>45979</v>
      </c>
      <c r="I4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in-4b5fc6ebb38521cf</t>
        </is>
      </c>
      <c r="B41" t="inlineStr">
        <is>
          <t>Applied Scientist, Personalization, DTx Science</t>
        </is>
      </c>
      <c r="C41" t="inlineStr">
        <is>
          <t>Amazon.com</t>
        </is>
      </c>
      <c r="D41" t="inlineStr">
        <is>
          <t>indeed</t>
        </is>
      </c>
      <c r="E41" t="inlineStr"/>
      <c r="F41" t="inlineStr"/>
      <c r="G41" t="inlineStr">
        <is>
          <t>New York, NY, US</t>
        </is>
      </c>
      <c r="H41" s="2" t="n">
        <v>45979</v>
      </c>
      <c r="I41"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2">
      <c r="A42" t="inlineStr">
        <is>
          <t>in-06020756cab1ac32</t>
        </is>
      </c>
      <c r="B42" t="inlineStr">
        <is>
          <t>Applied Scientist, Personalization, DTx Science</t>
        </is>
      </c>
      <c r="C42" t="inlineStr">
        <is>
          <t>Amazon.com</t>
        </is>
      </c>
      <c r="D42" t="inlineStr">
        <is>
          <t>indeed</t>
        </is>
      </c>
      <c r="E42" t="inlineStr"/>
      <c r="F42" t="inlineStr"/>
      <c r="G42" t="inlineStr">
        <is>
          <t>Seattle, WA, US</t>
        </is>
      </c>
      <c r="H42" s="2" t="n">
        <v>45979</v>
      </c>
      <c r="I42"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43">
      <c r="A43" t="inlineStr">
        <is>
          <t>in-6174ff5e20005339</t>
        </is>
      </c>
      <c r="B43" t="inlineStr">
        <is>
          <t>Sr. Applied Scientist, AGI Foundations</t>
        </is>
      </c>
      <c r="C43" t="inlineStr">
        <is>
          <t>Amazon.com</t>
        </is>
      </c>
      <c r="D43" t="inlineStr">
        <is>
          <t>indeed</t>
        </is>
      </c>
      <c r="E43" t="inlineStr"/>
      <c r="F43" t="inlineStr"/>
      <c r="G43" t="inlineStr">
        <is>
          <t>Sunnyvale, CA, US</t>
        </is>
      </c>
      <c r="H43" s="2" t="n">
        <v>45978</v>
      </c>
      <c r="I4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in-d2c5e610b8ff22cc</t>
        </is>
      </c>
      <c r="B44" t="inlineStr">
        <is>
          <t>Sr. Applied Scientist, AGI Foundations</t>
        </is>
      </c>
      <c r="C44" t="inlineStr">
        <is>
          <t>Amazon.com</t>
        </is>
      </c>
      <c r="D44" t="inlineStr">
        <is>
          <t>indeed</t>
        </is>
      </c>
      <c r="E44" t="inlineStr"/>
      <c r="F44" t="inlineStr"/>
      <c r="G44" t="inlineStr">
        <is>
          <t>Bellevue, WA, US</t>
        </is>
      </c>
      <c r="H44" s="2" t="n">
        <v>45978</v>
      </c>
      <c r="I4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in-3f33996c9587aa19</t>
        </is>
      </c>
      <c r="B45" t="inlineStr">
        <is>
          <t>Sr. Applied Scientist, AGI Foundations</t>
        </is>
      </c>
      <c r="C45" t="inlineStr">
        <is>
          <t>Amazon.com</t>
        </is>
      </c>
      <c r="D45" t="inlineStr">
        <is>
          <t>indeed</t>
        </is>
      </c>
      <c r="E45" t="inlineStr"/>
      <c r="F45" t="inlineStr"/>
      <c r="G45" t="inlineStr">
        <is>
          <t>Boston, MA, US</t>
        </is>
      </c>
      <c r="H45" s="2" t="n">
        <v>45978</v>
      </c>
      <c r="I4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in-2eed1d896a508050</t>
        </is>
      </c>
      <c r="B46" t="inlineStr">
        <is>
          <t>Sr. Applied Scientist, AGI Foundations</t>
        </is>
      </c>
      <c r="C46" t="inlineStr">
        <is>
          <t>Amazon.com</t>
        </is>
      </c>
      <c r="D46" t="inlineStr">
        <is>
          <t>indeed</t>
        </is>
      </c>
      <c r="E46" t="inlineStr"/>
      <c r="F46" t="inlineStr"/>
      <c r="G46" t="inlineStr">
        <is>
          <t>New York, NY, US</t>
        </is>
      </c>
      <c r="H46" s="2" t="n">
        <v>45978</v>
      </c>
      <c r="I4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in-2e708639eef71315</t>
        </is>
      </c>
      <c r="B47" t="inlineStr">
        <is>
          <t>Principal Applied Scientist, Amazon AGI</t>
        </is>
      </c>
      <c r="C47" t="inlineStr">
        <is>
          <t>Amazon.com</t>
        </is>
      </c>
      <c r="D47" t="inlineStr">
        <is>
          <t>indeed</t>
        </is>
      </c>
      <c r="E47" t="inlineStr"/>
      <c r="F47" t="inlineStr"/>
      <c r="G47" t="inlineStr">
        <is>
          <t>Boston, MA, US</t>
        </is>
      </c>
      <c r="H47" s="2" t="n">
        <v>45964</v>
      </c>
      <c r="I4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in-299ca5e61d1a7153</t>
        </is>
      </c>
      <c r="B48" t="inlineStr">
        <is>
          <t>Principal Applied Scientist, Amazon AGI</t>
        </is>
      </c>
      <c r="C48" t="inlineStr">
        <is>
          <t>Amazon.com</t>
        </is>
      </c>
      <c r="D48" t="inlineStr">
        <is>
          <t>indeed</t>
        </is>
      </c>
      <c r="E48" t="inlineStr"/>
      <c r="F48" t="inlineStr"/>
      <c r="G48" t="inlineStr">
        <is>
          <t>San Francisco, CA, US</t>
        </is>
      </c>
      <c r="H48" s="2" t="n">
        <v>45964</v>
      </c>
      <c r="I4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in-67347898eadab6f3</t>
        </is>
      </c>
      <c r="B49" t="inlineStr">
        <is>
          <t>Sr. Applied Scientist, AGI Foundations</t>
        </is>
      </c>
      <c r="C49" t="inlineStr">
        <is>
          <t>Amazon.com</t>
        </is>
      </c>
      <c r="D49" t="inlineStr">
        <is>
          <t>indeed</t>
        </is>
      </c>
      <c r="E49" t="inlineStr"/>
      <c r="F49" t="inlineStr"/>
      <c r="G49" t="inlineStr">
        <is>
          <t>Boston, MA, US</t>
        </is>
      </c>
      <c r="H49" s="2" t="n">
        <v>45963</v>
      </c>
      <c r="I4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in-cc6b64d0d2d2b586</t>
        </is>
      </c>
      <c r="B50" t="inlineStr">
        <is>
          <t>Sr. Applied Scientist, AGI Foundations</t>
        </is>
      </c>
      <c r="C50" t="inlineStr">
        <is>
          <t>Amazon.com</t>
        </is>
      </c>
      <c r="D50" t="inlineStr">
        <is>
          <t>indeed</t>
        </is>
      </c>
      <c r="E50" t="inlineStr"/>
      <c r="F50" t="inlineStr"/>
      <c r="G50" t="inlineStr">
        <is>
          <t>Bellevue, WA, US</t>
        </is>
      </c>
      <c r="H50" s="2" t="n">
        <v>45963</v>
      </c>
      <c r="I5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in-305eb53db36f11be</t>
        </is>
      </c>
      <c r="B51" t="inlineStr">
        <is>
          <t>Sr. Applied Scientist, AGI Foundations</t>
        </is>
      </c>
      <c r="C51" t="inlineStr">
        <is>
          <t>Amazon.com</t>
        </is>
      </c>
      <c r="D51" t="inlineStr">
        <is>
          <t>indeed</t>
        </is>
      </c>
      <c r="E51" t="inlineStr"/>
      <c r="F51" t="inlineStr"/>
      <c r="G51" t="inlineStr">
        <is>
          <t>New York, NY, US</t>
        </is>
      </c>
      <c r="H51" s="2" t="n">
        <v>45963</v>
      </c>
      <c r="I5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in-ae9f81decf02a6af</t>
        </is>
      </c>
      <c r="B52" t="inlineStr">
        <is>
          <t>Applied Scientist, AWS Agentic AI</t>
        </is>
      </c>
      <c r="C52" t="inlineStr">
        <is>
          <t>Amazon Web Services</t>
        </is>
      </c>
      <c r="D52" t="inlineStr">
        <is>
          <t>indeed</t>
        </is>
      </c>
      <c r="E52" t="inlineStr"/>
      <c r="F52" t="inlineStr"/>
      <c r="G52" t="inlineStr">
        <is>
          <t>Santa Clara, CA, US</t>
        </is>
      </c>
      <c r="H52" s="2" t="n">
        <v>45962</v>
      </c>
      <c r="I5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in-bec63a2de09d66c8</t>
        </is>
      </c>
      <c r="B53" t="inlineStr">
        <is>
          <t>Applied Scientist, AWS Agentic AI</t>
        </is>
      </c>
      <c r="C53" t="inlineStr">
        <is>
          <t>Amazon Web Services</t>
        </is>
      </c>
      <c r="D53" t="inlineStr">
        <is>
          <t>indeed</t>
        </is>
      </c>
      <c r="E53" t="inlineStr"/>
      <c r="F53" t="inlineStr"/>
      <c r="G53" t="inlineStr">
        <is>
          <t>New York, NY, US</t>
        </is>
      </c>
      <c r="H53" s="2" t="n">
        <v>45962</v>
      </c>
      <c r="I5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in-9cb91a13d76c2acf</t>
        </is>
      </c>
      <c r="B54" t="inlineStr">
        <is>
          <t>Applied Scientist, AWS Agentic AI</t>
        </is>
      </c>
      <c r="C54" t="inlineStr">
        <is>
          <t>Amazon Web Services</t>
        </is>
      </c>
      <c r="D54" t="inlineStr">
        <is>
          <t>indeed</t>
        </is>
      </c>
      <c r="E54" t="inlineStr"/>
      <c r="F54" t="inlineStr"/>
      <c r="G54" t="inlineStr">
        <is>
          <t>Seattle, WA, US</t>
        </is>
      </c>
      <c r="H54" s="2" t="n">
        <v>45962</v>
      </c>
      <c r="I5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in-85b32a3ac127bfe7</t>
        </is>
      </c>
      <c r="B55" t="inlineStr">
        <is>
          <t>Applied Scientist, Prime Video - Content Understanding, Localization &amp; Enrichment Team</t>
        </is>
      </c>
      <c r="C55" t="inlineStr">
        <is>
          <t>Amazon.com</t>
        </is>
      </c>
      <c r="D55" t="inlineStr">
        <is>
          <t>indeed</t>
        </is>
      </c>
      <c r="E55" t="inlineStr"/>
      <c r="F55" t="inlineStr"/>
      <c r="G55" t="inlineStr">
        <is>
          <t>San Francisco, CA, US</t>
        </is>
      </c>
      <c r="H55" s="2" t="n">
        <v>45943</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56">
      <c r="A56" t="inlineStr">
        <is>
          <t>in-ae698748a4615631</t>
        </is>
      </c>
      <c r="B56" t="inlineStr">
        <is>
          <t>Applied Scientist, Prime Video - Content Understanding, Localization &amp; Enrichment Team</t>
        </is>
      </c>
      <c r="C56" t="inlineStr">
        <is>
          <t>Amazon.com</t>
        </is>
      </c>
      <c r="D56" t="inlineStr">
        <is>
          <t>indeed</t>
        </is>
      </c>
      <c r="E56" t="inlineStr"/>
      <c r="F56" t="inlineStr"/>
      <c r="G56" t="inlineStr">
        <is>
          <t>Seattle, WA, US</t>
        </is>
      </c>
      <c r="H56" s="2" t="n">
        <v>45943</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57">
      <c r="A57" t="inlineStr">
        <is>
          <t>in-d6ad4749927c77d7</t>
        </is>
      </c>
      <c r="B57" t="inlineStr">
        <is>
          <t>Principal Applied Scientist, Advertiser Growth, Amazon Sponsored Products &amp; Brands</t>
        </is>
      </c>
      <c r="C57" t="inlineStr">
        <is>
          <t>Amazon.com</t>
        </is>
      </c>
      <c r="D57" t="inlineStr">
        <is>
          <t>indeed</t>
        </is>
      </c>
      <c r="E57" t="inlineStr"/>
      <c r="F57" t="inlineStr"/>
      <c r="G57" t="inlineStr">
        <is>
          <t>Palo Alto, CA, US</t>
        </is>
      </c>
      <c r="H57" s="2" t="n">
        <v>45942</v>
      </c>
      <c r="I5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in-350b50d9deed38be</t>
        </is>
      </c>
      <c r="B58" t="inlineStr">
        <is>
          <t>Principal Applied Scientist, Advertiser Growth, Amazon Sponsored Products &amp; Brands</t>
        </is>
      </c>
      <c r="C58" t="inlineStr">
        <is>
          <t>Amazon.com</t>
        </is>
      </c>
      <c r="D58" t="inlineStr">
        <is>
          <t>indeed</t>
        </is>
      </c>
      <c r="E58" t="inlineStr"/>
      <c r="F58" t="inlineStr"/>
      <c r="G58" t="inlineStr">
        <is>
          <t>Seattle, WA, US</t>
        </is>
      </c>
      <c r="H58" s="2" t="n">
        <v>45942</v>
      </c>
      <c r="I5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in-90da3375d8d23ebc</t>
        </is>
      </c>
      <c r="B59" t="inlineStr">
        <is>
          <t>Principal Applied Scientist, Advertiser Growth, Amazon Sponsored Products &amp; Brands</t>
        </is>
      </c>
      <c r="C59" t="inlineStr">
        <is>
          <t>Amazon.com</t>
        </is>
      </c>
      <c r="D59" t="inlineStr">
        <is>
          <t>indeed</t>
        </is>
      </c>
      <c r="E59" t="inlineStr"/>
      <c r="F59" t="inlineStr"/>
      <c r="G59" t="inlineStr">
        <is>
          <t>New York, NY, US</t>
        </is>
      </c>
      <c r="H59" s="2" t="n">
        <v>45942</v>
      </c>
      <c r="I5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in-3cf7d207db224c5e</t>
        </is>
      </c>
      <c r="B60" t="inlineStr">
        <is>
          <t>Applied Scientist</t>
        </is>
      </c>
      <c r="C60" t="inlineStr">
        <is>
          <t>Amazon.com</t>
        </is>
      </c>
      <c r="D60" t="inlineStr">
        <is>
          <t>indeed</t>
        </is>
      </c>
      <c r="E60" t="inlineStr"/>
      <c r="F60" t="inlineStr"/>
      <c r="G60" t="inlineStr">
        <is>
          <t>Palo Alto, CA, US</t>
        </is>
      </c>
      <c r="H60" s="2" t="n">
        <v>45939</v>
      </c>
      <c r="I6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in-ca3cb9e91c3eb7ac</t>
        </is>
      </c>
      <c r="B61" t="inlineStr">
        <is>
          <t>Applied Scientist</t>
        </is>
      </c>
      <c r="C61" t="inlineStr">
        <is>
          <t>Amazon.com</t>
        </is>
      </c>
      <c r="D61" t="inlineStr">
        <is>
          <t>indeed</t>
        </is>
      </c>
      <c r="E61" t="inlineStr"/>
      <c r="F61" t="inlineStr"/>
      <c r="G61" t="inlineStr">
        <is>
          <t>Seattle, WA, US</t>
        </is>
      </c>
      <c r="H61" s="2" t="n">
        <v>45939</v>
      </c>
      <c r="I61"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in-09910c8fc721e9a5</t>
        </is>
      </c>
      <c r="B62" t="inlineStr">
        <is>
          <t>Sr. Applied Scientist, SPB Advertiser Guidance</t>
        </is>
      </c>
      <c r="C62" t="inlineStr">
        <is>
          <t>Amazon.com</t>
        </is>
      </c>
      <c r="D62" t="inlineStr">
        <is>
          <t>indeed</t>
        </is>
      </c>
      <c r="E62" t="inlineStr"/>
      <c r="F62" t="inlineStr"/>
      <c r="G62" t="inlineStr">
        <is>
          <t>New York, NY, US</t>
        </is>
      </c>
      <c r="H62" s="2" t="n">
        <v>45939</v>
      </c>
      <c r="I6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in-37abada669a4c1a7</t>
        </is>
      </c>
      <c r="B63" t="inlineStr">
        <is>
          <t>Applied Scientist</t>
        </is>
      </c>
      <c r="C63" t="inlineStr">
        <is>
          <t>Amazon.com</t>
        </is>
      </c>
      <c r="D63" t="inlineStr">
        <is>
          <t>indeed</t>
        </is>
      </c>
      <c r="E63" t="inlineStr"/>
      <c r="F63" t="inlineStr"/>
      <c r="G63" t="inlineStr">
        <is>
          <t>New York, NY, US</t>
        </is>
      </c>
      <c r="H63" s="2" t="n">
        <v>45939</v>
      </c>
      <c r="I6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in-928a8208592b3fc2</t>
        </is>
      </c>
      <c r="B64" t="inlineStr">
        <is>
          <t>Sr. Applied Scientist, SPB Advertiser Guidance</t>
        </is>
      </c>
      <c r="C64" t="inlineStr">
        <is>
          <t>Amazon.com</t>
        </is>
      </c>
      <c r="D64" t="inlineStr">
        <is>
          <t>indeed</t>
        </is>
      </c>
      <c r="E64" t="inlineStr"/>
      <c r="F64" t="inlineStr"/>
      <c r="G64" t="inlineStr">
        <is>
          <t>Palo Alto, CA, US</t>
        </is>
      </c>
      <c r="H64" s="2" t="n">
        <v>45939</v>
      </c>
      <c r="I6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in-705f5f1fdb70b4fa</t>
        </is>
      </c>
      <c r="B65" t="inlineStr">
        <is>
          <t>Sr. Applied Scientist, SPB Advertiser Guidance</t>
        </is>
      </c>
      <c r="C65" t="inlineStr">
        <is>
          <t>Amazon.com</t>
        </is>
      </c>
      <c r="D65" t="inlineStr">
        <is>
          <t>indeed</t>
        </is>
      </c>
      <c r="E65" t="inlineStr"/>
      <c r="F65" t="inlineStr"/>
      <c r="G65" t="inlineStr">
        <is>
          <t>Seattle, WA, US</t>
        </is>
      </c>
      <c r="H65" s="2" t="n">
        <v>45939</v>
      </c>
      <c r="I6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in-37810efe442ff857</t>
        </is>
      </c>
      <c r="B66" t="inlineStr">
        <is>
          <t>Applied Scientist, Workplace Health &amp; Safety</t>
        </is>
      </c>
      <c r="C66" t="inlineStr">
        <is>
          <t>Amazon.com</t>
        </is>
      </c>
      <c r="D66" t="inlineStr">
        <is>
          <t>indeed</t>
        </is>
      </c>
      <c r="E66" t="inlineStr"/>
      <c r="F66" t="inlineStr"/>
      <c r="G66" t="inlineStr">
        <is>
          <t>Bellevue, WA, US</t>
        </is>
      </c>
      <c r="H66" s="2" t="n">
        <v>45917</v>
      </c>
      <c r="I6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in-d4b60e2e3cedd7e7</t>
        </is>
      </c>
      <c r="B67" t="inlineStr">
        <is>
          <t>Applied Scientist, Workplace Health &amp; Safety</t>
        </is>
      </c>
      <c r="C67" t="inlineStr">
        <is>
          <t>Amazon.com</t>
        </is>
      </c>
      <c r="D67" t="inlineStr">
        <is>
          <t>indeed</t>
        </is>
      </c>
      <c r="E67" t="inlineStr"/>
      <c r="F67" t="inlineStr"/>
      <c r="G67" t="inlineStr">
        <is>
          <t>Nashville, TN, US</t>
        </is>
      </c>
      <c r="H67" s="2" t="n">
        <v>45917</v>
      </c>
      <c r="I6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in-120163051f472c78</t>
        </is>
      </c>
      <c r="B68" t="inlineStr">
        <is>
          <t>Sr. Applied Scientist, Amazon Advertising</t>
        </is>
      </c>
      <c r="C68" t="inlineStr">
        <is>
          <t>Amazon.com</t>
        </is>
      </c>
      <c r="D68" t="inlineStr">
        <is>
          <t>indeed</t>
        </is>
      </c>
      <c r="E68" t="inlineStr"/>
      <c r="F68" t="inlineStr"/>
      <c r="G68" t="inlineStr">
        <is>
          <t>Los Angeles, CA, US</t>
        </is>
      </c>
      <c r="H68" s="2" t="n">
        <v>45851</v>
      </c>
      <c r="I6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in-e121e130f68600ce</t>
        </is>
      </c>
      <c r="B69" t="inlineStr">
        <is>
          <t>Sr. Applied Scientist, Amazon Advertising</t>
        </is>
      </c>
      <c r="C69" t="inlineStr">
        <is>
          <t>Amazon.com</t>
        </is>
      </c>
      <c r="D69" t="inlineStr">
        <is>
          <t>indeed</t>
        </is>
      </c>
      <c r="E69" t="inlineStr"/>
      <c r="F69" t="inlineStr"/>
      <c r="G69" t="inlineStr">
        <is>
          <t>Simi Valley, CA, US</t>
        </is>
      </c>
      <c r="H69" s="2" t="n">
        <v>45851</v>
      </c>
      <c r="I6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in-5ea316f36d07b6bf</t>
        </is>
      </c>
      <c r="B70" t="inlineStr">
        <is>
          <t>Sr. Applied Scientist, Amazon Advertising</t>
        </is>
      </c>
      <c r="C70" t="inlineStr">
        <is>
          <t>Amazon.com</t>
        </is>
      </c>
      <c r="D70" t="inlineStr">
        <is>
          <t>indeed</t>
        </is>
      </c>
      <c r="E70" t="inlineStr"/>
      <c r="F70" t="inlineStr"/>
      <c r="G70" t="inlineStr">
        <is>
          <t>West Hollywood, CA, US</t>
        </is>
      </c>
      <c r="H70" s="2" t="n">
        <v>45851</v>
      </c>
      <c r="I7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in-c1febcd71616eda1</t>
        </is>
      </c>
      <c r="B71" t="inlineStr">
        <is>
          <t>Sr. Applied Scientist, Amazon Advertising</t>
        </is>
      </c>
      <c r="C71" t="inlineStr">
        <is>
          <t>Amazon.com</t>
        </is>
      </c>
      <c r="D71" t="inlineStr">
        <is>
          <t>indeed</t>
        </is>
      </c>
      <c r="E71" t="inlineStr"/>
      <c r="F71" t="inlineStr"/>
      <c r="G71" t="inlineStr">
        <is>
          <t>Palo Alto, CA, US</t>
        </is>
      </c>
      <c r="H71" s="2" t="n">
        <v>45851</v>
      </c>
      <c r="I7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in-ca5ba5158fe46a2b</t>
        </is>
      </c>
      <c r="B72" t="inlineStr">
        <is>
          <t>Sr. Applied Scientist, Amazon Advertising</t>
        </is>
      </c>
      <c r="C72" t="inlineStr">
        <is>
          <t>Amazon.com</t>
        </is>
      </c>
      <c r="D72" t="inlineStr">
        <is>
          <t>indeed</t>
        </is>
      </c>
      <c r="E72" t="inlineStr"/>
      <c r="F72" t="inlineStr"/>
      <c r="G72" t="inlineStr">
        <is>
          <t>New York, NY, US</t>
        </is>
      </c>
      <c r="H72" s="2" t="n">
        <v>45851</v>
      </c>
      <c r="I7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in-781162852f71d967</t>
        </is>
      </c>
      <c r="B73" t="inlineStr">
        <is>
          <t>Sr. Applied Scientist, Amazon Advertising</t>
        </is>
      </c>
      <c r="C73" t="inlineStr">
        <is>
          <t>Amazon.com</t>
        </is>
      </c>
      <c r="D73" t="inlineStr">
        <is>
          <t>indeed</t>
        </is>
      </c>
      <c r="E73" t="inlineStr"/>
      <c r="F73" t="inlineStr"/>
      <c r="G73" t="inlineStr">
        <is>
          <t>Seattle, WA, US</t>
        </is>
      </c>
      <c r="H73" s="2" t="n">
        <v>45851</v>
      </c>
      <c r="I7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in-74ae1f211973c237</t>
        </is>
      </c>
      <c r="B74" t="inlineStr">
        <is>
          <t>Sr. Applied Scientist, Amazon Advertising</t>
        </is>
      </c>
      <c r="C74" t="inlineStr">
        <is>
          <t>Amazon.com</t>
        </is>
      </c>
      <c r="D74" t="inlineStr">
        <is>
          <t>indeed</t>
        </is>
      </c>
      <c r="E74" t="inlineStr"/>
      <c r="F74" t="inlineStr"/>
      <c r="G74" t="inlineStr">
        <is>
          <t>Austin, TX, US</t>
        </is>
      </c>
      <c r="H74" s="2" t="n">
        <v>45851</v>
      </c>
      <c r="I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in-ab17ec816f40f7b2</t>
        </is>
      </c>
      <c r="B75" t="inlineStr">
        <is>
          <t>Sr. Applied Scientist, Amazon Advertising</t>
        </is>
      </c>
      <c r="C75" t="inlineStr">
        <is>
          <t>Amazon.com</t>
        </is>
      </c>
      <c r="D75" t="inlineStr">
        <is>
          <t>indeed</t>
        </is>
      </c>
      <c r="E75" t="inlineStr"/>
      <c r="F75" t="inlineStr"/>
      <c r="G75" t="inlineStr">
        <is>
          <t>Arlington, VA, US</t>
        </is>
      </c>
      <c r="H75" s="2" t="n">
        <v>45851</v>
      </c>
      <c r="I7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in-75a77e2d00515ac5</t>
        </is>
      </c>
      <c r="B76" t="inlineStr">
        <is>
          <t>Applied Scientist, Prime Video - Personalization and Discovery Science</t>
        </is>
      </c>
      <c r="C76" t="inlineStr">
        <is>
          <t>Amazon.com</t>
        </is>
      </c>
      <c r="D76" t="inlineStr">
        <is>
          <t>indeed</t>
        </is>
      </c>
      <c r="E76" t="inlineStr"/>
      <c r="F76" t="inlineStr"/>
      <c r="G76" t="inlineStr">
        <is>
          <t>New York, NY, US</t>
        </is>
      </c>
      <c r="H76" s="2" t="n">
        <v>45845</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in-ad5a84e3406fa31c</t>
        </is>
      </c>
      <c r="B77" t="inlineStr">
        <is>
          <t>Applied Scientist, Prime Video - Personalization and Discovery Science</t>
        </is>
      </c>
      <c r="C77" t="inlineStr">
        <is>
          <t>Amazon.com</t>
        </is>
      </c>
      <c r="D77" t="inlineStr">
        <is>
          <t>indeed</t>
        </is>
      </c>
      <c r="E77" t="inlineStr"/>
      <c r="F77" t="inlineStr"/>
      <c r="G77" t="inlineStr">
        <is>
          <t>Sunnyvale, CA, US</t>
        </is>
      </c>
      <c r="H77" s="2" t="n">
        <v>45845</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in-6a4acc0616f7f7a7</t>
        </is>
      </c>
      <c r="B78" t="inlineStr">
        <is>
          <t>Applied Scientist, Prime Video - Personalization and Discovery Science</t>
        </is>
      </c>
      <c r="C78" t="inlineStr">
        <is>
          <t>Amazon.com</t>
        </is>
      </c>
      <c r="D78" t="inlineStr">
        <is>
          <t>indeed</t>
        </is>
      </c>
      <c r="E78" t="inlineStr"/>
      <c r="F78" t="inlineStr"/>
      <c r="G78" t="inlineStr">
        <is>
          <t>Seattle, WA, US</t>
        </is>
      </c>
      <c r="H78" s="2" t="n">
        <v>45845</v>
      </c>
      <c r="I7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in-248b26a87826bf98</t>
        </is>
      </c>
      <c r="B79" t="inlineStr">
        <is>
          <t>Senior Applied Scientist, Artificial General Intelligence</t>
        </is>
      </c>
      <c r="C79" t="inlineStr">
        <is>
          <t>Amazon.com</t>
        </is>
      </c>
      <c r="D79" t="inlineStr">
        <is>
          <t>indeed</t>
        </is>
      </c>
      <c r="E79" t="inlineStr"/>
      <c r="F79" t="inlineStr"/>
      <c r="G79" t="inlineStr">
        <is>
          <t>New York, NY, US</t>
        </is>
      </c>
      <c r="H79" s="2" t="n">
        <v>45838</v>
      </c>
      <c r="I7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in-0bc5dc3c4ebf8570</t>
        </is>
      </c>
      <c r="B80" t="inlineStr">
        <is>
          <t>Senior Applied Scientist, Artificial General Intelligence</t>
        </is>
      </c>
      <c r="C80" t="inlineStr">
        <is>
          <t>Amazon.com</t>
        </is>
      </c>
      <c r="D80" t="inlineStr">
        <is>
          <t>indeed</t>
        </is>
      </c>
      <c r="E80" t="inlineStr"/>
      <c r="F80" t="inlineStr"/>
      <c r="G80" t="inlineStr">
        <is>
          <t>Sunnyvale, CA, US</t>
        </is>
      </c>
      <c r="H80" s="2" t="n">
        <v>45838</v>
      </c>
      <c r="I8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in-0a19c6166ac4acd1</t>
        </is>
      </c>
      <c r="B81" t="inlineStr">
        <is>
          <t>Senior Applied Scientist, Artificial General Intelligence</t>
        </is>
      </c>
      <c r="C81" t="inlineStr">
        <is>
          <t>Amazon.com</t>
        </is>
      </c>
      <c r="D81" t="inlineStr">
        <is>
          <t>indeed</t>
        </is>
      </c>
      <c r="E81" t="inlineStr"/>
      <c r="F81" t="inlineStr"/>
      <c r="G81" t="inlineStr">
        <is>
          <t>Boston, MA, US</t>
        </is>
      </c>
      <c r="H81" s="2" t="n">
        <v>45838</v>
      </c>
      <c r="I8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in-8ae6bb63294f31a9</t>
        </is>
      </c>
      <c r="B82" t="inlineStr">
        <is>
          <t>Sr. Applied Scientist, Sales AI</t>
        </is>
      </c>
      <c r="C82" t="inlineStr">
        <is>
          <t>Amazon.com</t>
        </is>
      </c>
      <c r="D82" t="inlineStr">
        <is>
          <t>indeed</t>
        </is>
      </c>
      <c r="E82" t="inlineStr"/>
      <c r="F82" t="inlineStr"/>
      <c r="G82" t="inlineStr">
        <is>
          <t>Sunnyvale, CA, US</t>
        </is>
      </c>
      <c r="H82" s="2" t="n">
        <v>45830</v>
      </c>
      <c r="I8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in-15bb5473e1c32b65</t>
        </is>
      </c>
      <c r="B83" t="inlineStr">
        <is>
          <t>Sr. Applied Scientist, Sales AI</t>
        </is>
      </c>
      <c r="C83" t="inlineStr">
        <is>
          <t>Amazon.com</t>
        </is>
      </c>
      <c r="D83" t="inlineStr">
        <is>
          <t>indeed</t>
        </is>
      </c>
      <c r="E83" t="inlineStr"/>
      <c r="F83" t="inlineStr"/>
      <c r="G83" t="inlineStr">
        <is>
          <t>Seattle, WA, US</t>
        </is>
      </c>
      <c r="H83" s="2" t="n">
        <v>45830</v>
      </c>
      <c r="I8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in-7c6a6cf8d47894b5</t>
        </is>
      </c>
      <c r="B84" t="inlineStr">
        <is>
          <t>Sr. Applied Scientist, Sales AI</t>
        </is>
      </c>
      <c r="C84" t="inlineStr">
        <is>
          <t>Amazon.com</t>
        </is>
      </c>
      <c r="D84" t="inlineStr">
        <is>
          <t>indeed</t>
        </is>
      </c>
      <c r="E84" t="inlineStr"/>
      <c r="F84" t="inlineStr"/>
      <c r="G84" t="inlineStr">
        <is>
          <t>New York, NY, US</t>
        </is>
      </c>
      <c r="H84" s="2" t="n">
        <v>45830</v>
      </c>
      <c r="I84"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in-63446c114c8943cf</t>
        </is>
      </c>
      <c r="B85" t="inlineStr">
        <is>
          <t>Principal Applied Scientist, Delivery Foundation Model</t>
        </is>
      </c>
      <c r="C85" t="inlineStr">
        <is>
          <t>Amazon.com</t>
        </is>
      </c>
      <c r="D85" t="inlineStr">
        <is>
          <t>indeed</t>
        </is>
      </c>
      <c r="E85" t="inlineStr"/>
      <c r="F85" t="inlineStr"/>
      <c r="G85" t="inlineStr">
        <is>
          <t>Santa Clara, CA, US</t>
        </is>
      </c>
      <c r="H85" s="2" t="n">
        <v>45810</v>
      </c>
      <c r="I8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in-940193088530c784</t>
        </is>
      </c>
      <c r="B86" t="inlineStr">
        <is>
          <t>Principal Applied Scientist, Delivery Foundation Model</t>
        </is>
      </c>
      <c r="C86" t="inlineStr">
        <is>
          <t>Amazon.com</t>
        </is>
      </c>
      <c r="D86" t="inlineStr">
        <is>
          <t>indeed</t>
        </is>
      </c>
      <c r="E86" t="inlineStr"/>
      <c r="F86" t="inlineStr"/>
      <c r="G86" t="inlineStr">
        <is>
          <t>New York, NY, US</t>
        </is>
      </c>
      <c r="H86" s="2" t="n">
        <v>45810</v>
      </c>
      <c r="I8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in-83a31353c3c097d2</t>
        </is>
      </c>
      <c r="B87" t="inlineStr">
        <is>
          <t>Principal Applied Scientist, Delivery Foundation Model</t>
        </is>
      </c>
      <c r="C87" t="inlineStr">
        <is>
          <t>Amazon.com</t>
        </is>
      </c>
      <c r="D87" t="inlineStr">
        <is>
          <t>indeed</t>
        </is>
      </c>
      <c r="E87" t="inlineStr"/>
      <c r="F87" t="inlineStr"/>
      <c r="G87" t="inlineStr">
        <is>
          <t>Bellevue, WA, US</t>
        </is>
      </c>
      <c r="H87" s="2" t="n">
        <v>45810</v>
      </c>
      <c r="I8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in-3c6a7fc29a8c572b</t>
        </is>
      </c>
      <c r="B88" t="inlineStr">
        <is>
          <t>Principal Applied Scientist, Delivery Foundation Model</t>
        </is>
      </c>
      <c r="C88" t="inlineStr">
        <is>
          <t>Amazon.com</t>
        </is>
      </c>
      <c r="D88" t="inlineStr">
        <is>
          <t>indeed</t>
        </is>
      </c>
      <c r="E88" t="inlineStr"/>
      <c r="F88" t="inlineStr"/>
      <c r="G88" t="inlineStr">
        <is>
          <t>Austin, TX, US</t>
        </is>
      </c>
      <c r="H88" s="2" t="n">
        <v>45810</v>
      </c>
      <c r="I8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in-ea1606e78d688c87</t>
        </is>
      </c>
      <c r="B89" t="inlineStr">
        <is>
          <t>Senior Applied Scientist, Delivery Foundation Model</t>
        </is>
      </c>
      <c r="C89" t="inlineStr">
        <is>
          <t>Amazon.com</t>
        </is>
      </c>
      <c r="D89" t="inlineStr">
        <is>
          <t>indeed</t>
        </is>
      </c>
      <c r="E89" t="inlineStr"/>
      <c r="F89" t="inlineStr"/>
      <c r="G89" t="inlineStr">
        <is>
          <t>Bellevue, WA, US</t>
        </is>
      </c>
      <c r="H89" s="2" t="n">
        <v>45806</v>
      </c>
      <c r="I8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in-36574699ccbce97c</t>
        </is>
      </c>
      <c r="B90" t="inlineStr">
        <is>
          <t>Senior Applied Scientist, Delivery Foundation Model</t>
        </is>
      </c>
      <c r="C90" t="inlineStr">
        <is>
          <t>Amazon.com</t>
        </is>
      </c>
      <c r="D90" t="inlineStr">
        <is>
          <t>indeed</t>
        </is>
      </c>
      <c r="E90" t="inlineStr"/>
      <c r="F90" t="inlineStr"/>
      <c r="G90" t="inlineStr">
        <is>
          <t>Santa Clara, CA, US</t>
        </is>
      </c>
      <c r="H90" s="2" t="n">
        <v>45806</v>
      </c>
      <c r="I9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in-d24299d824a1a4e6</t>
        </is>
      </c>
      <c r="B91" t="inlineStr">
        <is>
          <t>Senior Applied Scientist, Delivery Foundation Model</t>
        </is>
      </c>
      <c r="C91" t="inlineStr">
        <is>
          <t>Amazon.com</t>
        </is>
      </c>
      <c r="D91" t="inlineStr">
        <is>
          <t>indeed</t>
        </is>
      </c>
      <c r="E91" t="inlineStr"/>
      <c r="F91" t="inlineStr"/>
      <c r="G91" t="inlineStr">
        <is>
          <t>New York, NY, US</t>
        </is>
      </c>
      <c r="H91" s="2" t="n">
        <v>45806</v>
      </c>
      <c r="I9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in-5f5e477818987fb7</t>
        </is>
      </c>
      <c r="B92" t="inlineStr">
        <is>
          <t>Principal Applied Scientist, Delivery Foundation Model</t>
        </is>
      </c>
      <c r="C92" t="inlineStr">
        <is>
          <t>Amazon.com</t>
        </is>
      </c>
      <c r="D92" t="inlineStr">
        <is>
          <t>indeed</t>
        </is>
      </c>
      <c r="E92" t="inlineStr"/>
      <c r="F92" t="inlineStr"/>
      <c r="G92" t="inlineStr">
        <is>
          <t>Bellevue, WA, US</t>
        </is>
      </c>
      <c r="H92" s="2" t="n">
        <v>45757</v>
      </c>
      <c r="I9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in-9585bd22d2523301</t>
        </is>
      </c>
      <c r="B93" t="inlineStr">
        <is>
          <t>Principal Applied Scientist, Delivery Foundation Model</t>
        </is>
      </c>
      <c r="C93" t="inlineStr">
        <is>
          <t>Amazon.com</t>
        </is>
      </c>
      <c r="D93" t="inlineStr">
        <is>
          <t>indeed</t>
        </is>
      </c>
      <c r="E93" t="inlineStr"/>
      <c r="F93" t="inlineStr"/>
      <c r="G93" t="inlineStr">
        <is>
          <t>New York, NY, US</t>
        </is>
      </c>
      <c r="H93" s="2" t="n">
        <v>45757</v>
      </c>
      <c r="I9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in-25ed534207ad4e92</t>
        </is>
      </c>
      <c r="B94" t="inlineStr">
        <is>
          <t>Principal Applied Scientist, Delivery Foundation Model</t>
        </is>
      </c>
      <c r="C94" t="inlineStr">
        <is>
          <t>Amazon.com</t>
        </is>
      </c>
      <c r="D94" t="inlineStr">
        <is>
          <t>indeed</t>
        </is>
      </c>
      <c r="E94" t="inlineStr"/>
      <c r="F94" t="inlineStr"/>
      <c r="G94" t="inlineStr">
        <is>
          <t>Santa Clara, CA, US</t>
        </is>
      </c>
      <c r="H94" s="2" t="n">
        <v>45757</v>
      </c>
      <c r="I9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in-be972532540d8071</t>
        </is>
      </c>
      <c r="B95" t="inlineStr">
        <is>
          <t>Principal Applied Scientist, FAR (Frontier AI &amp; Robotics)</t>
        </is>
      </c>
      <c r="C95" t="inlineStr">
        <is>
          <t>Amazon.com</t>
        </is>
      </c>
      <c r="D95" t="inlineStr">
        <is>
          <t>indeed</t>
        </is>
      </c>
      <c r="E95" t="inlineStr"/>
      <c r="F95" t="inlineStr"/>
      <c r="G95" t="inlineStr">
        <is>
          <t>Seattle, WA, US</t>
        </is>
      </c>
      <c r="H95" s="2" t="n">
        <v>45740</v>
      </c>
      <c r="I95"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in-27ab2ca3999b884f</t>
        </is>
      </c>
      <c r="B96" t="inlineStr">
        <is>
          <t>Principal Applied Scientist, FAR (Frontier AI &amp; Robotics)</t>
        </is>
      </c>
      <c r="C96" t="inlineStr">
        <is>
          <t>Amazon.com</t>
        </is>
      </c>
      <c r="D96" t="inlineStr">
        <is>
          <t>indeed</t>
        </is>
      </c>
      <c r="E96" t="inlineStr"/>
      <c r="F96" t="inlineStr"/>
      <c r="G96" t="inlineStr">
        <is>
          <t>San Francisco, CA, US</t>
        </is>
      </c>
      <c r="H96" s="2" t="n">
        <v>45740</v>
      </c>
      <c r="I9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in-7073ee123e7200fc</t>
        </is>
      </c>
      <c r="B97" t="inlineStr">
        <is>
          <t>Senior AI Engineer</t>
        </is>
      </c>
      <c r="C97" t="inlineStr">
        <is>
          <t>Medica Services Company LLC</t>
        </is>
      </c>
      <c r="D97" t="inlineStr">
        <is>
          <t>indeed</t>
        </is>
      </c>
      <c r="E97" t="inlineStr"/>
      <c r="F97" t="inlineStr"/>
      <c r="G97" t="inlineStr">
        <is>
          <t>Minnetonka, MN, US</t>
        </is>
      </c>
      <c r="H97" s="2" t="n">
        <v>46056</v>
      </c>
      <c r="I97" t="inlineStr">
        <is>
          <t>Medica is a nonprofit health plan with more than a million members that serves communities in Minnesota, Nebraska, Wisconsin, Missouri, and beyond. We deliver personalized health care experiences and partner closely with providers to ensure members are genuinely cared for.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Medica is seeking a hands\-on Senior AI Platform Engineer to help build and scale our next\-generation AI agents and infrastructure. You’ll work on complex systems that power AI\-driven healthcare solutions \- for our members, providers and employees, that improve the healthcare experience end\-to\-end. This role is ideal for hands on builders who thrive on ownership, love solving technical and business problems, and are on the cutting edge of software. Performs other duties as assigned.
**Key Accountabilities**
* Design, implement and deploy AI pipelines, systems and platforms – from evaluation design and benchmarking through product integration\-ensuring performance, reliability and end\-to\-end safety and transparency
* Prototype, build and operate cutting edge product, and consumer facing AI systems, pushing state\-of\-the\-art to solve our core healthcare and technical challenges
* Contribute to technical decision\-making and architectural discussions for AI and data platforms. Upload high engineering standards and share best practices in code review and design discussions
* Stay up to date with the latest research and developments in AI. Evaluate new approaches or tools and drive their adoption when they can advance our capabilities. Help evangelize to the organization accordingly
**Required Qualifications**
* Bachelor's degree or equivalent experience in related field
* 8 years of work experience beyond degree
**Preferred Qualifications**
* Minimum of 3 years of experience building production grade software with Python, Go, or equivalent
* Proven ability to create, manage and scale public cloud infrastructure in AWS/Azure/GCP
* Experience deploying infrastructure via Terraform or another declarative tool
* Familiarity with containerization \&amp; orchestration including Docker, K8s, Helm
* Modern DevOps tooling including Github Actions, Prometheus \+ Grafana, Open Telemetry
While not required, we especially want to talk if you:
* **Have strong opinions on agent frameworks** (e.g., **LangGraph, AutoGen, CrewAI, OpenAI ADK**)—and can explain when and why to use them (or when/why not to).
* **Can explain agent workflows such as orchestrator\-workers, evaluator\-optimizer, and prompt chaining**
* **Have built evaluations for AI systems—for accuracy, bias, security, function calling accuracy, etc**
* **Can justify decisions between RAG, prompt engineering, and fine\-tuning**
* **Have experience with modular agent architectures where specialized agents communicate**
* **Have a stance on when to leverage generative AI—and when not to**
* **Have worked with healthcare data, HIPAA compliance, or in regulated environments**
* **Love (or hate) Claude Code, Codex, Cursor, or GitHub Copilot**
* **Have a favorite MCP server (or 3\)**
This position is an Office role, which requires an employee to work onsite at our Minnetonka, MN office, on average, 3 days per week.
The full salary grade for this position is $130,400 \- $223,600\. While the full salary grade is provided, the typical hiring salary range for this role is expected to be between $130,400 \- $176,985\. Annual salary range placement will depend on a variety of factors including, but not limited to, education, work experience, applicable certifications and/or licensure, the position's scope and responsibility, internal pay equity and external market salary data. In addition to base compensation, this position may be eligible for incentive plan compensation in addition to base salary.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t>
        </is>
      </c>
    </row>
    <row r="98">
      <c r="A98" t="inlineStr">
        <is>
          <t>in-64ee84f4182bb154</t>
        </is>
      </c>
      <c r="B98" t="inlineStr">
        <is>
          <t>Machine Learning Engineer</t>
        </is>
      </c>
      <c r="C98" t="inlineStr"/>
      <c r="D98" t="inlineStr">
        <is>
          <t>indeed</t>
        </is>
      </c>
      <c r="E98" t="inlineStr"/>
      <c r="F98" t="inlineStr"/>
      <c r="G98" t="inlineStr">
        <is>
          <t>Boston, MA, US</t>
        </is>
      </c>
      <c r="H98" s="2" t="n">
        <v>46055</v>
      </c>
      <c r="I98" t="inlineStr">
        <is>
          <t>**About Superluminal Medicines:**
Superluminal Medicines is a generative biology and chemistry company revolutionizing the speed and accuracy of how small molecule medicines are created. The Company's platform aims to create candidate\-ready compounds with unprecedented speed using a combination of deep biology, computational and medicinal chemistry, machine learning, and proprietary big data infrastructure. We are expanding the team of talented scientists who seek to build the future of small molecule drug discovery with creativity and innovation.
**About the Role:**
We are seeking a high\-impact Machine Learning Developer/Engineer to join our integrated discovery team. In this role, you will be the algorithmic engine of our programs, developing and deploying state\-of\-the\-art ML models to generate the quantitative predictions necessary to drive drug discovery. Beyond technical mastery, you will serve as a core scientific partner to medicinal chemists, computational chemists, and biologists, building models that move programs efficiently toward Go/No\-Go decision points and candidate nomination.
**Key Responsibilities:**
=========================
* Implement algorithms for hit identification through virtual screening and other high throughput computational methods as part of a cross\-functional team
* Adapt and implement cutting\-edge ML architectures for co\-folding to augment our extensive internal structural biology expertise and capabilities
* Design and deploy active learning frameworks that utilize experimental assay results to iteratively improve model performance and reduce the number of "Design\-Make\-Test\-Analyze" cycles leveraging state\-of\-the\-art *de novo* design, ADMET predictions, and affinity predictions
**Required Qualifications:**
============================
* Ph.D. preferred in Computer Science, Machine Learning, Engineering or a related field, or BS/MS \+ seasoned experience
* Proven experience with protein\-ligand co\-folding algorithms (e.g., Boltz, AlphaFold, OpenFold, etc) and the ability to integrate these structural insights into broader ML discovery pipelines.
* Advanced proficiency in Python and deep learning libraries (e.g., PyTorch, TensorFlow) is required. You must be capable of building and maintaining production\-quality code and data pipelines.
* Exceptional ability to communicate the "why" behind a design to a diverse scientific audience.
**Preferred Qualifications:**
=============================
* Expert\-level knowledge of deep learning frameworks, specifically for affinity prediction, ADMET modeling, and the application of LLMs in a biological or chemical context
* Expertise fine\-tuning existing models with internally generated structural biology and biology data
* Experience deploying ML/AI algorithms for use by a cross\-functional scientific audience
* 1\-4\+ years of experience in a biotech or pharma setting
**Skills \&amp; Competencies:**
===========================
* A demonstrated track record of innovation in the ML/AI space, including developing and validating new architectures or novel applications of existing models to solve complex drug discovery problems including tools for hit identification (virtual screening, HTS)
* Expert level use of protein\-ligand co\-folding algorithms to small molecule drug discovery ML/AI tools (AlphaFold, Boltz, OpenFold)
* Experience writing production\-level code for ML tasks:
* + Knowledge of key scientific packages (RDKit, scikit\-learn, numpy, pandas, pytorch, deepchem, polars, PyG/DGL):
	+ Write robust, testable, and version\-controlled code that adheres to CI/CD and data governance best practices.
	+ Value clarity, documentation, and structured thinking, especially when working with complex data
	+ Knowledge of containerization technologies (Docker, Kubernetes) and cloud deployment at scale
**Equal Opportunity Statement:**
Superluminal Medicines is an Equal Opportunity Employer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t>
        </is>
      </c>
    </row>
    <row r="99">
      <c r="A99" t="inlineStr">
        <is>
          <t>in-3fb4a6a51c4c2c9f</t>
        </is>
      </c>
      <c r="B99" t="inlineStr">
        <is>
          <t>Senior Machine Learning Engineer</t>
        </is>
      </c>
      <c r="C99" t="inlineStr">
        <is>
          <t>Pantheon Data</t>
        </is>
      </c>
      <c r="D99" t="inlineStr">
        <is>
          <t>indeed</t>
        </is>
      </c>
      <c r="E99" t="inlineStr"/>
      <c r="F99" t="inlineStr"/>
      <c r="G99" t="inlineStr">
        <is>
          <t>Charlotte, NC, US</t>
        </is>
      </c>
      <c r="H99" s="2" t="n">
        <v>46055</v>
      </c>
      <c r="I99" t="inlineStr">
        <is>
          <t>**Company Overview:**
Pantheon Data (previously known as The Kenific Group, Inc. prior to 2023\) is a private, small business based in the Washington, DC area. Pantheon Data was founded in 2011, initially providing acquisition and supply chain management services to the US Coast Guard. Pantheon Data has used this experience to expand our service offerings to other agencies within the Department of Homeland Security (DHS), the Department of Defense (DoD), and the U.S. Postal Service (USPS). In the past 10 years we have grown our service offerings to include infrastructure resiliency, contact center operations, information technology, software engineering, program management, strategic communications, engineering, and cybersecurity. We have also grown our customer base to include commercial clients.
**Position Overview:**
We are seeking a Senior Machine Learning Engineer who is an expert in Optical Character Recognition (OCR), Natural Language Processing (NLP), Large Language Models (LLMs), and other deep learning models. Ideally, this candidate would have experience combining these tools in a solution focused on Intelligent Document Processing (IDP). A successful candidate should be able to demonstrate technical proficiency with these mentioned Machine Learning tools and have a proven track record engineering software solutions to process and analyze unstructured data sets. He/she will be able to communicate clearly and effectively with engineers as well as less technical team members (e.g., project managers, customers, executive teams).
**Responsibilities:**
* Inform product decisions by leveraging technical knowledge of IDP/Generative AI solution architectures and best practices.
* Propose forward\-thinking ideas in support of data\-centric product development.
* Develop code for IDP use cases using preferred programming languages to support client requirements.
* Utilize LLMs and other Generative AI/Deep Learning algorithms to provide unique solutions for our clients.
* Contribute to interdisciplinary solutions that combine data engineering and Artificial Intelligence/Machine Learning to integrate predictive models.
* Work within a growing engineering team to support software and systems solutions across customers and projects.
* Collaborate with Engineering Team Leads and team members to design and develop solutions that exceed customer expectations.
**Requirements:**
* Bachelor's degree in computer science, engineering, mathematics, or a related technical discipline
* 5\+ years professional, hands\-on experience in a Machine Learning engineering (specifically IDP\-related) role
* Must be technically proficient in Intelligent Document Processing (including OCR/NLP algorithms), Generative AI and Deep Learning algorithms, and associated technologies, programming languages, and system architectures.
* Well\-rounded and willing to learn and contribute meaningfully across all technical areas of our project
* Excellent communication skills with the ability to interact clearly and succinctly in written and oral presentations.
* Detail\-oriented, self\-motivated, and organized
**Preferred Skills:**
* AWS (Amazon Web Services) and/or Microsoft Azure. Certification(s) a plus.
* Working knowledge of Agile Scrum methodology
* JIRA/Confluence
* SQL, C\#
* relational and non\-relational databases such as MongoDB, Python
* Experience in Docker, CI/CD automation is a plus.
* Demonstrated ability to mentor junior developers.
**Clearance Requirements:**
U.S. citizenship required \- must be able to obtain DoD Secret Clearance.
**Work Location:**
Remote
 **Compensation:**
The salary range for this position is $140,000 \- $180,000\. This is not, however, a guarantee of compensation or salary. Rather, salary will be set based on experience, geographic location and possibly contractual requirements and could fall outside of this range.
**Benefits Overview:**
We are always looking for good people! Pantheon Data is committed to providing its employees with competitive salaries and benefits in order to increase employee satisfaction and productivity.In addition to our benefits, we also offer SmartBenefits through the Washington Metro Area Transportation Authority, where you specify an amount of your pre\-tax wages be paid directly to your SmarTrip account. In some cases, tuition assistance may be available for continuing education expenses and certifications related to their position. Additional details may be found at https://pantheon\-data.com/careers/
**Pantheon Data is an Equal Employment Opportunity Employer:**
Pantheon Data is committed to hiring and retaining a diverse workforce. We are proud to be an Equal Opportunity and Affirmative Action Employer, making decisions without regard to race, color, religion, creed, sex, sexual orientation, gender identity, marital status, national origin, age, veteran status, disability, or any other protected class.
Equal opportunity legal notices can be viewed on the following PDF: Know Your Rights: Workplace Discrimination is Illegal. You may also view the OFCCP's Pay Transparency Nondiscrimination Provision.
If you require reasonable accommodation in completing this application, interviewing, completing any pre\-employment testing, or otherwise participating in the employee selection process, please direct your inquiries to our Talent Team at Recruiting@pantheon\-data.com or by phone (571\) 363\-4020\.
This company uses E\-Verify to confirm each employee's work authorization. For more information, click here E\-Verify Participation Poster</t>
        </is>
      </c>
    </row>
    <row r="100">
      <c r="A100" t="inlineStr">
        <is>
          <t>in-dfeb6a21b81e2446</t>
        </is>
      </c>
      <c r="B100" t="inlineStr">
        <is>
          <t>Delivery Excellence - AI Engineer - Senior Manager</t>
        </is>
      </c>
      <c r="C100" t="inlineStr">
        <is>
          <t>PwC</t>
        </is>
      </c>
      <c r="D100" t="inlineStr">
        <is>
          <t>indeed</t>
        </is>
      </c>
      <c r="E100" t="inlineStr"/>
      <c r="F100" t="inlineStr"/>
      <c r="G100" t="inlineStr">
        <is>
          <t>Philadelphia, PA, US</t>
        </is>
      </c>
      <c r="H100" s="2" t="n">
        <v>46054</v>
      </c>
      <c r="I10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1">
      <c r="A101" t="inlineStr">
        <is>
          <t>in-1feabc20b96cbc11</t>
        </is>
      </c>
      <c r="B101" t="inlineStr">
        <is>
          <t>Delivery Excellence - AI Engineer - Senior Manager</t>
        </is>
      </c>
      <c r="C101" t="inlineStr">
        <is>
          <t>PwC</t>
        </is>
      </c>
      <c r="D101" t="inlineStr">
        <is>
          <t>indeed</t>
        </is>
      </c>
      <c r="E101" t="inlineStr"/>
      <c r="F101" t="inlineStr"/>
      <c r="G101" t="inlineStr">
        <is>
          <t>San Diego, CA, US</t>
        </is>
      </c>
      <c r="H101" s="2" t="n">
        <v>46054</v>
      </c>
      <c r="I10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2">
      <c r="A102" t="inlineStr">
        <is>
          <t>in-cb34819aff9305ae</t>
        </is>
      </c>
      <c r="B102" t="inlineStr">
        <is>
          <t>Delivery Excellence - AI Engineer - Senior Manager</t>
        </is>
      </c>
      <c r="C102" t="inlineStr">
        <is>
          <t>PwC</t>
        </is>
      </c>
      <c r="D102" t="inlineStr">
        <is>
          <t>indeed</t>
        </is>
      </c>
      <c r="E102" t="inlineStr"/>
      <c r="F102" t="inlineStr"/>
      <c r="G102" t="inlineStr">
        <is>
          <t>New York, NY, US</t>
        </is>
      </c>
      <c r="H102" s="2" t="n">
        <v>46054</v>
      </c>
      <c r="I10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3">
      <c r="A103" t="inlineStr">
        <is>
          <t>in-09e85581bb99d7d8</t>
        </is>
      </c>
      <c r="B103" t="inlineStr">
        <is>
          <t>Delivery Excellence - AI Engineer - Senior Manager</t>
        </is>
      </c>
      <c r="C103" t="inlineStr">
        <is>
          <t>PwC</t>
        </is>
      </c>
      <c r="D103" t="inlineStr">
        <is>
          <t>indeed</t>
        </is>
      </c>
      <c r="E103" t="inlineStr"/>
      <c r="F103" t="inlineStr"/>
      <c r="G103" t="inlineStr">
        <is>
          <t>Boston, MA, US</t>
        </is>
      </c>
      <c r="H103" s="2" t="n">
        <v>46054</v>
      </c>
      <c r="I10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4">
      <c r="A104" t="inlineStr">
        <is>
          <t>in-7e8d63bb5211f578</t>
        </is>
      </c>
      <c r="B104" t="inlineStr">
        <is>
          <t>Delivery Excellence - AI Engineer - Senior Manager</t>
        </is>
      </c>
      <c r="C104" t="inlineStr">
        <is>
          <t>PwC</t>
        </is>
      </c>
      <c r="D104" t="inlineStr">
        <is>
          <t>indeed</t>
        </is>
      </c>
      <c r="E104" t="inlineStr"/>
      <c r="F104" t="inlineStr"/>
      <c r="G104" t="inlineStr">
        <is>
          <t>Silicon Valley, CA, US</t>
        </is>
      </c>
      <c r="H104" s="2" t="n">
        <v>46054</v>
      </c>
      <c r="I104"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5">
      <c r="A105" t="inlineStr">
        <is>
          <t>in-b14aa119e09e2dd9</t>
        </is>
      </c>
      <c r="B105" t="inlineStr">
        <is>
          <t>Delivery Excellence - AI Engineer - Senior Manager</t>
        </is>
      </c>
      <c r="C105" t="inlineStr">
        <is>
          <t>PwC</t>
        </is>
      </c>
      <c r="D105" t="inlineStr">
        <is>
          <t>indeed</t>
        </is>
      </c>
      <c r="E105" t="inlineStr"/>
      <c r="F105" t="inlineStr"/>
      <c r="G105" t="inlineStr">
        <is>
          <t>Los Angeles, CA, US</t>
        </is>
      </c>
      <c r="H105" s="2" t="n">
        <v>46054</v>
      </c>
      <c r="I105"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6">
      <c r="A106" t="inlineStr">
        <is>
          <t>in-75f51f53fa59d3d6</t>
        </is>
      </c>
      <c r="B106" t="inlineStr">
        <is>
          <t>Delivery Excellence - AI Engineer - Senior Manager</t>
        </is>
      </c>
      <c r="C106" t="inlineStr">
        <is>
          <t>PwC</t>
        </is>
      </c>
      <c r="D106" t="inlineStr">
        <is>
          <t>indeed</t>
        </is>
      </c>
      <c r="E106" t="inlineStr"/>
      <c r="F106" t="inlineStr"/>
      <c r="G106" t="inlineStr">
        <is>
          <t>Dallas, TX, US</t>
        </is>
      </c>
      <c r="H106" s="2" t="n">
        <v>46054</v>
      </c>
      <c r="I106"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7">
      <c r="A107" t="inlineStr">
        <is>
          <t>in-c5cbee72711660f3</t>
        </is>
      </c>
      <c r="B107" t="inlineStr">
        <is>
          <t>Delivery Excellence - AI Engineer - Senior Manager</t>
        </is>
      </c>
      <c r="C107" t="inlineStr">
        <is>
          <t>PwC</t>
        </is>
      </c>
      <c r="D107" t="inlineStr">
        <is>
          <t>indeed</t>
        </is>
      </c>
      <c r="E107" t="inlineStr"/>
      <c r="F107" t="inlineStr"/>
      <c r="G107" t="inlineStr">
        <is>
          <t>Washington, DC, US</t>
        </is>
      </c>
      <c r="H107" s="2" t="n">
        <v>46054</v>
      </c>
      <c r="I107"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8">
      <c r="A108" t="inlineStr">
        <is>
          <t>in-cceb65813537f56c</t>
        </is>
      </c>
      <c r="B108" t="inlineStr">
        <is>
          <t>Delivery Excellence - AI Engineer - Senior Manager</t>
        </is>
      </c>
      <c r="C108" t="inlineStr">
        <is>
          <t>PwC</t>
        </is>
      </c>
      <c r="D108" t="inlineStr">
        <is>
          <t>indeed</t>
        </is>
      </c>
      <c r="E108" t="inlineStr"/>
      <c r="F108" t="inlineStr"/>
      <c r="G108" t="inlineStr">
        <is>
          <t>Atlanta, GA, US</t>
        </is>
      </c>
      <c r="H108" s="2" t="n">
        <v>46054</v>
      </c>
      <c r="I108"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9">
      <c r="A109" t="inlineStr">
        <is>
          <t>in-75fe846cb5df6909</t>
        </is>
      </c>
      <c r="B109" t="inlineStr">
        <is>
          <t>Delivery Excellence - AI Engineer - Senior Manager</t>
        </is>
      </c>
      <c r="C109" t="inlineStr">
        <is>
          <t>PwC</t>
        </is>
      </c>
      <c r="D109" t="inlineStr">
        <is>
          <t>indeed</t>
        </is>
      </c>
      <c r="E109" t="inlineStr"/>
      <c r="F109" t="inlineStr"/>
      <c r="G109" t="inlineStr">
        <is>
          <t>San Francisco, CA, US</t>
        </is>
      </c>
      <c r="H109" s="2" t="n">
        <v>46054</v>
      </c>
      <c r="I109"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0">
      <c r="A110" t="inlineStr">
        <is>
          <t>in-cd72f81c85a8e2e4</t>
        </is>
      </c>
      <c r="B110" t="inlineStr">
        <is>
          <t>Delivery Excellence - AI Engineer - Senior Manager</t>
        </is>
      </c>
      <c r="C110" t="inlineStr">
        <is>
          <t>PwC</t>
        </is>
      </c>
      <c r="D110" t="inlineStr">
        <is>
          <t>indeed</t>
        </is>
      </c>
      <c r="E110" t="inlineStr"/>
      <c r="F110" t="inlineStr"/>
      <c r="G110" t="inlineStr">
        <is>
          <t>Chicago, IL, US</t>
        </is>
      </c>
      <c r="H110" s="2" t="n">
        <v>46054</v>
      </c>
      <c r="I110"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1">
      <c r="A111" t="inlineStr">
        <is>
          <t>in-29302a594bfd397b</t>
        </is>
      </c>
      <c r="B111" t="inlineStr">
        <is>
          <t>Delivery Excellence - AI Engineer - Senior Manager</t>
        </is>
      </c>
      <c r="C111" t="inlineStr">
        <is>
          <t>PwC</t>
        </is>
      </c>
      <c r="D111" t="inlineStr">
        <is>
          <t>indeed</t>
        </is>
      </c>
      <c r="E111" t="inlineStr"/>
      <c r="F111" t="inlineStr"/>
      <c r="G111" t="inlineStr">
        <is>
          <t>Seattle, WA, US</t>
        </is>
      </c>
      <c r="H111" s="2" t="n">
        <v>46054</v>
      </c>
      <c r="I111"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2">
      <c r="A112" t="inlineStr">
        <is>
          <t>in-721e10f6bcf06829</t>
        </is>
      </c>
      <c r="B112" t="inlineStr">
        <is>
          <t>Delivery Excellence - AI Engineer - Senior Manager</t>
        </is>
      </c>
      <c r="C112" t="inlineStr">
        <is>
          <t>PwC</t>
        </is>
      </c>
      <c r="D112" t="inlineStr">
        <is>
          <t>indeed</t>
        </is>
      </c>
      <c r="E112" t="inlineStr"/>
      <c r="F112" t="inlineStr"/>
      <c r="G112" t="inlineStr">
        <is>
          <t>Miami, FL, US</t>
        </is>
      </c>
      <c r="H112" s="2" t="n">
        <v>46054</v>
      </c>
      <c r="I112"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3">
      <c r="A113" t="inlineStr">
        <is>
          <t>in-3136e67c676194a7</t>
        </is>
      </c>
      <c r="B113" t="inlineStr">
        <is>
          <t>Delivery Excellence - AI Engineer - Senior Manager</t>
        </is>
      </c>
      <c r="C113" t="inlineStr">
        <is>
          <t>PwC</t>
        </is>
      </c>
      <c r="D113" t="inlineStr">
        <is>
          <t>indeed</t>
        </is>
      </c>
      <c r="E113" t="inlineStr"/>
      <c r="F113" t="inlineStr"/>
      <c r="G113" t="inlineStr">
        <is>
          <t>Tampa, FL, US</t>
        </is>
      </c>
      <c r="H113" s="2" t="n">
        <v>46054</v>
      </c>
      <c r="I113" t="inlineStr">
        <is>
          <t>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4">
      <c r="A114" t="inlineStr">
        <is>
          <t>in-0e69b9b789da3542</t>
        </is>
      </c>
      <c r="B114" t="inlineStr">
        <is>
          <t>Machine Learning Engineer, WWPS ProServe Data and Machine Learning</t>
        </is>
      </c>
      <c r="C114" t="inlineStr">
        <is>
          <t>Amazon Web Services</t>
        </is>
      </c>
      <c r="D114" t="inlineStr">
        <is>
          <t>indeed</t>
        </is>
      </c>
      <c r="E114" t="inlineStr"/>
      <c r="F114" t="inlineStr"/>
      <c r="G114" t="inlineStr">
        <is>
          <t>Herndon, VA, US</t>
        </is>
      </c>
      <c r="H114" s="2" t="n">
        <v>46044</v>
      </c>
      <c r="I114"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5">
      <c r="A115" t="inlineStr">
        <is>
          <t>in-e13d3db3653a4a04</t>
        </is>
      </c>
      <c r="B115" t="inlineStr">
        <is>
          <t>Machine Learning Engineer, WWPS ProServe Data and Machine Learning</t>
        </is>
      </c>
      <c r="C115" t="inlineStr">
        <is>
          <t>Amazon Web Services</t>
        </is>
      </c>
      <c r="D115" t="inlineStr">
        <is>
          <t>indeed</t>
        </is>
      </c>
      <c r="E115" t="inlineStr"/>
      <c r="F115" t="inlineStr"/>
      <c r="G115" t="inlineStr">
        <is>
          <t>Arlington, VA, US</t>
        </is>
      </c>
      <c r="H115" s="2" t="n">
        <v>46044</v>
      </c>
      <c r="I115"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be a US Citizen and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Experience in professional software engineering \&amp; best practices for the full software development life cycle, including coding standards, software architectures, code reviews, source control management, continuous deployments, testing, and operational excellence
* Current, active US Government Security Clearance of TS/SCI with Polygraph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6">
      <c r="A116" t="inlineStr">
        <is>
          <t>in-e9b2ea735dc3a791</t>
        </is>
      </c>
      <c r="B116" t="inlineStr">
        <is>
          <t>Machine Learning Engineer, WWPS ProServe Data and Machine Learning</t>
        </is>
      </c>
      <c r="C116" t="inlineStr">
        <is>
          <t>Amazon Web Services</t>
        </is>
      </c>
      <c r="D116" t="inlineStr">
        <is>
          <t>indeed</t>
        </is>
      </c>
      <c r="E116" t="inlineStr"/>
      <c r="F116" t="inlineStr"/>
      <c r="G116" t="inlineStr">
        <is>
          <t>Herndon, VA, US</t>
        </is>
      </c>
      <c r="H116" s="2" t="n">
        <v>46043</v>
      </c>
      <c r="I116"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7">
      <c r="A117" t="inlineStr">
        <is>
          <t>in-70feb41de58dbd05</t>
        </is>
      </c>
      <c r="B117" t="inlineStr">
        <is>
          <t>Machine Learning Engineer, WWPS ProServe Data and Machine Learning</t>
        </is>
      </c>
      <c r="C117" t="inlineStr">
        <is>
          <t>Amazon Web Services</t>
        </is>
      </c>
      <c r="D117" t="inlineStr">
        <is>
          <t>indeed</t>
        </is>
      </c>
      <c r="E117" t="inlineStr"/>
      <c r="F117" t="inlineStr"/>
      <c r="G117" t="inlineStr">
        <is>
          <t>Arlington, VA, US</t>
        </is>
      </c>
      <c r="H117" s="2" t="n">
        <v>46043</v>
      </c>
      <c r="I117" t="inlineStr">
        <is>
          <t>**DESCRIPTION**
---------------
The Amazon Web Services Professional Services (ProServe) team is seeking a skilled Machine Learning Engineer to join our team at Amazon Web Services (AWS). Are you looking to work at the forefront of Machine Learning and AI? Would you be excited to apply Generative AI algorithms to solve real world problems with significant impact? In this role, you'll work directly with customers to design, evangelize, implement, and scale AI/ML solutions that meet their technical requirements and business objectives. You'll be a key player in driving customer success through their AI transformation journey, providing deep expertise in machine learning, generative AI, and best practices throughout the project lifecycle.  
As a Machine Learning Engineer within the AWS Professional Services organization, you will be proficient in architecting complex, scalable, and secure machine learning solutions tailored to meet the specific needs of each customer. You'll help customers imagine and scope the use cases that will create the greatest value for their businesses, select and train and fine tune the right models, and define paths to navigate technical or business challenges. Working closely with stakeholders, you'll assess current data infrastructure, develop proof\-of\-concepts, and propose effective strategies for implementing AI and generative AI solutions at scale. You will design and run experiments, research new algorithms, and find new ways of optimizing risk, profitability, and customer experience.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This position requires that the candidate selected must currently possess and maintain an active TS/SCI security clearance with polygraph.  
Key job responsibilities  
* Designing and implementing complex, scalable, and secure AI/ML solutions on AWS tailored to customer needs, including selecting and fine\-tuning appropriate models for specific use cases
* Developing and deploying machine learning models and generative AI applications that solve real\-world business problems, conducting experiments and optimizing for performance at scale
* Collaborating with customer stakeholders to identify high\-value AI/ML use cases, gather requirements, and propose effective strategies for implementing machine learning and generative AI solutions
* Providing technical guidance on applying AI, machine learning, and generative AI responsibly and cost\-efficiently, troubleshooting throughout project delivery and ensuring adherence to best practices
* Acting as a trusted advisor to customers on the latest advancements in AI/ML, emerging technologies, and innovative approaches to leveraging diverse data sources for maximum business impact
* Sharing knowledge within the organization through mentoring, training, creating reusable AI/ML artifacts, and working with team members to prototype new technologies and evaluate technical feasibility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above in Science, Technology, Engineering, or Mathematics (STEM), or experience working in Science, Technology, Engineering, or Mathematics (STEM)
* 2\+ years of data scientist experience
* 3\+ years of data querying languages (e.g. SQL), scripting languages (e.g. Python) or statistical/mathematical software (e.g. R, SAS, Matlab, etc.) experience
* 3\+ years of machine learning/statistical modeling data analysis tools and techniques, and parameters that affect their performance experience
* 1\+ years of working with or evaluating AI systems experience
* Knowledge of professional software engineering \&amp; best practices for full software development life cycle, including coding standards, software architectures, code reviews, source control management, continuous deployments, testing, and operational excellence
* Experience in professional software engineering \&amp; best practices for the full software development life cycle, including coding standards, software architectures, code reviews, source control management, continuous deployments, testing, and operational excellence
**PREFERRED QUALIFICATIONS**
----------------------------
* Master's degree or above in Science, Technology, Engineering, or Mathematics (STEM)
* Knowledge of machine learning concepts and their application to reasoning and problem\-solving
* Experience in defining and creating benchmarks for assessing GenAI model performance
* Experience working on multi\-team, cross\-disciplinary projects
* Experience applying quantitative analysis to solve business problems and making data\-driven business decisions
* Experience with Python, SQL/NoSQL, and API development for building and deploying AI/ML solutions
* Experience working with Large Language Models (LLMs), prompt engineering, and generative AI frameworks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Arlington \- 136,000\.00 \- 184,000\.00 USD annually  
USA, VA, Herndon \- 136,000\.00 \- 184,000\.00 USD annually</t>
        </is>
      </c>
    </row>
    <row r="118">
      <c r="A118" t="inlineStr">
        <is>
          <t>in-9bdbd7664b25871d</t>
        </is>
      </c>
      <c r="B118" t="inlineStr">
        <is>
          <t>Applied Scientist, Alexa Smart Home</t>
        </is>
      </c>
      <c r="C118" t="inlineStr">
        <is>
          <t>Amazon.com</t>
        </is>
      </c>
      <c r="D118" t="inlineStr">
        <is>
          <t>indeed</t>
        </is>
      </c>
      <c r="E118" t="inlineStr"/>
      <c r="F118" t="inlineStr"/>
      <c r="G118" t="inlineStr">
        <is>
          <t>Seattle, WA, US</t>
        </is>
      </c>
      <c r="H118" s="2" t="n">
        <v>46033</v>
      </c>
      <c r="I11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19">
      <c r="A119" t="inlineStr">
        <is>
          <t>in-415dba58ec1b335c</t>
        </is>
      </c>
      <c r="B119" t="inlineStr">
        <is>
          <t>Applied Scientist, Alexa Smart Home</t>
        </is>
      </c>
      <c r="C119" t="inlineStr">
        <is>
          <t>Amazon.com</t>
        </is>
      </c>
      <c r="D119" t="inlineStr">
        <is>
          <t>indeed</t>
        </is>
      </c>
      <c r="E119" t="inlineStr"/>
      <c r="F119" t="inlineStr"/>
      <c r="G119" t="inlineStr">
        <is>
          <t>Sunnyvale, CA, US</t>
        </is>
      </c>
      <c r="H119" s="2" t="n">
        <v>46033</v>
      </c>
      <c r="I119"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0">
      <c r="A120" t="inlineStr">
        <is>
          <t>in-349193d14ba551bd</t>
        </is>
      </c>
      <c r="B120" t="inlineStr">
        <is>
          <t>Senior AI/Gen AI Engineer</t>
        </is>
      </c>
      <c r="C120" t="inlineStr">
        <is>
          <t>Tata Consultancy Services (TCS)</t>
        </is>
      </c>
      <c r="D120" t="inlineStr">
        <is>
          <t>indeed</t>
        </is>
      </c>
      <c r="E120">
        <f>HYPERLINK("https://www.indeed.com/viewjob?jk=349193d14ba551bd", "https://www.indeed.com/viewjob?jk=349193d14ba551bd")</f>
        <v/>
      </c>
      <c r="F120">
        <f>HYPERLINK("https://ibegin.tcsapps.com/candidate/jobs/shared-job/Mzk0NzU4Sg==", "https://ibegin.tcsapps.com/candidate/jobs/shared-job/Mzk0NzU4Sg==")</f>
        <v/>
      </c>
      <c r="G120" t="inlineStr">
        <is>
          <t>Indianapolis, IN, US</t>
        </is>
      </c>
      <c r="H120" s="3" t="n">
        <v>46055</v>
      </c>
      <c r="I120" t="inlineStr">
        <is>
          <t>Must Have Technical/Functional Skills
Python, R, SQL, LLMs, Databricks, AWS, Github, Machine Learning, Data Cleaning and Wrangling, Model Deployments and Evaluation  
Roles \&amp; Responsibilities
1\. Business Problem Understanding
* Work with stakeholders to understand business objectives and pain points
2\. Data Collection \&amp; Understanding
* Data source identification and programs to establish data pipelines
* Identifying data gaps
3\. Data Cleaning \&amp; Preparation
* Handle missing, duplicate, and inconsistent data
* Perform data transformations
4\. Model Development
* Select appropriate algorithms based on problem type
* Build predictive, classification, or clustering models
* Tune hyperparameters for optimal performance
5\. Model Evaluation \&amp; Validation
* Evaluate model performance using appropriate metrics
* Perform cross validation and bias variance checks
* Compare multiple models objectively
6\. Model Deployment \&amp; Production Support
* Work with engineers to deploy models into production
* Create APIs or batch scoring pipelines
* Ensure model scalability and reliability
8\. Data Visualization \&amp; Storytelling
* Communicate insights clearly to non technical audiences
* Build dashboards, reports, and presentations
9\. Stakeholder Communication \&amp; Collaboration
* Collaborate with:
* Product managers
* Data engineers
* Analysts
* Business users
Salary Range $100,000\-$160,000 year  
TCS Employee Benefits Summary:
Discretionary Annual Incentive.
Comprehensive Medical Coverage: Medical \&amp; Health, Dental \&amp; Vision, Disability Planning \&amp; Insurance, Pet Insurance Plans.
Family Support: Maternal \&amp; Parental Leaves.
Insurance Options: Auto \&amp; Home Insurance, Identity Theft Protection.
Convenience \&amp; Professional Growth: Commuter Benefits \&amp; Certification \&amp; amp; Training Reimbursement.
Time Off: Vacation, Time Off, Sick Leave \&amp; Holidays.
Legal \&amp; Financial Assistance: Legal Assistance, 401K Plan, Performance Bonus, College Fund, Student Loan Refinancing.  
\#LI\-SP1
**Location**
Indianapolis, IN
**Job Function**
TECHNOLOGY
**Role**
Senior Engineer
**Job Id**
394758
**Desired Skills**
Artificial Intelligence \| Python \| SQL
**Salary Range**
$100,000\-$160,000 a year
Desired Candidate Profile
**Qualifications** : BACHELOR OF COMPUTER SCIENCE</t>
        </is>
      </c>
    </row>
    <row r="121">
      <c r="A121" t="inlineStr">
        <is>
          <t>in-00bcac5f1a71ff59</t>
        </is>
      </c>
      <c r="B121" t="inlineStr">
        <is>
          <t>Staff Machine Learning Engineer (GenAI and Automation)</t>
        </is>
      </c>
      <c r="C121" t="inlineStr">
        <is>
          <t>Redwood Logistics</t>
        </is>
      </c>
      <c r="D121" t="inlineStr">
        <is>
          <t>indeed</t>
        </is>
      </c>
      <c r="E121">
        <f>HYPERLINK("https://www.indeed.com/viewjob?jk=00bcac5f1a71ff59", "https://www.indeed.com/viewjob?jk=00bcac5f1a71ff59")</f>
        <v/>
      </c>
      <c r="F121">
        <f>HYPERLINK("https://redwoodlogistics.hrmdirect.com/employment/view.php?req=3630186&amp;jbsrc=1014&amp;location=331f1cd6-40d0-913f-c760-dd493dfde880", "https://redwoodlogistics.hrmdirect.com/employment/view.php?req=3630186&amp;jbsrc=1014&amp;location=331f1cd6-40d0-913f-c760-dd493dfde880")</f>
        <v/>
      </c>
      <c r="G121" t="inlineStr">
        <is>
          <t>Remote, US</t>
        </is>
      </c>
      <c r="H121" s="3" t="n">
        <v>46055</v>
      </c>
      <c r="I121" t="inlineStr">
        <is>
          <t>**Staff Machine Learning Engineer (GenAI and Automation)**
Reports To: **Senior Vice President of Data**
Location: **Remote of Chicago, IL**
Environment: **Remote**
Status: **Exempt, salaried**
**Who We Are:**
Recognized by Gartner in their Modern 4PL Market Guide, Redwood Logistics is at the forefront of industry innovation. Our cutting\-edge supply chain technology pairs with the expertise of our brilliant minds to empower logistics execution across North America and Mexico.
Leveraging a comprehensive range of services, data\-centric network solutions, and a seamlessly integrated platform, we have established our prominence as a key player in the mid\-market segment within the freight tech industry.
Whether you’re just starting your career or are an established professional looking for your next opportunity, Redwood inspires innovation across teams to provide transformative solutions for our customers.
**Purpose of Your Work:**
As a **Staff Machine Learning Engineer (GenAI and Automation)** working within Shared Services(one of our entities), you will be responsible for developing tech\-forward solutions to drive automation and informed decision\-making within our business. You will delve into unique and complex issues within the logistics space and partner with cross\-functional teams across business, technology, and product to ideate, develop, recommend, and implement solutions. You will leverage your skill set in machine learning, automation, and GenAI to build various models and infrastructure delivering results and communications actional insights.
**How You Make a Difference Everyday:**
* Develop and implement automation solutions that leverage statistics, machine learning, and Gen AI technologies within Redwood, impacting key metrics and streamlining network operations.
* Identify new opportunities to drive business impact through data exploration and collaboration with key stakeholders.
* Develop and optimize our agentic ML framework for speed, reliability, and observability.
* Collaborate with cross\-functional teams, including software engineers, data scientists, business stakeholders, and product teams, to gather inputs, assumptions, and understand business processes along the way.
**You’ve Got This?**
* MS or PhD in Computer Science, Data Science, Applied Mathematics, Physics, or equivalent work experience.
* 8\+ years of experience applying Machine Learning/MLOps to solve business problems.
* 2\+ years of experience in applying GenAI (e.g., LLMs/ Multi\-Modal) or GenAI\-related concepts (language modeling) to business settings.
* Proficient in leveraging Azure or AWS to deploy scalable machine learning algorithms into production.
* Demonstrated ability in establishing and tracking meaningful metrics for ML system performance and reliability.
* Hands\-on experience with open\-source languages and tooling for large\-scale ML (e.g., Ray, Flink, Feast).
* Experience working with Data Warehouses and ETL pipelines (e.g., Redshift, Databricks, Snowflake, Airflow).
* Ability to communicate with technical and non\-technical stakeholders is a plus
* Three years of experience in supply chain, logistics, transportation, or a similar space is a plus.
**What We Offer:**
* Access to experts and resources for your Learning \&amp; Development journey
* Opportunity for internal mobility
* Employee referral bonus program
* Employee Resource Groups (ERGs)
* Annual fundraising and volunteer events to give back to communities
* Paid time off, floating holidays, time off to volunteer and rollover
* Paid parental leave
* Medical, dental, vision and 401k plans (with match)
* Flexible spending account, mass transit and dependent care plans available
* Health savings account, with a annual company contribution for plan participants
* Short\-term and long\-term disability; life insurance policies subsidized by company
* Additional benefits including pet insurance, accident care, access to legal advice and more
**Work Schedule:**
This position is full\-time and remote Monday through Friday from 8:00 AM to 5:00 PM with an hour break, but flexibility is available based on coverage.
**Compensation Range:**
Salary Range:
$160,000 \- $220,000
This position is eligible to earn annual incentives based on individual and company performance.
*The estimated pay range reflects an anticipated range for this position. The actual base salary offered will depend on a variety of factors, including the qualifications of the individual applicant for the position, years of relevant experience, specific and unique skills, level of education attained, certifications or other professional licenses held, and the geographical location in which the applicant lives and/or which they will be performing the job.*
Redwood is an equal opportunity employer. Employment decisions at the Company are based on individual merit, qualifications, abilities, and the Company’s needs and resources. The Company does not discriminate in recruiting, hiring, compensation, promotions, discipline, termination or any other aspect of employment on the basis of an individual’s actual or perceived race, color, creed, religion, sex (including pregnancy, childbirth and related medical conditions), sexual orientation, gender identity, national origin, ancestry, citizenship status, age, disability, marital status, military service or status, genetic information, arrest and conviction record, credit history, or any other basis protected by applicable law.</t>
        </is>
      </c>
    </row>
    <row r="122">
      <c r="A122" t="inlineStr">
        <is>
          <t>in-a9a9730e379a2b1c</t>
        </is>
      </c>
      <c r="B122" t="inlineStr">
        <is>
          <t>Lead AI/ML Engineer - Remote</t>
        </is>
      </c>
      <c r="C122" t="inlineStr">
        <is>
          <t>Optum</t>
        </is>
      </c>
      <c r="D122" t="inlineStr">
        <is>
          <t>indeed</t>
        </is>
      </c>
      <c r="E122">
        <f>HYPERLINK("https://www.indeed.com/viewjob?jk=a9a9730e379a2b1c", "https://www.indeed.com/viewjob?jk=a9a9730e379a2b1c")</f>
        <v/>
      </c>
      <c r="F122">
        <f>HYPERLINK("https://uhg.taleo.net/careersection/10000/jobdetail.ftl?job=2339937&amp;lang=en", "https://uhg.taleo.net/careersection/10000/jobdetail.ftl?job=2339937&amp;lang=en")</f>
        <v/>
      </c>
      <c r="G122" t="inlineStr">
        <is>
          <t>Eden Prairie, MN, US</t>
        </is>
      </c>
      <c r="H122" s="3" t="n">
        <v>46055</v>
      </c>
      <c r="I122" t="inlineStr">
        <is>
          <t>Optum is a global organization that delivers care, aided by technology to help millions of people live healthier lives. The work you do with our team will directly improve health outcomes by connecting people with the care, pharmacy benefits, data and resources they need to feel their best. Here, you will find a culture guided by inclusion, talented peers, comprehensive benefits and career development opportunities. Come make an impact on the communities we serve as you help us advance health optimization on a global scale. Join us to start **Caring. Connecting. Growing together.**
The Optum Technology Digital team is on a mission to disrupt the healthcare industry, transforming UHG into an industry\-leading Consumer brand. We deliver hyper\-personalized digital solutions that empower direct\-to\-consumer, digital\-first experiences, educating, guiding, and empowering consumers to access the right care at the right time. Our mission is to revolutionize healthcare for patients and providers by delivering cutting\-edge, personalized and conversational digital solutions. We're Consumer Obsessed, ensuring they receive exceptional support throughout their healthcare journeys. As we drive this transformation, we're revolutionizing customer interactions with the healthcare system, leveraging AI, cloud computing, and other disruptive technologies to tackle complex challenges. Serving UnitedHealth Group's digital technology needs, the Consumer Engineering team impacts millions of lives through UnitedHealthcare \&amp; Optum.
The Optum Technology Chief Digital Office (CDO) Leadership team is transforming Optum to be an industry\-leading Consumer brand. We are on a journey towards delivering a best\-in\-the\-industry consumer experience to our patients and providers by delivering personalized digital solutions that support our consumers throughout their healthcare journeys. This team is transforming to meet the moment \- to begin radically altering the way our customers engage with the healthcare system using modern tech to solve some of the most complex problems experienced along the way.
Serving all of UnitedHealth Group's digital technology needs, the CDO team is responsible for driving outcomes across nearly 30 million\+ human lives with UnitedHealthcare insurance, a number which puts UHC at the top of the pack as the largest managed care provider in the United States.
You'll enjoy the flexibility to work remotely \* from anywhere within the U.S. as you take on some tough challenges. For all hires in the Minneapolis or Washington, D.C. area, you will be required to work in the office a minimum of four days per week.
 **Primary Responsibilities:**
* Lead and contribute to the design and hands\-on implementation of AI/ML systems that enables Optum to provide delighting consumer conversational ai experiences in a reliable, and cost\-effective manner
* Partner with product managers, data scientists, software engineers, and business stakeholders to translate business requirements into scalable AI systems
* Leverage AI assisted tools for design, implementation, code reviews, and testing, driving cross\-org architectural alignment
* Ensure the delivery of high\-quality, maintainable, and efficient code and specifications. Lead by example to deliver product quality the first time
* Drive architectural decisions and contribute to our long\-term technical strategy for AI/ML systems
* Own the full lifecycle of AI/ML initiatives\-from problem definition and data exploration to agent development, deployment, and monitoring
* Define project scope, success metrics, and timelines in collaboration with cross\-functional teams and ensure timely delivery while not compromising on quality
* Stay ahead of the curve on emerging AI/ML technologies, tools, and research, and evaluate their applicability to business problems
* Embrace and promote a culture of innovation through rapid iteration, experimentation and data driven decision\-making
* Be a trusted technical advisor to management, internal stakeholders, and customers
* Mentor and lead other engineers to reach their potential
* Participate in peer mentorship across the organization through knowledge sharing and cross\-team initiatives, help set agentic ai engineering standards, and influence executive\-level stakeholders
You'll be rewarded and recognized for your performance in an environment that will challenge you and give you clear direction on what it takes to succeed in your role as well as provide development for other roles you may be interested in.
**Required Qualifications:**
* Bachelor's degree in Computer Science, Data Science, or related field
* 7\+ years of experience in engineering, preferably with experience working on consumer\-facing products
* 5\+ years of experience leading technical teams
* 4\+ years of hands\-on experience in modern cloud infrastructure (AWS, Google, Azure)
* 2\+ years of experience in a team lead role
* Practical experience with AI technology stacks and deployment and operations methodologies in public cloud (Amazon Web Services technology stack preferred)
* Demonstratable knowledge of multiple programming languages
 **Preferred Qualifications:**
* Experience building robust, consumer\-facing software cloud\-native applications
* Experience with security reviews, threat modeling, or red\-teaming
* Proven solid communication skills to articulate technical concepts to other engineers and non\-technical stakeholders
* Proven solid infrastructure as code experience (Terraform, CDK, CloudFormation or equivalent)
* Proven solid governance / change management mindset, ideally with experience in data privacy / risk management
* All employees working remotely will be required to adhere to UnitedHealth Group's Telecommuter Policy
Pay is based on several factors including but not limited to local labor markets, education, work experience, certifications, etc. In addition to your salary, we offer benefits such as, a comprehensive benefits package, incentive and recognition programs, equity stock purchase and 401k contribution (all benefits are subject to eligibility requirements). No matter where or when you begin a career with us, you'll find a far\-reaching choice of benefits and incentives. The salary for this role will range from $112,700 to $193,200 annually based on full\-time employment. We comply with all minimum wage laws as applicable.
 **Application Deadline:** This will be posted for a minimum of 2 business days or until a sufficient candidate pool has been collected. Job posting may come down early due to volume of applicants.
 *At UnitedHealth Group, our mission is to help people live healthier lives and make the health system work better for everyone. We believe everyone\-of every race, gender, sexuality, age, location and income\-deserves the opportunity to live their healthiest life. Today, however, there are still far too many barriers to good health which are disproportionately experienced by people of color, historically marginalized groups and those with lower incomes. We are committed to mitigating our impact on the environment and enabling and delivering equitable care that addresses health disparities and improves health outcomes \- an enterprise priority reflected in our mission.*
 *UnitedHealth Group is an Equal Employment Opportunity employer under applicable law and qualified applicants will receive consideration for employment without regard to race, national origin, religion, age, color, sex, sexual orientation, gender identity, disability, or protected veteran status, or any other characteristic protected by local, state, or federal laws, rules, or regulations.*
 *UnitedHealth Group is a drug \- free workplace. Candidates are required to pass a drug test before beginning employment.*</t>
        </is>
      </c>
    </row>
    <row r="123">
      <c r="A123" t="inlineStr">
        <is>
          <t>in-f51322c5398a6c92</t>
        </is>
      </c>
      <c r="B123" t="inlineStr">
        <is>
          <t>AI Engineer</t>
        </is>
      </c>
      <c r="C123" t="inlineStr">
        <is>
          <t>Imperial PFS</t>
        </is>
      </c>
      <c r="D123" t="inlineStr">
        <is>
          <t>indeed</t>
        </is>
      </c>
      <c r="E123">
        <f>HYPERLINK("https://www.indeed.com/viewjob?jk=f51322c5398a6c92", "https://www.indeed.com/viewjob?jk=f51322c5398a6c92")</f>
        <v/>
      </c>
      <c r="F123">
        <f>HYPERLINK("https://ipfs.hrmdirect.com/employment/view.php?req=3629590&amp;jbsrc=1014&amp;location=f120e3e6-59a8-bb18-5472-1beee01f7eac", "https://ipfs.hrmdirect.com/employment/view.php?req=3629590&amp;jbsrc=1014&amp;location=f120e3e6-59a8-bb18-5472-1beee01f7eac")</f>
        <v/>
      </c>
      <c r="G123" t="inlineStr">
        <is>
          <t>Kansas City, MO, US</t>
        </is>
      </c>
      <c r="H123" s="3" t="n">
        <v>46054</v>
      </c>
      <c r="I123" t="inlineStr">
        <is>
          <t>**AI Engineer**
Job Summary:
The AI Engineer plays a critical role in advancing IPFS’s mission to build more resilient, efficient, and intelligent systems that enhance data accessibility, integrity, and scalability. This role exists to develop and deploy AI agents, machine learning models, natural language processing tools, and intelligent automation solutions.
By leveraging AI technologies, the AI Engineer contributes to the creation of smarter protocols, predictive analytics, and adaptive systems that support IPFS’s goals of innovation and customer focus. This position is instrumental in transforming complex data into actionable insights, enabling more intuitive user experiences, and driving innovation across the IPFS ecosystem.
Key Responsibilities:
* General Innovation ideation and POCs
* Design and Develop AI models and algorithms from scratch (test, deploy, and maintain AI systems)
* Work on functional design, process design ( including scenario design, flow mapping), prototyping, testing, training, and defining support procedures.
* Articulate and document the solutions architecture and lessons learned for each exploration and accelerated incubation.
* Implement AI solutions that integrate with existing business systems to enhance functionality and user interaction.
* Manage the data flow and infrastructure for effective AI deployment
* Stay current with AI trends and suggest improvements to existing systems and workflows (conducting assessments of the AI and automation market and competitor landscape).
* Collecting and analyzing large amounts of data/programming AI software to utilize large amounts of data
* Collaborate with data scientists and other engineers to integrate AI into broader system architectures
* Advise executives and business leaders on a broad range of technology, strategy, and policy issues associated with AI
Essential Knowledge and Experience:
* Experience with innovation accelerators
* Experience with cloud environments
* MLOps tools: Experience using tools for lifecycle management of machine learning models.
* Docker: Experience in using Docker to create reproducible and scalable environments.
* Machine Learning Models: Advanced knowledge in Machine Learning models and Large Language Models (LLM), using langchain or a similar tool.
* LLM Implementation: Experience in implementing LLMs using vector bases and Retrieval\-Augmented Generation (RAG), as well as tuning models. Using GPTs, Llama, or any other LLM
* Solution Architecture Validation: Ability to perform solution architecture validations for LLMs.
* GenAIOps: Experience in putting Generative AI (GENAI) models into production and providing support to them.
* Knowledge of basic algorithms, object\-oriented and functional design principles, and best\-practice patterns.
* Experience in REST API development, NoSQL database design, and RDBMS design and optimizations.
Education:
* Bachelors Degree or Graduate Degree
* 3\-5 years of previous relevant experience</t>
        </is>
      </c>
    </row>
    <row r="124">
      <c r="A124" t="inlineStr">
        <is>
          <t>in-afc17236e53cd25e</t>
        </is>
      </c>
      <c r="B124" t="inlineStr">
        <is>
          <t>AI Engineer - isel - on-site 1 - ukgpro-sandbox</t>
        </is>
      </c>
      <c r="C124" t="inlineStr"/>
      <c r="D124" t="inlineStr">
        <is>
          <t>indeed</t>
        </is>
      </c>
      <c r="E124">
        <f>HYPERLINK("https://www.indeed.com/viewjob?jk=afc17236e53cd25e", "https://www.indeed.com/viewjob?jk=afc17236e53cd25e")</f>
        <v/>
      </c>
      <c r="F124">
        <f>HYPERLINK("https://localhost/MORDOR/JobBoard/330d3f1c-2979-90f6-c771-92db485a70e3/OpportunityDetail?opportunityId=af15af67-ca98-4006-a789-c312d077a210&amp;postingId=fc38b2b1-9b95-4a78-a948-b16838464462", "https://localhost/MORDOR/JobBoard/330d3f1c-2979-90f6-c771-92db485a70e3/OpportunityDetail?opportunityId=af15af67-ca98-4006-a789-c312d077a210&amp;postingId=fc38b2b1-9b95-4a78-a948-b16838464462")</f>
        <v/>
      </c>
      <c r="G124" t="inlineStr">
        <is>
          <t>Miami, FL, US</t>
        </is>
      </c>
      <c r="H124" s="3" t="n">
        <v>46056</v>
      </c>
      <c r="I124" t="inlineStr">
        <is>
          <t>**Position Overview**  
We are seeking a detail\-oriented and dependable Accounting Specialist to join our finance team and support the company’s day\-to\-day accounting operations. This role plays a critical part in ensuring accurate financial records, timely reporting, and compliance with accounting standards. The ideal candidate is analytical, organized, and comfortable working in a collaborative, deadline\-driven environment.
### **Key Responsibilities**
* Maintain and reconcile general ledger accounts, ensuring accuracy and completeness
* Prepare, review, and post journal entries for routine and non\-routine transactions
* Assist with month\-end, quarter\-end, and year\-end close processes
* Perform balance sheet and income statement reconciliations and investigate variances
* Support internal and external audits by preparing documentation and responding to inquiries
* Assist with financial reporting, including management reports and ad hoc analysis
* Collaborate with cross\-functional teams to improve accounting processes and internal controls
* Ensure compliance with GAAP and company accounting policies
### **Required Skills \&amp; Qualifications**
* Bachelor’s degree in Accounting, Finance, or a related field
* 2–4 years of experience in accounting or financial operations
* Strong understanding of general ledger accounting and basic GAAP principles
* Proficiency in Microsoft Excel, including formulas, pivot tables, and data analysis
* Experience with accounting or ERP systems (e.g., NetSuite, SAP, Oracle, or similar)
* Strong attention to detail with the ability to manage multiple priorities
* Excellent written and verbal communication skills
### **Preferred Qualifications**
* Experience supporting audits or regulatory reporting
* CPA or progress toward CPA certification
* Familiarity with automation tools or process improvement initiatives
### **Benefits \&amp; Perks**
* Competitive base salary with annual performance bonus
* Comprehensive medical, dental, and vision insurance
* 401(k) retirement plan with company match
* Generous paid time off, paid holidays, and wellness days
* Professional development stipend and continuing education support
* Collaborative, team\-focused culture with opportunities for career growth</t>
        </is>
      </c>
    </row>
    <row r="125">
      <c r="A125" t="inlineStr">
        <is>
          <t>in-be6d1ae80ff38098</t>
        </is>
      </c>
      <c r="B125" t="inlineStr">
        <is>
          <t>Contact Center / Conversational AI Engineer</t>
        </is>
      </c>
      <c r="C125" t="inlineStr">
        <is>
          <t>Fustis LLC</t>
        </is>
      </c>
      <c r="D125" t="inlineStr">
        <is>
          <t>indeed</t>
        </is>
      </c>
      <c r="E125">
        <f>HYPERLINK("https://www.indeed.com/viewjob?jk=be6d1ae80ff38098", "https://www.indeed.com/viewjob?jk=be6d1ae80ff38098")</f>
        <v/>
      </c>
      <c r="F125">
        <f>HYPERLINK("https://fustis.oorwin.ai/#/careers/index.html/job/details/209cbd7df48248f976f6dd4817b07c208e0730a2?source=indeed&amp;postedby=3", "https://fustis.oorwin.ai/#/careers/index.html/job/details/209cbd7df48248f976f6dd4817b07c208e0730a2?source=indeed&amp;postedby=3")</f>
        <v/>
      </c>
      <c r="G125" t="inlineStr">
        <is>
          <t>Chicago, IL, US</t>
        </is>
      </c>
      <c r="H125" s="3" t="n">
        <v>46056</v>
      </c>
      <c r="I125" t="inlineStr">
        <is>
          <t>### **Contact Center / Conversational AI Engineer \- 15986**
**Location:** Hybrid \- Chicago  
**Rate:** $60\-65/hr. C2C  
Work Authorization: USC, GC, GC\-EAD and H4\-EAD  
**Job Description:**  
\*\*\*\* Airlines is seeking a **Contact Center / Conversational AI Engineer** to support digital payment solutions across conversational and digital channels. This role will focus on building and integrating secure payment experiences across mobile, web, and messaging platforms while coordinating delivery with internal and third\-party teams.
**Key Responsibilities:**
* Design and build **payment solutions** for mobile and web applications across digital channels (In\-App, Web, SMS, RCS, Apple Business Chat).
* Develop and integrate **APIs and interfaces** to manage payments through **multiple payment gateways**.
* Lead **program planning and execution** from build through deployment, coordinating with **third\-party vendors** and tracking dependencies.
* Ensure timely delivery by managing schedules, risks, and cross\-team alignment.
* Support and enhance **conversational AI / contact center platforms**.
**Required Skills:**
* Strong experience with **digital payment integrations** across mobile and web platforms.
* Hands\-on experience building **payment APIs** and gateway integrations.
* Experience managing end\-to\-end solution delivery involving **external solution providers**.
**Nice to Have:**
* Experience with **Netomi** and/or **LivePerson** SaaS platforms.</t>
        </is>
      </c>
    </row>
    <row r="126">
      <c r="A126" t="inlineStr">
        <is>
          <t>in-7910300e359a0acd</t>
        </is>
      </c>
      <c r="B126" t="inlineStr">
        <is>
          <t>AI&amp;ML Engineer</t>
        </is>
      </c>
      <c r="C126" t="inlineStr">
        <is>
          <t>TheAgilePartners</t>
        </is>
      </c>
      <c r="D126" t="inlineStr">
        <is>
          <t>indeed</t>
        </is>
      </c>
      <c r="E126">
        <f>HYPERLINK("https://www.indeed.com/viewjob?jk=7910300e359a0acd", "https://www.indeed.com/viewjob?jk=7910300e359a0acd")</f>
        <v/>
      </c>
      <c r="F126">
        <f>HYPERLINK("http://www.indeed.com/job/aiml-engineer-7910300e359a0acd", "http://www.indeed.com/job/aiml-engineer-7910300e359a0acd")</f>
        <v/>
      </c>
      <c r="G126" t="inlineStr">
        <is>
          <t>Atlanta, GA, US</t>
        </is>
      </c>
      <c r="H126" s="3" t="n">
        <v>46056</v>
      </c>
      <c r="I126" t="inlineStr">
        <is>
          <t>**Location:** Atlanta, GA (Onsite)  
**Experience:** 5\+ Years  
**Employment Type:** Full\-Time
**Job Summary:**
We are looking for an **AI/ML Engineer** to design, develop, and deploy scalable machine learning and AI pipelines. The role focuses on performance\-optimized Spark\-based ML workflows, robust data quality and feature engineering frameworks, CI/CD integration for MLOps, and production\-grade reliability in distributed data platforms such as Databricks and Cloudera.
**Roles \&amp; Responsibilities:**
* Grow Customer’s use of AI within customer and employee facing experiences
* Partner with cross functional business and technology teams to understand business landscape and drive AI opportunities.
* Provide technical thought\-leadership and direction for AI solutions across a wide range of centralized and distributed environments across the Customer landscape.
* Partner with Architecture, Foundations, and Security teams to pave the way for Customer leverage industrialized design patterns
* Help to define, design and capture data required for measurement of each solution
* Collaborate frequently to share ideas and gain perspective. Communicates critical information in a clear and timely manner. Listens to others. Seeks clarification and confirms shared understanding when communicating.
* Delivering with Quality and Speed
* Collaborate with business and product owners, understanding the product and business domain to engineer solutions that create a competitive advantage
* Work within a team of engineers and cross\-divisionally to design and build Artificial Intelligence into technical solutions at scale
* Contribute to the strategy around which frameworks and technologies are leveraged with each solution, and partner with the foundations teams to approve new design patterns
* Look upstream and downstream to see around corners and anticipate future consequences for immediate technical choices
* Document and communicate solutions with effective documentation, flowcharts, layouts, diagrams, charts, code comments and clear code
* Design, Develop, Monitor, and scale AI components, APIs, and loosely coupled applications and integrate these with highly available channels and systems
* Incorporate security standards, test\-driven development, and pipeline deployment automation to achieve robust reliability and scale
* Mentor junior team\-mates to define and implement detailed measurement data, error logging/tracking for all products within our domain
* Initiate and lead code reviews and continuous im provement efforts
* Analysis and implementation of Performance/Stability/Reliability initiatives
* Monitors metrics, problems, trends, and costs, in order to determine solutions, required process changes, etc. that will make the function more efficient o Plan, create, and execute automated test cases and load/performance testing
* Operate with Agile and Cloud Target squads within two\-week sprints
* Own and support what you build
* Production issue triage, management, and prevention with a focus on continuous improvement
* Develop an AI first mindset and help democratize AI for Customer
**Technical/Functional Skills**
* 5\+ years of work experience in Software Engineering
* 3\+ years of work/educational experience in Artificial Intelligence/Machine Learning
* Experience with Agile Software Development Lifecycles and DevOps/DevSecOps
* Development experience on AWS, AWS Sagemaker required
* Experience with one or more general purpose programming languages including but not limited to: Python, R, Scala, Spark
* Experience with one or more of the following: Natural Language Processing, sentiment analysis, classification, pattern recognition.
* Development experience with AI frameworks such as TensorFlow, Microsoft CNTK, scikit, Keras, Caffe, Gluon, Torch.
* Familiarity with GenAI technology stack, including frameworks for prompt engineering, guardrails for GenAI applications, and LLM fine\-tuning
* Experience working with VectorDBs and other data infrastructure required to efficiently support Generative AI training pipelines and production applications
* Experience training and maintaining large language models
* Experience with production\-grade development, integration and support
* Experience and familiarity presenting to technical and business audiences
* Position open to ATL and MSP offices
**Other Requirements:**
* **Onsite role** – Atlanta, GA
* Background check is required.
* **Please note:** Due to client requirements, we are only able to consider candidates who are authorized to work in the U.S. as a Green Card holder or U.S. Citizen.
Job Type: Full\-time
Pay: $100,000\.00 \- $140,000\.00 per year
Work Location: In person</t>
        </is>
      </c>
    </row>
    <row r="127">
      <c r="A127" t="inlineStr">
        <is>
          <t>in-7073ee123e7200fc</t>
        </is>
      </c>
      <c r="B127" t="inlineStr">
        <is>
          <t>Senior AI Engineer</t>
        </is>
      </c>
      <c r="C127" t="inlineStr">
        <is>
          <t>Medica Services Company LLC</t>
        </is>
      </c>
      <c r="D127" t="inlineStr">
        <is>
          <t>indeed</t>
        </is>
      </c>
      <c r="E127">
        <f>HYPERLINK("https://www.indeed.com/viewjob?jk=7073ee123e7200fc", "https://www.indeed.com/viewjob?jk=7073ee123e7200fc")</f>
        <v/>
      </c>
      <c r="F127">
        <f>HYPERLINK("https://recruiting2.ultipro.com/MED1007MHP/JobBoard/ffa5492f-9175-4dab-891d-a6a5d6dced2f/OpportunityDetail?opportunityId=1cbd609d-a552-4fc3-8412-1e8e0ffb841c&amp;postingId=ae1f902c-3001-4cae-8ff4-5a17e62900e6", "https://recruiting2.ultipro.com/MED1007MHP/JobBoard/ffa5492f-9175-4dab-891d-a6a5d6dced2f/OpportunityDetail?opportunityId=1cbd609d-a552-4fc3-8412-1e8e0ffb841c&amp;postingId=ae1f902c-3001-4cae-8ff4-5a17e62900e6")</f>
        <v/>
      </c>
      <c r="G127" t="inlineStr">
        <is>
          <t>Minnetonka, MN, US</t>
        </is>
      </c>
      <c r="H127" s="3" t="n">
        <v>46056</v>
      </c>
      <c r="I127" t="inlineStr">
        <is>
          <t>Medica is a nonprofit health plan with more than a million members that serves communities in Minnesota, Nebraska, Wisconsin, Missouri, and beyond. We deliver personalized health care experiences and partner closely with providers to ensure members are genuinely cared for.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Medica is seeking a hands\-on Senior AI Platform Engineer to help build and scale our next\-generation AI agents and infrastructure. You’ll work on complex systems that power AI\-driven healthcare solutions \- for our members, providers and employees, that improve the healthcare experience end\-to\-end. This role is ideal for hands on builders who thrive on ownership, love solving technical and business problems, and are on the cutting edge of software. Performs other duties as assigned.
**Key Accountabilities**
* Design, implement and deploy AI pipelines, systems and platforms – from evaluation design and benchmarking through product integration\-ensuring performance, reliability and end\-to\-end safety and transparency
* Prototype, build and operate cutting edge product, and consumer facing AI systems, pushing state\-of\-the\-art to solve our core healthcare and technical challenges
* Contribute to technical decision\-making and architectural discussions for AI and data platforms. Upload high engineering standards and share best practices in code review and design discussions
* Stay up to date with the latest research and developments in AI. Evaluate new approaches or tools and drive their adoption when they can advance our capabilities. Help evangelize to the organization accordingly
**Required Qualifications**
* Bachelor's degree or equivalent experience in related field
* 8 years of work experience beyond degree
**Preferred Qualifications**
* Minimum of 3 years of experience building production grade software with Python, Go, or equivalent
* Proven ability to create, manage and scale public cloud infrastructure in AWS/Azure/GCP
* Experience deploying infrastructure via Terraform or another declarative tool
* Familiarity with containerization \&amp; orchestration including Docker, K8s, Helm
* Modern DevOps tooling including Github Actions, Prometheus \+ Grafana, Open Telemetry
While not required, we especially want to talk if you:
* **Have strong opinions on agent frameworks** (e.g., **LangGraph, AutoGen, CrewAI, OpenAI ADK**)—and can explain when and why to use them (or when/why not to).
* **Can explain agent workflows such as orchestrator\-workers, evaluator\-optimizer, and prompt chaining**
* **Have built evaluations for AI systems—for accuracy, bias, security, function calling accuracy, etc**
* **Can justify decisions between RAG, prompt engineering, and fine\-tuning**
* **Have experience with modular agent architectures where specialized agents communicate**
* **Have a stance on when to leverage generative AI—and when not to**
* **Have worked with healthcare data, HIPAA compliance, or in regulated environments**
* **Love (or hate) Claude Code, Codex, Cursor, or GitHub Copilot**
* **Have a favorite MCP server (or 3\)**
This position is an Office role, which requires an employee to work onsite at our Minnetonka, MN office, on average, 3 days per week.
The full salary grade for this position is $130,400 \- $223,600\. While the full salary grade is provided, the typical hiring salary range for this role is expected to be between $130,400 \- $176,985\. Annual salary range placement will depend on a variety of factors including, but not limited to, education, work experience, applicable certifications and/or licensure, the position's scope and responsibility, internal pay equity and external market salary data. In addition to base compensation, this position may be eligible for incentive plan compensation in addition to base salary.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t>
        </is>
      </c>
    </row>
    <row r="128">
      <c r="A128" t="inlineStr">
        <is>
          <t>in-6a306809979eacea</t>
        </is>
      </c>
      <c r="B128" t="inlineStr">
        <is>
          <t>Machine Learning Engineer, Fraud</t>
        </is>
      </c>
      <c r="C128" t="inlineStr">
        <is>
          <t>Whatnot</t>
        </is>
      </c>
      <c r="D128" t="inlineStr">
        <is>
          <t>indeed</t>
        </is>
      </c>
      <c r="E128">
        <f>HYPERLINK("https://www.indeed.com/viewjob?jk=6a306809979eacea", "https://www.indeed.com/viewjob?jk=6a306809979eacea")</f>
        <v/>
      </c>
      <c r="F128">
        <f>HYPERLINK("https://jobs.ashbyhq.com/whatnot/5d6dc8c4-4e0c-4a6a-8bfd-194917564cf2?utm_source=5ZdKQw02XN", "https://jobs.ashbyhq.com/whatnot/5d6dc8c4-4e0c-4a6a-8bfd-194917564cf2?utm_source=5ZdKQw02XN")</f>
        <v/>
      </c>
      <c r="G128" t="inlineStr">
        <is>
          <t>San Francisco, CA, US</t>
        </is>
      </c>
      <c r="H128" s="3" t="n">
        <v>46055</v>
      </c>
      <c r="I128" t="inlineStr">
        <is>
          <t>**Join the Future of Commerce with Whatnot!**
---------------------------------------------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**Role**
--------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**You**
-------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**Benefits**
------------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129">
      <c r="A129" t="inlineStr">
        <is>
          <t>in-d441b03b7dbf2add</t>
        </is>
      </c>
      <c r="B129" t="inlineStr">
        <is>
          <t>Machine Learning Engineer, Fraud</t>
        </is>
      </c>
      <c r="C129" t="inlineStr">
        <is>
          <t>Whatnot</t>
        </is>
      </c>
      <c r="D129" t="inlineStr">
        <is>
          <t>indeed</t>
        </is>
      </c>
      <c r="E129">
        <f>HYPERLINK("https://www.indeed.com/viewjob?jk=d441b03b7dbf2add", "https://www.indeed.com/viewjob?jk=d441b03b7dbf2add")</f>
        <v/>
      </c>
      <c r="F129">
        <f>HYPERLINK("https://jobs.ashbyhq.com/whatnot/5d6dc8c4-4e0c-4a6a-8bfd-194917564cf2?utm_source=5ZdKQw02XN", "https://jobs.ashbyhq.com/whatnot/5d6dc8c4-4e0c-4a6a-8bfd-194917564cf2?utm_source=5ZdKQw02XN")</f>
        <v/>
      </c>
      <c r="G129" t="inlineStr">
        <is>
          <t>Los Angeles, CA, US</t>
        </is>
      </c>
      <c r="H129" s="3" t="n">
        <v>46055</v>
      </c>
      <c r="I129" t="inlineStr">
        <is>
          <t>**Join the Future of Commerce with Whatnot!**
---------------------------------------------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**Role**
--------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**You**
-------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**Benefits**
------------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130">
      <c r="A130" t="inlineStr">
        <is>
          <t>in-1c1d57f5f05e1cf7</t>
        </is>
      </c>
      <c r="B130" t="inlineStr">
        <is>
          <t>Machine Learning Engineer, Fraud</t>
        </is>
      </c>
      <c r="C130" t="inlineStr">
        <is>
          <t>Whatnot</t>
        </is>
      </c>
      <c r="D130" t="inlineStr">
        <is>
          <t>indeed</t>
        </is>
      </c>
      <c r="E130">
        <f>HYPERLINK("https://www.indeed.com/viewjob?jk=1c1d57f5f05e1cf7", "https://www.indeed.com/viewjob?jk=1c1d57f5f05e1cf7")</f>
        <v/>
      </c>
      <c r="F130">
        <f>HYPERLINK("https://jobs.ashbyhq.com/whatnot/5d6dc8c4-4e0c-4a6a-8bfd-194917564cf2?utm_source=5ZdKQw02XN", "https://jobs.ashbyhq.com/whatnot/5d6dc8c4-4e0c-4a6a-8bfd-194917564cf2?utm_source=5ZdKQw02XN")</f>
        <v/>
      </c>
      <c r="G130" t="inlineStr">
        <is>
          <t>Seattle, WA, US</t>
        </is>
      </c>
      <c r="H130" s="3" t="n">
        <v>46055</v>
      </c>
      <c r="I130" t="inlineStr">
        <is>
          <t>**Join the Future of Commerce with Whatnot!**
---------------------------------------------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**Role**
--------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**You**
-------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**Benefits**
------------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131">
      <c r="A131" t="inlineStr">
        <is>
          <t>in-ecf0f287d9b1020c</t>
        </is>
      </c>
      <c r="B131" t="inlineStr">
        <is>
          <t>Machine Learning Engineer, Fraud</t>
        </is>
      </c>
      <c r="C131" t="inlineStr">
        <is>
          <t>Whatnot</t>
        </is>
      </c>
      <c r="D131" t="inlineStr">
        <is>
          <t>indeed</t>
        </is>
      </c>
      <c r="E131">
        <f>HYPERLINK("https://www.indeed.com/viewjob?jk=ecf0f287d9b1020c", "https://www.indeed.com/viewjob?jk=ecf0f287d9b1020c")</f>
        <v/>
      </c>
      <c r="F131">
        <f>HYPERLINK("https://jobs.ashbyhq.com/whatnot/5d6dc8c4-4e0c-4a6a-8bfd-194917564cf2?utm_source=5ZdKQw02XN", "https://jobs.ashbyhq.com/whatnot/5d6dc8c4-4e0c-4a6a-8bfd-194917564cf2?utm_source=5ZdKQw02XN")</f>
        <v/>
      </c>
      <c r="G131" t="inlineStr">
        <is>
          <t>New York, NY, US</t>
        </is>
      </c>
      <c r="H131" s="3" t="n">
        <v>46055</v>
      </c>
      <c r="I131" t="inlineStr">
        <is>
          <t>**Join the Future of Commerce with Whatnot!**
---------------------------------------------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**Role**
--------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**You**
-------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**Benefits**
------------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**EOE**
-------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132">
      <c r="A132" t="inlineStr">
        <is>
          <t>in-6d181a1383f6890b</t>
        </is>
      </c>
      <c r="B132" t="inlineStr">
        <is>
          <t>AI Engineer</t>
        </is>
      </c>
      <c r="C132" t="inlineStr"/>
      <c r="D132" t="inlineStr">
        <is>
          <t>indeed</t>
        </is>
      </c>
      <c r="E132">
        <f>HYPERLINK("https://www.indeed.com/viewjob?jk=6d181a1383f6890b", "https://www.indeed.com/viewjob?jk=6d181a1383f6890b")</f>
        <v/>
      </c>
      <c r="F132">
        <f>HYPERLINK("https://jobs.ashbyhq.com/Concentrate%20AI/42e613b8-8532-44f8-ab0e-de18e6fbc2e3?utm_source=ga7VnnmPYl", "https://jobs.ashbyhq.com/Concentrate%20AI/42e613b8-8532-44f8-ab0e-de18e6fbc2e3?utm_source=ga7VnnmPYl")</f>
        <v/>
      </c>
      <c r="G132" t="inlineStr">
        <is>
          <t>US</t>
        </is>
      </c>
      <c r="H132" s="3" t="n">
        <v>46055</v>
      </c>
      <c r="I132" t="inlineStr">
        <is>
          <t>Concentrate AI provides a unified, OpenAI\-compatible API to access, route, and manage LLMs. We save our customers time, cut costs, and reduce risk. We manage high\-volume AI traffic and logs.
We’re seed\-stage, well\-funded, and in stealth. This role is fully remote.
**The Role**
Build, run, and debug LLM applications on top of Concentrate. You’ll work on production workloads (customer\-facing and internal), stress test the platform, and share feedback and learnings with the product team.
**Key Areas of Responsibility:**
* Build LLM\-powered services, workflows, and applications using Concentrate
* Integrate with real production applications and environments
* Design reliable interactions with LLMs (OpenAI, Anthropic, Gemini, OSS), including prompts, tool calling, evals, and guardrails
* Debug failures across models, APIs, and infrastructure
* Write code, scripts, and small tools to test system behavior at scale
* Reproduce bugs, isolate root causes, and clearly document findings
* Drive improvements to APIs, defaults, and overall developer experience
**What We’re Looking for**
* Hands\-on experience integrating LLMs via APIs in production
* Always building tools, scripts, side projects, or experiments to test ideas and learn fast
* Strong Python; TypeScript is a plus
* Comfortable with REST APIs, async systems, and production debugging
* Curious about model behavior under load, failure, and edge cases
* Familiarity with tool calling, agents, multi\-step workflows, or MCPs
* Strong code quality and technical judgment
* Comfortable operating in early\-stage environments with speed and ambiguity
* Clear async communication (Slack, written updates, concise docs)
* Fluent written and verbal English required for documentation, incident response, and technical and business presentations.
* Bonus: active open\-source contributor
**Comp:** Base \+ bonus \+ meaningful equity
**Equal Opportunity \&amp; Fair Chance Notice**  
Concentrate AI is an affirmative action and equal opportunity employer. We are committed to providing equal employment opportunities and do not discriminate in recruiting, hiring, training, promotion, or other employment practices on the basis of race, color, sex, age, religion, national origin, ancestry, protected veteran status, disability, sexual orientation, gender identity or expression, genetic information, or any other status protected by applicable law.  
Qualified applicants with arrest and conviction records will be considered in accordance with the San Francisco Fair Chance Ordinance and applicable state and local laws.  
**California Privacy Notice**  
California residents may contact privacy@concentrate.ai for additional information regarding how we collect, use, and disclose personal information during the job application process.  
**Recruitment Agency Notice**  
Concentrate AI does not accept unsolicited resumes from recruitment agencies and is not responsible for any fees related to unsolicited submissions.</t>
        </is>
      </c>
    </row>
    <row r="133">
      <c r="A133" t="inlineStr">
        <is>
          <t>in-2cf9f7b2006e1b79</t>
        </is>
      </c>
      <c r="B133" t="inlineStr">
        <is>
          <t>Staff Machine Learning Engineer, Perception</t>
        </is>
      </c>
      <c r="C133" t="inlineStr">
        <is>
          <t>Path Robotics, Inc.</t>
        </is>
      </c>
      <c r="D133" t="inlineStr">
        <is>
          <t>indeed</t>
        </is>
      </c>
      <c r="E133">
        <f>HYPERLINK("https://www.indeed.com/viewjob?jk=2cf9f7b2006e1b79", "https://www.indeed.com/viewjob?jk=2cf9f7b2006e1b79")</f>
        <v/>
      </c>
      <c r="F133">
        <f>HYPERLINK("https://grnh.se/24a1kn3i2us", "https://grnh.se/24a1kn3i2us")</f>
        <v/>
      </c>
      <c r="G133" t="inlineStr">
        <is>
          <t>Columbus, OH, US</t>
        </is>
      </c>
      <c r="H133" s="3" t="n">
        <v>46055</v>
      </c>
      <c r="I133" t="inlineStr">
        <is>
          <t>**Build the Path Forward**
==========================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We're seeking a passionate individual to join our team at the intersection of welding science and artificial intelligence. As a Staff Machine Learning Engineer, you'll be instrumental in developing robotic welding solutions. You'll use your skills in computer vision, deep learning, and Python programming to tackle challenges in our field alongside our talented teams.
**What You'll Do**
------------------
* Lead the development and implementation of advanced algorithms for robotic perception systems tailored to industrial welding tasks, integrating data from diverse vision sensors such as RGB/GigE, LiDAR, and ToF depth sensors.
* Oversee research initiatives to address complex welding\-related challenges, utilizing image processing, point cloud data, and 3D sensor fusion, contributing to innovative solutions for domain\-specific problems.
* Collaborate with multidisciplinary teams to design and lead experiments evaluating state\-of\-the\-art deep learning models, optimizing machine learning systems for robotic perception in welding.
* Stay at the forefront of advancements in Robotics, Computer Vision, and ML research, driving the integration of cutting\-edge technologies into real\-world applications, and ensuring these innovations have a high impact on production systems.
* Mentor and guide junior engineers, providing technical leadership and fostering collaboration to enhance team expertise in perception systems and machine learning.
* Contribute to strategic decisions about system architecture and the direction of robotics perception technologies within the company, ensuring alignment with product and business goals.
**Who You Are**
* Master's or Ph.D. in Computer Science, Robotics, or a related field with a focus on Computer Vision, Machine Learning, or Perception Systems.
* 5\+ years of experience in developing machine learning algorithms or applications for real\-world robotics systems, particularly in industrial or manufacturing environments.
* Strong proficiency in Python, as well as experience with other relevant languages (e.g., C\+\+), and a deep understanding of neural networks, deep learning architectures, and 3D data processing.
* Extensive experience with vision sensors (e.g., RGB, LiDAR, ToF) and demonstrated ability to apply sensor fusion techniques for perception tasks.
* A proven track record of leading projects and research initiatives, with the ability to bridge the gap between theoretical research and practical, deployable solutions.
* Enthusiastic about working in a fast\-paced, dynamic startup environment, with the ability to influence company\-wide technological direction and strategy.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134">
      <c r="A134" t="inlineStr">
        <is>
          <t>in-b24cabcfcb3bc8ee</t>
        </is>
      </c>
      <c r="B134" t="inlineStr">
        <is>
          <t>AI Engineer</t>
        </is>
      </c>
      <c r="C134" t="inlineStr">
        <is>
          <t>Infosys</t>
        </is>
      </c>
      <c r="D134" t="inlineStr">
        <is>
          <t>indeed</t>
        </is>
      </c>
      <c r="E134">
        <f>HYPERLINK("https://www.indeed.com/viewjob?jk=b24cabcfcb3bc8ee", "https://www.indeed.com/viewjob?jk=b24cabcfcb3bc8ee")</f>
        <v/>
      </c>
      <c r="F134">
        <f>HYPERLINK("https://digitalcareers.infosys.com/global-careers/company-job/description/reqid/143990BR?Codes=Indeed", "https://digitalcareers.infosys.com/global-careers/company-job/description/reqid/143990BR?Codes=Indeed")</f>
        <v/>
      </c>
      <c r="G134" t="inlineStr">
        <is>
          <t>Bridgewater, NJ, US</t>
        </is>
      </c>
      <c r="H134" s="3" t="n">
        <v>46055</v>
      </c>
      <c r="I134" t="inlineStr">
        <is>
          <t>**Infosys Limited is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Candidate must be located within commuting distance of **Bridgewater, NJ** or be willing to relocate to the area.
* At least 2 years of experience in Information Technology
* Proficiency in Python, SQL, and machine learning frameworks such as scikit\-learn, TensorFlow, or PyTorch, NLP
* Candidates authorized to work for any employer in the United States without employer\-based visa sponsorship are welcome to apply. Infosys is unable to provide immigration sponsorship for this role at this time
**Preferred Qualifications:**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t>
        </is>
      </c>
    </row>
    <row r="135">
      <c r="A135" t="inlineStr">
        <is>
          <t>in-691024bbb33a11e0</t>
        </is>
      </c>
      <c r="B135" t="inlineStr">
        <is>
          <t>AI ML Engineer/UI GenAI Rapid POC Builder - 6106376</t>
        </is>
      </c>
      <c r="C135" t="inlineStr">
        <is>
          <t>Accenture</t>
        </is>
      </c>
      <c r="D135" t="inlineStr">
        <is>
          <t>indeed</t>
        </is>
      </c>
      <c r="E135">
        <f>HYPERLINK("https://www.indeed.com/viewjob?jk=691024bbb33a11e0", "https://www.indeed.com/viewjob?jk=691024bbb33a11e0")</f>
        <v/>
      </c>
      <c r="F135">
        <f>HYPERLINK("https://accenture.com/us-en/careers/jobdetails?id=13997078_en", "https://accenture.com/us-en/careers/jobdetails?id=13997078_en")</f>
        <v/>
      </c>
      <c r="G135" t="inlineStr">
        <is>
          <t>Charlotte, NC, US</t>
        </is>
      </c>
      <c r="H135" s="3" t="n">
        <v>46055</v>
      </c>
      <c r="I135"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Rapidly build and iterate on working application prototypes with strong UI/frontend components.
* Develop and embed GenAI capabilities (agent assist, workflow copilots, AI‑assisted experiences).
* Partner directly with stakeholders and demo concepts to leadership.
* Transform early concepts into clickable, demo‑ready experiences.
* Operate as a horizontal enabler outside typical scrum processes.
Basic Qualifications:
* Require minimum 5 years of development experience with at least a year with hands on experience in the required skills
* Strong UI engineering experience with React and TypeScript
* Ability to rapidly build UI using component libraries (Material UI, Chakra, Tailwind)
* Experience designing usable user flows without reliance on a dedicated UX team
* Practical, hands‑on GenAI build experience (beyond prompting)
* Experience integrating LLMs via APIs (Azure OpenAI / OpenAI / equivalent)
* Understanding of RAG fundamentals (embeddings, retrieval, chunking, grounding)
* Knowledge of common GenAI failure modes (hallucination, prompt injection, data leakage)
* High School Diploma or GED
Preferred Qualifications:
* End‑to‑end GenAI prototype experience, including UI \+ backend integration
* Experience working as a POC accelerator: build fast, iterate fast, demo often
* Ability to operate outside traditional sprint structures
* Experience presenting/demonstrating prototypes to senior stakeholders
* Strong builder mindset; comfortable working in ambiguity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*Accenture Flex offers a market competitive suite of benefits including medical, dental, vision, and long\-term disability coverage, a 401(k) plan, and paid time off. See more information on our benefits here:*
*Accenture Flex Jobs*
Role Location
*California – $58\.00 \- $68\.00/hour*
*Cleveland – $58\.00 \- $68\.00/hour*
*Colorado – $58\.00 \- $68\.00/hour*
*District of Columbia – $58\.00 \- $68\.00/hour*
*Illinois \- $58\.00 \- $68\.00/hour*
*Maryland – $58\.00 \- $68\.00/hour*
*Massachusetts – $58\.00 \- $68\.00/hour*
*Minnesota \- $58\.00 \- $68\.00/hour*
*New Jersey/New York – $58\.00 \- $68\.00/hour*
*Washington – $58\.00 \- $68\.00/hour*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Our rich diversity makes us more innovative, more competitive, and more creative, which helps us better serve our clients and our communities.
For details, view a copy of the Accenture Equal Opportunity Statement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t>
        </is>
      </c>
    </row>
    <row r="136">
      <c r="A136" t="inlineStr">
        <is>
          <t>in-64ee84f4182bb154</t>
        </is>
      </c>
      <c r="B136" t="inlineStr">
        <is>
          <t>Machine Learning Engineer</t>
        </is>
      </c>
      <c r="C136" t="inlineStr"/>
      <c r="D136" t="inlineStr">
        <is>
          <t>indeed</t>
        </is>
      </c>
      <c r="E136">
        <f>HYPERLINK("https://www.indeed.com/viewjob?jk=64ee84f4182bb154", "https://www.indeed.com/viewjob?jk=64ee84f4182bb154")</f>
        <v/>
      </c>
      <c r="F136">
        <f>HYPERLINK("https://grnh.se/wv76vn698us", "https://grnh.se/wv76vn698us")</f>
        <v/>
      </c>
      <c r="G136" t="inlineStr">
        <is>
          <t>Boston, MA, US</t>
        </is>
      </c>
      <c r="H136" s="3" t="n">
        <v>46055</v>
      </c>
      <c r="I136" t="inlineStr">
        <is>
          <t>**About Superluminal Medicines:**
Superluminal Medicines is a generative biology and chemistry company revolutionizing the speed and accuracy of how small molecule medicines are created. The Company's platform aims to create candidate\-ready compounds with unprecedented speed using a combination of deep biology, computational and medicinal chemistry, machine learning, and proprietary big data infrastructure. We are expanding the team of talented scientists who seek to build the future of small molecule drug discovery with creativity and innovation.
**About the Role:**
We are seeking a high\-impact Machine Learning Developer/Engineer to join our integrated discovery team. In this role, you will be the algorithmic engine of our programs, developing and deploying state\-of\-the\-art ML models to generate the quantitative predictions necessary to drive drug discovery. Beyond technical mastery, you will serve as a core scientific partner to medicinal chemists, computational chemists, and biologists, building models that move programs efficiently toward Go/No\-Go decision points and candidate nomination.
**Key Responsibilities:**
=========================
* Implement algorithms for hit identification through virtual screening and other high throughput computational methods as part of a cross\-functional team
* Adapt and implement cutting\-edge ML architectures for co\-folding to augment our extensive internal structural biology expertise and capabilities
* Design and deploy active learning frameworks that utilize experimental assay results to iteratively improve model performance and reduce the number of "Design\-Make\-Test\-Analyze" cycles leveraging state\-of\-the\-art *de novo* design, ADMET predictions, and affinity predictions
**Required Qualifications:**
============================
* Ph.D. preferred in Computer Science, Machine Learning, Engineering or a related field, or BS/MS \+ seasoned experience
* Proven experience with protein\-ligand co\-folding algorithms (e.g., Boltz, AlphaFold, OpenFold, etc) and the ability to integrate these structural insights into broader ML discovery pipelines.
* Advanced proficiency in Python and deep learning libraries (e.g., PyTorch, TensorFlow) is required. You must be capable of building and maintaining production\-quality code and data pipelines.
* Exceptional ability to communicate the "why" behind a design to a diverse scientific audience.
**Preferred Qualifications:**
=============================
* Expert\-level knowledge of deep learning frameworks, specifically for affinity prediction, ADMET modeling, and the application of LLMs in a biological or chemical context
* Expertise fine\-tuning existing models with internally generated structural biology and biology data
* Experience deploying ML/AI algorithms for use by a cross\-functional scientific audience
* 1\-4\+ years of experience in a biotech or pharma setting
**Skills \&amp; Competencies:**
===========================
* A demonstrated track record of innovation in the ML/AI space, including developing and validating new architectures or novel applications of existing models to solve complex drug discovery problems including tools for hit identification (virtual screening, HTS)
* Expert level use of protein\-ligand co\-folding algorithms to small molecule drug discovery ML/AI tools (AlphaFold, Boltz, OpenFold)
* Experience writing production\-level code for ML tasks:
* + Knowledge of key scientific packages (RDKit, scikit\-learn, numpy, pandas, pytorch, deepchem, polars, PyG/DGL):
	+ Write robust, testable, and version\-controlled code that adheres to CI/CD and data governance best practices.
	+ Value clarity, documentation, and structured thinking, especially when working with complex data
	+ Knowledge of containerization technologies (Docker, Kubernetes) and cloud deployment at scale
**Equal Opportunity Statement:**
Superluminal Medicines is an Equal Opportunity Employer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t>
        </is>
      </c>
    </row>
    <row r="137">
      <c r="A137" t="inlineStr">
        <is>
          <t>in-96413c657d26429c</t>
        </is>
      </c>
      <c r="B137" t="inlineStr">
        <is>
          <t>AI Engineer II</t>
        </is>
      </c>
      <c r="C137" t="inlineStr">
        <is>
          <t>Lean Techniques</t>
        </is>
      </c>
      <c r="D137" t="inlineStr">
        <is>
          <t>indeed</t>
        </is>
      </c>
      <c r="E137">
        <f>HYPERLINK("https://www.indeed.com/viewjob?jk=96413c657d26429c", "https://www.indeed.com/viewjob?jk=96413c657d26429c")</f>
        <v/>
      </c>
      <c r="F137">
        <f>HYPERLINK("https://jobs.ashbyhq.com/leantechniques/cf27c0d9-2c52-44ae-a880-150d07ea9bcf?utm_source=V9E6o6NBbP", "https://jobs.ashbyhq.com/leantechniques/cf27c0d9-2c52-44ae-a880-150d07ea9bcf?utm_source=V9E6o6NBbP")</f>
        <v/>
      </c>
      <c r="G137" t="inlineStr">
        <is>
          <t>Johnston, IA, US</t>
        </is>
      </c>
      <c r="H137" s="3" t="n">
        <v>46055</v>
      </c>
      <c r="I137" t="inlineStr">
        <is>
          <t>Maybe you’re bored and need a new challenge. Or you’re tired of proof\-of\-concepts that never go anywhere and want to build AI that actually ships. Or maybe you just want to work somewhere that trusts you to do great work without all the red tape.
Whatever the reason, we want you to know that LT is different. And not just air quotes “different,” but more like “breathing easy for the first time in a long time” different.
It’s a place where you can write your own story and make a difference along the way. At LT, you’ll have the freedom and flexibility to do what you think needs to be done — while working alongside a team of curious individuals who love a good challenge.
We’re currently looking to add an **AI Engineer II** to this nerd club of ours. If you’ve got a few years of real\-world experience building machine learning or AI\-powered systems and are ready to level up, we’d love to chat.
### **Here’s what you can expect as an AI Engineer II at LT:**
* You’ll work with a small, collaborative team (typically 3–5 people) to design, build, and deploy AI\-driven solutions that solve real business problems.
* You’ll develop and productionize machine learning models — from data exploration and feature engineering to training, evaluation, and deployment.
* You’ll collaborate closely with software engineers, product owners, and clients to integrate AI capabilities into scalable, maintainable applications.
* You’ll help improve data pipelines, model performance, and system reliability.
* You’ll follow best practices around testing, monitoring, documentation, and responsible AI use.
* You’ll continue sharpening your skills through hands\-on experience, mentorship, and ongoing learning opportunities.
### **What we’re generally looking for:**
* 2–5 years of experience working with machine learning, data science, or AI systems in a professional setting
* Strong Python skills and experience with ML frameworks (TensorFlow, PyTorch, scikit\-learn, etc.)
* Experience working with real\-world data
* Familiarity with deploying models into production environments (cloud platforms, APIs, pipelines)
* Azure AI experience is a plus
* Curiosity, problem\-solving mindset, and a desire to keep learning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li-4318298262</t>
        </is>
      </c>
      <c r="B2" t="inlineStr">
        <is>
          <t>Applied Scientist</t>
        </is>
      </c>
      <c r="C2" t="inlineStr">
        <is>
          <t>Amazon</t>
        </is>
      </c>
      <c r="D2" t="inlineStr">
        <is>
          <t>linkedin</t>
        </is>
      </c>
      <c r="E2" t="inlineStr"/>
      <c r="F2" t="inlineStr"/>
      <c r="G2" t="inlineStr">
        <is>
          <t>New York, United States</t>
        </is>
      </c>
      <c r="H2" t="inlineStr"/>
      <c r="I2" t="inlineStr">
        <is>
          <t>**Description**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
**Basic Qualifications**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LLC
 Job ID: A3106501</t>
        </is>
      </c>
    </row>
    <row r="3">
      <c r="A3" t="inlineStr">
        <is>
          <t>li-4335090761</t>
        </is>
      </c>
      <c r="B3" t="inlineStr">
        <is>
          <t>Applied Scientist, Sponsored Products and Brands</t>
        </is>
      </c>
      <c r="C3" t="inlineStr">
        <is>
          <t>Amazon</t>
        </is>
      </c>
      <c r="D3" t="inlineStr">
        <is>
          <t>linkedin</t>
        </is>
      </c>
      <c r="E3" t="inlineStr"/>
      <c r="F3" t="inlineStr"/>
      <c r="G3" t="inlineStr">
        <is>
          <t>New York, United States</t>
        </is>
      </c>
      <c r="H3" t="inlineStr"/>
      <c r="I3" t="inlineStr">
        <is>
          <t>**Description**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
**Company** 
 \- Amazon.com Services LLC
 Job ID: A3122617</t>
        </is>
      </c>
    </row>
    <row r="4">
      <c r="A4" t="inlineStr">
        <is>
          <t>li-4357359819</t>
        </is>
      </c>
      <c r="B4" t="inlineStr">
        <is>
          <t>Sr. Data Scientist – Agentic AI, Generative AI &amp; AI Engineering (Healthcare): 100% Remote</t>
        </is>
      </c>
      <c r="C4" t="inlineStr">
        <is>
          <t>LanceSoft, Inc.</t>
        </is>
      </c>
      <c r="D4" t="inlineStr">
        <is>
          <t>linkedin</t>
        </is>
      </c>
      <c r="E4" t="inlineStr"/>
      <c r="F4" t="inlineStr"/>
      <c r="G4" t="inlineStr"/>
      <c r="H4" t="inlineStr"/>
      <c r="I4" t="inlineStr">
        <is>
          <t>**If you are interested, please call me at \+1 (571\) 678\-0702 or send your updated resume to Priya.Raghuwanshi@lancesoft.com** 
**Position Type: Full time** 
**Job Title: Sr. Data Scientist** 
**Location: 100% Remote** 
**Offered Rate: $62\.24/hr. On W2 (all inclusive)** 
 Job Description: 
**Title: Technical – Sr. Data Scientist: AI and GenAI or Agentic AI (Hands\-on)** 
**Candidates must live in one of the preferred 15 states: AZ, FL, GA, ID, IA, KY, MI, NE, NM, NY (outside greater\-NYC), OH, TX, UT, WA (outside greater\-Seattle), WI** 
**Will be able to work in their own time zone** 
**Typical schedule: 8:30 AM to 5:00 PM (local time)** 
**REQUIRED EXPERIENCE:** 
**Sr. Data Scientist only \- no Principal Scientists** 
**Ph D is preferred, but not required** 
**Must have Agentic AI experience** 
**Must have Cloud experience** 
**Must have AI Engineering and Integration experience** 
**6\+ years of work experience as a data scientist (healthcare required)** 
**Job Summary:** 
 Perform data and error analysis to improve models, and clean and validate data for uniformity and accuracy. Execute data science and statistical analytical experiments methodically to help solve various problems and make a true impact across various healthcare domains. Develop and deploy advanced machine learning models and AI solutions that enhance products and services. Leverage expertise in data science, machine learning, and AI technologies to derive insights from large datasets and create predictive models that drive business decisions.
**Job Duties:** 
 \* Data analysis and interpretation to extract meaningful insights from complex datasets and inform strategic decision\-making
 \* Design, develop, and train machine learning models using supervised, unsupervised, deep learning, and reinforcement learning techniques
 \* Develop and implement \*\*agentic workflows\*\* utilizing AI agents for autonomous task execution
 \* Employ \*\*retrieval\-augmented generation (RAG)\*\* patterns to enhance language model performance
 \* Fine\-tune pre\-trained models for specific tasks or datasets
 \* Data cleaning and preprocessing, including handling missing values and outliers
 \* Deploy AI models into production environments and monitor performance
 \* Collaborate with cross\-functional teams to integrate AI solutions
 \* Stay current with advancements in AI and machine learning
 \* Create documentation and communicate results to non\-technical stakeholders
 \* Mentor and provide guidance to newer data scientists
 \* Partner with business and technology teams to build ML models improving Star ratings, reducing care gaps, and achieving business objectives
 \* Present complex analytical information clearly to all levels of audiences
 \* Assign and manage analytical project delivery as appropriate
 \* Perform other duties as business requirements change and identify data and technology\-enabled solution opportunities
 \* Use a broad range of tools and techniques to extract insights from industry or sector trends
**Must Have Skills:** 
 \* 6\+ years of work experience as a data scientist (healthcare required; other industries considered)
 \* Knowledge of big data technologies (Hadoop, Spark)
 \* Familiarity with relational database concepts and SDLC
 \* Strong critical thinking and ability to structure unstructured problems
 \* Strong programming skills in \*\*Python and R\*\*
 \* Experience with ML frameworks such as \*\*TensorFlow, Keras, or PyTorch\*\*
 \* Strong understanding of statistical methods and ML algorithms (k\-NN, Naive Bayes, SVM, neural networks)
 \* Experience with \*\*Agentic Workflows\*\*
 \* Knowledge of \*\*RAG techniques\*\*
 \* Experience in \*\*model fine\-tuning\*\*
 \* Proficiency with data visualization tools (Tableau, Power BI)
 \* Experience with SQL, NoSQL databases, data warehousing, and ETL
 \* Strong analytical and problem\-solving skills
 \* Experience with cloud platforms (Databricks, Snowflake, Azure AI Studio, etc.)
 \* Familiarity with NLP and computer vision techniques</t>
        </is>
      </c>
    </row>
    <row r="5">
      <c r="A5" t="inlineStr">
        <is>
          <t>li-4303229457</t>
        </is>
      </c>
      <c r="B5" t="inlineStr">
        <is>
          <t>Applied Scientist, Amazon LEO Capacity Planning - Simulation &amp; Optimization</t>
        </is>
      </c>
      <c r="C5" t="inlineStr">
        <is>
          <t>Amazon</t>
        </is>
      </c>
      <c r="D5" t="inlineStr">
        <is>
          <t>linkedin</t>
        </is>
      </c>
      <c r="E5" t="inlineStr"/>
      <c r="F5" t="inlineStr"/>
      <c r="G5" t="inlineStr">
        <is>
          <t>Bellevue, WA</t>
        </is>
      </c>
      <c r="H5" t="inlineStr"/>
      <c r="I5" t="inlineStr">
        <is>
          <t>**Description**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The Amazon LEO Global Capacity Planning team owns designing, implementing, and operating systems that support the planning, management, and optimization of Amazon LEO network resources worldwide. We are looking for a talented scientist to implement Amazon LEO's long\-term vision and strategy for capacity simulations and inventory optimization. This effort will be instrumental in helping Amazon LEO execute on its business plans globally. As one of our valued team members, you will be obsessed with matching our standards for operational excellence with a relentless focus on delivering results.
 Key job responsibilities
**In This Role, You Will**
 Work cross\-functionally with product, business development, and various technical teams (engineering, science, R\&amp;D, simulations, etc.) to implement the long\-term vision, strategy, and architecture for capacity simulations and inventory optimization.
 Design and deliver modern, flexible, scalable solutions to complex optimization problems for operating and planning satellite resources.
 Contribute to short and long terms technical roadmap definition efforts to predict future inventory availability and key operational and financial metrics across the network.
 Design and deliver systems that can keep up with the rapid pace of optimization improvements and simulating how they interact with each other.
 Analyze large amounts of satellite and business data to identify simulation and optimization opportunities.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**Basic Qualifications**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Kuiper Commercial Services LLC
 Job ID: A3023006</t>
        </is>
      </c>
    </row>
    <row r="6">
      <c r="A6" t="inlineStr">
        <is>
          <t>li-4280735715</t>
        </is>
      </c>
      <c r="B6" t="inlineStr">
        <is>
          <t>Sr. Applied Scientist, Amazon Advertising</t>
        </is>
      </c>
      <c r="C6" t="inlineStr">
        <is>
          <t>Amazon</t>
        </is>
      </c>
      <c r="D6" t="inlineStr">
        <is>
          <t>linkedin</t>
        </is>
      </c>
      <c r="E6" t="inlineStr"/>
      <c r="F6" t="inlineStr"/>
      <c r="G6" t="inlineStr">
        <is>
          <t>Simi Valley, CA</t>
        </is>
      </c>
      <c r="H6" t="inlineStr"/>
      <c r="I6"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7">
      <c r="A7" t="inlineStr">
        <is>
          <t>li-4296628911</t>
        </is>
      </c>
      <c r="B7" t="inlineStr">
        <is>
          <t>Senior Applied Scientist, Amazon Q Developer Science</t>
        </is>
      </c>
      <c r="C7" t="inlineStr">
        <is>
          <t>Amazon Web Services (AWS)</t>
        </is>
      </c>
      <c r="D7" t="inlineStr">
        <is>
          <t>linkedin</t>
        </is>
      </c>
      <c r="E7" t="inlineStr"/>
      <c r="F7" t="inlineStr"/>
      <c r="G7" t="inlineStr">
        <is>
          <t>Seattle, WA</t>
        </is>
      </c>
      <c r="H7" t="inlineStr"/>
      <c r="I7" t="inlineStr">
        <is>
          <t>**Description**
 The Amazon Q Developer Science team is looking for an Applied Scientist who is passionate about building services and tools for developers that leverage artificial intelligence (AI) agents and machine learning (ML). You will be part of a team building AI\-based services for Amazon Q Developer with the focus on redefining the way developer work. The team works in close collaboration with other AWS AI services such as AWS Bedrock, the AWS IDE Toolkit, and Amazon Sagemaker. If you are excited about working in cloud computing and building new AWS services, then we'd love to talk to you.
 Key job responsibilities
 As a senior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and Career Growth
 We’re continuously raising our performance bar as we strive to become Earth’s Best Employer. That’s why you’ll find endless knowledge\-sharing, mentorship and other career\-advancing resources here to help you develop into a better\-rounded professional.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large scale distributed systems such as Hadoop, Spark etc.
* Experience in building machine learning models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A3076459</t>
        </is>
      </c>
    </row>
    <row r="8">
      <c r="A8" t="inlineStr">
        <is>
          <t>li-4340768410</t>
        </is>
      </c>
      <c r="B8" t="inlineStr">
        <is>
          <t>Sr. Applied Scientist, Classification and Policy Platform</t>
        </is>
      </c>
      <c r="C8" t="inlineStr">
        <is>
          <t>Amazon</t>
        </is>
      </c>
      <c r="D8" t="inlineStr">
        <is>
          <t>linkedin</t>
        </is>
      </c>
      <c r="E8" t="inlineStr"/>
      <c r="F8" t="inlineStr"/>
      <c r="G8" t="inlineStr">
        <is>
          <t>Seattle, WA</t>
        </is>
      </c>
      <c r="H8" t="inlineStr"/>
      <c r="I8" t="inlineStr">
        <is>
          <t>**Description**
 Ever wonder how you can keep the world’s largest selection also the world’s safest and legally compliant selection? Then come join a team with the charter to monitor and classify the billions of items in the Amazon catalog to ensure compliance with various legal regulations.
 The Classification and Policy Platform team is looking for Applied Scientists to build technology to automatically monitor the billions of products on the Amazon platform. The software and processes built by this team are a critical component of building a catalog that our customers trust.
 You will have an opportunity to work with machine learning algorithms on large datasets. You will need to build Amazon scale applications running on Amazon Cloud that both leverage and create new technologies to process large volumes of data that derive patterns and conclusions from the data.
 We are looking for highly motivated applied scientists and engineers interested in delivering the next level of innovation to product search for Amazon. As an Applied Scientist on the CPP team, you will be responsible for working across backend, client, business development, and data engineering teams to coordinate deep\-dives, inform roadmaps, visualize metrics, and create predictive models to determine how we can best serve our customers.
 Key job responsibilities
 Designing and implementing new features and machine learned models, including the application of state\-of\-art deep learning to solve search matching and ranking problems, including filtering, new content indexing, and apply document understanding
 Conducting and coordinating process development leading to improved and streamlined processes for model development. Strong customer focus is essential
 Working closely with Product Managers to expand depth of our product insights with data, create a variety of experiments, and determine the highest\-impact projects to include in planning roadmaps
 Providing technical and scientific guidance to your team members
 Communicating effectively with senior management as well as with colleagues from science, engineering, and business backgrounds
 Being a cultural leader that ensures teams are collecting, understanding, and using data to inform every decision that impacts our customers
 The successful candidate will have an established background in developing customer\-facing experiences, a strong technical ability, a start\-up mentality, excellent project management skills, and great communication skills.
 Amazon Science gives you insight into the company’s approach to customer\-obsessed scientific innovation. Amazon fundamentally believes that scientific innovation is essential to being the most customer\-centric company in the world. It’s the company’s ability to have an impact at scale that allows us to attract some of the brightest minds in artificial intelligence and related fields. Our scientists continue to publish, teach, and engage with the academic community, in addition to utilizing our working backwards method to enrich the way we live and work.
 Please visit https://www.amazon.science for more information.
**Basic Qualifications**
* 4\+ years of applied research experience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A3134261</t>
        </is>
      </c>
    </row>
    <row r="9">
      <c r="A9" t="inlineStr">
        <is>
          <t>li-4267538707</t>
        </is>
      </c>
      <c r="B9" t="inlineStr">
        <is>
          <t>Sr. Applied Scientist, Amazon Advertising</t>
        </is>
      </c>
      <c r="C9" t="inlineStr">
        <is>
          <t>Amazon</t>
        </is>
      </c>
      <c r="D9" t="inlineStr">
        <is>
          <t>linkedin</t>
        </is>
      </c>
      <c r="E9" t="inlineStr"/>
      <c r="F9" t="inlineStr"/>
      <c r="G9" t="inlineStr">
        <is>
          <t>Palo Alto, CA</t>
        </is>
      </c>
      <c r="H9" t="inlineStr"/>
      <c r="I9"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10">
      <c r="A10" t="inlineStr">
        <is>
          <t>li-4267544484</t>
        </is>
      </c>
      <c r="B10" t="inlineStr">
        <is>
          <t>Sr. Applied Scientist, Amazon Advertising</t>
        </is>
      </c>
      <c r="C10" t="inlineStr">
        <is>
          <t>Amazon</t>
        </is>
      </c>
      <c r="D10" t="inlineStr">
        <is>
          <t>linkedin</t>
        </is>
      </c>
      <c r="E10" t="inlineStr"/>
      <c r="F10" t="inlineStr"/>
      <c r="G10" t="inlineStr">
        <is>
          <t>Seattle, WA</t>
        </is>
      </c>
      <c r="H10" t="inlineStr"/>
      <c r="I10" t="inlineStr">
        <is>
          <t>**Description**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A3035686</t>
        </is>
      </c>
    </row>
    <row r="11">
      <c r="A11" t="inlineStr">
        <is>
          <t>li-4341070502</t>
        </is>
      </c>
      <c r="B11" t="inlineStr">
        <is>
          <t>Senior Applied Scientist, Locomotion, Amazon Industrial Robotics</t>
        </is>
      </c>
      <c r="C11" t="inlineStr">
        <is>
          <t>Amazon</t>
        </is>
      </c>
      <c r="D11" t="inlineStr">
        <is>
          <t>linkedin</t>
        </is>
      </c>
      <c r="E11" t="inlineStr"/>
      <c r="F11" t="inlineStr"/>
      <c r="G11" t="inlineStr">
        <is>
          <t>Middlesex County, MA</t>
        </is>
      </c>
      <c r="H11" t="inlineStr"/>
      <c r="I11" t="inlineStr">
        <is>
          <t>**Description**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
**Company** 
 \- Amazon.com Services LLC
 Job ID: A3134751</t>
        </is>
      </c>
    </row>
    <row r="12">
      <c r="A12" t="inlineStr">
        <is>
          <t>li-4256828066</t>
        </is>
      </c>
      <c r="B12" t="inlineStr">
        <is>
          <t>Principal Applied Scientist, Delivery Foundation Model</t>
        </is>
      </c>
      <c r="C12" t="inlineStr">
        <is>
          <t>Amazon</t>
        </is>
      </c>
      <c r="D12" t="inlineStr">
        <is>
          <t>linkedin</t>
        </is>
      </c>
      <c r="E12" t="inlineStr"/>
      <c r="F12" t="inlineStr"/>
      <c r="G12" t="inlineStr">
        <is>
          <t>Santa Clara, CA</t>
        </is>
      </c>
      <c r="H12" t="inlineStr"/>
      <c r="I12"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A2998635</t>
        </is>
      </c>
    </row>
    <row r="13">
      <c r="A13" t="inlineStr">
        <is>
          <t>li-4256822486</t>
        </is>
      </c>
      <c r="B13" t="inlineStr">
        <is>
          <t>Principal Applied Scientist, Delivery Foundation Model</t>
        </is>
      </c>
      <c r="C13" t="inlineStr">
        <is>
          <t>Amazon</t>
        </is>
      </c>
      <c r="D13" t="inlineStr">
        <is>
          <t>linkedin</t>
        </is>
      </c>
      <c r="E13" t="inlineStr"/>
      <c r="F13" t="inlineStr"/>
      <c r="G13" t="inlineStr">
        <is>
          <t>Bellevue, WA</t>
        </is>
      </c>
      <c r="H13" t="inlineStr"/>
      <c r="I13"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A2998635</t>
        </is>
      </c>
    </row>
    <row r="14">
      <c r="A14" t="inlineStr">
        <is>
          <t>li-4249625447</t>
        </is>
      </c>
      <c r="B14" t="inlineStr">
        <is>
          <t>Principal Applied Scientist, Delivery Foundation Model</t>
        </is>
      </c>
      <c r="C14" t="inlineStr">
        <is>
          <t>Amazon</t>
        </is>
      </c>
      <c r="D14" t="inlineStr">
        <is>
          <t>linkedin</t>
        </is>
      </c>
      <c r="E14" t="inlineStr"/>
      <c r="F14" t="inlineStr"/>
      <c r="G14" t="inlineStr">
        <is>
          <t>Bellevue, WA</t>
        </is>
      </c>
      <c r="H14" t="inlineStr"/>
      <c r="I14" t="inlineStr">
        <is>
          <t>**Description**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
**Basic Qualifications**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A3006938</t>
        </is>
      </c>
    </row>
    <row r="15">
      <c r="A15" t="inlineStr">
        <is>
          <t>li-4331395242</t>
        </is>
      </c>
      <c r="B15" t="inlineStr">
        <is>
          <t>Principal Applied Scientist, Advertiser Growth, Amazon Sponsored Products &amp; Brands</t>
        </is>
      </c>
      <c r="C15" t="inlineStr">
        <is>
          <t>Amazon</t>
        </is>
      </c>
      <c r="D15" t="inlineStr">
        <is>
          <t>linkedin</t>
        </is>
      </c>
      <c r="E15" t="inlineStr"/>
      <c r="F15" t="inlineStr"/>
      <c r="G15" t="inlineStr">
        <is>
          <t>Palo Alto, CA</t>
        </is>
      </c>
      <c r="H15" t="inlineStr"/>
      <c r="I15" t="inlineStr">
        <is>
          <t>**Description**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PhD in Computer Science, Statistics or related field.
* 5\+ years of applied ML experience in building customer\-facing recommender systems involving AI, ML, and NLP.
* Hands\-on experience with designing and prototyping AI solutions for real world applications.
**Preferred Qualifications**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A3115279</t>
        </is>
      </c>
    </row>
    <row r="16">
      <c r="A16" t="inlineStr">
        <is>
          <t>li-4331383958</t>
        </is>
      </c>
      <c r="B16" t="inlineStr">
        <is>
          <t>Principal Applied Scientist, Advertiser Growth, Amazon Sponsored Products &amp; Brands</t>
        </is>
      </c>
      <c r="C16" t="inlineStr">
        <is>
          <t>Amazon</t>
        </is>
      </c>
      <c r="D16" t="inlineStr">
        <is>
          <t>linkedin</t>
        </is>
      </c>
      <c r="E16" t="inlineStr"/>
      <c r="F16" t="inlineStr"/>
      <c r="G16" t="inlineStr">
        <is>
          <t>Seattle, WA</t>
        </is>
      </c>
      <c r="H16" t="inlineStr"/>
      <c r="I16" t="inlineStr">
        <is>
          <t>**Description**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PhD in Computer Science, Statistics or related field.
* 5\+ years of applied ML experience in building customer\-facing recommender systems involving AI, ML, and NLP.
* Hands\-on experience with designing and prototyping AI solutions for real world applications.
**Preferred Qualifications**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A3115279</t>
        </is>
      </c>
    </row>
    <row r="17">
      <c r="A17" t="inlineStr">
        <is>
          <t>li-4334992900</t>
        </is>
      </c>
      <c r="B17" t="inlineStr">
        <is>
          <t>Sr. Applied Scientist, AGI Foundations</t>
        </is>
      </c>
      <c r="C17" t="inlineStr">
        <is>
          <t>Amazon</t>
        </is>
      </c>
      <c r="D17" t="inlineStr">
        <is>
          <t>linkedin</t>
        </is>
      </c>
      <c r="E17" t="inlineStr"/>
      <c r="F17" t="inlineStr"/>
      <c r="G17" t="inlineStr">
        <is>
          <t>Boston, MA</t>
        </is>
      </c>
      <c r="H17" t="inlineStr"/>
      <c r="I17" t="inlineStr">
        <is>
          <t>**Description**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A3123268</t>
        </is>
      </c>
    </row>
    <row r="18">
      <c r="A18" t="inlineStr">
        <is>
          <t>li-4368662421</t>
        </is>
      </c>
      <c r="B18" t="inlineStr">
        <is>
          <t>AI/ML Engineer – Multiple Openings to the Various Locations</t>
        </is>
      </c>
      <c r="C18" t="inlineStr">
        <is>
          <t>HYR Global Source Inc</t>
        </is>
      </c>
      <c r="D18" t="inlineStr">
        <is>
          <t>linkedin</t>
        </is>
      </c>
      <c r="E18" t="inlineStr"/>
      <c r="F18" t="inlineStr"/>
      <c r="G18" t="inlineStr">
        <is>
          <t>Charlotte, NC</t>
        </is>
      </c>
      <c r="H18" t="inlineStr"/>
      <c r="I18" t="inlineStr">
        <is>
          <t>**Title: AI/ML Engineer (2 openings)**
**Location: Malvern, PA (preferred) \- Charlotte, NC \| Dallas, TX**
**Work Model: Hybrid – 3 days onsite**
**Job Description**
* We are seeking an experienced AI/ML Engineer to design, build, and deploy scalable machine learning and generative AI solutions.
* This role will focus on LLM\-based applications, agentic AI frameworks, MLOps, and cloud\-native ML engineering on AWS.
**Key Responsibilities**
* Design and develop production\-grade AI/ML solutions, including LLM applications with RAG and structured outputs.
* Implement agentic AI frameworks (LangGraph, AutoGen) and Model Context Protocol (MCP) for secure orchestration.
* Build and manage scalable data, model, and MLOps pipelines using AWS services (SageMaker, Lambda, ECS/ECR).
* Integrate security and identity solutions (Okta, JWT) for API and service authentication.
* Monitor model performance, investigate alerts, and support end\-to\-end model lifecycle management.
* Collaborate with data scientists, product owners, and business stakeholders to align AI solutions with business goals.
* Produce required governance and compliance artifacts (MDLC/MPLC documentation).
**Qualifications**
* Bachelor’s degree in Computer Science, Engineering, or related field (Master’s preferred).
* 6\+ years of experience in AI/ML engineering, data engineering, and MLOps.
* Strong Python skills with hands\-on experience in TensorFlow, PyTorch, or Scikit\-learn.
* Deep experience with AWS ML stack (SageMaker, Bedrock, Glue, Lambda).
* Hands\-on experience building LLM\-based applications with RAG and GenAI evaluation frameworks.
* Experience with CI/CD, Docker, Kubernetes, and cloud\-native deployments.
* Solid understanding of software engineering best practices, security, and ML lifecycle management.
**Nice To Have**
* Experience with data governance, model explainability, and responsible AI practices.
* Familiarity with React UI, GraphDB, and GenAI performance evaluation.
 Follow us on LinkedIn \- https://www.linkedin.com/company/hyr\-global\-source\-inc</t>
        </is>
      </c>
    </row>
    <row r="19">
      <c r="A19" t="inlineStr">
        <is>
          <t>li-4368252138</t>
        </is>
      </c>
      <c r="B19" t="inlineStr">
        <is>
          <t>AI/ML Engineer</t>
        </is>
      </c>
      <c r="C19" t="inlineStr">
        <is>
          <t>Talent Glider</t>
        </is>
      </c>
      <c r="D19" t="inlineStr">
        <is>
          <t>linkedin</t>
        </is>
      </c>
      <c r="E19" t="inlineStr"/>
      <c r="F19" t="inlineStr"/>
      <c r="G19" t="inlineStr"/>
      <c r="H19" t="inlineStr"/>
      <c r="I19" t="inlineStr">
        <is>
          <t>**Job Description**
 We are looking for a motivated and detail\-oriented
 **AI/ML Engineer (Entry Level)** 
 to join our growing analytics and technology team. This role is ideal for recent master’s graduates who are passionate about machine learning, data\-driven solutions, and applying AI models to real\-world business problems.
 You will work closely with data scientists, software engineers, and business stakeholders to develop, train, deploy, and monitor machine learning models that support product and business objectives.
 Key Responsibilities
* Assist in designing, developing, and testing machine learning models and AI solutions
* Work on data preprocessing, feature engineering, and model evaluation
* Implement supervised and unsupervised ML algorithms (regression, classification, clustering, etc.)
* Collaborate with senior engineers to deploy models into production environments
* Monitor model performance and help with model tuning and optimization
* Write clean, well\-documented, and scalable code
* Participate in code reviews, team discussions, and sprint planning
* Stay updated with the latest AI/ML tools, techniques, and best practices
**Required Qualifications**
* Master’s degree in Computer Science, Data Science, Artificial Intelligence, Machine Learning, or a related field
* 0–2 years of experience (internships, academic projects, or research experience accepted)
* Strong understanding of machine learning fundamentals and algorithms
* Proficiency in Python (NumPy, Pandas, Scikit\-learn)
* Basic knowledge of deep learning frameworks such as TensorFlow or PyTorch
* Experience working with structured and unstructured data
* Familiarity with SQL and basic data manipulation techniques
* Understanding of model evaluation metrics and validation techniques</t>
        </is>
      </c>
    </row>
    <row r="20">
      <c r="A20" t="inlineStr">
        <is>
          <t>li-4345933142</t>
        </is>
      </c>
      <c r="B20" t="inlineStr">
        <is>
          <t>Machine Learning Engineer</t>
        </is>
      </c>
      <c r="C20" t="inlineStr">
        <is>
          <t>Ibotta</t>
        </is>
      </c>
      <c r="D20" t="inlineStr">
        <is>
          <t>linkedin</t>
        </is>
      </c>
      <c r="E20" t="inlineStr"/>
      <c r="F20" t="inlineStr"/>
      <c r="G20" t="inlineStr">
        <is>
          <t>Denver, CO</t>
        </is>
      </c>
      <c r="H20" t="inlineStr"/>
      <c r="I20" t="inlineStr">
        <is>
          <t>Ibotta is seeking a Machine Learning Engineer to join our Core Data \&amp; Analytics team and contribute to our mission to Make Every Purchase Rewarding. We’re looking for someone who has a passion for building scalable machine learning solutions using technologies such as Python, Spark, AWS, Sagemaker, etc.
 As an ML Engineer, you will be responsible for using the latest developments in machine learning to build accurate and reliable machine learning models for use throughout the organization. This role will immediately impact ML strategy and drive impact through the support, guidance, and collaboration with multiple teams as part of our analytics organization. You’ll be able to advance not only your technical skills, but your organizational and leadership skills as well, by contributing to the creation of best practices for the team and company, and learning from the more senior machine learning engineers, data scientists and managers on the team.
 This position is located in Denver, Colorado as a hybrid position requiring 3 days in office (Tuesday, Wednesday, and Thursday). Candidates must live in the United States.
**What you will be doing:**
* Design, develop and deploy large scale, big data\-driven machine learning models that are integrated with key product features
* Build and scale ML related infrastructure to help streamline the development, evaluation, deployment, and re\-usability of core ML features and services
* Communicate complex machine learning solutions, concepts and the results of analyses in a clear and effective manner to business stakeholders and technology leaders to maximize the effectiveness of machine learning initiatives
* Analyze, and at times build, large and novel datasets to extract actionable insights to inform model development and understand customer behavior and or product performance
* Collaborate with Machine Learning Engineers and Data Scientists to establish standards and solutions that scale and can be leveraged in various initiatives throughout the organization
* Embrace and uphold Ibotta’s Core Values: Integrity, Boldness, Ownership, Teamwork, Transparency and A good idea can come from anywhere
**What we are looking for:**
* 2\+ years of professional experience as a Machine Learning Engineer, Data Scientist, or equivalent role, focusing on machine learning, statistical modeling, and/or ML infrastructure
* Bachelor’s Degree in Computer Science, Mathematics, Analytics, or related field required
* Strong SQL knowledge and experience with manipulating complex data to apply business rules for improved feature engineering within data lakes, distributed systems, and data streams
* Proficiency in Python
* Experience working with machine learning frameworks (e.g. scikit\-learn, xgboost) and distributed big\-data tools (Spark, Hive)
* Experience building and maintaining realtime model endpoints/APIs
* Ability to communicate complex, technical machine learning implementations to diverse audiences
* Experience working with version control systems (e.g. git) and CI/CD for machine learning pipelines
* A love of learning and continuous development, including staying at the forefront of the latest advances in data science and machine learning
* Ability to think critically and leverage domain expertise to build machine learning powered applications that help to achieve high\-level business objectives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$2\.6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Lifestyle Spending Account, Employee Stock Purchase Program, and 401k match. Denver office perks include paid parking, snacks, and occasional meals.
* Base compensation range: $136,000 \- $158,000\. Equity is included in overall compensation package. This compensation range is specific to the United States labor market and may be adjusted based on actual experience.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 For the security of our employees and the business, all employees are responsible for the secure handling of data in accordance with our security policies, identifying and reporting phishing attempts, as well as reporting security incidents to the proper channels.
**Recruiting Agency Notice**
 Ibotta does not accept agency resumes and is not responsible for any fees related to unsolicited resumes. Please do not forward resumes to any Ibotta employees.
 \#BI\-Hybrid</t>
        </is>
      </c>
    </row>
    <row r="21">
      <c r="A21" t="inlineStr">
        <is>
          <t>li-4368227976</t>
        </is>
      </c>
      <c r="B21" t="inlineStr">
        <is>
          <t>AI/ML Engineer</t>
        </is>
      </c>
      <c r="C21" t="inlineStr">
        <is>
          <t>Crossing Hurdles</t>
        </is>
      </c>
      <c r="D21" t="inlineStr">
        <is>
          <t>linkedin</t>
        </is>
      </c>
      <c r="E21" t="inlineStr"/>
      <c r="F21" t="inlineStr"/>
      <c r="G21" t="inlineStr"/>
      <c r="H21" t="inlineStr"/>
      <c r="I21" t="inlineStr">
        <is>
          <t>**Crossing Hurdles** 
 is a global recruitment firm partnering with a fast\-growing AI\-powered recruiting marketplace modernizing how companies hire. Backed by top\-tier investors and trusted by industry leaders like Palantir, Shopify, and Coinbase, is building the first end\-to\-end AI recruiting marketplace that combines specialized recruiters with AI agents to help companies hire faster and more accurately.
**Role Snapshot**
* Role – ML Engineer
* YOE – 4\+ years of experience in data engineering, deploying security\-sage ML solutions
* Location – Washington DC, DMV Area \| Hybrid
* Compensation – $150K – $215K
**Roles \&amp; Responsibilities**
* Spearhead enhancements and upgrades to the Virtualitics AI Platform, ensuring products remain at the forefront of innovation, performance, and reliability.
* Design and manage dynamic, interactive dashboards using the Virtualitics Python SDK to transform complex datasets into actionable visual insights.
* Optimize data access patterns and pipelines to improve system efficiency, scalability, and responsiveness across AI applications.
* Diagnose and resolve runtime performance issues to ensure high availability, low latency, and robust system stability.
* Architect scalable, user\-friendly, and production\-ready AI solutions considering current product demands and future growth.
* Collaborate closely with Data Engineers, Software Engineers, and Product Managers to integrate ML models into production systems and customer\-facing products.
* Be versatile across ML, data engineering and software development.
**Requirements**
* 4\+ years of experience in data engineering, deploying security\-sage ML solutions
* Willingness and eligibility to obtain U.S. Government security clearance
* CS degree from top 100 schools
* Strong programming skills in Python(panda) and experience with ML libraries such as PyTorch, TensorFlow, and scikit\-learn
* Hands\-on experience building, training, evaluating, and deploying machine learning models into production
* Understanding of data engineering concepts including data pipelines, ETL workflows, and optimizing data access patterns
**Why Candidate Should Join**
* Work on cutting\-edge AI \&amp; GenAI systems
* High\-impact, ownership\-driven role
* Fast learning and career growth
* Flexible and modern work environment</t>
        </is>
      </c>
    </row>
    <row r="22">
      <c r="A22" t="inlineStr">
        <is>
          <t>li-4368627993</t>
        </is>
      </c>
      <c r="B22" t="inlineStr">
        <is>
          <t>Machine Learning Engineer (AI Agents)</t>
        </is>
      </c>
      <c r="C22" t="inlineStr">
        <is>
          <t>CareSphere</t>
        </is>
      </c>
      <c r="D22" t="inlineStr">
        <is>
          <t>linkedin</t>
        </is>
      </c>
      <c r="E22" t="inlineStr"/>
      <c r="F22" t="inlineStr"/>
      <c r="G22" t="inlineStr">
        <is>
          <t>Bethlehem, PA</t>
        </is>
      </c>
      <c r="H22" t="inlineStr"/>
      <c r="I22" t="inlineStr">
        <is>
          <t>We’re looking for a passionate and highly creative Machine Learning Engineer to join our team and help develop the latest AI Agents and next\-generation AI products. This is a long\-term opportunity for someone eager to bring fresh ideas, strong technical skills, and a deep excitement for innovation in the AI space.
**Qualifications \&amp; Experience:** 
* Bachelor’s degree in Computer Science, Machine Learning, Data Science, or a related field
* Strong foundation in Python and machine learning frameworks such as TensorFlow or PyTorch
* Experience or strong interest in building AI agents, LLM\-based applications, and intelligent automation tools
* Knowledge of NLP, deep learning, model training, and evaluation techniques
* Experience working with Retrieval\-Augmented Generation (RAG) systems and modern RAG frameworks
* Familiarity with tools such as LangChain, LlamaIndex, or similar orchestration frameworks
* Understanding of vector databases and semantic search technologies
* Experience with vector stores such as Qdrant, Pinecone, Weaviate, or FAISS
* Familiarity with embedding models, chunking strategies, and retrieval optimization
* Experience deploying AI/ML solutions using AWS services (SageMaker, EC2, S3, OpenSearch, etc.)
* Ability to build scalable AI pipelines and integrate models into production environments
* Creative problem\-solver with a passion for experimenting and developing innovative AI products
* Must have a portfolio or GitHub showcasing relevant machine learning, AI agent, or RAG\-based projects
 If you’re a motivated engineer with big ideas and a desire to grow in the AI industry, we’d love to hear from you.</t>
        </is>
      </c>
    </row>
    <row r="23">
      <c r="A23" t="inlineStr">
        <is>
          <t>li-4368816044</t>
        </is>
      </c>
      <c r="B23" t="inlineStr">
        <is>
          <t>Machine Learning Engineer</t>
        </is>
      </c>
      <c r="C23" t="inlineStr">
        <is>
          <t>Superluminal Medicines Inc.</t>
        </is>
      </c>
      <c r="D23" t="inlineStr">
        <is>
          <t>linkedin</t>
        </is>
      </c>
      <c r="E23" t="inlineStr"/>
      <c r="F23" t="inlineStr"/>
      <c r="G23" t="inlineStr">
        <is>
          <t>Boston, MA</t>
        </is>
      </c>
      <c r="H23" t="inlineStr"/>
      <c r="I23" t="inlineStr">
        <is>
          <t>**About Superluminal Medicines:**
 Superluminal Medicines is a generative biology and chemistry company revolutionizing the speed and accuracy of how small molecule medicines are created. The Company's platform aims to create candidate\-ready compounds with unprecedented speed using a combination of deep biology, computational and medicinal chemistry, machine learning, and proprietary big data infrastructure. We are expanding the team of talented scientists who seek to build the future of small molecule drug discovery with creativity and innovation.
**About the Role:**
 We are seeking a high\-impact Machine Learning Developer/Engineer to join our integrated discovery team. In this role, you will be the algorithmic engine of our programs, developing and deploying state\-of\-the\-art ML models to generate the quantitative predictions necessary to drive drug discovery. Beyond technical mastery, you will serve as a core scientific partner to medicinal chemists, computational chemists, and biologists, building models that move programs efficiently toward Go/No\-Go decision points and candidate nomination.
 Key Responsibilities:
* Implement algorithms for hit identification through virtual screening and other high throughput computational methods as part of a cross\-functional team
* Adapt and implement cutting\-edge ML architectures for co\-folding to augment our extensive internal structural biology expertise and capabilities
* Design and deploy active learning frameworks that utilize experimental assay results to iteratively improve model performance and reduce the number of "Design\-Make\-Test\-Analyze" cycles leveraging state\-of\-the\-art de novo design, ADMET predictions, and affinity predictions
 Required Qualifications:
* Ph.D. preferred in Computer Science, Machine Learning, Engineering or a related field, or BS/MS \+ seasoned experience
* Proven experience with protein\-ligand co\-folding algorithms (e.g., Boltz, AlphaFold, OpenFold, etc) and the ability to integrate these structural insights into broader ML discovery pipelines.
* Advanced proficiency in Python and deep learning libraries (e.g., PyTorch, TensorFlow) is required. You must be capable of building and maintaining production\-quality code and data pipelines.
* Exceptional ability to communicate the "why" behind a design to a diverse scientific audience.
 Preferred Qualifications:
* Expert\-level knowledge of deep learning frameworks, specifically for affinity prediction, ADMET modeling, and the application of LLMs in a biological or chemical context
* Expertise fine\-tuning existing models with internally generated structural biology and biology data
* Experience deploying ML/AI algorithms for use by a cross\-functional scientific audience
* 1\-4\+ years of experience in a biotech or pharma setting
 Skills \&amp; Competencies:
* A demonstrated track record of innovation in the ML/AI space, including developing and validating new architectures or novel applications of existing models to solve complex drug discovery problems including tools for hit identification (virtual screening, HTS)
* Expert level use of protein\-ligand co\-folding algorithms to small molecule drug discovery ML/AI tools (AlphaFold, Boltz, OpenFold)
* Experience writing production\-level code for ML tasks:
+ Knowledge of key scientific packages (RDKit, scikit\-learn, numpy, pandas, pytorch, deepchem, polars, PyG/DGL):
+ Write robust, testable, and version\-controlled code that adheres to CI/CD and data governance best practices.
+ Value clarity, documentation, and structured thinking, especially when working with complex data
+ Knowledge of containerization technologies (Docker, Kubernetes) and cloud deployment at scale
**Equal Opportunity Statement:**
 Superluminal Medicines is an Equal Opportunity Employer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t>
        </is>
      </c>
    </row>
    <row r="24">
      <c r="A24" t="inlineStr">
        <is>
          <t>li-4368237335</t>
        </is>
      </c>
      <c r="B24" t="inlineStr">
        <is>
          <t>ML Engineer</t>
        </is>
      </c>
      <c r="C24" t="inlineStr">
        <is>
          <t>Crossing Hurdles</t>
        </is>
      </c>
      <c r="D24" t="inlineStr">
        <is>
          <t>linkedin</t>
        </is>
      </c>
      <c r="E24" t="inlineStr"/>
      <c r="F24" t="inlineStr"/>
      <c r="G24" t="inlineStr"/>
      <c r="H24" t="inlineStr"/>
      <c r="I24" t="inlineStr">
        <is>
          <t>Crossing Hurdles is a global recruitment firm partnering with a fast\-growing AI\-powered recruiting marketplace modernizing how companies hire. Backed by top\-tier investors and trusted by industry leaders like Palantir, Shopify, and Coinbase, is building the first end\-to\-end AI recruiting marketplace that combines specialized recruiters with AI agents to help companies hire faster and more accurately.
**Role Snapshot:** 
* **Role:** 
 ML Engineer
* **YOE:** 
 4\+ years of experience in data engineering, deploying security\-sage ML solutions
* **Location:** 
 Washington DC, DMV Area \| Hybrid
* **Compensation:** 
 $150K – $215K
**Roles \&amp; Responsibilities** 
* Lead enhancements to the Virtualitics AI Platform to ensure innovation, performance, and reliability.
* Build and maintain interactive dashboards using the Virtualitics Python SDK.
* Optimize data pipelines and access patterns for scalability and efficiency.
* Troubleshoot performance issues to ensure low latency and high availability.
* Design scalable, production\-ready AI solutions.
* Collaborate with engineering and product teams to deploy ML models.
* Contribute across ML, data engineering, and software development.
**Requirements** 
* 4\+ years of experience in data engineering, deploying security\-sage ML solutions
* Willingness and eligibility to obtain U.S. Government security clearance
* CS degree from top 100 schools
* Strong programming skills in Python(panda) and experience with ML libraries such as PyTorch, TensorFlow, and scikit\-learn
* Hands\-on experience building, training, evaluating, and deploying machine learning models into production
* Understanding of data engineering concepts including data pipelines, ETL workflows, and optimizing data access patterns
**Why Candidate Should Join** 
* Work on cutting\-edge AI and GenAI systems using LLMs, Reinforcement Learning, and modern ML frameworks in production environments.
* Own ML features end to end, from experimentation and training to deployment and optimization.
* Deliver high\-impact work that directly influences users and business outcomes.
* Learn and grow quickly while deepening expertise in applied ML and scalable AI systems.
* Thrive in a flexible, modern work environment that values autonomy and results.</t>
        </is>
      </c>
    </row>
    <row r="25">
      <c r="A25" t="inlineStr">
        <is>
          <t>li-4368659291</t>
        </is>
      </c>
      <c r="B25" t="inlineStr">
        <is>
          <t>Machine Learning Engineer</t>
        </is>
      </c>
      <c r="C25" t="inlineStr">
        <is>
          <t>Barrington James</t>
        </is>
      </c>
      <c r="D25" t="inlineStr">
        <is>
          <t>linkedin</t>
        </is>
      </c>
      <c r="E25" t="inlineStr"/>
      <c r="F25" t="inlineStr"/>
      <c r="G25" t="inlineStr"/>
      <c r="H25" t="inlineStr"/>
      <c r="I25" t="inlineStr">
        <is>
          <t>Our client is a
 **venture\-backed healthcare AI company** 
 building advanced machine learning systems to extract clinically meaningful insights from medical images. Their platform applies deep learning to real\-world pathology data to support disease risk stratification, treatment decision\-making, and precision medicine initiatives across clinical and research settings.
 The team operates at the intersection of
 **machine learning, medical imaging, and healthcare delivery** 
 , with technology already being used in real clinical workflows.
**The Role** 
 We are seeking a
 **Machine Learning Engineer** 
 with
 **3\+ years of experience** 
 to help design, train, and deploy deep learning models for large\-scale medical image analysis. This is a hands\-on role focused on taking models from experimentation through production in a regulated, high\-impact environment.
 You’ll work closely with ML researchers, software engineers, and domain experts to build scalable ML systems that directly support patient care and life sciences research.
**Key Responsibilities** 
* Build and train deep learning models for medical image analysis
* Work with large image datasets and associated clinical metadata
* Develop and maintain ML pipelines for training, evaluation, and inference
* Collaborate with engineering teams to deploy models into production
* Improve model performance, robustness, and generalization
* Contribute to ML best practices including validation, monitoring, and reproducibility
* Participate in cross\-functional collaboration with product and clinical stakeholders
**Required Qualifications** 
* **3\+ years of professional experience** 
 in machine learning or applied AI
* Strong Python skills and experience with
 **PyTorch and/or TensorFlow**
* Solid foundation in deep learning architectures and training methodologies
* Experience working with image data (medical imaging experience is a plus, not required)
* Familiarity with cloud environments and modern ML workflows
* Comfortable working in a fully remote, collaborative team
**Preferred / Nice to Have** 
* Experience with medical imaging, digital pathology, or healthcare data
* Exposure to MLOps, model deployment, or production ML systems
* Prior experience in regulated industries (healthcare, life sciences, diagnostics)
**Why This Opportunity** 
* Fully remote role with a high level of autonomy
* Work on
 **production ML systems** 
 with real clinical impact
* Highly technical, collaborative team environment
* Competitive compensation and equity
* Opportunity to grow alongside a scaling AI healthcare company</t>
        </is>
      </c>
    </row>
    <row r="26">
      <c r="A26" t="inlineStr">
        <is>
          <t>li-4368234552</t>
        </is>
      </c>
      <c r="B26" t="inlineStr">
        <is>
          <t>Senior Machine Learning Engineer</t>
        </is>
      </c>
      <c r="C26" t="inlineStr">
        <is>
          <t>Nebutek, Inc.</t>
        </is>
      </c>
      <c r="D26" t="inlineStr">
        <is>
          <t>linkedin</t>
        </is>
      </c>
      <c r="E26" t="inlineStr"/>
      <c r="F26" t="inlineStr"/>
      <c r="G26" t="inlineStr">
        <is>
          <t>Omaha, NE</t>
        </is>
      </c>
      <c r="H26" t="inlineStr"/>
      <c r="I26" t="inlineStr">
        <is>
          <t>**Job Title:** 
 Senior Machine Learning Engineer
 At
 **Nebutek** 
 , we are a forward\-thinking technology solutions provider specializing in software development and artificial intelligence. Our team delivers innovative solutions across a wide range of industries, from advanced analytics to cyber defense and safety systems. We operate like a professional sports team—constantly striving for excellence by recruiting the best of the best. Every member plays a crucial role in driving innovation and delivering top\-tier solutions, and together we achieve success through teamwork, dedication, and expertise.
**Job Description:** 
 We are seeking a highly skilled Senior Machine Learning Engineer with deep experience in machine learning and deep learning model development. The ideal candidate will have a strong background in applying these technologies to solve complex problems across various industries. As a key member of our team, you will collaborate on projects spanning multiple verticals, including advanced analytics, predictive maintenance, anomaly detection, and other cutting\-edge AI\-driven solutions.
**Key Responsibilities:** 
* Develop and implement machine learning and deep learning models to address client challenges.
* Analyze large and complex data sets to identify trends and insights.
* Collaborate with cross\-functional teams to define project requirements and deliverables.
* Optimize and tune models for scalability, performance, and accuracy.
* Use statistical techniques and tools to assess and validate model performance.
* Provide guidance on data collection, preprocessing, and transformation strategies.
* Stay informed about industry trends, best practices, and emerging technologies to ensure our solutions remain competitive.
**Requirements:** 
* Degree or certification in Computer Science, Electrical Engineering, Data Science, Physics, Mathematics, or a related field.
* A minimum of 10 years of experience in machine learning.
* Proven expertise in Python, Scikit\-learn, TensorFlow, PyTorch, and related libraries.
* Experience with deploying machine learning and deep learning pipelines to Microsoft Azure.
* Strong understanding of supervised and unsupervised learning algorithms and models.
* Strong understanding of deep learning algorithms and models.
* Knowledge of data preprocessing, feature engineering, and model tuning.
* Proficiency in using Git for version control.
* Familiarity with project management and issue tracking tools like JIRA.
* Excellent problem\-solving abilities and attention to detail.
* Strong communication and collaboration skills.
**Security Requirements:** 
* This position requires the ability to obtain and maintain a U.S. Government security clearance.
**Working Hours:** 
* This is a full\-time position in our Omaha, Nebraska office.</t>
        </is>
      </c>
    </row>
    <row r="27">
      <c r="A27" t="inlineStr">
        <is>
          <t>li-4368019994</t>
        </is>
      </c>
      <c r="B27" t="inlineStr">
        <is>
          <t>Generative AI Engineer</t>
        </is>
      </c>
      <c r="C27" t="inlineStr">
        <is>
          <t>HBI Solutions, Inc.</t>
        </is>
      </c>
      <c r="D27" t="inlineStr">
        <is>
          <t>linkedin</t>
        </is>
      </c>
      <c r="E27" t="inlineStr"/>
      <c r="F27" t="inlineStr"/>
      <c r="G27" t="inlineStr">
        <is>
          <t>Palo Alto, CA</t>
        </is>
      </c>
      <c r="H27" t="inlineStr"/>
      <c r="I27" t="inlineStr">
        <is>
          <t>**POSITION SUMMARY** 
**HBI Solutions Inc. is seeking a highly motivated AI Engineer** 
  to join our collaborative team at Stanford University. The intern will contribute to the development and optimization of cutting\-edge foundation models for healthcare applications, leveraging Stanford’s large\-scale electronic medical record (EMR) data. The ideal candidate will have strong skills in natural language processing (NLP), deep learning frameworks, and experience working with transformer\-based architectures such as BERT, GPT, or related LLMs. This role offers the unique opportunity to work at the intersection of AI, clinical medicine, and translational research.
**ESSENTIAL FUNCTIONS** 
**· Contribute to the design, development, and fine\-tuning of large language models for EMR data, focusing on tasks such as clinical outcome prediction, patient stratification, and decision support.** 
**· Implement transformer\-based architectures (e.g., BERT, GPT, LLaMA) and adapt them to healthcare\-specific challenges such as domain adaptation, long\-sequence modeling, and multi\-modal integration.** 
**· Conduct data preprocessing, cleaning, and representation learning on large\-scale EMR datasets, ensuring compliance with privacy and ethical guidelines.** 
**· Develop scalable pipelines for training and evaluating LLMs, leveraging distributed computing and cloud\-based platforms when appropriate.** 
**· Benchmark models against state\-of\-the\-art methods, improve performance metrics, and ensure interpretability and robustness in clinical contexts.** 
**· Collaborate with cross\-functional teams at Stanford, including clinicians, data scientists, and software engineers, to translate research into practical healthcare solutions.** 
**· Document methods, results, and best practices; contribute to research publications, technical reports, and presentations.** 
**EDUCATION/EXPERIENCE REQUIREMENTS** 
**· Bachelor’s degree or above in Computer Science.** 
**· Hands\-on experience in developing and training deep learning models, particularly transformer\-based architectures (BERT, GPT, T5, etc.).** 
**· Proficiency with Python and deep learning frameworks such as PyTorch or TensorFlow.** 
**· Prior experience with large\-scale model training, fine\-tuning, or distributed computing environments is preferred.** 
**REQUIRED COMPETENCIES – KNOWLEDGE, SKILLS, ABILITIES** 
**· Strong problem\-solving skills and ability to work with complex, high\-dimensional data.** 
**· Experience in handling large\-scale datasets, including preprocessing, feature engineering, and evaluation.** 
**· Strong interest in applying AI to healthcare and improving patient outcomes.** 
**· Excellent oral and written communication skills; ability to work independently and collaboratively.** 
**· Passion for innovation and interdisciplinary research.** 
**WORKING ENVIRONMENT/PHYSICAL REQUIREMENTS** 
* **This position requires working in a research environment at Stanford University, involving close collaboration with clinicians and researchers. The role will primarily be computational, with potential exposure to sensitive medical data under strict compliance with HIPAA and Stanford IRB regulations.**</t>
        </is>
      </c>
    </row>
    <row r="28">
      <c r="A28" t="inlineStr">
        <is>
          <t>li-4352705009</t>
        </is>
      </c>
      <c r="B28" t="inlineStr">
        <is>
          <t>AI/ML Engineer</t>
        </is>
      </c>
      <c r="C28" t="inlineStr">
        <is>
          <t>Air Apps</t>
        </is>
      </c>
      <c r="D28" t="inlineStr">
        <is>
          <t>linkedin</t>
        </is>
      </c>
      <c r="E28" t="inlineStr"/>
      <c r="F28" t="inlineStr"/>
      <c r="G28" t="inlineStr">
        <is>
          <t>San Francisco, CA</t>
        </is>
      </c>
      <c r="H28" t="inlineStr"/>
      <c r="I28" t="inlineStr">
        <is>
          <t>**About Air Apps**
 At Air Apps, we believe in thinking bigger—and moving faster. We’re a family\-founded company on a mission to create the world’s first AI\-powered Personal \&amp; Entrepreneurial Resource Planner (PRP), and we need your passion and ambition to help us change how people plan, work, and live. Born in Lisbon, Portugal in 2018—and now with offices in both Lisbon and San Francisco—we’ve remained self\-funded while reaching over 100 million downloads worldwide.
 Our long\-term focus drives us to challenge the status quo every day, pushing the boundaries of AI\-driven solutions that truly make a difference. Here, you’ll be a creative force, shaping products that empower people across the globe.
 Join us on this journey to redefine resource management—and change lives along the way.
**The Role**
 As an
 **AI/ML Engineer** 
 , you will play a crucial role in designing, developing, and optimizing machine learning models to power our mobile applications. You will work closely with product managers, engineers, and designers to create intelligent, data\-driven features that enhance user experiences. Your expertise in artificial intelligence and deep learning will help us innovate and stay ahead in the mobile app industry.
 Please note that this post serves the purpose of enhancing our talent pool while we prepare to launch the official job. As soon as it gets posted we will get in touch with you.
**Responsibilities**
* Develop, train, and optimize machine learning models for various mobile app features.
* Research and implement state\-of\-the\-art AI techniques to improve user engagement and app performance.
* Collaborate with cross\-functional teams to integrate AI\-driven solutions into our applications.
* Design and maintain scalable ML pipelines, ensuring efficient model deployment and monitoring.
* Analyze large datasets to derive insights and drive data\-driven decision\-making.
* Stay updated with the latest AI trends and best practices, incorporating them into our development processes.
* Optimize AI models for mobile environments to ensure high performance and low latency.
**Requirements**
* Around 3\+ years of experience in AI/ML development, preferably in mobile applications.
* Proficiency in Python, TensorFlow, PyTorch, or other ML frameworks.
* Experience with deep learning, NLP, computer vision, and statistical modeling.
* Familiarity with cloud\-based ML services (AWS, Google Cloud, or Azure).
* Strong understanding of data structures, algorithms, and software engineering best practices.
* Experience in deploying and maintaining ML models in production.
* Ability to work collaboratively in a remote team environment.
* Strong problem\-solving skills and a passion for innovation.
**What benefits do we offer?**
* Apple hardware ecosystem for work.
* Annual Bonus.
* Medical Insurance (including vision \&amp; dental).
* Disability insurance \- short and long\-term.
* 401k up to 4% contribution.
* Air Conference – an opportunity to meet the team, collaborate, and grow together.
* Transportation budget
* Free meals at the hub
* Gym membership
**Diversity \&amp; Inclusion**
 At Air Apps, we are committed to fostering a diverse, inclusive, and equitable workplace. We enthusiastically welcome applicants from all backgrounds, experiences, and perspectives. We celebrate diversity in all its forms and believe that varied voices and experiences make us stronger.
**Application Disclaimer**
 At Air Apps, we value transparency and integrity in our hiring process. Applicants must submit their own work without any AI\-generated assistance. Any use of AI in application materials, assessments, or interviews will result in disqualification.</t>
        </is>
      </c>
    </row>
    <row r="29">
      <c r="A29" t="inlineStr">
        <is>
          <t>li-4368633805</t>
        </is>
      </c>
      <c r="B29" t="inlineStr">
        <is>
          <t>Machine Learning Engineer</t>
        </is>
      </c>
      <c r="C29" t="inlineStr">
        <is>
          <t>Haley Bridge</t>
        </is>
      </c>
      <c r="D29" t="inlineStr">
        <is>
          <t>linkedin</t>
        </is>
      </c>
      <c r="E29" t="inlineStr"/>
      <c r="F29" t="inlineStr"/>
      <c r="G29" t="inlineStr">
        <is>
          <t>New York, United States</t>
        </is>
      </c>
      <c r="H29" t="inlineStr"/>
      <c r="I29" t="inlineStr">
        <is>
          <t>**AI/ML Engineer, Greenfield projects, Python, Azure, Model Development, Deployment, ML Ops and Platform Ownership, MCP, LLM Product Build, NLP, Time\-Series Modeling, Cloud Deployed ML Pipelines, Technology Transformation, Financial Services** 
**Hybrid Role: 3 days a week in the mid\-town New York office** 
**You must be based in the US with full rights to work** 
 My client, a reputable Financial Services organisation, is looking to hire an accomplished AI/ML Engineer to join the business. This position will provide you with the opportunity to work in an entrepreneurial, project\-driven, greenfield environment as the firm embarks on a large\-scale tech modernisation programme. This is an extremely dynamic organisation – it is essential that you are comfortable working in a fast\-paced, nimble fashion and are keen to be pro\-active, working closely with both technical and non\-technical stakeholders at all levels.
**Responsibilities:** 
 This is a business critical, greenfield project, with the objective of building LLM products for both internal stakeholders (MCP) and external clients.
 You will work closely with the Development Manager, data engineers and a variety of other stakeholders to implement the required infrastructure and architecture, followed by building the products themselves. You will lead model development across classification, forecasting, anomaly detection and clustering, own deep NLP/LLM workstreams and drive enterprise LLM customization through MCP workflows.
 You will also be responsible for Deployment, ML Ops and platform ownership (Azure ML MLflow, Azure functions, CI/CD for ML ETC), feature engineering and data integration (Azure Data Factory, SQL) and overall AI innovation leadership throughout the firm.
**Desired Skills:** 
* Pro\-active, entrepreneurial and progressive mindset – ability to combine in\-depth technical experience with exceptional stakeholder communication skills, both technical and non\-technical
* Ability to balance speed with best practice, whilst keeping business and technical stakeholders on\-side
* Deep understanding of NLP \+ embeddings \+ LLM architectures, plus evaluation methodology and responsible AI controls – ESSENTIAL
* Multiple years’ experience building production AI/ML systems, ideally from scratch
* Deep expertise in Python \+ ML stack – Tensor\-Flow, PyTorch, Transformers/LLM frameworks
* Proven track record in architecting ML platforms in Azure (Azure ML, MLFlow, containerization, monitoring)
* Expertise in MCP\-based LLM workflows (Azure Model Catalog, fine\-tuning pipelines, LoRA adapter management, evaluation/guardrails)
* Proven experience deploying models to production with reliability, governance and measurable business outcomes
* Strong desire to work in a role where you take the lead on progressive ideas in this space, working in an extremely fast\-paced, multiple project driven environment</t>
        </is>
      </c>
    </row>
    <row r="30">
      <c r="A30" t="inlineStr">
        <is>
          <t>li-4361531498</t>
        </is>
      </c>
      <c r="B30" t="inlineStr">
        <is>
          <t>Principal AI Engineer, Ads AI</t>
        </is>
      </c>
      <c r="C30" t="inlineStr">
        <is>
          <t>LinkedIn</t>
        </is>
      </c>
      <c r="D30" t="inlineStr">
        <is>
          <t>linkedin</t>
        </is>
      </c>
      <c r="E30" t="inlineStr"/>
      <c r="F30" t="inlineStr"/>
      <c r="G30" t="inlineStr">
        <is>
          <t>New York, NY</t>
        </is>
      </c>
      <c r="H30" t="inlineStr"/>
      <c r="I30"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**Team Overview:**
 The Assets, Formats \&amp; Placements team is part of our LinkedIn Marketing Solutions (Ads Technology) group. This team has a vision of building a content onboarding and asset generation platform, innovating in new ad formats and experimenting with new ad slot supply that can be monetized.
 The team also owns vertical products like hosting live events and B2B marketing aspects for those events and the strategy to monetize creators \&amp; publishers that post high quality video content on LinkedIn.
**Location:**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This role will  be based in
 **New York, NY** 
 .
**Responsibilities:**
 As a Principal AI Engineer you will be setting the technical direction and foundation to build and own algorithms, models, and systems that power our LinkedIn ad tech platform. We are looking for a high performing and high ambition tech lead who will use AI/ML to push the boundaries of our ad stack and meet the future needs of our B2B advertisers.
* Define and execute technical vision for applying AI to accelerate the team’s roadmap which includes asset generation using LLMs, personalizing ads at scale and new workflows that guide advertisers to building higher performing ads.
* Mentor and work with other Sr. Staff SWEs in the team to establish quality norms, processes and build a culture of operational excellence.
* Partner with Product, Data Science, and AI Research teams to translate business goals into scalable AI\-powered capabilities that improve the advertiser experience \&amp; ROI.
* Establish best practices for experimentation, model evaluation, and responsible AI within the asset generation, ads personalization and supply expansion spaces.
**Qualifications**
**Basic Qualifications:**
* 5\+ years as a Technical Leader (L7, Senior Staff, Principal, etc.)
* 7\+ years of industry experience with Machine Learning, AI, Data Engineering, or related solutions.
* Bachelor of Science (or higher, e.g., MS, or PhD) in Computer Science or related technical field involving coding, or equivalent technical experience.
**Preferred Qualifications:**
* 10\+ years of industry experience (AI, Machine Learning, Data Science, or related) including prior experience working in the Tech domain.
* Master’s or PhD in Computer Science or a related discipline.
* BS and 12\+ years of relevant work experience, MS and 10\+ years of relevant work experience, or PhD and 8\+ years of relevant work experience.
* Previous design and implementation of solutions in highly distributed environments.
* Experience in the Advertising and Marketing domain.
* Prior work designing and building scalable agentic systems.
**Skills:**
* Technical Leadership
* AI Engineering
* Enterprise ML Solutions
**You will Benefit from our Culture:**
 We strongly believe in the well\-being of our employees and their families. That is why we offer generous health and wellness programs and time away for employees of all levels.
**Compensation:**
 LinkedIn is committed to fair and equitable compensation practices.
 The pay range for this role is $207,000 to $340,000\.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31">
      <c r="A31" t="inlineStr">
        <is>
          <t>li-4341544356</t>
        </is>
      </c>
      <c r="B31" t="inlineStr">
        <is>
          <t>Machine Learning Engineer</t>
        </is>
      </c>
      <c r="C31" t="inlineStr">
        <is>
          <t>Saris AI</t>
        </is>
      </c>
      <c r="D31" t="inlineStr">
        <is>
          <t>linkedin</t>
        </is>
      </c>
      <c r="E31" t="inlineStr"/>
      <c r="F31" t="inlineStr"/>
      <c r="G31" t="inlineStr">
        <is>
          <t>San Francisco, CA</t>
        </is>
      </c>
      <c r="H31" t="inlineStr"/>
      <c r="I31" t="inlineStr">
        <is>
          <t>**The role** 
 We're a San Francisco \&amp; Montreal based applied AI startup that's building the future of work in the banking industry. We are tackling a $100 billion/yr problem, doubling every quarter and pushing the boundaries of what’s possible with multi\-turn AI agentic systems.
 Our goal is to tackle the type of automation problems that require long\-context reasoning, tool orchestration across legacy systems, and strict compliance loops: the ones without known answers.
 We’ve shipped real agents that handle real customer workflows in production. With a growing customer base and live deployments, we’re scaling up fast and looking for deeply technical builders who want to have outsized impact early.
 Our Engineering team is looking for a founding ML Engineer to take ownership of our entire ML stack and enable custom agents to come to life.
**Your mission is to** 
* Develop the core ML/AI work at Saris, building custom, multi\-modal workflow agents end\-to\-end
* Work closely with other engineers on the team to operationalize the core AI agents for production usage
* Build datasets, define metrics, and track the performance of our AI agents
* Define core evaluation pipelines to refine our AI agents
* Build reusable systems and tools that enable contributions from across the company and steadily raise the quality bar
* Work closely with the founders to help develop the ML/AI vision of the company, and to help drive that roadmap forward
**Looking back, you have** 
* At least 5 years of ML/AI engineering experience, working as a senior/lead member of the team
* Extensive experience building, training, and deploying custom ML/AI models that solve complex problems for customers
* Experience building, training, and deploying LLM models that solve complex problems for customers (ideally conversational AI agents)
* Extensive knowledge on the inner workings of foundational ML/AI technologies, including deep learning and transformers
* Experience working collaboratively with other engineers, through code reviews and working sessions
* Experience working in small teams, moving fast without too much processes/overheads
* A deep passion for the ML/AI space, and be continually on the lookout for new techniques or architectures
**Bonus Points If You** 
* Proficient in data processing, including cleaning and preparing data for training
* Proficient in working with various databases, including SQL and data warehouses
* Experienced with creating API services that expose ML/AI functionalities to other teams/customers
* Experienced with building useful technologies based on LLMs, with both closed and open models
* Experienced in helping the team grow, both in people/processes and in maturity of the technology
* A great communicator, able to articulate your ideas clearly and succinctly, in both verbal and written form
**Why Join Saris AI?** 
* 🏦 Join us in building the future of work for the trillion\-dollar banking industry using cutting edge AI technology.
* ⚡Tackle ambiguous technical challenges with no clear answers.
* 💲Competitive compensation with premium benefits and equity package.
* 🤝Work with a stellar team of engineers, builders, and leaders; including repeat YC founders with a successful exit (Ready Education).
* 📈We already have production agents live with revenue\-generating customers
* 🐦 🔥Our team is backed by Tier 1 Silicone Valley VCs</t>
        </is>
      </c>
    </row>
    <row r="32">
      <c r="A32" t="inlineStr">
        <is>
          <t>li-4368240854</t>
        </is>
      </c>
      <c r="B32" t="inlineStr">
        <is>
          <t>AI Engineer</t>
        </is>
      </c>
      <c r="C32" t="inlineStr">
        <is>
          <t>Apexon</t>
        </is>
      </c>
      <c r="D32" t="inlineStr">
        <is>
          <t>linkedin</t>
        </is>
      </c>
      <c r="E32" t="inlineStr"/>
      <c r="F32" t="inlineStr"/>
      <c r="G32" t="inlineStr">
        <is>
          <t>Dallas, TX</t>
        </is>
      </c>
      <c r="H32" t="inlineStr"/>
      <c r="I32" t="inlineStr">
        <is>
          <t>**About Apexon:** 
 Apexon is a digital\-first technology services firm specializing in accelerating business transformation and delivering human\-centric digital experiences. We have been meeting customers wherever they are in the digital lifecycle and helping them outperform their competition through speed and innovation.Apexon brings together distinct core competencies – in AI, analytics, app development, cloud, commerce, CX, data, DevOps, IoT, mobile, quality engineering and UX, and our deep expertise in BFSI, healthcare, and life sciences – to help businesses capitalize on the unlimited opportunities digital offers. Our reputation is built on a comprehensive suite of engineering services, a dedication to solving clients’ toughest technology problems, and a commitment to continuous improvement. Backed by Goldman Sachs Asset Management and Everstone Capital, Apexon now has a global presence of 15 offices (and 10 delivery centers) across four continents.
 In this role, you will be responsible for launching and implementing GenAI agentic solutions aimed at reducing the risk and cost of managing large\-scale production environments with varying complexities. You will address various production runtime challenges by developing agentic AI solutions that can diagnose, reason, and take actions in production environments to improve productivity and address issues related to production support.
**What you’ll do:** 
* Build agentic AI systems: Design and implement tool\-calling agents that combine retrieval, structured reasoning, and secure action execution (function calling, change orchestration, policy enforcement) following MCP protocol. Engineer robust guardrails for safety, compliance, and least\-privilege access.
* Productionize LLMs: Build evaluation framework for open\-source and foundational LLMs; implement retrieval pipelines, prompt synthesis, response validation, and self\-correction loops tailored to production operations.
* Integrate with runtime ecosystems: Connect agents to observability, incident management, and deployment systems to enable automated diagnostics, runbook execution, remediation, and post\-incident summarization with full traceability.
* Collaborate directly with users: Partner with production engineers, and application teams to translate production pain points into agentic AI roadmaps; define objective functions linked to reliability, risk reduction, and cost; and deliver auditable, business\-aligned outcomes.
* Safety, reliability, and governance: Build validator models, adversarial prompts, and policy checks into the stack; enforce deterministic fallbacks, circuit breakers, and rollback strategies; instrument continuous evaluations for usefulness, correctness, and risk.
* Scale and performance: Optimize cost and latency via prompt engineering, context management, caching, model routing, and distillation; leverage batching, streaming, and parallel tool\-calls to meet stringent SLOs under real\-world load.
* Build a RAG pipeline: Curate domain\-knowledge; build data\-quality validation framework; establish feedback loops and milestone framework maintain knowledge freshness.
* Raise the bar: Drive design reviews, experiment rigor, and high\-quality engineering practices; mentor peers on agent architectures, evaluation methodologies, and safe deployment patterns
**ESSENTIAL SKILLS** 
* 5\+ years of software development in one or more languages (Python, C/C\+\+, Go, Java); strong hands\-on experience building and maintaining large\-scale Python applications preferred.
* 3\+ years designing, architecting, testing, and launching production ML systems, including model deployment/serving, evaluation and monitoring, data processing pipelines, and model fine\-tuning workflows.
* Practical experience with Large Language Models (LLMs): API integration, prompt engineering, fine\-tuning/adaptation, and building applications using RAG and tool\-using agents (vector retrieval, function calling, secure tool execution).
* Understanding of different LLMs, both commercial and open source, and their capabilities (e.g., OpenAI, Gemini, Llama, Qwen, Claude).
* Solid grasp of applied statistics, core ML concepts, algorithms, and data structures to deliver efficient and reliable solutions.
* Strong analytical problem\-solving, ownership, and urgency; ability to communicate complex ideas simply and collaborate effectively across global teams with a focus on measurable business impact.
* Preferred: Proficiency building and operating on cloud infrastructure (ideally AWS), including containerized services (ECS/EKS), serverless (Lambda), data services (S3, DynamoDB, Redshift), orchestration (Step Functions), model serving (SageMaker), and infra\-as\-code (Terraform/CloudFormation).
**Our Commitment to Diversity \&amp; Inclusion:** 
 Did you know that Apexon has been Certified™ by Great Place To Work®, the global
 authority on workplace culture, in each of the three regions in which it operates: USA (for the fourth time in 2023\), India (seven consecutive certifications as of 2023\), and the UK.Apexon is committed to being an equal opportunity employer and promoting diversity in the workplace. We are taking affirmative action to ensure equal employment opportunity for all qualified individuals. Apexon strictly prohibits discrimination and harassment of any kind and provides equal employment opportunities to employees and applicants without regard to gender, race, color, ethnicity or national origin, age, disability, religion, sexual orientation, gender identity or expression, veteran status, or any other applicable characteristics protected by law. You can read about our Job Applicant Privacy policy here Job Applicant Privacy Policy (apexon.com)</t>
        </is>
      </c>
    </row>
    <row r="33">
      <c r="A33" t="inlineStr">
        <is>
          <t>li-4366898356</t>
        </is>
      </c>
      <c r="B33" t="inlineStr">
        <is>
          <t>AI/ML Engineer – (Next-Generation AI Platforms &amp; Workloads)</t>
        </is>
      </c>
      <c r="C33" t="inlineStr">
        <is>
          <t>VeeAR Projects Inc.</t>
        </is>
      </c>
      <c r="D33" t="inlineStr">
        <is>
          <t>linkedin</t>
        </is>
      </c>
      <c r="E33" t="inlineStr"/>
      <c r="F33" t="inlineStr"/>
      <c r="G33" t="inlineStr">
        <is>
          <t>Sunnyvale, CA</t>
        </is>
      </c>
      <c r="H33" t="inlineStr"/>
      <c r="I33" t="inlineStr">
        <is>
          <t>**Role Overview** 
 As a core member of our AI engineering team, you will design, develop, and optimize cutting\-edge AI models and workloads that run natively on our high\-performance GPU clusters. Leverage our SOTA infrastructure to train, fine\-tune, and serve massive\-scale models at unprecedented efficiency. Collaborate across infrastructure, product, and research teams to align hardware capabilities with real\-world AI demands, driving breakthroughs in performance, scalability, and innovation.
**Key Responsibilities** 
* Design, implement, and train state\-of\-the\-art ML models for high\-impact applications (e.g., NLP, Computer Vision, Network Optimization).
* Optimize AI workloads for extreme performance and scalability on large\-scale GPU systems like GB200 NVL72, using tools such as Dynamo, vLLM, and advanced inference engines.
* Partner with cross\-functional teams to co\-design hardware\-software solutions that maximize AI processing efficiency.
* Build robust tools, data pipelines, evaluation frameworks, and deployment systems.
* Track and incorporate the latest AI research and technological advancements.
* Contribute to product requirements (PRDs) and agile execution (sprint planning and delivery).
* Champion a culture of humility, bold innovation, and high\-velocity product delivery.
**Minimum Qualifications** 
* Bachelor's degree in Computer Science, Electrical Engineering, Mathematics, Statistics, or a related technical field.
* 3\+ years of hands\-on experience in machine learning, deep learning, and software engineering.
* Proficiency in Python; experience with C/C\+\+.
* Strong working knowledge of major AI/ML frameworks (PyTorch, TensorFlow, JAX, or similar).
* Solid foundation in data structures, algorithms, and software design principles.
**Preferred Qualifications** 
* Master's or PhD in Computer Science, AI/ML, or a related discipline.
* Experience with Large Language Models (LLMs), Generative AI, or Computer Vision.
* Familiarity with distributed training frameworks and techniques (e.g., Ray, DeepSpeed, Megatron\-LM).
* Proven expertise optimizing models for GPU inference (e.g., TensorRT, Triton Inference Server).
* Knowledge of MLOps tools and practices (Kubeflow, MLflow, etc.).</t>
        </is>
      </c>
    </row>
    <row r="34">
      <c r="A34" t="inlineStr">
        <is>
          <t>li-4365508802</t>
        </is>
      </c>
      <c r="B34" t="inlineStr">
        <is>
          <t>Senior Machine Learning Engineer</t>
        </is>
      </c>
      <c r="C34" t="inlineStr">
        <is>
          <t>TekVizor</t>
        </is>
      </c>
      <c r="D34" t="inlineStr">
        <is>
          <t>linkedin</t>
        </is>
      </c>
      <c r="E34" t="inlineStr"/>
      <c r="F34" t="inlineStr"/>
      <c r="G34" t="inlineStr"/>
      <c r="H34" t="inlineStr"/>
      <c r="I34" t="inlineStr">
        <is>
          <t>**Senior Machine Learning Engineer** 
**Location:** 
 San Francisco, CA Bay Area
 📢New opening for a Senior ML Engineer to join a world\-class team focused on building and deploying scalable ML models within online trust \&amp; safety.
**Summary:**
* You will be part of a world\-class ML/AI team, developing machine learning models for content moderation and classification. Working cross\-functionally to turn business challenges into AI\-driven solutions.
* Develop large\-scale production ML models to solve online safety problems. Trust \&amp; Safety, content Intelligence, content moderation, fraud detection, anomaly detection, recommender systems.
* Build and scale our retrieval\-augmented generation (RAG) system that delivers analytic insights and automation to our product teams.
* Create and apply NLP, LLM AI models for customer safety in text, voice, audio and image classification.
* Develop sophisticated AI/ML paradigms model optimization, encoder based architecture, model improvement at scale.
* Train and optimize ML models, neural networks, within frameworks; TensorFlow and PyTorch.
**Experience:**
* Minimum of 5\-7 years of professional experience in machine learning, deep learning and NLP.
* Hands\-on experience with generative AI models multi\-modal AI.
* Expertise in applying machine learning models in a professional environment with large, complex datasets.
* Familiar working in trust and safety, fraud, user integrity.
* Expertise with Python, Scala, scikit\-learn, Jax, PyTorch and PySpark, Tensorflow.
* ML model training, MLOps, NLP, parameter tuning, transformer models, optimization, encoder models, RAG.
* Familiarity with multimodal AI models combining text, image, and video data.
**Education:**
 Master’s in Mathematics, Computer Science, Statistics, Engineering or similar degree (PhD preferred but not required)
 Base pay range $280\-320k</t>
        </is>
      </c>
    </row>
    <row r="35">
      <c r="A35" t="inlineStr">
        <is>
          <t>li-4257641267</t>
        </is>
      </c>
      <c r="B35" t="inlineStr">
        <is>
          <t>Machine Learning Engineer</t>
        </is>
      </c>
      <c r="C35" t="inlineStr">
        <is>
          <t>Silvus Technologies</t>
        </is>
      </c>
      <c r="D35" t="inlineStr">
        <is>
          <t>linkedin</t>
        </is>
      </c>
      <c r="E35" t="inlineStr"/>
      <c r="F35" t="inlineStr"/>
      <c r="G35" t="inlineStr">
        <is>
          <t>Los Angeles, CA</t>
        </is>
      </c>
      <c r="H35" t="inlineStr"/>
      <c r="I35" t="inlineStr">
        <is>
          <t>**The Company**
**Silvus Technologies** 
 is dedicated to one mission: connecting those who keep us safe. We do so by delivering the most advanced Mobile Ad\-hoc Network (MANET) radios powered by our custom and ever\-evolving Mobile\-Networked MIMO waveform. Together, our radios and waveform provide the vital communications for mission critical applications in the harshest environments from underground tunnels to high altitude balloons.
 Silvus StreamCaster® radios are being rapidly adopted by customers all over the world ranging from the U.S Departments of Defense, to International, Federal, State and Local Law Enforcement agencies, all the way to the Super Bowl, Grammys and industry\-leading drone, robot, and other unmanned systems manufacturers.
*Wouldn’t you like to join an incredibly talented group of people, doing very challenging work, with the prime directive of “* 
*Keeping Our Heroes Connected* 
*”?*
 Following its acquisition by Motorola Solutions, Silvus Technologies is entering a new phase of scale and strategic impact. We are expanding our Strategic Growth organization to shape demand early, influence requirements, and embed Silvus Technologies into future programs of record across the U.S. Department of Defense.
 THE OPPORTUNITY
 Silvus is seeking a
 ***Machine Learning Engineer***
 with a strong background in wireless communications to join our innovative
 *R\&amp;D team* 
 . This role will report to the
 *R\&amp;D Director, Machine Learning* 
 and will focus on applying machine learning and data\-driven techniques to improve the performance, efficiency, and adaptability of Silvus’ advanced MIMO radios and wireless networking systems. The successful individual in this role will work closely with experts in wireless communications, DSP, networking, and embedded systems to develop ML\-driven features that solve real\-world problems in dynamic and challenging RF environments.
 This position is based at Silvus Technologies’ headquarters in the heart of vibrant
 **West Los Angeles,** 
**CA** 
 and is on a hybrid schedule; a minimum of 3 days onsite per week is expected. On\-site days are Mondays, Wednesdays, and Thursdays.
 The following is a list of at least some of the current essential job functions of the position. Management may assign or reassign duties and responsibilities at any time at its discretion.
**Role And Responsibilities**
* Research, design, and implement machine learning algorithms to enhance performance in wireless communication systems (e.g., link adaptation, interference mitigation, anomaly detection, spectrum sensing).
* Analyze real\-world RF datasets to extract insights and develop predictive models.
* Develop software prototypes and integrate ML algorithms with Silvus’ radio firmware and networking stack.
* Collaborate with cross\-functional teams to define ML use cases and evaluate the impact of deployed models.
* Contribute to the design of data pipelines and infrastructure for training, testing, and validating models.
* Participate in performance benchmarking and iterative improvement cycles.
* Stay current with the latest Machine Learning research for wireless and embedded systems.
**Required Qualifications**
* M.S. or Ph.D. in Electrical Engineering, Computer Science, or a related field.
* Minimum of 3 years of experience in machine learning, with demonstrated application to real\-world problems; 1 year of machine learning experience with a PhD.
* Strong foundation in supervised and unsupervised learning, signal processing, and statistical modeling.
* Experience with Python ML frameworks (e.g., TensorFlow, PyTorch, scikit\-learn, etc.).
* Familiarity with wireless communication concepts (e.g., PHY/MAC layers, MIMO, OFDM, spectrum access, SDRs).
* Proficiency in MATLAB or C/C\+\+ for signal processing algorithm development.
* Security Clearance: Active U.S. Government SECRET clearance or the ability to obtain one within 12 months of hire.
* Must be a U.S. Citizen due to clients under U.S. government contracts.
**Preferred Knowledge, Skills And Abilities**
* Excellent communication and collaboration skills.
* Demonstrated experience with RF signal classification, anomaly detection, or spectrum monitoring.
* Familiarity with embedded ML, real\-time systems, or deploying ML on edge devices.
* Background in adaptive modulation, beamforming, or cognitive radio techniques.
* Experience working with wireless standards such as 3GPP, IEEE 802\.11/15, or military waveforms.
* Experience with GPU acceleration or model optimization for constrained environments.
**Working Conditions \&amp; Physical Requirements** 
* Office environment.
* Outdoor environment for demos.
* Occasional exposure to heat, cold, and allergens while performing tests or demonstrations in the field.
* While performing the duties of this job, the employee is required to do the following:
+ Lift equipment up to 20 lbs. for the set\-up of demonstrations and testing.
+ Perform bending and reaching movements to place items on lower and higher shelves.
 \#techcareers
**Compensation**
*The pay range is NOT a guarantee. It is based on market research and peer data, and will vary depending on the candidate’s experience and qualifications.*
 CA Pay Range
 $120,000 \- $160,000 USD
**NOTE \- As a U.S. Federal Contractor, Silvus Technologies requires that ALL candidates being considered for employment for any position (regardless of level) MUST be a U.S. Person (permanent resident or citizen). Stricter U.S. Citizen ONLY requirements are needed for some Engineering or R\&amp;D roles. This generally does NOT apply to International positions; only job postings for positions located in the U.S. Exceptions will be included in the Required Qualifications section of the posted position.**
***All Employment is contingent upon the successful clearance of a background check and drug test.***
 Silvus is proud to be an equal\-opportunity employer, and we value diversity. We do not discriminate on the basis of race, color, age, religion or belief, ancestry, national origin, sex (including pregnancy), sexual orientation, gender identity and/or expression, marital, civil union or domestic partnership status, physical or mental disability, protected veteran status, genetic information, political affiliation, or any other factor protected by applicable federal, state, or local laws.
 We will ensure that individuals with disabilities are provided reasonable accommodation to participate in the job application or interview process, to perform essential job functions, and to receive benefits and privileges of employment. Please contact us to request accommodation.
* Silvus does not accept unsolicited resumes from individual recruiters or third\-party recruiting agencies in response to job postings. No fee will be paid to third parties who submit unsolicited candidates directly to Silvus Technologies.</t>
        </is>
      </c>
    </row>
    <row r="36">
      <c r="A36" t="inlineStr">
        <is>
          <t>li-4368225822</t>
        </is>
      </c>
      <c r="B36" t="inlineStr">
        <is>
          <t>AI Engineer, Entry Level</t>
        </is>
      </c>
      <c r="C36" t="inlineStr">
        <is>
          <t>Emonics LLC</t>
        </is>
      </c>
      <c r="D36" t="inlineStr">
        <is>
          <t>linkedin</t>
        </is>
      </c>
      <c r="E36" t="inlineStr"/>
      <c r="F36" t="inlineStr"/>
      <c r="G36" t="inlineStr">
        <is>
          <t>San Francisco, CA</t>
        </is>
      </c>
      <c r="H36" t="inlineStr"/>
      <c r="I36" t="inlineStr">
        <is>
          <t>Job description
 About the role
 We are hiring an Entry Level AI Engineer to help build and deploy practical AI solutions. You will work with structured and unstructured data, train and evaluate models, and help integrate AI into real applications.
 What you will do
 • Support development of AI models for classification, recommendation, forecasting, or NLP tasks
 • Prepare datasets, perform feature engineering, and run experiments
 • Evaluate model performance and help improve accuracy, latency, and robustness
 • Assist with deploying models into production environments (APIs, batch jobs, pipelines)
 • Collaborate with software engineers, data engineers, and product teams
 What you are looking for
 • Bachelor’s or Master’s degree in CS, Data Science, AI/ML, Statistics, or related field
 • Strong Python foundation
 • Familiarity with ML basics (supervised/unsupervised learning, evaluation metrics)
 • Experience with common libraries (NumPy, pandas, scikit\-learn)
 • Clear communication and curiosity
 Nice to have
 • Exposure to deep learning (PyTorch or TensorFlow)
 • Understanding of model deployment (FastAPI/Flask, Docker)
 • Cloud fundamentals (AWS/GCP/Azure) and basic MLOps concepts</t>
        </is>
      </c>
    </row>
    <row r="37">
      <c r="A37" t="inlineStr">
        <is>
          <t>li-4368649903</t>
        </is>
      </c>
      <c r="B37" t="inlineStr">
        <is>
          <t>AI/ML Engineer</t>
        </is>
      </c>
      <c r="C37" t="inlineStr">
        <is>
          <t>micro1</t>
        </is>
      </c>
      <c r="D37" t="inlineStr">
        <is>
          <t>linkedin</t>
        </is>
      </c>
      <c r="E37" t="inlineStr"/>
      <c r="F37" t="inlineStr"/>
      <c r="G37" t="inlineStr">
        <is>
          <t>Virginia, United States</t>
        </is>
      </c>
      <c r="H37" t="inlineStr"/>
      <c r="I37" t="inlineStr">
        <is>
          <t>**Job Title:** 
 AI/ML Engineer
**Job Type:** 
 Full\-Time
**Job Summary:** 
 Join our customer’s team as an AI/ML Engineer, where you will help build and deploy next\-generation AI solutions for critical government and enterprise applications. In this dynamic, hybrid role,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38">
      <c r="A38" t="inlineStr">
        <is>
          <t>li-4368268064</t>
        </is>
      </c>
      <c r="B38" t="inlineStr">
        <is>
          <t>Data &amp; Applied Machine Learning Engineer</t>
        </is>
      </c>
      <c r="C38" t="inlineStr">
        <is>
          <t>LHH</t>
        </is>
      </c>
      <c r="D38" t="inlineStr">
        <is>
          <t>linkedin</t>
        </is>
      </c>
      <c r="E38" t="inlineStr"/>
      <c r="F38" t="inlineStr"/>
      <c r="G38" t="inlineStr">
        <is>
          <t>Irvine, CA</t>
        </is>
      </c>
      <c r="H38" t="inlineStr"/>
      <c r="I38" t="inlineStr">
        <is>
          <t>**Data and Applied Machine Learning Engineer** 
**Location:** 
 Irvine, CA
**Schedule:** 
 Onsite (hybrid schedule similar to engineering team norms)
**Employment Type:** 
 Full Time, Permanent
**Compensation:** 
 150,000 to 175,000 base plus 5 percent AIP bonus
**About the Opportunity** 
 A growing engineering organization in Irvine is seeking a
 **Data and Applied Machine Learning Engineer** 
 to join a collaborative, cross functional team. This position combines high level data engineering with applied ML ownership and offers the chance to work closely with a recently acquired AI division focused on computer vision and machine learning.
 This role is a backfill that has evolved from a traditional data engineering position into a hybrid data and ML role with end to end ownership of pipelines, modeling workflows, and data quality for production systems.
**What You Will Do** 
**Data Platform, Pipelines, and Quality (Primary Focus)** 
* Design, build, and operate scalable ELT and ETL pipelines ingesting data from IoT devices, smart cart telemetry, video events, operational systems, and external partners
* Build and maintain cloud based data infrastructure including SQL and NoSQL databases, data warehouses, and integration systems
* Create and maintain canonical data models including schemas, taxonomies, KPIs, and event structures
* Implement robust data quality practices including validation rules, automated tests, anomaly detection, monitoring, and alerting
* Improve consistency across data producing systems through naming standards, identifiers, timestamps, joins, and deduplication
* Perform root cause analysis on pipeline issues and implement durable, long term fixes
* Partner with BI and Product teams to build curated datasets, semantic layers, and internal dashboards for visibility into system health
**Applied Machine Learning Ownership (Secondary Focus)** 
* Own the end to end production lifecycle of a smart cart classification model including data collection, labeling, evaluation, threshold tuning, and safe deployment
* Build and optimize ML pipelines for feature engineering, model training, deployment, and monitoring in production
* Create and maintain evaluation frameworks including repeatable test sets and offline metrics
* Monitor model performance for accuracy drift, data drift, and classification error patterns
* Collaborate with a separate ML team to incorporate model improvements while maintaining stability in production environments
* Work closely with software and systems engineers to integrate the classifier cleanly into product workflows with strong telemetry, logging, and operational documentation
**Required Qualifications** 
* Bachelor’s degree in Computer Science, Software Engineering, Information Systems, Mathematics, Statistics, or related field
* 5 plus years of experience in data engineering or ML engineering
* Strong fluency in
 **SQL** 
 and
 **Python**
* Proven experience building and operating production ELT and ETL pipelines
* Experience with cloud platforms
 **Azure or GCP**
* Hands on experience with orchestration or transformation tools such as Airflow or Prefect
* Experience with Spark, Databricks, or similar batch processing frameworks
* Strong understanding of data modeling, governance, quality practices, and lineage
* Ability to troubleshoot data issues, collaborate with operations teams, and implement production ready solutions
* Strong analytical communication and problem solving abilities
* Must be a
 **US Citizen or Green Card holder**
**Personality Fit** 
* Proactive and comfortable working autonomously
* Communicative and collaborative across engineering, product, and analytics teams
* Analytical mindset with a focus on delivering clear business insights
**Benefit Details** 
* Standard benefits package including medical, dental, PTO, and a 5 percent annual incentive bonus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39">
      <c r="A39" t="inlineStr">
        <is>
          <t>li-4368245522</t>
        </is>
      </c>
      <c r="B39" t="inlineStr">
        <is>
          <t>AI/ML Engineer – LLM &amp; Conversational AI (MCP)</t>
        </is>
      </c>
      <c r="C39" t="inlineStr">
        <is>
          <t>Apexon</t>
        </is>
      </c>
      <c r="D39" t="inlineStr">
        <is>
          <t>linkedin</t>
        </is>
      </c>
      <c r="E39" t="inlineStr"/>
      <c r="F39" t="inlineStr"/>
      <c r="G39" t="inlineStr"/>
      <c r="H39" t="inlineStr"/>
      <c r="I39" t="inlineStr">
        <is>
          <t>**Job Title:** 
 AI/ML Engineer – LLM \&amp; Conversational AI (MCP)
**Location:** 
 Remote
**Employment Type:** 
 Full\-time
 🚀 About the Role
 We are looking for an experienced
 **AI/ML Engineer** 
 with deep expertise in
 **Large Language Models (LLMs)** 
 ,
 **Conversational AI** 
 , and
 **Model Context Protocol (MCP)** 
 . In this role, you will design, build, and optimize intelligent AI systems that power chatbots, copilots, and enterprise\-grade AI solutions.
 You will work closely with product, UX, and engineering teams to transform business needs into scalable, secure, and high\-performing AI applications.
 🔧 Key Responsibilities
* Design, develop, and deploy AI/ML solutions with a focus on
 **LLMs and Generative AI**
* Build and optimize
 **Conversational AI systems** 
 (chatbots, virtual assistants, AI agents)
* Implement
 **prompt engineering, fine\-tuning, RAG (Retrieval\-Augmented Generation)** 
 , and evaluation pipelines
* Develop and integrate
 **MCP\-based architectures** 
 for:
* Context management
* Tool calling
* Memory handling
* Agent orchestration
* Work with
 **vector databases** 
 such as Pinecone, FAISS, Weaviate, or Chroma
* Integrate LLMs with
 **enterprise systems, APIs, and third\-party tools**
* Ensure
 **model performance, scalability, security, and responsible AI usage**
* Monitor, test, and continuously improve model accuracy and response quality
* Collaborate cross\-functionally to deliver production\-ready AI solutions
 ✅ Required Skills \&amp; Qualifications
* Strong proficiency in
 **Python** 
 and ML frameworks (
 **PyTorch, TensorFlow** 
 )
* Hands\-on experience with
 **LLMs** 
 (OpenAI, Azure OpenAI, Anthropic, Google Gemini, or open\-source models)
* Experience with
 **Conversational AI frameworks** 
 such as
 **LangChain, LlamaIndex, or Semantic Kernel**
* Solid understanding of
 **Model Context Protocol (MCP)** 
 concepts
* Strong knowledge of
 **NLP, embeddings, and semantic search**
* Experience with
 **cloud platforms** 
 (AWS, Azure, or GCP)
* Familiarity with
 **REST APIs, microservices, Docker, and Kubernetes**
 🌟 Nice to Have
* Experience with
 **multi\-agent systems**
* Knowledge of
 **speech\-to\-text / text\-to\-speech** 
 pipelines
* Exposure to
 **MLOps tools** 
 (MLflow, Kubeflow, CI/CD for ML)
* Experience in
 **Healthcare, FinTech, or enterprise AI solutions**
* Understanding of
 **AI governance, privacy, and compliance**
 🎓 Education
* Bachelor’s or Master’s degree in
 **Computer Science, AI/ML, Data Science** 
 , or a related field
* Equivalent practical experience is welcome</t>
        </is>
      </c>
    </row>
    <row r="40">
      <c r="A40" t="inlineStr">
        <is>
          <t>li-4362071534</t>
        </is>
      </c>
      <c r="B40" t="inlineStr">
        <is>
          <t>Founding Machine Learning Engineer</t>
        </is>
      </c>
      <c r="C40" t="inlineStr">
        <is>
          <t>Shields Group Search</t>
        </is>
      </c>
      <c r="D40" t="inlineStr">
        <is>
          <t>linkedin</t>
        </is>
      </c>
      <c r="E40" t="inlineStr"/>
      <c r="F40" t="inlineStr"/>
      <c r="G40" t="inlineStr">
        <is>
          <t>San Francisco, CA</t>
        </is>
      </c>
      <c r="H40" t="inlineStr"/>
      <c r="I40" t="inlineStr">
        <is>
          <t>**🚀 Founding Engineer (Machine Learning Engineering Focus)** 
 Early\-Stage AI Company \| Enterprise Focus \| Hands\-On Builder
 Fully in office in San Francisco
**Experience:** 
 3\-5 years
**🌐 About the Company** 
 Shields Group Search is partnering with a breakout, venture\-backed AI company that is quietly emerging as one of the most compelling infrastructure plays in its category.
 The company has raised $7\.5M\+ in Seed funding from top\-tier Silicon Valley funds and a highly selective group of operator\-angels. Their backers include investors and founders affiliated with firms and ecosystems such as Y Combinator, a16z, Founders Fund, Sequoia\-backed companies, and senior leaders from some of the most successful AI and enterprise software companies of the past decade. The cap table is stacked with people who have built and scaled category\-defining platforms before and know exactly what it takes to do it again.
 They already have real production traction, paying enterprise customers, and a product actively running in demanding environments. The company has also turned down multiple acquisition offers, choosing to stay independent and build something much larger. They are now gearing up for a Series A, with a clear mandate to harden their systems, scale responsibly, and evolve what they have built into a truly enterprise\-grade platform.
 The team is now expanding its core engineering group and looking to bring on a
 **Founding Engineer** 
 who will play a key role in shaping the product, architecture, and engineering culture from an early stage.
**🧠 The Role** 
 This role is best suited for a hands\-on Machine Learning Engineer with real\-world experience deploying, tuning, and maintaining ML models in production. While the team works on enterprise\-grade AI systems, this hire is not primarily focused on on\-prem enterprise deployments. Instead, the emphasis is on practical MLE execution, curiosity, and the ability to build and iterate quickly.
 As a Founding Engineer, you will work closely with the founders to translate research and ideas into scalable, production\-grade systems. This is a builder role for someone who enjoys writing code, learning fast, and growing alongside the company.
**🔧 What You’ll Do** 
* Build, deploy, and iterate on machine learning models in real production environments
* Own model deployment workflows, tuning, evaluation, and performance optimization
* Collaborate closely with founders on product direction and technical architecture
* Write high\-quality, production\-ready code across ML systems and supporting infrastructure
* Help establish early engineering best practices while remaining deeply hands\-on
* Contribute across the stack as needed in a fast\-moving early\-stage environment
**✅ What We’re Looking For** 
**Must\-Haves** 
* **3–5 years of professional experience** 
 in software engineering, ML engineering, or applied ML research
* **Strong MLE background** 
 with hands\-on experience deploying and tuning models in production
* Demonstrated ability to
 **write real production code** 
 , not just prototypes or research artifacts
* Experience working with modern ML frameworks and deployment workflows
* High curiosity, strong learning aptitude, and comfort operating in ambiguity
**Nice\-to\-Haves** 
* Applied ML research experience with a strong implementation bias
* Early\-stage startup experience
* Exposure to AI infrastructure, model monitoring, or reliability tooling
**🌟 Why This Role** 
* True
 **founding\-level impact** 
 at a mission\-driven AI company
* Direct collaboration with technical founders
* Ownership over core ML systems from day one
* Opportunity to grow into a senior technical leader as the company scales
* Competitive compensation and meaningful equity
**🎯 Ideal Candidate Profile** 
 This role is a great fit for someone who:
* Identifies as an
 **MLE who loves building** 
 , not just theorizing
* Enjoys translating research ideas into working systems
* Wants early ownership and long\-term growth
* Is excited to grow alongside a company tackling foundational AI problems</t>
        </is>
      </c>
    </row>
    <row r="41">
      <c r="A41" t="inlineStr">
        <is>
          <t>li-4357830293</t>
        </is>
      </c>
      <c r="B41" t="inlineStr">
        <is>
          <t>Gen AI Engineer</t>
        </is>
      </c>
      <c r="C41" t="inlineStr">
        <is>
          <t>US Tech Solutions</t>
        </is>
      </c>
      <c r="D41" t="inlineStr">
        <is>
          <t>linkedin</t>
        </is>
      </c>
      <c r="E41" t="inlineStr"/>
      <c r="F41" t="inlineStr"/>
      <c r="G41" t="inlineStr">
        <is>
          <t>Irving, TX</t>
        </is>
      </c>
      <c r="H41" t="inlineStr"/>
      <c r="I41" t="inlineStr">
        <is>
          <t>**Duration: Full\-Time Role** 
**Work Location: Irving, TX OR Orlando FL OR Edison NJ** 
**Hybrid Role** 
**Job Overview** 
 We are seeking a
 **Gen AI Engineer (Gen AI Engineer (Data Engineer OR Data Scientist OR ML Engineer))** 
 with a strong Python background to design, build, and deploy AI\-driven solutions. This role is open to professionals with experience in
 **data engineering, data science, or machine learning engineering** 
 , and focuses on developing scalable GenAI workflows, APIs, and production\-ready AI systems. You will work closely with cross\-functional teams to bring modern LLM\-based solutions into real\-world applications.
**Roles \&amp; Responsibilities** 
* Design, develop, and maintain
 **GenAI workflows and AI\-enabled applications**
* Build and expose AI services via
 **RESTful APIs** 
 using
 **FastAPI** 
 and/or
 **Flask**
* Implement and optimize
 **prompt engineering** 
 ,
 **RAG architectures** 
 , and
 **agentic AI workflows**
* Perform
 **data processing and feature preparation** 
 to support AI/ML pipelines
* Deploy, monitor, and maintain AI models across
 **development, testing, and production** 
 environments
* Conduct
 **code reviews** 
 , write automated tests, and ensure high\-quality, maintainable code
* Document system design, APIs, workflows, and model behavior
* Collaborate with product, data, and engineering teams to deliver scalable AI solutions
**Must\-Have Technical / Functional Skills** 
* Strong hands\-on experience with
 **Python**
* Hands\-on experience in
 **API development** 
 using
 **FastAPI** 
 and/or
 **Flask**
* Experience in
 **data processing and AI\-enabled workflows** 
 using Python
* Working knowledge of
 **Large Language Models (LLMs)** 
 and
 **prompt engineering**
* Understanding of
 **RAG architectures** 
 and
 **agentic AI patterns**
* Basic understanding of
 **hybrid prompting techniques**
* Experience with
 **Generative AI frameworks and tools** 
 such as
 **LangChain** 
 ,
 **Hugging Face** 
 ,
 **LlamaIndex** 
 , or similar
**Desired / Good\-to\-Have Skills** 
* Experience working with
 **Gemini LLM** 
 or other enterprise LLMs
* Hands\-on experience with
 **machine learning frameworks** 
 such as
 **PyTorch** 
 ,
 **TensorFlow** 
 , or
 **Keras.**
**About US Tech Solutions:** 
 US Tech Solutions is a global staff augmentation firm providing a wide range of talent on\-demand and total workforce solutions. To know more about US Tech Solutions, please visit www.ustechsolutions.com
 US Tech Solutions is an Equal Opportunity Employer. All qualified applicants will receive consideration for employment without regard to race, color, religion, sex, sexual orientation, gender identity, national origin, disability, or status as a protected veteran.
**Recruiter Details:** 
**Name: Deepak** 
**Email: deepak.s@ustechsolutionsinc.com** 
**Internal Id: 25\-50926**</t>
        </is>
      </c>
    </row>
    <row r="42">
      <c r="A42" t="inlineStr">
        <is>
          <t>li-4368652937</t>
        </is>
      </c>
      <c r="B42" t="inlineStr">
        <is>
          <t>AI/ML Engineer</t>
        </is>
      </c>
      <c r="C42" t="inlineStr">
        <is>
          <t>micro1</t>
        </is>
      </c>
      <c r="D42" t="inlineStr">
        <is>
          <t>linkedin</t>
        </is>
      </c>
      <c r="E42" t="inlineStr"/>
      <c r="F42" t="inlineStr"/>
      <c r="G42" t="inlineStr">
        <is>
          <t>Virginia, United States</t>
        </is>
      </c>
      <c r="H42" t="inlineStr"/>
      <c r="I42" t="inlineStr">
        <is>
          <t>**Job Title:** 
 AI/ML Engineer
**Job Type:** 
 Full\-Time
**Job Summary:** 
 Join our customer’s team as an AI/ML Engineer, where you will help build and deploy next\-generation AI solutions for critical government and enterprise applications. In this dynamic, hybrid role, you’ll harness advanced large language models (LLMs), retrieval\-augmented generation (RAG), and multi\-agent orchestration to deliver secure, scalable, and impactful machine learning systems. You’ll work closely with cross\-functional experts, leveraging frontier AI platforms and the latest in agentic AI tooling.
**Key Responsibilities:** 
* Design, implement, and optimize AI/ML models, particularly leveraging LLMs, RAG, and prompt engineering for production\-grade applications.
* Develop and orchestrate multi\-agent systems using frameworks such as LangGraph and LangChain.
* Integrate and deploy solutions on secure cloud environments, including AWS GovCloud, Google GovCloud, Azure IL5\+, Vertex AI, and AWS Bedrock.
* Build robust data pipelines, manage ETL processes, and develop metadata catalogs and ontologies to ensure high\-quality data for AI training and inference.
* Create and maintain REST APIs and SDK integrations to facilitate seamless data and model interactions.
* Collaborate with product, security, and engineering teams to ensure best\-in\-class delivery, following secure coding and DevOps best practices (CI/CD).
* Document technical decisions and communicate complex concepts clearly to both technical and non\-technical stakeholders.
**Required Skills and Qualifications:** 
* Proficiency in Python for AI/ML development, including experience with REST APIs and SDK integration.
* Hands\-on experience with LLMs, RAG systems, and prompt engineering in production environments.
* Familiarity with multi\-agent orchestration, tool use, and frameworks like LangGraph and LangChain.
* Deep understanding of cloud AI services (AWS GovCloud, Google GovCloud, Azure IL5\+, Vertex AI, AWS Bedrock).
* Background in building and maintaining data pipelines, ontologies, metadata catalogs, and ETL processes.
* Strong grasp of secure coding and modern DevOps practices (CI/CD pipelines).
* Exceptional written and verbal communication skills for effective collaboration and documentation.
**Preferred Qualifications:** 
* Experience with AI/agentic platforms, such as Anthropic for Gov, OpenAI Enterprise, Gemini Enterprise, or Grok Enterprise.
* Knowledge of metadata catalog platforms (MCP) and advanced API development techniques.
* Prior exposure to government or highly regulated cloud environments and compliance standards.</t>
        </is>
      </c>
    </row>
    <row r="43">
      <c r="A43" t="inlineStr">
        <is>
          <t>li-4368667301</t>
        </is>
      </c>
      <c r="B43" t="inlineStr">
        <is>
          <t>AI Engineer</t>
        </is>
      </c>
      <c r="C43" t="inlineStr">
        <is>
          <t>Best Job Tool</t>
        </is>
      </c>
      <c r="D43" t="inlineStr">
        <is>
          <t>linkedin</t>
        </is>
      </c>
      <c r="E43" t="inlineStr"/>
      <c r="F43" t="inlineStr"/>
      <c r="G43" t="inlineStr"/>
      <c r="H43" t="inlineStr"/>
      <c r="I43" t="inlineStr">
        <is>
          <t>**About The Company**
 Cognizant is a leading global technology services company dedicated to helping clients modernize their technology, reimagine their business, and accelerate their digital transformation journeys. With a strong presence across multiple industries including banking, healthcare, retail, and manufacturing, Cognizant leverages innovative solutions and cutting\-edge technologies to deliver measurable business value. The company is committed to fostering a collaborative and inclusive work environment where employees are empowered to grow their skills and contribute to impactful projects that shape the future of digital enterprise.
**About The Role**
 The role at Cognizant offers an exciting opportunity for professionals to be part of a dynamic team focused on delivering high\-quality technology solutions to clients worldwide. As a key contributor, you will be responsible for analyzing client requirements, designing scalable solutions, and implementing innovative systems that enhance operational efficiency. This position requires a proactive approach, strong technical expertise, and excellent communication skills to collaborate effectively with cross\-functional teams and stakeholders. The role also involves participating in continuous improvement initiatives and staying updated with the latest industry trends and emerging technologies to provide clients with forward\-thinking solutions.
**Qualifications**
 The ideal candidate should possess a bachelor’s degree in Computer Science, Information Technology, Engineering, or a related field. Relevant certifications such as PMP, AWS, Azure, or other industry\-recognized credentials are preferred. Candidates should have a proven track record of at least 3\-5 years in technology consulting, software development, or related roles. Strong analytical and problem\-solving skills are essential, along with proficiency in programming languages, cloud platforms, and enterprise software solutions. Excellent interpersonal and communication skills are required to effectively liaise with clients and team members. A demonstrated ability to work in a fast\-paced environment and adapt to changing project requirements is highly valued.
**Responsibilities**
* Analyze client requirements and develop comprehensive technical solutions tailored to their business needs.
* Design, develop, and deploy scalable and secure software applications and systems.
* Collaborate with cross\-functional teams to ensure seamless integration of solutions and adherence to best practices.
* Participate in project planning, execution, and monitoring to ensure timely delivery of high\-quality deliverables.
* Provide technical guidance and mentorship to junior team members.
* Maintain up\-to\-date knowledge of industry trends, emerging technologies, and regulatory requirements.
* Engage with clients to gather feedback, provide updates, and ensure satisfaction with delivered solutions.
* Support troubleshooting and resolve technical issues promptly to minimize project disruptions.
* Contribute to the continuous improvement of internal processes and methodologies.
**Benefits**
 Cognizant offers a competitive benefits package designed to support the well\-being and professional growth of its employees. Benefits include comprehensive health insurance coverage, retirement savings plans, paid time off, and flexible work arrangements. The company promotes a culture of learning and development through training programs, certifications, and career advancement opportunities. Employees also enjoy access to wellness programs, employee assistance programs, and various employee engagement activities aimed at fostering a positive and inclusive workplace environment. Cognizant values work\-life balance and encourages employees to maintain a healthy and productive lifestyle.
 Equal Opportunity
 Cognizant is an equal opportunity employer committed to fostering an inclusive environment for all employees. We do not discriminate based on race, color, religion, gender, sexual orientation, gender identity or expression, age, national origin, disability, veteran status, or any other protected characteristic. We believe diversity enriches our workplace and drives innovation. All qualified applicants will receive consideration for employment without regard to any protected status. We are dedicated to creating a workplace where everyone feels valued, respected, and empowered to succeed.</t>
        </is>
      </c>
    </row>
    <row r="44">
      <c r="A44" t="inlineStr">
        <is>
          <t>li-4357716544</t>
        </is>
      </c>
      <c r="B44" t="inlineStr">
        <is>
          <t>AI Engineer</t>
        </is>
      </c>
      <c r="C44" t="inlineStr">
        <is>
          <t>Infosys</t>
        </is>
      </c>
      <c r="D44" t="inlineStr">
        <is>
          <t>linkedin</t>
        </is>
      </c>
      <c r="E44" t="inlineStr"/>
      <c r="F44" t="inlineStr"/>
      <c r="G44" t="inlineStr">
        <is>
          <t>Bridgewater, NJ</t>
        </is>
      </c>
      <c r="H44" t="inlineStr"/>
      <c r="I44" t="inlineStr">
        <is>
          <t>**Infosys Limited is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Candidate must be located within commuting distance of Bridgewater, NJ or be willing to relocate to the area.
* At least 2 years of experience in Information Technology
* Proficiency in Python, SQL, and machine learning frameworks such as scikit\-learn, TensorFlow, or PyTorch, NLP
* Candidates authorized to work for any employer in the United States without employer\-based visa sponsorship are welcome to apply. Infosys is unable to provide immigration sponsorship for this role at this time
**Preferred Qualifications**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45">
      <c r="A45" t="inlineStr">
        <is>
          <t>li-4357588557</t>
        </is>
      </c>
      <c r="B45" t="inlineStr">
        <is>
          <t>AI Engineer</t>
        </is>
      </c>
      <c r="C45" t="inlineStr">
        <is>
          <t>Avesta Computer Services</t>
        </is>
      </c>
      <c r="D45" t="inlineStr">
        <is>
          <t>linkedin</t>
        </is>
      </c>
      <c r="E45" t="inlineStr"/>
      <c r="F45" t="inlineStr"/>
      <c r="G45" t="inlineStr">
        <is>
          <t>Fremont, CA</t>
        </is>
      </c>
      <c r="H45" t="inlineStr"/>
      <c r="I45" t="inlineStr">
        <is>
          <t>**Customer** 
 \- Our customer offers an enterprise grade, Agentic\-AI solution/platform to help customers de\-risk, optimize and rationalize their entire application portfolio, based on deep actionable insights.
**Job Title** 
 \-
 **AI Engineer** 
**Location** 
 \- Fremont, California, United States
**Type** 
 \- Fulltime
**H1 Sponsorship is available** 
 As an
 **AI Engineer** 
 , you’ll help build the next generation of
 **intelligent Agents** 
 that power this platform — autonomous systems that reason, collaborate, and deliver actionable insights across complex enterprise environments. You’ll work at the frontier of applied AI — blending model engineering, orchestration, and product thinking to make AI truly useful and reliable in enterprise contexts.
**What You’ll Do** 
* Design, build, and scale intelligent
 **multi\-agent systems** 
 that can autonomously perform complex reasoning, analysis, and decision\-support tasks.
* Architect and optimize
 **AI workflows** 
 that combine LLMs, tools, and retrieval mechanisms into reliable, explainable, and repeatable outcomes.
* Develop
 **evaluation and control frameworks** 
 to ensure agent accuracy, traceability, and performance in dynamic enterprise settings.
* Collaborate closely with product, engineering, and customer teams to translate business problems into scalable AI capabilities.
* Continuously refine agent behavior and orchestration through experimentation, system\-level tuning, and real\-world feedback.
**Who You Are** 
* 3–6 years of experience in applied AI, machine learning, or software systems engineering.
* **Hands\-on experience with LLM frameworks and agentic architectures (LangChain, LlamaIndex, AutoGen, or similar).**
* Strong software fundamentals in Python, APIs, and data handling — you can design systems, not just models.
* Deep curiosity about how AI can simulate reasoning, collaboration, and autonomy within real business ecosystems.
* Thrive in high\-context, high\-velocity environments where your work shapes the core intelligence of the company</t>
        </is>
      </c>
    </row>
    <row r="46">
      <c r="A46" t="inlineStr">
        <is>
          <t>li-4368811613</t>
        </is>
      </c>
      <c r="B46" t="inlineStr">
        <is>
          <t>AI Engineer</t>
        </is>
      </c>
      <c r="C46" t="inlineStr">
        <is>
          <t>TalentAlly</t>
        </is>
      </c>
      <c r="D46" t="inlineStr">
        <is>
          <t>linkedin</t>
        </is>
      </c>
      <c r="E46" t="inlineStr"/>
      <c r="F46" t="inlineStr"/>
      <c r="G46" t="inlineStr"/>
      <c r="H46" t="inlineStr"/>
      <c r="I46" t="inlineStr">
        <is>
          <t>Accenture Flex offers you the flexibility of local fixed\-duration project\-based work powered by Accenture, a leading global professional services company. Accenture is consistently recognized on FORTUNE's 100 Best Companies to Work For and Diversity Inc's Top 50 Companies For Diversity lists.
 As an Accenture Flex employee, you will apply your skills and experience to help drive business transformation for leading organizations and communities. In addition to delivering innovative solutions for Accenture's clients, you will work with a highly skilled, diverse network of people across Accenture businesses who are using the latest emerging technologies to address today's biggest business challenges.
 You will receive competitive rewards and access to benefits programs and world\-class learning resources. Accenture Flex employees work in their local metro area onsite at the project, significantly reducing and/or eliminating the demands to travel.
 Key Responsibilities:
* We are seeking highly skilled professionals to lead the design and implementation of advanced Generative AI and Agentic AI solutions.
* The ideal candidate will have hands\-on experience with Semantic Kernel, Azure AI Foundry, and modern AI orchestration frameworks to build intelligent, autonomous agents that integrate seamlessly with enterprise systems.
* Architect and develop agentic AI workflows leveraging Semantic Kernel for prompt engineering, memory, and skill orchestration.
* Build and deploy AI agents using Azure AI Foundry, integrating multi\-modal models and tools.
* Design scalable solutions for Retrieval\-Augmented Generation (RAG), Graph RAG, and knowledge\-grounded AI.
* Collaborate with cross\-functional teams to embed AI capabilities into applications and cloud platforms.
* Ensure security, compliance, and performance optimization of AI solutions.
 Basic Qualifications:
* 5\+ years in AI/ML development, with at least 2\+ years in Generative AI and agentic systems
* Expertise in Semantic Kernel (skills, planners, connectors) and Azure AI Foundry (agents, orchestration)
* Strong proficiency in Python/C\# , REST APIs, and cloud\-native architectures
* Experience with LLM fine\-tuning , prompt engineering , and tool integration
* Familiarity with AppSec and secure AI deployment practices
* High School Diploma or GED
 Preferred Qualifications:
* Knowledge of Azure OpenAI , LangChain , or similar frameworks
* Experience in enterprise AI adoption and MLOps
 Compensation at Accenture varies depending on a wide array of factors, which may include but are not limited to the specific office location, role, skill set, and level of experience. As required by local law, Accenture provides a reasonable range of compensation for roles that may be hired as set forth below.
 We accept applications on an on\-going basis and there is no fixed deadline to apply.
 Information on benefits is here. (\#block\-section\-total\-rewards)
 Role Location
 California \- $66\.00 \- $76\.00/hour
 Cleveland \- $66\.00 \- $76\.00/hour
 Colorado \- $66\.00 \- $76\.00/hour
 District of Columbia \- $66\.00 \- $76\.00/hour
 Illinois \- $66\.00 \- $76\.00/hour
 Maryland \- $66\.00 \- $76\.00/hour
 Massachusetts \- $66\.00 \- $76\.00/hour
 Minnesota \- $66\.00 \- $76\.00/hour
 New Jersey/New York \- $66\.00 \- $76\.00/hour
 Washington \- $66\.00 \- $76\.00/hour
 Requesting an Accommodation
 Accenture is committed to providing equal employment opportunities for persons with disabilities or religious observances, including reasonable accommodation when needed. If you are hired by Accenture and require accommodation to perform the essential functions of your role, you will be asked to participate in our reasonable accommodation process. Accommodations made to facilitate the recruiting process are not a guarantee of future or continued accommodations once hired.
 If you would like to be considered for employment opportunities with Accenture and have accommodation needs such as for a disability or religious observance, please call us toll free at 1 (877\) 889\-9009 or send us an email or speak with your recruiter.
 Equal Employment Opportunity Statement
 We believe that no one should be discriminated against because of their differences.?All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law.?Our rich diversity makes us more innovative, more competitive, and more creative, which helps us better serve our clients and our communities.
 For details, view a copy of the?Accenture Equal Opportunity Statement (.pdf\#zoom\=50\)
 Accenture is an EEO and Affirmative Action Employer of Veterans/Individuals with Disabilities.
 Accenture is committed to providing veteran employment opportunities to our service men and women.
 Other Employment Statements
 Applicants for employment in the US must have work authorization that does not now or in the future require sponsorship of a visa for employment authorization in the United States.
 Candidates who are currently employed by a client of Accenture or an affiliated Accenture business may not be eligible for consideration.
 Job candidates will not be obligated to disclose sealed or expunged records of conviction or arrest as part of the hiring process. Further, at Accenture a criminal conviction history is not an absolute bar to employment.
 The Company will not discharge or in any other manner discriminate against employees or applicants because they have inquired about, discussed, or disclosed their own pay or the pay of another employee or applicant. Additionally,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Company's legal duty to furnish information.
 California requires additional notifications for applicants and employees. If you are a California resident, live in or plan to work from Los Angeles County upon being hired for this position, please click here for additional important information.
 Please read Accenture's Recruiting and Hiring Statement for more information on how we process your data during the Recruiting and Hiring process.
 PDN\-a0fd3753\-17ce\-4b58\-b86a\-4247efa289dd</t>
        </is>
      </c>
    </row>
    <row r="47">
      <c r="A47" t="inlineStr">
        <is>
          <t>li-4352810891</t>
        </is>
      </c>
      <c r="B47" t="inlineStr">
        <is>
          <t>Senior AI Engineer</t>
        </is>
      </c>
      <c r="C47" t="inlineStr">
        <is>
          <t>Milliman</t>
        </is>
      </c>
      <c r="D47" t="inlineStr">
        <is>
          <t>linkedin</t>
        </is>
      </c>
      <c r="E47" t="inlineStr"/>
      <c r="F47" t="inlineStr"/>
      <c r="G47" t="inlineStr">
        <is>
          <t>Atlanta, GA</t>
        </is>
      </c>
      <c r="H47" t="inlineStr"/>
      <c r="I47" t="inlineStr">
        <is>
          <t>**Company Overview**
 Leading with our core values of Quality, Integrity, and Opportunity, MedInsight is one of the healthcare industry’s most trusted solutions for healthcare intelligence. Our company purpose is to empower easy, data\-driven decision\-making on important healthcare questions. Through our products, education, and services, MedInsight is making an impact on healthcare by helping to drive better outcomes for patients while reducing waste. Over 300 leading healthcare organizations have come to rely on MedInsight analytic solutions for healthcare cost and care management. MedInsight has been ranked \#1 for Payer Quality Analytics by clients for the last three years in the Best in KLAS report.
 MedInsight is a subsidiary of Milliman; a global, employee\-owned consultancy providing actuarial consulting, retirement funding and healthcare financing, enterprise risk management and regulatory compliance, data analytics and business transformation as well as a range of other consulting and technology solutions.
**Position Summary**
 We’re seeking a Senior AI Engineer with deep expertise in healthcare claims and machine learning to design, build, and deploy production\-grade AI systems. You’ll work across platform engineering, data science, product, and clinical teams to create solutions that improve healthcare quality, risk adjustment, and population health insights. This role blends traditional ML, MLOps, and generative AI (Gen AI) to drive impactful analytics products.
**What You’ll Work On**
* MIKE (MedInsight Knowledge Engine): AI\-assistant for healthcare analytics
* Data Confidence Model (DCM): AI\-enhanced data validation and quality assurance
* Risk Adjustment AI: HCC recapture, risk scoring automation and predictive modeling
* Claims Analytics AI: Pattern recognition, fraud detection, and utilization forecasting
* Population Health Models: Member segmentation, risk stratification, and predictive analytics
* Healthcare NLP: Clinical coding, documentation improvement, and insights extraction
* Lakehouse AI Integration: Embedding AI across our healthcare data platform
**Primary Responsibilities**
* Design, build, and deploy production ML models and MLOps pipelines
* Engineer feature\-rich solutions for healthcare claims, risk prediction, and population health
* Implement scalable inference systems with proper validation, monitoring, and performance tracking
* Strategically integrate LLMs and Gen AI into analytics products, building RAG systems and conversational interfaces
* Collaborate with engineering, product, and clinical teams to translate business needs into AI solutions
* Ensure models meet clinical accuracy, regulatory compliance, and business credibility
* Contribute to ML strategy, tooling, and best practices across teams
**Requirements**
**Machine Learning \&amp; AI Expertise**
* 5\+ years of ML engineering experience with production deployments
* Strong Python skills; familiarity with scikit\-learn, XGBoost, PyTorch, TensorFlow
* Experience with supervised/unsupervised learning, feature engineering, model evaluation, and MLOps
* Cloud ML platform experience (Azure ML, Databricks, SageMaker) and containerization (Docker/Kubernetes)
* Knowledge of generative AI, LLMs, prompt engineering, and RAG systems
**Healthcare Analytics Experience**
* 3\+ years working with healthcare claims data (medical, pharmacy, eligibility)
* Experience with population health analytics, risk adjustment (CMS\-HCC, HHS\-HCC), and quality measures
* Familiarity with actuarial forecasting, cost trending, and healthcare operations
**Collaboration \&amp; Communication**
* Strong cross\-functional collaboration skills, able to work with engineers, product managers, and clinical experts
* Able to translate technical concepts for non\-technical stakeholders
* Ownership mentality: seeing initiatives from concept to production
**Preferred Qualifications**
* Advanced degree (MS/PhD) in Computer Science, Statistics, Applied Math, or related field
* Experience with healthcare analytics platforms (MedInsight, HealthEdge, Cotiviti)
* Knowledge of HEDIS, Star Ratings, and quality improvement programs
* Clinical NLP or medical coding experience
* HIPAA compliance and healthcare data security knowledge
**Technical Environment**
* Languages: Python, SQL, PySpark
* ML Engineering: scikit\-learn, XGBoost, PyTorch, TensorFlow, MLflow, Optuna
* Gen AI: LangChain, OpenAI API, Azure OpenAI, HuggingFace, vector databases
* Data Platforms: Azure Databricks, Azure Data Lake, PostgreSQL, Delta Lake
* Cloud \&amp; MLOps: Azure ML, Azure DevOps, Docker, Kubernetes, CI/CD pipelines
* Analytics: PowerBI, Jupyter, VS Code, Git
**Location**
 This role can be located remotely within the United States. The expected application deadline for this job is February 28, 2026\.
**Compensation**
 The overall salary range for this role is $104,900 \- $199,065\.
**For Candidates Residing In**
* Alaska, California, Connecticut, Illinois, Maryland, Massachusetts, New Jersey, New York City,
 Pennsylvania, Virginia, Washington, or the District of Columbia the salary range is $120,635 \- $199,065\.
* All other locations the salary range is $104,900 \- 173,100\.
 A combination of factors will be considered, including, but not limited to, education, relevant work experience, qualifications, skills, certifications, etc.
**What makes this a great opportunity?**
* Work for a company that values your wellbeing and professional growth, offering a flexible work environment, generous benefits package, and investment in the development of your career
* Join an innovative, high growth company with a solid industry track record and opportunities to grow your position within the organization
* Bring your expertise and ideas to directly impact and help build the next generation of MedInsight products and solutions
**Benefits**
 We offer a comprehensive benefits package designed to support employees’ health, financial security, and well\-being. Benefits include:
* Medical, Dental and Vision – Coverage for employees, dependents, and domestic partners.
* Employee Assistance Program (EAP) – Confidential support for personal and work\-related challenges.
* 401(k) Plan – Includes a company matching program and profit\-sharing contributions.
* Discretionary Bonus Program – Recognizing employee contributions.
* Flexible Spending Accounts (FSA) – Pre\-tax savings for dependent care, transportation, and eligible medical expenses.
* Paid Time Off (PTO) – Begins accruing on the first day of work. Full\-time employees accrue 15 days per year, and employees working less than full\-time accrue PTO on a prorated basis.
* Holidays – A minimum of 10 paid holidays per year.
* Family Building Benefits – Includes adoption and fertility assistance.
* Paid Parental Leave – Up to 12 weeks of paid leave for employees who meet eligibility criteria.
* Life Insurance \&amp; AD\&amp;D – 100% of premiums covered by Milliman.
* Short\-Term and Long\-Term Disability – Fully paid by Milliman.
**Equal Opportunity**
 All qualified applicants will receive consideration for employment without regard to race, color, religion, sex, sexual orientation, national origin, disability, or status as a protected veteran.</t>
        </is>
      </c>
    </row>
    <row r="48">
      <c r="A48" t="inlineStr">
        <is>
          <t>li-4368651242</t>
        </is>
      </c>
      <c r="B48" t="inlineStr">
        <is>
          <t>Machine Learning Engineer</t>
        </is>
      </c>
      <c r="C48" t="inlineStr">
        <is>
          <t>Capital One</t>
        </is>
      </c>
      <c r="D48" t="inlineStr">
        <is>
          <t>linkedin</t>
        </is>
      </c>
      <c r="E48" t="inlineStr"/>
      <c r="F48" t="inlineStr"/>
      <c r="G48" t="inlineStr">
        <is>
          <t>McLean, VA</t>
        </is>
      </c>
      <c r="H48" t="inlineStr"/>
      <c r="I48"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2 years of experience designing and building data\-intensive solutions using distributed computing (Internship experience does not apply)
* At least 2 years of experience programming with Python, Scala, or Java
* At least 1 year of Machine Learning experience with an industry recognized ML framework (scikit\-learn, PyTorch, Dask, Spark, or TensorFlow)
****Preferred Qualifications:****
* Experience developing and deploying ML solutions in a public cloud such as AWS, Azure, or Google Cloud Platform
* 1\+ years of experience working with large code bases in a team environment
* 1\+ years of experience with distributed file systems or multi\-node database paradigms
* Contributed to open source ML software
* 1\+ years of experience building production\-ready data pipelines that feed ML models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Machine Learning Engineer
 Richmond, VA: $123,300 \- $140,700 for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9">
      <c r="A49" t="inlineStr">
        <is>
          <t>li-4368802676</t>
        </is>
      </c>
      <c r="B49" t="inlineStr">
        <is>
          <t>Senior Machine Learning Engineer (Modeling), Bitcoin Risk</t>
        </is>
      </c>
      <c r="C49" t="inlineStr">
        <is>
          <t>Block</t>
        </is>
      </c>
      <c r="D49" t="inlineStr">
        <is>
          <t>linkedin</t>
        </is>
      </c>
      <c r="E49" t="inlineStr"/>
      <c r="F49" t="inlineStr"/>
      <c r="G49" t="inlineStr">
        <is>
          <t>San Francisco, CA</t>
        </is>
      </c>
      <c r="H49" t="inlineStr"/>
      <c r="I49" t="inlineStr">
        <is>
          <t>**About The Team**
 We’re looking for an experienced Machine Learning Engineer to join our Risk Modeling team, focused on Bitcoin products. This team is responsible for detecting and responding to fraudulent and illicit Bitcoin activity across Cash App and Square.
 In this role, you’ll serve as the DRI for Bitcoin risk modeling—building end\-to\-end strategy, model development, and execution across Block’s Bitcoin ecosystem. You’ll operate with a high degree of autonomy, partnering closely with Product, Engineering, and Compliance to shape how risk and compliance controls scale as we launch new Bitcoin products.
**You Will**
* Partner with product, engineering, data science, policy, and operations to design and productionize ML\-driven risk solutions at scale
* Own end\-to\-end machine learning systems — from problem definition and modeling to deployment, monitoring, and iteration
* Lead technical decision\-making within your workstreams and influence ML strategy and planning
* Build tooling and processes that improve the speed, reliability, and impact of the ML development lifecycle
* Apply modeling techniques and third\-party data sources to improve detection and decision\-making
* Investigate emerging fraud, abuse, and risk patterns to proactively inform product safeguards and policy
* Collaborate closely with ML platform and engineering teams to ensure models operate reliably in real time and at scale
* Mentor teammates and contribute to an inclusive engineering culture
**You Have**
* 7\+ years of industry experience in machine learning, applied AI, or related fields
* Bachelor’s degree in a quantitative field (Computer Science, Engineering, Statistics, Physics, Applied Math); Master’s or PhD preferred
* Prior experience with Bitcoin or crypto is helpful, but not required
* Proven experience independently designing, deploying, and maintaining ML solutions in production
* Experience influencing technical direction and collaborating with cross\-functional partners at scale
* Strong communication skills, sound judgment, and an ownership mindset
* Curiosity and alignment with Block’s mission of economic empowerment
**Technologies We Use and Teach**
* Python (NumPy, Pandas, scikit\-learn, XGBoost, PyTorch, TensorFlow/Keras)
* PySpark, MLflow, workflow orchestration tools (Airflow, Prefect)
* GCP (Vertex AI), AWS
* Snowflake, MySQL, Tableau, Mode
* Containerization, CI/CD, and production ML best practices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$189,000—$283,600 USD
**Zone B**
 $179,600—$269,400 USD
**Zone C**
 $170,100—$255,100 USD
**Zone D**
 $160,700—$241,100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50">
      <c r="A50" t="inlineStr">
        <is>
          <t>li-4328764200</t>
        </is>
      </c>
      <c r="B50" t="inlineStr">
        <is>
          <t>Applied AI Engineer - Full Stack</t>
        </is>
      </c>
      <c r="C50" t="inlineStr">
        <is>
          <t>Perplexity</t>
        </is>
      </c>
      <c r="D50" t="inlineStr">
        <is>
          <t>linkedin</t>
        </is>
      </c>
      <c r="E50" t="inlineStr"/>
      <c r="F50" t="inlineStr"/>
      <c r="G50" t="inlineStr">
        <is>
          <t>San Francisco, CA</t>
        </is>
      </c>
      <c r="H50" t="inlineStr"/>
      <c r="I50" t="inlineStr">
        <is>
          <t>Perplexity is seeking full stack applied AI engineers to revolutionize the way people search and interact with information online by building next generation AI products and frontier models. In this role, you'll build scalable and innovative E2E solutions which powers Perplexity’s wide span of AI applications, including discovery, research agents, eval platforms, monetization and integration with different 3rd party and Sonar LLMs.
**Responsibilities**
* Design and deliver scalable, end\-to\-end AI features that power core user experiences such as discovery, deep research, and monetization across Perplexity’s products.
* Build and evolve full stack systems that integrate multiple third\-party and in\-house Sonar models, ensuring seamless orchestration, robustness, and observability in production.
* Develop and maintain evaluation and experimentation platforms to measure answer quality, model performance, and product impact, supporting both online and offline workflows.
* Collaborate closely with research, product, design, and infra teams to translate frontier model capabilities into shipped user\-facing features and internal tools.
* Continuously improve performance, reliability, and cost efficiency of AI\-powered applications through thoughtful system design, instrumentation, and iteration.
**Qualifications**
* Hands\-on experience building production AI or agentic applications end to end, including tool calling, context engineering, and integration with modern LLM APIs.
* Strong backend and systems design skills, with a track record of making practical tradeoffs between cost, latency, reliability, and quality in real\-world systems.
* Proficiency with modern web or product stacks (e.g., Python plus a frontend framework) and comfort working across the stack from data and infra to UI.
* Self\-directed and high agency, with 4\+ years of industry experience in software or AI engineering and a bias toward shipping impactful product work.
 Compensation Range: $210K \- $385K</t>
        </is>
      </c>
    </row>
    <row r="51">
      <c r="A51" t="inlineStr">
        <is>
          <t>li-4368273117</t>
        </is>
      </c>
      <c r="B51" t="inlineStr">
        <is>
          <t>AI Engineer</t>
        </is>
      </c>
      <c r="C51" t="inlineStr">
        <is>
          <t>Haystack</t>
        </is>
      </c>
      <c r="D51" t="inlineStr">
        <is>
          <t>linkedin</t>
        </is>
      </c>
      <c r="E51" t="inlineStr"/>
      <c r="F51" t="inlineStr"/>
      <c r="G51" t="inlineStr"/>
      <c r="H51" t="inlineStr"/>
      <c r="I51" t="inlineStr">
        <is>
          <t>**GenAI Cloud Engineer \| Remote \| $69,550 \- $125,725** 
 We're working with Leidos on this exciting opportunity.
 Are you an early\-career GenAI Contact Center Engineer ready to make an impact? Join Leidos and design, secure, and automate an AWS contact center platform leveraging cutting\-edge technologies like Amazon Connect, Lex V2, Amazon Q, Bedrock, OpenSearch, and Python\-based Lambda functions. This is your chance to shape the future of customer experience with generative AI!
**The Role** 
 • Design and implement Amazon Connect contact center infrastructure, managing agent operations and security profiles.
 • Optimize agent and customer experiences by continuously improving the Contact Control Panel, analyzing post\-contact analytics with Contact Lens, and integrating Lex V2 capabilities.
 • Develop internal proficiency using OpenSearch for self\-service troubleshooting and knowledge management, and build operational dashboards with cloud\-native tools.
 • Build and develop advanced AI capabilities using Python\-based Lambda functions, integrating with AWS Bedrock, and securely managing AI models and datasets.
**What You'll Need** 
 • Bachelor’s degree in Computer Science or related field with 3\+ years, or 7\+ years of relevant experience.
 • 2\+ years hands\-on experience designing, configuring, and operating Amazon Connect contact centers.
 • Expertise in troubleshooting WebRTC audio quality issues and network diagnostics (DNS, TLS, TURN/STUN).
 • Strong programming aptitude in Python for Lambda functions, AI development, and cloud\-based APIs.
 • Ability to obtain a Public Trust clearance.
**What's On Offer** 
 • Be part of a dynamic team at the forefront of generative AI and cloud technology.
 • Contribute to mission\-critical projects that outthink, outbuild, and outpace the status quo.
 • Comprehensive compensation package including competitive salary, health benefits, and retirement plans.
 • Opportunities for continuous learning and professional development in a supportive environment.
**Apply via Haystack today!**</t>
        </is>
      </c>
    </row>
    <row r="52">
      <c r="A52" t="inlineStr">
        <is>
          <t>li-4368645283</t>
        </is>
      </c>
      <c r="B52" t="inlineStr">
        <is>
          <t>Machine Learning Engineer</t>
        </is>
      </c>
      <c r="C52" t="inlineStr">
        <is>
          <t>Capital One</t>
        </is>
      </c>
      <c r="D52" t="inlineStr">
        <is>
          <t>linkedin</t>
        </is>
      </c>
      <c r="E52" t="inlineStr"/>
      <c r="F52" t="inlineStr"/>
      <c r="G52" t="inlineStr">
        <is>
          <t>Richmond, VA</t>
        </is>
      </c>
      <c r="H52" t="inlineStr"/>
      <c r="I52" t="inlineStr">
        <is>
          <t>As a Capital One Machine Learning Engineer (MLE), you'll be part of an Agile team dedicated to productionizing machine learning applications and systems at scale. You’ll participate in the detailed technical design, development, and implementation of machine learning applications using existing and emerging technology platforms. You’ll focus on machine learning architectural design, develop and review model and application code, and ensure high availability and performance of our machine learning applications. You'll have the opportunity to continuously learn and apply the latest innovations and best practices in machine learning engineering.
****What you’ll do in the role:****
 The MLE role overlaps with many disciplines, such as Ops, Modeling, and Data Engineering. In this role, you'll be expected to perform many ML engineering activities, including one or more of the following:
* Design, build, and/or deliver ML models and components that solve real\-world business problems, while working in collaboration with the Product and Data Science teams.
* Inform your ML infrastructure decisions using your understanding of ML modeling techniques and issues, including choice of model, data, and feature selection, model training, hyperparameter tuning, dimensionality, bias/variance, and validation).
* Solve complex problems by writing and testing application code, developing and validating ML models, and automating tests and deployment.
* Collaborate as part of a cross\-functional Agile team to create and enhance software that enables state\-of\-the\-art big data and ML applications.
* Retrain, maintain, and monitor models in production.
* Leverage or build cloud\-based architectures, technologies, and/or platforms to deliver optimized ML models at scale.
* Construct optimized data pipelines to feed ML models.
* Leverage continuous integration and continuous deployment best practices, including test automation and monitoring, to ensure successful deployment of ML models and application code.
* Ensure all code is well\-managed to reduce vulnerabilities, models are well\-governed from a risk perspective, and the ML follows best practices in Responsible and Explainable AI.
* Use programming languages like Python, Scala, or Java.
****Basic Qualifications:****
* Bachelor’s Degree
* At least 2 years of experience designing and building data\-intensive solutions using distributed computing (Internship experience does not apply)
* At least 2 years of experience programming with Python, Scala, or Java
* At least 1 year of Machine Learning experience with an industry recognized ML framework (scikit\-learn, PyTorch, Dask, Spark, or TensorFlow)
****Preferred Qualifications:****
* Experience developing and deploying ML solutions in a public cloud such as AWS, Azure, or Google Cloud Platform
* 1\+ years of experience working with large code bases in a team environment
* 1\+ years of experience with distributed file systems or multi\-node database paradigms
* Contributed to open source ML software
* 1\+ years of experience building production\-ready data pipelines that feed ML models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$135,600 \- $154,800 for Machine Learning Engineer
 Richmond, VA: $123,300 \- $140,700 for Machine Learning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3">
      <c r="A53" t="inlineStr">
        <is>
          <t>li-4325261404</t>
        </is>
      </c>
      <c r="B53" t="inlineStr">
        <is>
          <t>Senior AI Engineer</t>
        </is>
      </c>
      <c r="C53" t="inlineStr">
        <is>
          <t>Equifax</t>
        </is>
      </c>
      <c r="D53" t="inlineStr">
        <is>
          <t>linkedin</t>
        </is>
      </c>
      <c r="E53" t="inlineStr"/>
      <c r="F53" t="inlineStr"/>
      <c r="G53" t="inlineStr">
        <is>
          <t>Alpharetta, GA</t>
        </is>
      </c>
      <c r="H53" t="inlineStr"/>
      <c r="I53" t="inlineStr">
        <is>
          <t>We are looking for a driven AI Engineer to join our engineering team. In this role, you will focus on building, testing, and deploying autonomous AI agents and multi\-agent systems. You will bridge the gap between traditional software engineering and modern Generative AI, working to enable LLMs (Large Language Models) to interact with external tools, APIs, and data sources.
***To adhere to our corporate location policies, this resource will be required to be local to the surrounding Atlanta, GA . You are required to adhere to our Return To Office (RTO) / weekly onsite requirements (Tuesday, Wednesday, and Thursday).*
**What you’ll do****
* Agent Development \&amp; Testing: Perform development activities focused on AI Agents, including designing prompt chains, implementing tool\-calling logic (function calling), and conducting unit tests for stochastic AI outputs. Work on projects involving RAG (Retrieval\-Augmented Generation) and contribution to agent frameworks.
* Performance Optimization: Participate in the estimation process for AI features. Diagnose and resolve specific AI performance issues, such as latency in LLM responses, token usage optimization, and reducing hallucination rates in agentic workflows.
* Documentation \&amp; Knowledge Sharing: Document agent architectures, prompt templates, and "chains of thought" so that other developers can understand and iterate on the AI logic with minimal effort.
* Full\-Stack AI Integration: Develop and operate scalable AI applications from the backend logic (Python/LangChain) to the API layer, focusing on security (Guardrails) and operational excellence. Ensure agents can reliably execute tasks in a production environment.
* Modern AI Practices: Apply modern software and AI engineering practices, including LLMOps, evaluation pipelines (Evals), vector database management, and standard CI/CD/Infrastructure\-as\-code.
* System Integration: Work across teams to integrate AI Agents with existing internal systems, Data Fabric, and third\-party APIs to enable agents to perform "actions" rather than just generating text.
* Innovation \&amp; Agile: Participate in technology roadmap discussions to turn business requirements into functional autonomous agent solutions. Collaborate within a tight\-knit engineering team employing agile practices.
* Debugging \&amp; Triage: Triage product issues related to unpredictable model behavior. Debug, track, and resolve issues by analyzing traces (e.g., LangSmith, Arize) to understand the root cause of agent failures or loop errors.
* Implementation: Able to write, debug, and troubleshoot code in mainstream open\-source AI technologies (specifically Python). Lead efforts for Sprint deliverables and solve problems of medium complexity regarding context management and memory.
**What Experience You Need**
* Bachelor's degree or equivalent experience
* 5\-7 years of IT engineering experience
* Languages: Proficiency in Python is mandatory. Experience with JAVA is a plus.
* Frameworks: Familiarity with Agentic frameworks (e.g., ADK, LangChain, LangGraph).
* GenAI Fundamentals: Understanding of how LLMs work, including Context Windows, Temperature, Embeddings, and Vector Stores (e.g., Pinecone, Milvus, Weaviate).
* APIs: Experience building and consuming RESTful APIs (assistants interacting with software).
****What could set you apart****
* Prompt Engineering \&amp; Optimization: Advanced techniques (Chain\-of\-Thought, ReAct, Tree of Thoughts).
* Cognitive Architectures: Designing memory systems (short\-term vs. long\-term) for agents.
* AI Evaluation: Building automated test suites to grade agent performance.
* Systems Thinking: Understanding how non\-deterministic AI components fit into deterministic software systems.
* Agile Engineering Best Practices.</t>
        </is>
      </c>
    </row>
    <row r="54">
      <c r="A54" t="inlineStr">
        <is>
          <t>li-4344325251</t>
        </is>
      </c>
      <c r="B54" t="inlineStr">
        <is>
          <t>Senior Machine Learning Engineer</t>
        </is>
      </c>
      <c r="C54" t="inlineStr">
        <is>
          <t>CVS Health</t>
        </is>
      </c>
      <c r="D54" t="inlineStr">
        <is>
          <t>linkedin</t>
        </is>
      </c>
      <c r="E54" t="inlineStr"/>
      <c r="F54" t="inlineStr"/>
      <c r="G54" t="inlineStr">
        <is>
          <t>Wellesley Hills, MA</t>
        </is>
      </c>
      <c r="H54" t="inlineStr"/>
      <c r="I54" t="inlineStr">
        <is>
          <t>We’re building a world of health around every individual — shaping a more connected, convenient and compassionate health experience. At CVS Health®, you’ll be surrounded by passionate colleagues who care deeply, innovate with purpose, hold ourselves accountable and prioritize safety and quality in everything we do. Join us and be part of something bigger – helping to simplify health care one person, one family and one community at a time.
**About The Role**
 At CVS Health, we’re reshaping the future of CRM Marketing through AI\-driven optimization and decision\-making to better serve millions of customers nationwide. We’re looking for a
 **Senior Machine Learning Engineer** 
 to help build and scale the next generation of data science and AI products in the journey. In this role, you’ll leverage your engineering background and expertise in ML to work on complex technical problems, build new features, and improve existing products. Your solutions will impact tens of millions of customers, influencing how they manage their health and everyday purchases.
 Collaborating closely with data science, data engineering, marketing, operations, and other cross\-functional teams, you’ll architect, develop, deploy, and operationalize ML systems that transform first\-party data and measurement signals into reliable decision engines \- reducing cycle times, increasing impact, and enabling closed\-loop, in\-flight optimization. You will also continuously improve model deployment pipelines, strengthening ML infrastructure, and integrating emerging AI technologies into real business workflows.
 If you are excited by hard problems, large scale of data and systems, and shipping models that actually get used, this is the job.
**What You’ll Do**
* Architect, design, build, and test end to end pipelines leveraging artificial intelligence, machine learning, reinforcement learning to drive CRM Marketing optimization and automation including customer targeting, content recommendation, frequency optimization, propensity, uplift and LTV models etc.
* Implement CICD for ML including automated testing, model versioning, monitoring, and orchestration for models in production
* Lead the design of Agentic AI solutions to marketing workflow automation, optimize ML infrastructure, and guide the development of data preparation and model optimization strategies.
* Collaborate with Data Science, Engineering, and business teams to turn prototypes into production\-ready solutions that meet business needs and drive measurable outcomes
* Provide technical leadership on complex projects. Mentor other engineers and data scientists in best practices, code quality, and scalable architecture. Influence our ML and data roadmap.
**What We’re Looking For**
**Must\-Have**
* 5\+ years of hands\-on experience developing machine learning systems in production environment
* 5\+ years of Python programming experience. Familiarity with ML frameworks (e.g., PyTorch, TensorFlow) and MLOps platforms (e.g., Kubeflow, Vertex)
* 2\+ years of SQL experience working with large\-scale data (e.g., Snowflake, BigQuery)
* 2\+ years of leading design and architecture of new and existing system experience
* Strong background in one or more of the following: reinforcement learning, causal inference, LLM, MCP
* Experience as a mentor or tech lead
* Ability to work and influence cross\-functionally with strong communication skills
**Preferred**
* Proficiency with full\-stack framework (e.g, Node.js, React)
* Experience with real time scoring using tools like Spark, Kafka, Airflow
* Solid backend engineering skills in Python, including APIs and data modeling
* A/B testing and experimentation experience
**Education**
* Bachelor’s degree in Computer Science, Engineering, Math, Statistics, or related field (or equivalent experience)
* Master’s degree preferred
**Anticipated Weekly Hours**
 40
**Time Type**
 Full time
**Pay Range**
**The Typical Pay Range For This Role Is**
 $111,240\.00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02/22/2026
 Qualified applicants with arrest or conviction records will be considered for employment in accordance with all federal, state and local laws.</t>
        </is>
      </c>
    </row>
    <row r="55">
      <c r="A55" t="inlineStr">
        <is>
          <t>li-4354407723</t>
        </is>
      </c>
      <c r="B55" t="inlineStr">
        <is>
          <t>Senior AI Engineer</t>
        </is>
      </c>
      <c r="C55" t="inlineStr">
        <is>
          <t>Hilton</t>
        </is>
      </c>
      <c r="D55" t="inlineStr">
        <is>
          <t>linkedin</t>
        </is>
      </c>
      <c r="E55" t="inlineStr"/>
      <c r="F55" t="inlineStr"/>
      <c r="G55" t="inlineStr">
        <is>
          <t>McLean, VA</t>
        </is>
      </c>
      <c r="H55" t="inlineStr"/>
      <c r="I55" t="inlineStr">
        <is>
          <t>* This role is based at one of our corporate offices in McLean, VA, Dallas, TX or Memphis, TN\*\*\*
 This is your chance to be a part of an in\-house Technology team that's creating consumer\-facing, modern technologies revolutionizing the hospitality industry around the world! As a Senior AI Platform Engineer
 *,* 
 you will bring your technical skills to a hospitality company with an award\-winning culture. On the AI Platform team reporting to the Director Software Engineering AI Platform, you will support projects including AI stay planner, AI Agents and LLM integrations.
**How We Will Support You**
 Hilton is proud to support the mental and physical wellbeing of all Team Members so they can Thrive personally and professionally in a diverse and inclusive environment, thanks to programs and benefits such as:
* Go Hilton travel program: 110 nights of discounted travel with room rates as low as $40/night
* Hilton Shares: Our employee stock purchase program (ESPP) \- you can purchase Hilton shares at a 15 percent discount
* Paid parental leave for eligible Team Members, including partners and adoptive parents
* Mental health resources including free counseling through our Employee Assistance Program
* Paid Time Off (PTO)
* Learn more about the rest of our benefits
 At Hilton, we believe every Team Member is a leader. We are committed to offering leadership development opportunities and programs through every step of a Team Member’s career journey and at every level, both in our hotels and across corporate.
* Available benefits may vary depending upon terms and conditions of employment and are subject to the terms and conditions of the plans.
**How You Will Make An Impact**
 Your role is important and below are some of the fundamental job duties that make your work unique.
**What Your Day\-to\-day Will Be Like**
* Build API, MCP Servers, AI agents, and LLM Interactions using Python, FastAPI, LangChain, or Strands.
* Develop full stack web applications using React, TypeScript, Tailwind CSS, vitest, and TestingLibrary on the front end.
* Design and implement scalable cloud applications using AWS services such as S3, EKS, Elasticache, Bedrock, AgentCore and Guardrails
* Build observability using Datadog and Splunk.
**How You Will Collaborate With Others**
* Propose initial UI/UX concepts and flows and iterate based on feedback from Product and UX teams.
* Work with security and legal teams to evaluate AI Assistants and maintain them.
* Work with software engineering teams to adapt the tools to Hilton codebases by implementing custom instructions, custom agents and agent skills.
**What Deliverables You Will Take Ownership Of**
* Partner with delivery managers, software engineers and other team members to translate requirements into technical solutions, participating in sprint planning, design reviews, and architecture discussions
* Guide the implementation of AI agents for developer productivity and customer experience use cases, including designing API integrations, building evaluation pipelines, and establishing best practices for agent workflows.
* Production deployment, monitoring and support for AI and Agentic use cases.
**WHY YOU'LL BE A GREAT FIT**
**You Have These Minimum Qualifications**
* Three (3\) years of professional work experience in Technology or related field
* One (1\) year of work experience in Generative AI\-driven solutions
* You have a learning mindset and will become proficient in new technologies, based on the team's needs.
* This is a hybrid role and would require to be near one of our three US office locations (McLean, Dallas, or Memphis)
* Travel up to 5%
**It Would Be Useful If You Have**
* Bachelor's Degree, or Associate's Degree plus 5\+ years of Technology related experience, or High School Degree/GED plus 7\+ years of Technology related experience
* Proficiency in CI/CD tools (Jenkins, GitLab)
* Experience with a no\-sql databases such as elastic cache or open search.
**What It Is Like Working For Hilton**
 Hilton, the \#1 World's Best Workplace, is a leading global hospitality company with a diverse portfolio of world\-class brands. Dedicated to filling the earth with the light and warmth of hospitality, we have welcomed more than 3 billion guests in our more\-than 100\-year history. Hilton is proud to have an award\-winning workplace culture and we are consistently named among one of the World’s Best Workplaces. Check out the Hilton Careers blog and Instagram to learn more about what it’s like to be on Team Hilton!
 We provide reasonable accommodations to qualified persons with disabilities to perform the essential functions of the position and provide other benefits and privileges of employment in accordance with applicable law. Please contact us if you require an accommodation during the application process.
**Work Locations**
 Hilton \- Systems Solutions \- McLean
**Schedule**
 Full\-time
**Brand**
 Hilton Corporate
**Shift**
 Day Job
**Job Level**
 Team Member
**Job**
 Software Engineering</t>
        </is>
      </c>
    </row>
    <row r="56">
      <c r="A56" t="inlineStr">
        <is>
          <t>li-4321690945</t>
        </is>
      </c>
      <c r="B56" t="inlineStr">
        <is>
          <t>Sr/Staff AI Engineer (Remote - US)</t>
        </is>
      </c>
      <c r="C56" t="inlineStr">
        <is>
          <t>BNSF Railway</t>
        </is>
      </c>
      <c r="D56" t="inlineStr">
        <is>
          <t>linkedin</t>
        </is>
      </c>
      <c r="E56" t="inlineStr"/>
      <c r="F56" t="inlineStr"/>
      <c r="G56" t="inlineStr"/>
      <c r="H56" t="inlineStr"/>
      <c r="I56" t="inlineStr">
        <is>
          <t>**be part of a team that values safety, inclusion, and excellence**
 we are one of the largest U.S. railroads transporting the nation’s freight across 28 western states and 3 Canadian provinces. as a member of our team, you will play a role in supporting the movement of essential products and materials that help feed, clothe, supply, and power communities throughout America and the world.
**bnsf \| tech:** 
 innovating and transforming the future of freight rail
**bnsf \| tech** 
 is the technology division making BNSF the preeminent freight and mobility company in north america.
**are you ready to drive change?**
 if you are passionate about making a difference and eager to advance your career in a dynamic and supportive environment, we want you on our team! join us in reshaping the future of freight rail and discover a fulfilling career where your contributions matter.
 we are committed to a culture where all employees are included, belong, and have equal opportunity to achieve their full potential. Come make a difference with us!
**Benefits**
 learn more about BNSF and our Benefits
**Job Location:** 
 Remote US
**Anticipated Start Date:** 
 01/01/2026
 The US base salary range for this full\-time position is provided below:
**Salary Range:** 
 $165,000 \- $300,000
 The range represents the amount
 **bnsf \| tech** 
 reasonably expects to pay for the position based on the level, scope, and responsibilities of the role.  Individual compensation and level of position offered is determined by the hiring location and additional factors including but not limited to job\-related skills, experience, and relevant education or training. In addition to base pay and bonus eligibility, BNSF offers a comprehensive benefits package.
**This is a full\-time remote position** 
 . Employees may work from anywhere within the contiguous 48 states of the United States
**Travel is up to 20%** 
 . Employees will be required to occasionally travel to our corporate headquarters in Fort Worth, TX for in person meetings. Travel expenses for business needs will be covered by BNSF
 This position is open to candidates who are currently authorized to work in the United States. We are also open to sponsoring H\-1B transfers, TN nonimmigrant status, and STEM OPT candidates with at least 2 years of remaining eligibility.
 Apply early as this job may be removed or filled prior to the closing date, which is approximately seven (7\) days after the posting date.
**data \&amp; ai:** 
 lead our charge into the future as an ai company by transforming our data assets into a real time enterprise.
**Key Responsibilities May Include**
**AI Development and Implementation:**
**Assist** 
 in designing, developing, and implementing AI models and algorithms tailored to railroad operations, including predictive maintenance, scheduling, and safety monitoring.
**Build** 
 scalable AI systems to analyze real\-time data from rail infrastructure, rolling stock, and IoT devices.
**Data Collection And Analysis**
**Collect, preprocess, and clean** 
 data from various sources (e.g., sensors, GPS, maintenance logs) for training AI models.
**Conduct** 
 exploratory data analysis to identify trends and patterns relevant to rail operations.
**Build and Maintain** 
 Extract, Transform, Load (ETL) pipelines for AI applications.
**Optimization And Automation**
**Fine tune and optimize** 
 algorithms to streamline train scheduling, route planning, and fuel efficiency.
**Support** 
 the automation of operational processes and decision\-making using AI\-powered tools.
**System Integration And Deployment**
**Collaborate** 
 with software engineers and DevOps teams to integrate AI solutions into production environments.
**Ensure** 
 AI systems are robust, reliable, and compliant with railroad industry standards.
**Performance Monitoring And Improvement**
**Monitor** 
 deployed models and systems for performance, scalability, and accuracy, ensuring continuous improvement and reliability.
**Troubleshoot** 
 issues, retrain models, and implement necessary updates.
**Collaboration And Communication**
**Work closely** 
 with cross\-functional teams, including data scientists, software engineers, business analysts, to understand their needs and enable AI\-driven solutions.
**Communicate** 
 technical concepts and project updates to both technical and non\-technical stakeholders.
**Research And Innovation**
**Stay updated** 
 on emerging AI technologies and trends to identify opportunities for innovation in rail transportation.
**Conduct** 
 research and propose new methodologies for solving complex railroad challenges.
*The duties and responsibilities in this posting are representative categories to be used in deciding whether to apply for this position. This is not an exhaustive list of the position’s duties.*
 At BNSF Railway, we encourage individuals from all backgrounds to apply, showcasing their skills, experiences and development. We provide resources and tools to help you reach your full potential, fostering a supportive and inclusive environment.
**Basic Qualifications**
* Authorized to work in the US.
* Minimum 6 years experience in AI/ML development, data science, software engineering, or relevant experience.
* Technical Skills:
+ Strong in programming languages such as Python, R, or Java.
+ Experience with machine learning frameworks (e.g., TensorFlow, PyTorch, scikit\-learn) and deep learning architectures.
+ Familiarity with data engineering tools and platforms (e.g., Hadoop, Spark, EMS, AWS S3, PySpark, RDS, JupyterLab) and cloud services (AWS, Azure, Databricks) and open source environments
+ Strong knowledge of databases (SQL and NoSQL)
+ Strong knowledge of Mlops ecosystem
+ Strong understanding of generative AI models
+ Strong in Data Pipelines for GenAI (e.g., cleaning, chunking embeddings)
+ Strong in GenAI tools and frameworks (LangChain, LangGraph)
+ Strong in Vector Databases and embeddings
+ Familiar with Agentic architecture
* Analytical Skills: Ability to interpret complex datasets and derive actionable insights.
* Problem\-Solving: Proven ability to tackle real\-world challenges using AI and machine learning techniques.
* Communication: Excellent verbal and written communication skills for working with cross\-functional teams and stakeholders.
**Preferred Qualifications**
* Able to work now and in the future without BNSF’s assistance (whether monetary, through sponsorship, or otherwise) in obtaining, maintaining, or extending employment authorization (including H\-1B, STEM OPT/CPT, or TN nonimmigrant status).
* Bachelor's degree or higher in Computer Science, Artificial Intelligence, Data Science, Engineering, or a related field
* Experience with predictive maintenance, anomaly detection, or industrial IoT applications.
* Knowledge of railroad operations, transportation systems, or logistics.
* Familiarity with MLOps practices and tools for model lifecycle management.
* Experience deploying AI systems in production environments with a focus on scalability and reliability.
* Previous experience in transportation, supply chain, or infrastructure industries.
**At BNSF, you will have access to a comprehensive and competitive benefits package including:**
* An industry\-leading 401(k) and renowned Railroad Retirement program.
* A range of robust health care options for you and your dependents (including domestic partners), including medical, dental, vision, telemedicine, mental health, cancer support, and high\-quality care network options.
* Health care spending accounts (HSA) with employer contributions, as well as life and disability insurance, provided at no cost.
* Family benefits including parental, pediatric and family building support, adoption and surrogacy reimbursement, and dependent care spending account (with employer match).
* Access to discounts on travel, gym memberships, counseling services and wellness support.
* Annual bonus (Incentive Compensation Program)
* Generous leave / time off policies.
* For more information, visit Benefits.
 Please be aware of potential fraud that can occur when searching for new career opportunities. Please review our FAQ for more information and awareness.
 All positions require pre\-employment background verification.
 BNSF Railway is an Equal Opportunity Employer, all qualified applicants receive consideration for employment without regard to race, color, religion, sex, sexual orientation, gender identity, national origin, disability or protected veteran status.
 SF: MO \| \[\[mfield5]] \| bnsf tech \| REMOTE, US \| 76131</t>
        </is>
      </c>
    </row>
    <row r="57">
      <c r="A57" t="inlineStr">
        <is>
          <t>li-4357459143</t>
        </is>
      </c>
      <c r="B57" t="inlineStr">
        <is>
          <t>Business Technology AI Engineer IV</t>
        </is>
      </c>
      <c r="C57" t="inlineStr">
        <is>
          <t>Samsara</t>
        </is>
      </c>
      <c r="D57" t="inlineStr">
        <is>
          <t>linkedin</t>
        </is>
      </c>
      <c r="E57" t="inlineStr"/>
      <c r="F57" t="inlineStr"/>
      <c r="G57" t="inlineStr">
        <is>
          <t>Atlanta, GA</t>
        </is>
      </c>
      <c r="H57" t="inlineStr"/>
      <c r="I57"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The Integrations, Data Engineering, and AI (IDEA) team is a key part of Samsara’s Business Technology organization, driving innovation by leveraging data and AI. The AI team bridges research, technology, and business needs to strategically integrate AI\-powered innovation throughout the organization. We develop practical AI solutions, ensuring seamless integration and impact.
 As an AI Engineer, you’ll work closely with architects, engineers and cross\-functional stakeholders across Samsara to build AI\-powered tools and maintain a robust AI infrastructure.
 This is a remote position in USA and Canada with working hours in appropriate local timezone. Relocation assistance will not be provided for this role.
 We’re looking for a hands\-on AI Engineer with expertise in machine learning and generative AI to build and scale AI\-driven business applications. This role involves:
* Rapid prototyping and iterative development of AI\-based business applications and capabilities, with a focus on Generative AI
* Implement evaluation frameworks for AI applications that leverage foundational models.
* Applying software engineering best practices
* Providing production support, monitoring, and troubleshooting issues
**You should apply if:**
* You want to impact the industries that run our world: Your efforts will result in real\-world impact—helping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high\-caliber team that will encourage you to do your best.
**Who You Are**
* Possess a bias for action with a track record of solving technical challenges creatively
* Experienced in 0→1 MVP development and iterative prototyping
* Knowledgeable and experienced in leveraging LLMs, RAG and Agentic frameworks
* Passionate about staying up to date with AI trends and best practices
**Required Experience And Skills**
* Bachelor's or Master's degree in Computer Science or related Engineering discipline.
* 5\+ years of software development experience
* 3\+ years working with large datasets and data pipelines
* Proven experience building Generative AI applications
* Strong software engineering fundamentals and SDLC best practices
* Proficiency in Python, Java, or equivalent
* Experience designing scalable APIs and microservices
* Cloud experience (AWS preferred, or GCP/Azure)
* Knowledge of LLMs, vector databases, and applied Gen\-AI techniques and frameworks (RAG, Agentic AI orchestration, LangChain, Llama Index, etc)
* Experience shipping LLM\-powered applications
* Understanding of prompt engineering and tuning
* Strong communication skills and ability to work in cross\-functional teams
**Samsara’s Compensation Philosophy:** 
 Samsara’s compensation program is designed to deliver Total Direct Compensation (based on role, level, and geography) that is at or above market. We do this through our base salary \+ bonus/variable \+ restricted stock unit awards (RSUs) for eligible roles. For eligible roles, a new hire RSU award may be awarded at the time of hire, and additional RSU refresh grants may be awarded annually.
 We pay for performance, and top performers in eligible roles may receive above\-market equity refresh awards which allow employees to achieve higher market.
 The range of annual base salary for full\-time employees for this position is below. Please note that base pay offered may vary depending on factors including your city of residence, job\-related knowledge, skills, and experience.
 $1—$2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@us\-greenhouse\-mail.io or @mail3\.guide.co. For more information regarding fraudulent employment offers, please visit our blog post here.</t>
        </is>
      </c>
    </row>
    <row r="58">
      <c r="A58" t="inlineStr">
        <is>
          <t>li-4361351715</t>
        </is>
      </c>
      <c r="B58" t="inlineStr">
        <is>
          <t>AI/ML Engineer – Agentic Private Bank Engineer , Vice President</t>
        </is>
      </c>
      <c r="C58" t="inlineStr">
        <is>
          <t>JPMorganChase</t>
        </is>
      </c>
      <c r="D58" t="inlineStr">
        <is>
          <t>linkedin</t>
        </is>
      </c>
      <c r="E58" t="inlineStr"/>
      <c r="F58" t="inlineStr"/>
      <c r="G58" t="inlineStr">
        <is>
          <t>Jersey City, NJ</t>
        </is>
      </c>
      <c r="H58" t="inlineStr"/>
      <c r="I58" t="inlineStr">
        <is>
          <t>**Job Description**
 As a Applied AI ML Lead within the team at JPMorgan, you will collaborate with all lines of business and functions to deliver software solutions. You will have opportunity to research, experiment, develop, and productionize high\-quality machine learning models, services, and platforms to make a significant business impact. You will also design and implement highly scalable and reliable data processing pipelines and perform analysis and insights to promote and optimize business results.
**Job Responsibilities**
* Design, deploy and manage prompt\-based models on LLMs for various NLP tasks in the financial services domain
* Conduct research on prompt engineering techniques to improve the performance of prompt\-based models within the financial services field, exploring and utilizing LLM orchestration and agentic AI libraries.
* Collaborate with cross\-functional teams to identify requirements and develop solutions to meet business needs within the organization
* Communicate effectively with both technical and non\-technical stakeholders
* Build and maintain data pipelines and data processing workflows for prompt engineering on LLMs utilizing cloud services for scalability and efficiency.
* Develop and maintain tools and framework for prompt\-based model training, evaluation and optimization
* Analyze and interpret data to evaluate model performance to identify areas of improvement
**Required Qualifications, Capabilities, And Skills**
* Formal training or certification on software engineering concepts and 5\+ years applied experience
* Experience with prompt design and implementation or chatbot application
* Strong programming skills in Python with experience in PyTorch or TensorFlow
* Experience building data pipelines for both structured and unstructured data processing.
* Experience in developing APIs and integrating NLP or LLM models into software applications
* Hands\-on experience with cloud platforms (AWS or Azure) for AI/ML deployment and data processing.
* Excellent problem\-solving and the ability to communicate ideas and results to stakeholders and leadership in a clear and concise manner
* Basic knowledge of deployment processes, including experience with GIT and version control systems
* Familiarity with LLM orchestration and agentic AI libraries
* Hands on experience with MLOps tools and practices, ensuring seamless integration of machine learning models into production environment
**Preferred Qualifications, Capabilities, And Skills**
* Familiarity with model fine\-tuning techniques such as DPO and RLHF.
* Knowledge of Java, Spark
* Knowledge of financial products and services including trading, investment and risk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59">
      <c r="A59" t="inlineStr">
        <is>
          <t>li-4368240347</t>
        </is>
      </c>
      <c r="B59" t="inlineStr">
        <is>
          <t>Urgent Needed - AI/ML Engineer - New York, NY</t>
        </is>
      </c>
      <c r="C59" t="inlineStr">
        <is>
          <t>Jobs via Dice</t>
        </is>
      </c>
      <c r="D59" t="inlineStr">
        <is>
          <t>linkedin</t>
        </is>
      </c>
      <c r="E59" t="inlineStr"/>
      <c r="F59" t="inlineStr"/>
      <c r="G59" t="inlineStr">
        <is>
          <t>New York, NY</t>
        </is>
      </c>
      <c r="H59" t="inlineStr"/>
      <c r="I59" t="inlineStr">
        <is>
          <t>Dice is the leading career destination for tech experts at every stage of their careers. Our client, SATCON Inc, is seeking the following. Apply via Dice today!
 Hi,
 Our Client is looking for AI/ML Engineer for New York, NY. If you are looking for a job change, please let me know.
 Job Title: Principal AI/ML Engineer – Generative AI, Agentic AI \&amp; Contact Center Intelligence
 Location: New York, NY
 Job Type: Full\-time
**Job Summary**
 We are hiring a Principal AI/ML Engineer to lead hands\-on development and scaling of next\-generation AI solutions for contact centers. This senior individual contributor role focuses on building production\-grade Generative AI and Agentic AI applications integrated with contact center intelligence. With 8\+ years in AI/ML (heavy emphasis on NLP and conversational systems) and recent 2\+ years delivering GenAI/Agentic AI in production, you will design, implement, optimize, and deploy autonomous agents that reason, plan, use tools, and handle complex customer journeys autonomously or in collaboration with human agents. You will work extensively on major cloud platforms (AWS, Azure, Google Cloud) to deliver scalable, secure, compliant solutions that improve containment, CSAT, FCR, and operational efficiency.
 Key Responsibilities
* Hands\-on design, development, and deployment of Agentic AI systems for contact centers, including multi\-agent orchestration, reasoning chains (ReAct, Plan\-and\-Execute), tool calling (APIs, CRM, knowledge bases), memory management (short\-term/long\-term), and self\-correction mechanisms.
* Integrate Generative AI (LLMs such as GPT\-series, Claude, Llama, Gemini, or fine\-tuned open models) into contact center workflows for real\-time response generation, conversation summarization, agent assist/coaching, dynamic intent resolution, personalized scripting, and post\-call analysis.
* Build and enhance NLP\-powered contact center intelligence features: advanced intent classification, entity extraction, sentiment/emotion detection, dialogue management, multilingual support, and voice/text multimodal pipelines using ASR/TTS (e.g., Whisper, Google Speech, Azure Cognitive Services).
* Leverage cloud\-native services for end\-to\-end solutions:
* AWS: Bedrock, SageMaker, Amazon Connect \+ Lex/Q, Lambda for agent logic.
* Azure: Azure OpenAI, AI Bot Service, Cognitive Services, Azure Machine Learning.
* Google Cloud: Vertex AI, Dialogflow CX, Contact Center AI Insights, Gemini models.
* Own full lifecycle of AI projects: data preparation, model selection/fine\-tuning/prompt engineering, RAG implementation, agent framework integration (LangChain, LangGraph, LlamaIndex, CrewAI, AutoGen, Semantic Kernel), evaluation (human\-in\-loop, automated metrics), MLOps (CI/CD, monitoring with PrometheGrafana, drift detection), and production scaling.
* Optimize for contact center KPIs: increase automation rates, reduce handle time, improve first\-contact resolution, and enable proactive/anticipatory interactions via agentic workflows.
* Collaborate with cross\-functional teams (product, engineering, contact center ops, compliance) to translate business requirements into robust, production\-ready AI capabilities.
* Stay ahead of GenAI/Agentic AI advancements; prototype emerging techniques and contribute to internal thought leadership (e.g., tech blogs, internal demos).
**Required Qualifications**
* 15\+ years of professional experience in AI/ML engineering, with 10\+ years specializing in NLP and conversational AI systems (chatbots, voice agents, IVR/NLU).
* At least 2\+ years of deep, hands\-on production experience building and deploying Generative AI and Agentic AI solutions (autonomous agents, multi\-agent systems, tool integration, reasoning/planning, memory orchestration).
* Proven expertise in Contact Center Intelligence: production deployments on major cloud providers (AWS, Azure, or Google Cloud) using platforms like Amazon Connect/Lex, Google CCA/Dialogflow, Azure Bot Service/OpenAI, or equivalent CCaaS integrations.
* Strong proficiency in:
* Python and ML frameworks (PyTorch, TensorFlow, Hugging Face Transformers).
* Agentic frameworks (LangChain/LangGraph, LlamaIndex, CrewAI, AutoGen).
* Advanced NLP/GenAI techniques (prompt engineering, fine\-tuning/PEFT, RAG, embeddings/vector DBs like Pinecone/Weaviate, evaluation frameworks).
* Voice AI pipelines (ASR, TTS, NLU for spoken dialogue).
* Demonstrated impact delivering measurable improvements in contact center metrics through AI (e.g., 30%\+ containment lift, CSAT gains).
* Experience with MLOps tools (MLflow, Kubeflow, SageMaker Pipelines) and cloud infrastructure (Docker, Kubernetes, serverless).
 Sr IT Recruiter</t>
        </is>
      </c>
    </row>
    <row r="60">
      <c r="A60" t="inlineStr">
        <is>
          <t>li-4364303143</t>
        </is>
      </c>
      <c r="B60" t="inlineStr">
        <is>
          <t>Sr Machine Learning Engineer</t>
        </is>
      </c>
      <c r="C60" t="inlineStr">
        <is>
          <t>Underdog.io -Apply to top tech jobs in 60 seconds. A place where companies apply to you</t>
        </is>
      </c>
      <c r="D60" t="inlineStr">
        <is>
          <t>linkedin</t>
        </is>
      </c>
      <c r="E60" t="inlineStr"/>
      <c r="F60" t="inlineStr"/>
      <c r="G60" t="inlineStr"/>
      <c r="H60" t="inlineStr"/>
      <c r="I60" t="inlineStr">
        <is>
          <t>**Lead Machine Learning Engineer (3 Days Onsite)** 
 Underdog.io is a modern recruitment platform. Our hiring partner is offering a rare opportunity to architect the future of AI and machine learning for a trusted platform at the heart of the American economy. We are the leading online marketplace connecting professional buyers and sellers of privately held companies ($5M\-$100M). Trusted by thousands of the world's top acquirers and M\&amp;A advisors, our platform has facilitated millions of connections and hundreds of millions in closed transactions.
 In 2024, our platform saw over 10,000 companies pursue an exit. Now, we're searching for you to lead the technical charge in leveraging our unique, proprietary dataset to build a next\-generation, AI\-powered experience that radically transforms how these businesses find their perfect match.
**What You’ll Take On** 
 You will be the pioneering force for ML and advanced technologies within our senior, tight\-knit engineering team. Your work will directly upgrade our core matching and recommendation systems, delivering immense value to our users.
* You will design, develop, and deploy ML/AI\-driven models to enhance our matching engines, industry classification systems, and core product features.
* You will help establish ML and MLOps best practices, laying the technical groundwork for sustained AI/ML development for years to come.
* You will collaborate closely with product managers, engineers, and business stakeholders to define and execute AI strategies that are directly aligned with our core business objectives.
* You will optimize AI and machine learning models for performance, accuracy, and scalability, ensuring they integrate reliably into our production platform.
* You will develop and refine our recommendation systems, applying techniques in NLP, deep learning, and predictive analytics to fundamentally improve buyer\-seller matchmaking.
* You will create clear documentation and visualizations to communicate complex insights and recommendations to both technical and non\-technical audiences.
**Who You Are** 
 You are a technically excellent leader who thrives on ownership and building from the ground up.
* You have 5\+ years of experience using AI/ML and related technologies to materially improve consumer or B2B software experiences.
* You possess strong production expertise specifically in building, modifying, and scaling machine learning recommendation systems and engines.
* You are familiar with SQL and data warehouses (e.g., AWS Redshift) for powering AI\-driven analytics.
* You have outstanding problem\-solving skills and the ability to work independently and drive initiatives in a fast\-paced, collaborative environment.
* You connect deeply with our core values: Obsessing Over Member Trust, Expecting and Delivering Excellence, believing Communication Matters, Inventing and Simplifying, and Being an Owner.
**Our Stack** 
* **Backend:** 
 Python (FastAPI), Postgres (RDS)
* **Frontend:** 
 Angular 18\+, TypeScript
* **Infra:** 
 Terraform, AWS EC2/EKS, OpenTelemetry, Grafana/Prometheus/Loki/Tempo
* **Tools:** 
 GitHub, Shortcut, Notion, Slack
**What We Offer** 
* **A Foundational Role:** 
 Be the key leader building our AI/ML practice from its early stages, with massive impact on our product and company trajectory.
* **A Senior, Collaborative Team:** 
 Join a high\-functioning, remote\-friendly team of \~20 engineers across three squads. We practice "lite scrum" with daily stand\-ups, bi\-weekly sprints, and a focus on delivery.
* **Remote\-First Flexibility:** 
 Our team is distributed across NYC, the USA, Canada, and Latin America. Our NYC office is available for those who prefer it.
* **Competitive Compensation:** 
 We offer a strong salary, equity package, and comprehensive benefits.
* **A Culture of Excellence:** 
 We are a team of owners who obsess over member trust and strive to deliver excellence in everything we do.
**Ready to Build the Future of M\&amp;A?** 
 If you are a technical leader who wants to leverage machine learning to solve complex, high\-stakes matching problems and directly impact the success of thousands of businesses, we need to speak with you.</t>
        </is>
      </c>
    </row>
    <row r="61">
      <c r="A61" t="inlineStr">
        <is>
          <t>li-4368697754</t>
        </is>
      </c>
      <c r="B61" t="inlineStr">
        <is>
          <t>Lead AI Engineer</t>
        </is>
      </c>
      <c r="C61" t="inlineStr">
        <is>
          <t>Burtch Works</t>
        </is>
      </c>
      <c r="D61" t="inlineStr">
        <is>
          <t>linkedin</t>
        </is>
      </c>
      <c r="E61" t="inlineStr"/>
      <c r="F61" t="inlineStr"/>
      <c r="G61" t="inlineStr">
        <is>
          <t>Pittsburgh, PA</t>
        </is>
      </c>
      <c r="H61" t="inlineStr"/>
      <c r="I61" t="inlineStr">
        <is>
          <t>**Job Title:** 
 Lead AI Engineer
**Location:** 
 Pittsburgh, PA (onsite)
**About The Company**
 We are a technology company focused on transforming complex, data\-intensive government operations into modern, software\-driven decision systems. Our platform supports supply chain, science and technology, production, sustainment, logistics, and modernization teams with AI\-enabled applications and best\-in\-class data. We are committed to building high\-impact technology that improves mission outcomes, operates in high\-security environments, and attracts top technical talent driven by meaningful problem\-solving.
**Job Summary**
 We are looking for a Lead AI Engineer to lead an Agentic AI team focused on building and scaling intelligent agent systems for real\-world government use cases. The ideal candidate is a hands\-on technical leader with experience designing, deploying, and managing LLM\-powered systems in production. This role will be responsible for guiding agentic system architecture, leading technical execution, and ensuring delivery of reliable, high\-impact AI capabilities.
**Key Responsibilities**
* Lead the design, development, and deployment of multi\-agent systems with tool use, memory, routing, and planning capabilities.
* Provide technical leadership for an Agentic AI team, including architecture decisions, code quality, and model evaluation standards.
* Develop Agent Skills and tools as modular, composable services that integrate with backend systems, models, and data pipelines.
* Establish observability, evaluation, and feedback loops for agent behavior, including telemetry, prompt evaluation, and regression testing.
* Partner closely with Product and Implementation teams to apply agentic AI to complex customer problems.
* Lead Agile ceremonies and technical planning for the Agentic AI team.
**Requirements**
* Education: Bachelor’s, Master’s, or Doctorate in Computer Science, Data Science, Engineering, or a related field
* Experience: Minimum 3 years building and deploying ML or LLM\-powered systems in production environments; minimum 2 years leading or mentoring engineering teams
* Skills: Python, machine learning systems, LLM frameworks, agent architectures, AWS/cloud infrastructure
* Other: U.S. Citizenship required; willingness to travel up to 10%; ability to obtain a security clearance
**Preferred Qualifications**
* Experience designing and deploying complex agentic systems using LLMs
* Hands\-on experience with multi\-agent coordination, routing, and tool orchestration
* Familiarity with Claude Agent SDK, OpenAI Agent SDK, or similar frameworks
* Experience in startup or high\-growth technology environments
* Current or prior U.S. security clearance
**Benefits**
* Competitive Salary: Market\-aligned compensation based on experience and role scope
* Health and Wellness: Comprehensive medical, dental, and vision coverage
* Work\-Life Balance: Flexible work arrangements
* Professional Development: Opportunities for continuous learning, technical growth, and leadership development
* Additional Perks: Exposure to mission\-critical work, collaboration with senior leaders, and the opportunity to see direct real\-world impact from your work</t>
        </is>
      </c>
    </row>
    <row r="62">
      <c r="A62" t="inlineStr">
        <is>
          <t>li-4368216321</t>
        </is>
      </c>
      <c r="B62" t="inlineStr">
        <is>
          <t>Senior Machine Learning Engineer</t>
        </is>
      </c>
      <c r="C62" t="inlineStr">
        <is>
          <t>adMarketplace</t>
        </is>
      </c>
      <c r="D62" t="inlineStr">
        <is>
          <t>linkedin</t>
        </is>
      </c>
      <c r="E62" t="inlineStr"/>
      <c r="F62" t="inlineStr"/>
      <c r="G62" t="inlineStr">
        <is>
          <t>New York, United States</t>
        </is>
      </c>
      <c r="H62" t="inlineStr"/>
      <c r="I62" t="inlineStr">
        <is>
          <t>**Who We Are**
 At adMarketplace, our mission is to deliver the most engaging consumer search experiences while empowering advertisers to measure media performance accurately. Today, millions of people worldwide engage with our exclusive, transparent media placements across the internet’s leading browsers, shopping apps, and review sites.
 Our award\-winning culture is built around five core values (known as our 5C’s): Curiosity, Collaboration, Creative Conflict, Commitment, and Competitiveness. With these guiding values, adMarketplace seeks to empower our team to reach their full potential through continued learning, and the opportunity to do their best work.
**The Role**
 We are seeking an experienced Senior Machine Learning Engineer passionate about building impactful products in the search and advertising technology ecosystem. As part of our established AI/ML and Search organization, you will be instrumental in developing and optimizing advanced models and applications to enhance our ultra\-low\-latency ad\-serving platform and consumer\-facing search solutions.
 You will collaborate closely with product, business, and other engineering teams, making significant contributions to strategic initiatives such as relevancy \&amp; yield optimization, predictive modeling, and improved bidding performance. You will have a clear career progression path and numerous opportunities for both personal and professional growth in an intellectually stimulating and dynamic work environment.
**Responsibilities**
* Drive end\-to\-end lifecycle management of AI/ML projects from concept and data acquisition to prototyping, model development, deployment, optimization and ongoing maintenance.
* Implement and champion best practices in MLOps, including data collection, model training pipelines, model deployments, monitoring, alerting, and QA to ensure model reliability and performance.
* Contribute significantly to model architecture decisions, leveraging state\-of\-the\-art machine learning, deep learning, and reinforcement learning techniques.
* Develop and deploy robust feature engineering pipelines and ML services optimized for low latency and high throughput.
* Establish and utilize robust A/B testing and experimentation frameworks to evaluate and iteratively improve model performance.
* Translate research papers into high\-quality, production\-ready code.
* Communicate effectively, collaborate, and build long\-term relationships across the organization.
**Basic Qualifications**
* PhD with 3\+ years of experience or MS with 3\-5\+ years of industry experience in AI/ML, developing and deploying production\-grade ML systems.
* 2\+ years of experience in building AI/ML models in at least one of the following domains: Ads, relevance, ranking, recommendation systems, and search.
* 3\+ years of experience in building distributed, low\-latency, high\-throughput batch and online ML services.
* 3\+ years of experience in deploying and maintaining ML pipelines in production, including feature engineering and model monitoring frameworks.
* 2\+ years of experience in Python and proficiency with distributed frameworks (Spark, Hadoop), SQL, and cloud infrastructure.
* 2\+ years of experience with ML packages such as Tensorflow or PyTorch, scikit\-learn, and Spark ML.
* Ability to operate efficiently in a high\-paced, multi\-functional, and rapidly evolving environment.
**Preferred Qualifications**
* 5\+ years of experience in building ML models for ads, search and/or recommender systems including CTR/CVR prediction, ad selection, keyword bidding, and Learning to Rank models.
* 2\+ years of experience in building and deploying online experimentation frameworks to identify right models and features at scale.
* 2\+ years of experience in building ad selection frameworks using reinforcement learning or contextual bandits.
* Experience in fine tuning LLMs.
* 1\+ years of experience in building products using Generative AI powered autonomous agents.
**Join Us**
 adMarketplace has been named as one of the best places to work in New York City by Built In and Crain’s\- the latter of which have recognized us the past three years straight! AMP is currently experiencing triple digit growth, and it’s never been a better time to join our team!
 We offer a robust continuing education program, management training, regular company\-wide lunch and learns, and well\-defined career paths to ensure all our employees have an opportunity to grow.
 At adMarketplace, we play to win, but we learn from our setbacks. Our commitment to a collaborative environment means no one succeeds alone, and no one fails alone either.
 We know you’ve come to expect comprehensive healthcare, wellness programs, paid time off, commuter benefits, and 401k matching from any company, so it’s a good thing we offer all of that and so much more. adMarketplace offers Summer Fridays, catered lunches, a fully stocked kitchen, ZogSports teams, happy hours and corporate retreats to encourage a strong work/life balance.
 No Third Party Recruiters. We do not accept unsolicited agency resumes and we are not responsible for any fees related to unsolicited resumes.
* This range represents the low and high end of the base salary someone in this role may earn as an employee of adMarketplace in the New York office. Salaries will vary based on various factors including but not limited to professional and academic experience; training; associated responsibilities; and other business and organizational needs. The range listed is just one component of our total compensation package for employees. Salary decisions are dependent on the circumstances of each hire.</t>
        </is>
      </c>
    </row>
    <row r="63">
      <c r="A63" t="inlineStr">
        <is>
          <t>li-4368666791</t>
        </is>
      </c>
      <c r="B63" t="inlineStr">
        <is>
          <t>Sr. Staff Edge AI Applied Machine Learning Engineer</t>
        </is>
      </c>
      <c r="C63" t="inlineStr">
        <is>
          <t>Ambiq</t>
        </is>
      </c>
      <c r="D63" t="inlineStr">
        <is>
          <t>linkedin</t>
        </is>
      </c>
      <c r="E63" t="inlineStr"/>
      <c r="F63" t="inlineStr"/>
      <c r="G63" t="inlineStr">
        <is>
          <t>Austin, TX</t>
        </is>
      </c>
      <c r="H63" t="inlineStr"/>
      <c r="I63" t="inlineStr">
        <is>
          <t>**Company Overview**
 Ambiq's mission is to enable intelligence everywhere by delivering the lowest power semiconductor solutions. Ambiq is a pioneer and a leading provider of ultra\-low\-power semiconductor solutions based on our proprietary and patented sub\- and near\-threshold technologies. With the increasing power requirements of artificial intelligence (AI) computing, our customers are relying on our solutions to deliver AI to edge environments. Our hardware and software innovations fundamentally deliver a multi\-fold improvement in power consumption over traditional semiconductor designs without expensive process geometry scaling. We began in 2010 by addressing the power consumption challenges of battery\-powered devices at the edge, where they were most pronounced. As of the beginning of 2025, we've shipped more than 280\+ million units worldwide.
 Our innovative and fast\-moving teams of design, research, development, production, marketing, sales, and operations are spread across several continents, including the US (Austin), Taiwan (Hsinchu), China (Shanghai and Shenzhen), and Singapore. We value relentless technology innovation, a deep commitment to customer success, collaborative problem\-solving, and an enthusiastic pursuit of energy efficiency. We embrace candidates who also share these same values. The successful candidate must be self\-motivated, creative, and comfortable learning and driving exciting new technologies. We encourage and nurture an environment that fosters growth and opportunities to work on complex, meaningful, and challenging projects, creating a lasting impact and shaping the future of technology. Join us on our quest for enabling billions of intelligent devices. The intelligence everywhere revolution starts here.
**This role will be on\-site 5 days a week in NW Austin.**
**Scope** 
 Ambiq is seeking an experienced Edge AI Applied ML Engineer with deep experience in audio and computer vision. In this role, you will design, train, optimize, and deploy highly efficient on\-device AI models—from ultra\-small (tens of KB) to larger (hundreds of MB) footprints—targeting resource\-constrained, real\-time, battery\-powered devices.
 While the cloud has been the default home for AI, the next frontier is distributing intelligence everywhere—directly onto real\-world devices. Edge AI enables real\-time responsiveness, stronger privacy, lower bandwidth cost, and reliable operation even without connectivity. This role will help accelerate the shift to on\-device intelligence across a rapidly growing ecosystem of health and fitness wearables, smart glasses, industrial IoT, and always\-on sensors.
 You’ll also help evolve our award\-winning open\-source AI Development Kits (ADKs): modular tooling that enables developers to mix\-and\-match datasets, model architectures, tasks, training recipes, and deployment targets. You will bridge cutting\-edge research and practical productization by building production\-grade demos, reference applications, and customer\-facing tooling that accelerates real\-world adoption.
**Responsibilities**
* Develop and optimize on\-device ML models for constrained, real\-time, battery\-powered products, balancing accuracy with latency, memory, and energy.
* Build and maintain Ambiq’s open\-source ADKs for modular datasets, models, tasks, and training recipes.
* Translate cutting\-edge research into production\-grade demos and reference implementations.
* Apply model efficiency techniques: quantization, compression, pruning, and structured sparsification.
* Serve as a domain expert in audio and vision (data strategy, evaluation, and failure analysis).
* Port and optimize customer models to Ambiq edge runtimes, ensuring correctness, performance, and usability.
* Deliver and promote customer\-ready assets: docs, tutorials, examples, benchmarks, plus white papers and conference representation.
**Qualifications**
* BS in Computer Science or related field \+ 5\+ years of relevant experience (or equivalent practical experience). MS or PhD in related disciplines (ML, EE, signal processing, computer vision, robotics) is highly desirable.Strong proficiency in Python; working proficiency in C/C\+\+ and/or Rust for performance and runtime integration.
* Domain expertise in audio (KWS, speech enhancement, SLM, TTS) and/or vision (classify/detect/segment/pose/OBB/track), with DSP fundamentals (e.g., FFT).
* Comfortable in Linux development with Docker/dev containers (able to work across Mac/Windows as needed).
* Experience with one or more training frameworks: PyTorch, TensorFlow, JAX, Keras.
* Strong ML engineering fundamentals: data pipelines, augmentation, metrics, experiment reproducibility, and failure analysis.
* Familiarity with edge deployment stacks such as ONNX, LiteRT, ExecuTorch.
* Hands\-on with edge optimization: quantization (PTQ/QAT), compression, and (structured) sparsification, plus profiling for latency/memory/energy tradeoffs.
* Efficient use of AI\-assisted development tools while maintaining rigor (testing, review, reproducibility).
* \*\*Must be currently authorized to work in the United States for any employer. We do not sponsor or take over sponsorship of employment visas (now or in the future) for this role.
**What You Need**
 We're seeking passionate technologists who thrive on pushing boundaries, solving complex challenges, and driving transformative solutions.
 At Ambiq, you'll collaborate with a dynamic team that values relentless innovation, customer\-centric thinking, and continuous learning. If you're a self\-motivated, creative problem\-solver eager to push technological limits and make a meaningful impact in energy efficiency, this is your opportunity to grow, excel, and turn groundbreaking ideas into reality.
 Most importantly, the successful candidate will be able to live the Ambiq Shared Values:
* Innovate: We tenaciously find ways to break down the barriers to possible solutions
* Collaborate: We proactively communicate and encourage each other to be better.
* Focus: We keep the voice of the customer at the center of everything we do.
* Learn: We strive for continuous improvement and are always curious.
* Achieve: We execute on quality and follow through on our commitments.</t>
        </is>
      </c>
    </row>
    <row r="64">
      <c r="A64" t="inlineStr">
        <is>
          <t>li-4368224201</t>
        </is>
      </c>
      <c r="B64" t="inlineStr">
        <is>
          <t>Lead Machine Learning Engineer</t>
        </is>
      </c>
      <c r="C64" t="inlineStr">
        <is>
          <t>adMarketplace</t>
        </is>
      </c>
      <c r="D64" t="inlineStr">
        <is>
          <t>linkedin</t>
        </is>
      </c>
      <c r="E64" t="inlineStr"/>
      <c r="F64" t="inlineStr"/>
      <c r="G64" t="inlineStr">
        <is>
          <t>New York, United States</t>
        </is>
      </c>
      <c r="H64" t="inlineStr"/>
      <c r="I64" t="inlineStr">
        <is>
          <t>**Who We Are**
 At adMarketplace, our mission is to deliver the most engaging consumer search experiences while empowering advertisers to measure media performance accurately. Today, millions of people worldwide engage with our exclusive, transparent media placements across the internet’s leading browsers, shopping apps, and review sites.
 Our award\-winning culture is built around five core values (known as our 5C’s): Curiosity, Collaboration, Creative Conflict, Commitment, and Competitiveness. With these guiding values, adMarketplace seeks to empower our team to reach their full potential through continued learning, and the opportunity to do their best work.
**The Role**
 We are seeking an experienced Lead Machine Learning Engineer passionate about building impactful products in the search and advertising technology ecosystem. As part of our established AI/ML and Search organization, you will be instrumental in developing and optimizing advanced models and applications to enhance our ultra\-low\-latency ad\-serving platform and consumer\-facing search solutions.
 You will collaborate closely with product, business, and other engineering teams, making significant contributions to strategic initiatives such as relevancy \&amp; yield optimization, predictive modeling, and improved bidding performance. You will have a clear career progression path and numerous opportunities for both personal and professional growth in an intellectually stimulating and dynamic work environment.
**Responsibilities**
* Drive end\-to\-end lifecycle management of AI/ML projects from concept and data acquisition to prototyping, model development, deployment, optimization and ongoing maintenance.
* Implement and champion best practices in MLOps, including data collection, model training pipelines, model deployments, monitoring, alerting, and QA to ensure model reliability and performance.
* Contribute significantly to model architecture decisions, leveraging state\-of\-the\-art machine learning, deep learning, and reinforcement learning techniques.
* Develop and deploy robust feature engineering pipelines and ML services optimized for low latency and high throughput.
* Establish and utilize robust A/B testing and experimentation frameworks to evaluate and iteratively improve model performance.
* Translate research papers into high\-quality, production\-ready code.
* Communicate effectively, collaborate, and build long\-term relationships across the organization.
* Mentor junior team members in achieving engineering excellence and be a change agent on the team.
**Basic Qualifications**
* PhD with 5\+ years of experience or MS with 5\-8\+ years of industry experience in AI/ML, developing and deploying production\-grade ML systems.
* 2\+ years of experience in building AI/ML models in at least one of the following domains: Ads, relevance, ranking, recommendation systems, and search.
* 3\+ years of experience in building distributed, low\-latency, high\-throughput batch and online ML services.
* 3\+ years of experience in deploying and maintaining ML pipelines in production, including feature engineering and model monitoring frameworks.
* 2\+ years of experience in Python and proficiency with distributed frameworks (Spark, Hadoop), SQL, and cloud infrastructure.
* 2\+ years of experience with ML packages such as Tensorflow or PyTorch, scikit\-learn, and Spark ML.
* Ability to operate efficiently in a high\-paced, multi\-functional, and rapidly evolving environment.
**Preferred Qualifications**
* 5\+ years of experience in building ML models for ads, search and/or recommender systems including CTR/CVR prediction, ad selection, keyword bidding, and Learning to Rank models.
* 2\+ years of experience in building and deploying online experimentation frameworks to identify right models and features at scale.
* 2\+ years of experience in building ad selection frameworks using reinforcement learning or contextual bandits.
* Experience in fine tuning LLMs.
* 1\+ years of experience in building products using Generative AI powered autonomous agents.
**Join Us**
 adMarketplace has been named as one of the best places to work in New York City by Built In and Crain’s\- the latter of which have recognized us the past three years straight! AMP is currently experiencing triple digit growth, and it’s never been a better time to join our team!
 We offer a robust continuing education program, management training, regular company\-wide lunch and learns, and well\-defined career paths to ensure all our employees have an opportunity to grow.
 At adMarketplace, we play to win, but we learn from our setbacks. Our commitment to a collaborative environment means no one succeeds alone, and no one fails alone either.
 We know you’ve come to expect comprehensive healthcare, wellness programs, paid time off, commuter benefits, and 401k matching from any company, so it’s a good thing we offer all of that and so much more. adMarketplace offers Summer Fridays, catered lunches, a fully stocked kitchen, ZogSports teams, happy hours and corporate retreats to encourage a strong work/life balance.
 No Third Party Recruiters. We do not accept unsolicited agency resumes and we are not responsible for any fees related to unsolicited resumes.
* This range represents the low and high end of the base salary someone in this role may earn as an employee of adMarketplace in the New York office. Salaries will vary based on various factors including but not limited to professional and academic experience; training; associated responsibilities; and other business and organizational needs. The range listed is just one component of our total compensation package for employees. Salary decisions are dependent on the circumstances of each hire.</t>
        </is>
      </c>
    </row>
    <row r="65">
      <c r="A65" t="inlineStr">
        <is>
          <t>li-4357830293</t>
        </is>
      </c>
      <c r="B65" t="inlineStr">
        <is>
          <t>Gen AI Engineer</t>
        </is>
      </c>
      <c r="C65" t="inlineStr">
        <is>
          <t>US Tech Solutions</t>
        </is>
      </c>
      <c r="D65" t="inlineStr">
        <is>
          <t>linkedin</t>
        </is>
      </c>
      <c r="E65">
        <f>HYPERLINK("https://www.linkedin.com/jobs/view/4357830293", "https://www.linkedin.com/jobs/view/4357830293")</f>
        <v/>
      </c>
      <c r="F65" t="inlineStr"/>
      <c r="G65" t="inlineStr">
        <is>
          <t>Irving, TX</t>
        </is>
      </c>
      <c r="H65" t="inlineStr"/>
      <c r="I65" t="inlineStr">
        <is>
          <t>**Duration: Full\-Time Role** 
**Work Location: Irving, TX OR Orlando FL OR Edison NJ** 
**Hybrid Role** 
**Job Overview** 
 We are seeking a
 **Gen AI Engineer (Gen AI Engineer (Data Engineer OR Data Scientist OR ML Engineer))** 
 with a strong Python background to design, build, and deploy AI\-driven solutions. This role is open to professionals with experience in
 **data engineering, data science, or machine learning engineering** 
 , and focuses on developing scalable GenAI workflows, APIs, and production\-ready AI systems. You will work closely with cross\-functional teams to bring modern LLM\-based solutions into real\-world applications.
**Roles \&amp; Responsibilities** 
* Design, develop, and maintain
 **GenAI workflows and AI\-enabled applications**
* Build and expose AI services via
 **RESTful APIs** 
 using
 **FastAPI** 
 and/or
 **Flask**
* Implement and optimize
 **prompt engineering** 
 ,
 **RAG architectures** 
 , and
 **agentic AI workflows**
* Perform
 **data processing and feature preparation** 
 to support AI/ML pipelines
* Deploy, monitor, and maintain AI models across
 **development, testing, and production** 
 environments
* Conduct
 **code reviews** 
 , write automated tests, and ensure high\-quality, maintainable code
* Document system design, APIs, workflows, and model behavior
* Collaborate with product, data, and engineering teams to deliver scalable AI solutions
**Must\-Have Technical / Functional Skills** 
* Strong hands\-on experience with
 **Python**
* Hands\-on experience in
 **API development** 
 using
 **FastAPI** 
 and/or
 **Flask**
* Experience in
 **data processing and AI\-enabled workflows** 
 using Python
* Working knowledge of
 **Large Language Models (LLMs)** 
 and
 **prompt engineering**
* Understanding of
 **RAG architectures** 
 and
 **agentic AI patterns**
* Basic understanding of
 **hybrid prompting techniques**
* Experience with
 **Generative AI frameworks and tools** 
 such as
 **LangChain** 
 ,
 **Hugging Face** 
 ,
 **LlamaIndex** 
 , or similar
**Desired / Good\-to\-Have Skills** 
* Experience working with
 **Gemini LLM** 
 or other enterprise LLMs
* Hands\-on experience with
 **machine learning frameworks** 
 such as
 **PyTorch** 
 ,
 **TensorFlow** 
 , or
 **Keras.**
**About US Tech Solutions:** 
 US Tech Solutions is a global staff augmentation firm providing a wide range of talent on\-demand and total workforce solutions. To know more about US Tech Solutions, please visit www.ustechsolutions.com
 US Tech Solutions is an Equal Opportunity Employer. All qualified applicants will receive consideration for employment without regard to race, color, religion, sex, sexual orientation, gender identity, national origin, disability, or status as a protected veteran.
**Recruiter Details:** 
**Name: Deepak** 
**Email: deepak.s@ustechsolutionsinc.com** 
**Internal Id: 25\-50926**</t>
        </is>
      </c>
    </row>
    <row r="66">
      <c r="A66" t="inlineStr">
        <is>
          <t>li-4367270864</t>
        </is>
      </c>
      <c r="B66" t="inlineStr">
        <is>
          <t>Senior Machine Learning Engineer</t>
        </is>
      </c>
      <c r="C66" t="inlineStr">
        <is>
          <t>Jobs via Dice</t>
        </is>
      </c>
      <c r="D66" t="inlineStr">
        <is>
          <t>linkedin</t>
        </is>
      </c>
      <c r="E66">
        <f>HYPERLINK("https://www.linkedin.com/jobs/view/4367270864", "https://www.linkedin.com/jobs/view/4367270864")</f>
        <v/>
      </c>
      <c r="F66" t="inlineStr"/>
      <c r="G66" t="inlineStr">
        <is>
          <t>San Diego, CA</t>
        </is>
      </c>
      <c r="H66" t="inlineStr"/>
      <c r="I66" t="inlineStr">
        <is>
          <t>Job ID: 2600921
**Location:** 
 SAN DIEGO, CA, US
**Date Posted:** 
 2026\-01\-29
**Category:** 
 Engineering and Sciences
**Subcategory:** 
 Machine Learning Engineer
**Schedule:** 
 Full\-time
**Shift:** 
 Day Job
**Travel:** 
 No
**Minimum Clearance Required:** 
 Top Secret
**Clearance Level Must Be Able to Obtain:** 
 TS/SCI
**Potential for Remote Work:** 
 No
**Description**
 SAIC is seeking a
 **Top s** 
**ecret cleared AI/Machine Learning Subject Matter Expert** 
 in support of NAVWAR's Naval Operational Architecture (NOA) Program in San Diego, CA.
 In this role, you'll help drive the innovation of autonomous, AI\-enabled systems for the Naval Operational Architecture that supports distributed maritime operations. You will translate sensor\-derived data into real\-time decision triggers, supporting initiatives. Your contributions will play a pivotal role in enhancing the Navy's command networks with AI\-driven analysis, prioritizing speed, resilience, and operational superiority. In this mission\-critical position, your expertise will help shape the future of autonomous naval warfare and analytic decision support. This is a recently awarded contract, funded for five years.
**Work is performed on site in San Diego, CA.**
 Please view our program page for more information and to view all open positions available:
**Job Duties:**
* Design, develop, and implement machine learning models and algorithms for naval applications.
* Develop and deploy algorithms, mathematical models, and machine learning models into real\-world operational environments.
* Perform data preprocessing, feature engineering, model evaluation, and validation.
* Collaborate with engineers, data scientists, and mission stakeholders to align ML solutions with operational requirements.
* Develop cloud\-native ML pipelines using AWS, Azure, Docker, Kubernetes, or equivalent platforms.
* Implement ML solutions using frameworks such as TensorFlow, PyTorch, and scikit\-learn.
* Contribute to distributed computing and parallel processing approaches to optimize ML model performance.
* Participate in CI/CD pipeline development, automation, and DevSecOps workflows.
* Apply cybersecurity principles in the design and deployment of machine learning systems.
* Provide documentation, technical reports, and engineering artifacts consistent with PMAT and government standards.
* Stay current with advancements in machine learning, data science, and emerging technologies relevant to naval and DoD applications.
**Qualifications**
**Required Skills and Experience:**
* At least 10 years of experience as a data scientist, data engineer, geospatial engineer, machine learning engineer, or software engineer.
* Proven experience developing and deploying algorithms, mathematical models, or machine learning models in real\-world applications.
* Strong programming skills in Python.
* Familiarity with cloud platforms (e.g., AWS, Azure) or containerization technologies (e.g., Docker, Kubernetes).
* Familiarity with software engineering best practices, including Git.
* Experience with ML frameworks such as TensorFlow, PyTorch, or scikit\-learn.
* Strong programming skills in Java, C\+\+, Go, or Rust.
* Experience with distributed computing and parallel processing.
* Experience with CI/CD pipelines and automation tools (GitHub Actions, GitLab CI, Jenkins).
* Strong analytical, problem\-solving, and communication skills.
* Ability to work effectively in a collaborative team environment.
* Previous experience supporting government agencies or military organizations.
* Ability to safely carry tools, equipment, and materials aboard ship, including ascending and descending shipboard ladders(stairwells) and navigating confined spaces while maintaining required points of contact. Tools and equipment will weigh no more than 50 lbs.
* Ability to perform required work aboard Navy vessels and in shipboard environments, including navigating narrow passageways, ascending, and descending ladders (stairwells), working on elevated platforms, and operating in variable sea conditions.
* Ability to perform activities on a reoccurring basis during shipboard operations or testing evolutions.
* Ability to comply with Navy safety requirements and wear required personal protective equipment (PPE).
**Preferred Skills and Experience:**
* Experience with cloud\-native architecture and software API design.
* Experience integrating machine learning into operational DoD systems or edge computing environments.
* Familiarity with DoD AI strategies, MLOps, or data engineering in secure environments.
* Experience supporting NAVWAR, NIWC Pacific, or other Navy C2/ISR programs.
**Education and Certification Requirements:**
* Bachelor of Science degree in Artificial Intelligence, Data Science, Computer Science, Machine Learning, or Statistics.
* Advanced degrees (MS/PhD) in related fields are preferred but not required.
* Additional certifications in cloud, cybersecurity, AI/ML, or DevSecOps are a plus if required by contract.
**Citizenship and Clearance Requirements:**
* ship.
* No dual citizenship.
* Active DoD TS w/ SCI eligibility highly preferred.
 Target salary range: $120,001 \- $160,000\. The estimate displayed represents the typical salary range for this position based on experience and other factors.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67">
      <c r="A67" t="inlineStr">
        <is>
          <t>li-4368816044</t>
        </is>
      </c>
      <c r="B67" t="inlineStr">
        <is>
          <t>Machine Learning Engineer</t>
        </is>
      </c>
      <c r="C67" t="inlineStr">
        <is>
          <t>Superluminal Medicines Inc.</t>
        </is>
      </c>
      <c r="D67" t="inlineStr">
        <is>
          <t>linkedin</t>
        </is>
      </c>
      <c r="E67">
        <f>HYPERLINK("https://www.linkedin.com/jobs/view/4368816044", "https://www.linkedin.com/jobs/view/4368816044")</f>
        <v/>
      </c>
      <c r="F67">
        <f>HYPERLINK("https://grnh.se/l8tm9hje8us&amp;urlHash=y-xa", "https://grnh.se/l8tm9hje8us&amp;urlHash=y-xa")</f>
        <v/>
      </c>
      <c r="G67" t="inlineStr">
        <is>
          <t>Boston, MA</t>
        </is>
      </c>
      <c r="H67" t="inlineStr"/>
      <c r="I67" t="inlineStr">
        <is>
          <t>**About Superluminal Medicines:**
 Superluminal Medicines is a generative biology and chemistry company revolutionizing the speed and accuracy of how small molecule medicines are created. The Company's platform aims to create candidate\-ready compounds with unprecedented speed using a combination of deep biology, computational and medicinal chemistry, machine learning, and proprietary big data infrastructure. We are expanding the team of talented scientists who seek to build the future of small molecule drug discovery with creativity and innovation.
**About the Role:**
 We are seeking a high\-impact Machine Learning Developer/Engineer to join our integrated discovery team. In this role, you will be the algorithmic engine of our programs, developing and deploying state\-of\-the\-art ML models to generate the quantitative predictions necessary to drive drug discovery. Beyond technical mastery, you will serve as a core scientific partner to medicinal chemists, computational chemists, and biologists, building models that move programs efficiently toward Go/No\-Go decision points and candidate nomination.
 Key Responsibilities:
* Implement algorithms for hit identification through virtual screening and other high throughput computational methods as part of a cross\-functional team
* Adapt and implement cutting\-edge ML architectures for co\-folding to augment our extensive internal structural biology expertise and capabilities
* Design and deploy active learning frameworks that utilize experimental assay results to iteratively improve model performance and reduce the number of "Design\-Make\-Test\-Analyze" cycles leveraging state\-of\-the\-art de novo design, ADMET predictions, and affinity predictions
 Required Qualifications:
* Ph.D. preferred in Computer Science, Machine Learning, Engineering or a related field, or BS/MS \+ seasoned experience
* Proven experience with protein\-ligand co\-folding algorithms (e.g., Boltz, AlphaFold, OpenFold, etc) and the ability to integrate these structural insights into broader ML discovery pipelines.
* Advanced proficiency in Python and deep learning libraries (e.g., PyTorch, TensorFlow) is required. You must be capable of building and maintaining production\-quality code and data pipelines.
* Exceptional ability to communicate the "why" behind a design to a diverse scientific audience.
 Preferred Qualifications:
* Expert\-level knowledge of deep learning frameworks, specifically for affinity prediction, ADMET modeling, and the application of LLMs in a biological or chemical context
* Expertise fine\-tuning existing models with internally generated structural biology and biology data
* Experience deploying ML/AI algorithms for use by a cross\-functional scientific audience
* 1\-4\+ years of experience in a biotech or pharma setting
 Skills \&amp; Competencies:
* A demonstrated track record of innovation in the ML/AI space, including developing and validating new architectures or novel applications of existing models to solve complex drug discovery problems including tools for hit identification (virtual screening, HTS)
* Expert level use of protein\-ligand co\-folding algorithms to small molecule drug discovery ML/AI tools (AlphaFold, Boltz, OpenFold)
* Experience writing production\-level code for ML tasks:
+ Knowledge of key scientific packages (RDKit, scikit\-learn, numpy, pandas, pytorch, deepchem, polars, PyG/DGL):
+ Write robust, testable, and version\-controlled code that adheres to CI/CD and data governance best practices.
+ Value clarity, documentation, and structured thinking, especially when working with complex data
+ Knowledge of containerization technologies (Docker, Kubernetes) and cloud deployment at scale
**Equal Opportunity Statement:**
 Superluminal Medicines is an Equal Opportunity Employer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t>
        </is>
      </c>
    </row>
    <row r="68">
      <c r="A68" t="inlineStr">
        <is>
          <t>li-4368828436</t>
        </is>
      </c>
      <c r="B68" t="inlineStr">
        <is>
          <t>Machine Learning Engineer II/ Senior Machine Learning Engineer I, Physical Sciences</t>
        </is>
      </c>
      <c r="C68" t="inlineStr">
        <is>
          <t>Lila Sciences</t>
        </is>
      </c>
      <c r="D68" t="inlineStr">
        <is>
          <t>linkedin</t>
        </is>
      </c>
      <c r="E68">
        <f>HYPERLINK("https://www.linkedin.com/jobs/view/4368828436", "https://www.linkedin.com/jobs/view/4368828436")</f>
        <v/>
      </c>
      <c r="F68" t="inlineStr"/>
      <c r="G68" t="inlineStr">
        <is>
          <t>Cambridge, MA</t>
        </is>
      </c>
      <c r="H68" t="inlineStr"/>
      <c r="I68" t="inlineStr">
        <is>
          <t>**Your Impact at Lila**
 This Machine Learning Engineer for the Physical Sciences team focuses on building and operating end\-to\-end, scalable machine learning workflows that solve a diversity scientific use cases in materials, chemistry and physical sciences. Your work will advance research efforts on state\-of\-the\-art algorithms to build towards scientific superintelligence across today’s greatest challenges in physical sciences.
**What You'll Be Building**
* Design, implement, and maintain end‑to‑end ML pipelines (data ingestion, feature engineering, training, evaluation, deployment, monitoring).
* Productionize models and services with robust testing, observability, and documentation in collaboration with cross\-functional software teams and build CI/CD workflows and automated evaluations to ensure safe, frequent releases.
* Collaborate with domain scientists and platform engineers to translate research insights into performant, scalable systems.
* Contribute to technical design reviews, coding standards, and mentoring of best practices.
**What You’ll Need To Succeed**
* BS/MS/PhD in Computer Science, Engineering, or a related quantitative field, or equivalent industry experience.
* Strong Python software engineering fundamentals (testing, packaging, typing); experience with machine learning frameworks (e.g., PyTorch, Huggingface, etc.).
* Experience deploying ML services to production in cloud\-based infrastructure (FastAPI/GRPC, containers, orchestration, cloud infra).
* Hands‑on experience with model deployment in production systems (LLMs, multimodal models, databases, RAG) with strong debugging and profiling skills.
* Clear communication and collaboration in cross‑functional settings.
**Bonus Points For**
* Exposure to scientific or engineering domains (materials, chemistry, physics) and related data formats/benchmarks.
* GPU optimization experience (CUDA, Triton, compilation, distributed training).
* Prior contributions to open‑source ML or scientific software.
* Experience with workflow orchestration, data provenance, or large‑scale compute environments.
**About Lila**
 Lila Sciences is the world’s first scientific superintelligence platform and autonomous lab for life, chemistry, and materials science.  We are pioneering a new age of boundless discovery by building the capabilities to apply AI to every aspect of the scientific method.  We are introducing scientific superintelligence to solve humankind's greatest challenges, enabling scientists to bring forth solutions in human health, climate, and sustainability at a pace and scale never experienced before. Learn more about this mission at  www.lila.ai
 If this sounds like an environment you’d love to work in, even if you only have some of the experience listed below, we encourage you to apply.
**Compensation**
 We expect the base salary for this role to fall between
 **$128,000 – $198,000 USD per year** 
 , along with bonus potential and generous early equity. The final offer will reflect your unique background, expertise, and impact.
**We’re All In**
 Lila Sciences is committed to equal employment opportunity regardless of race, color, ancestry, religion, sex, national origin, sexual orientation, age, citizenship, marital status, disability, gender identity or Veteran status.
 Information you provide during your application process will be handled in accordance with our Candidate Privacy Policy.
**A Note to Agencies**
*Lila Sciences does not accept unsolicited resumes from any source other than candidates. The submission of unsolicited resumes by recruitment or staffing agencies to Lila Sciences or its employees is strictly prohibited unless contacted directly by Lila Science’s internal Talent Acquisition team. Any resume submitted by an agency in the absence of a signed agreement will automatically become the property of Lila Sciences, and Lila Sciences will not owe any referral or other fees with respect thereto.*</t>
        </is>
      </c>
    </row>
    <row r="69">
      <c r="A69" t="inlineStr">
        <is>
          <t>li-4368252138</t>
        </is>
      </c>
      <c r="B69" t="inlineStr">
        <is>
          <t>AI/ML Engineer</t>
        </is>
      </c>
      <c r="C69" t="inlineStr">
        <is>
          <t>Talent Glider</t>
        </is>
      </c>
      <c r="D69" t="inlineStr">
        <is>
          <t>linkedin</t>
        </is>
      </c>
      <c r="E69">
        <f>HYPERLINK("https://www.linkedin.com/jobs/view/4368252138", "https://www.linkedin.com/jobs/view/4368252138")</f>
        <v/>
      </c>
      <c r="F69" t="inlineStr"/>
      <c r="G69" t="inlineStr"/>
      <c r="H69" t="inlineStr"/>
      <c r="I69" t="inlineStr">
        <is>
          <t>**Job Description**
 We are looking for a motivated and detail\-oriented
 **AI/ML Engineer (Entry Level)** 
 to join our growing analytics and technology team. This role is ideal for recent master’s graduates who are passionate about machine learning, data\-driven solutions, and applying AI models to real\-world business problems.
 You will work closely with data scientists, software engineers, and business stakeholders to develop, train, deploy, and monitor machine learning models that support product and business objectives.
 Key Responsibilities
* Assist in designing, developing, and testing machine learning models and AI solutions
* Work on data preprocessing, feature engineering, and model evaluation
* Implement supervised and unsupervised ML algorithms (regression, classification, clustering, etc.)
* Collaborate with senior engineers to deploy models into production environments
* Monitor model performance and help with model tuning and optimization
* Write clean, well\-documented, and scalable code
* Participate in code reviews, team discussions, and sprint planning
* Stay updated with the latest AI/ML tools, techniques, and best practices
**Required Qualifications**
* Master’s degree in Computer Science, Data Science, Artificial Intelligence, Machine Learning, or a related field
* 0–2 years of experience (internships, academic projects, or research experience accepted)
* Strong understanding of machine learning fundamentals and algorithms
* Proficiency in Python (NumPy, Pandas, Scikit\-learn)
* Basic knowledge of deep learning frameworks such as TensorFlow or PyTorch
* Experience working with structured and unstructured data
* Familiarity with SQL and basic data manipulation techniques
* Understanding of model evaluation metrics and validation techniques</t>
        </is>
      </c>
    </row>
    <row r="70">
      <c r="A70" t="inlineStr">
        <is>
          <t>li-4358531662</t>
        </is>
      </c>
      <c r="B70" t="inlineStr">
        <is>
          <t>Machine Learning Engineer</t>
        </is>
      </c>
      <c r="C70" t="inlineStr">
        <is>
          <t>Reducto</t>
        </is>
      </c>
      <c r="D70" t="inlineStr">
        <is>
          <t>linkedin</t>
        </is>
      </c>
      <c r="E70">
        <f>HYPERLINK("https://www.linkedin.com/jobs/view/4358531662", "https://www.linkedin.com/jobs/view/4358531662")</f>
        <v/>
      </c>
      <c r="F70" t="inlineStr"/>
      <c r="G70" t="inlineStr">
        <is>
          <t>San Francisco, CA</t>
        </is>
      </c>
      <c r="H70" t="inlineStr"/>
      <c r="I70" t="inlineStr">
        <is>
          <t>**About Reducto**
 Reducto helps AI teams ingest real world enterprise data with state of the art accuracy.
 The vast majority of enterprise data — from financial statements to health records — is locked in unstructured file formats like PDFs and spreadsheets. We train vision models to read those documents the way a human would, and make it possible to build products, train models, and automate processes at scale.
 We’ve grown incredibly quickly, growing revenue by 7x YOY, and now work with hundreds of companies ranging from leading AI teams (Harvey, Vanta, Scale), through to enterprise (FAANG, top 3 trading firm).
 We've raised over 100M from world class investors like A16z, Benchmark, and First Round Capital, and are hiring a Machine Learning Engineer to help us train and deploy the models critical to the performance of our core product.
****We Would Love To Meet You If You:****
* Philosophy: You are your own worst critic. You have a high bar for quality and don’t rest until the job is done right—no settling for 90%. We want someone who ships fast, with high agency, and who doesn't just voice problems but actively jumps in to fix them.
* Experience: You have 2\+ years of experience with training, fine tuning, and evaluating ML models used in production systems
* Language/Skills: You’re exceptional at Python or similar, and are well versed with both traditional computer vision and VLMs
* Tools: Build your own tools as needed—like a quick Streamlit app to test hypotheses or create a dataset.
* Approach: A quantitative approach to building products. Ability to debug, experiment, and iterate fast. You should be comfortable getting hands\-on with the full development lifecycle, from ideation to shipping to users.
**The Core Work Will Include:**
* Training and deploying new state of the art models for parsing and interpreting unstructured data
* Experimenting with novel techniques to improve LLM accuracy
* Build data pipelines, evaluate model performance, and integrate models into the product
* Working directly with the founders and customers to shape the product direction and engineering strategy
**Bonus Points If You:**
* Have prior experience founding a company or building products at early stages
* Are ambitious and driven, and care a lot about doing great work with great people
* Keep up with the latest developments in ML/AI
 This is an in person role at our office in SF. We’re an early stage company which means that the role requires working hard and moving quickly. Please only apply if that excites you.
**About Reducto**
*Nearly 80% of enterprise data is in unstructured formats like PDFs*
 PDFs are the status quo for enterprise knowledge in nearly every industry. Insurance claims, financial statements, invoices, and health records are all stored in a structure that’s simply impractical for use in digital workflows. This isn’t an inconvenience—it’s a critical bottleneck that leads to dozens of wasted hours every week.
*Traditional approaches fail at reliably extracting information in complex PDFs*
 OCR and even more sophisticated ML approaches work for simple text documents but are unreliable for anything more complex. Text from different columns are jumbled together, figures are ignored, and tables are a nightmare to get right. Overcoming this usually requires a large engineering effort dedicated to building specialized pipelines for every document type you work with.
**Reducto** 
**Breaks Document Layouts Into Subsections And Then Contextually Parses Each Depending On The Type Of Content.** 
 This Is Made Possible By a Combination Of Vision Models, LLMs, And a Suite Of Heuristics We Built Over Time. Put Simply, We Can Help You:
* Accurately extract text and tables even with nonstandard layouts
* Automatically convert graphs to tabular data and summarize images in documents
* Extract important fields from complex forms with simple, natural language instructions
* Build powerful retrieval pipelines using Reducto’s document metadata
* Intelligently chunk information using the document’s layout data
 Benefits at Reducto
*At Reducto, we’re invested in the well\-being and growth of our team. Here’s what we currently offer:*
* Unlimited PTO: We believe great work requires recharging.
* Lunch: Receive a free lunch to eat with your teammates daily at the office
* Reimbursed Transportation: Provide us with your receipts and we’ll take care of the costs
* Insurance: Generous health insurance covering medical, dental, and vision.
* Health and Wellness Budget: We provide up to $150/mo reimbursement for health and wellness spending, such as gym memberships, fitness classes, or similar.
* Parental Leave: Work with us to build a leave schedule that works for you and your family
 Reducto is an Equal Opportunity Employer committed to diversity and inclusion in the workplace. All qualified applicants will receive consideration for employment without regard to sex, race, color, age, national origin, religion, physical and mental disability, genetic information, marital status, sexual orientation, gender identity/assignment, citizenship, pregnancy or maternity, protected veteran status, or any other status prohibited by applicable national, federal, state or local law.</t>
        </is>
      </c>
    </row>
    <row r="71">
      <c r="A71" t="inlineStr">
        <is>
          <t>li-4357861092</t>
        </is>
      </c>
      <c r="B71" t="inlineStr">
        <is>
          <t>AI/ML Engineer</t>
        </is>
      </c>
      <c r="C71" t="inlineStr">
        <is>
          <t>IntePros</t>
        </is>
      </c>
      <c r="D71" t="inlineStr">
        <is>
          <t>linkedin</t>
        </is>
      </c>
      <c r="E71">
        <f>HYPERLINK("https://www.linkedin.com/jobs/view/4357861092", "https://www.linkedin.com/jobs/view/4357861092")</f>
        <v/>
      </c>
      <c r="F71" t="inlineStr"/>
      <c r="G71" t="inlineStr">
        <is>
          <t>Charlotte, NC</t>
        </is>
      </c>
      <c r="H71" t="inlineStr"/>
      <c r="I71" t="inlineStr">
        <is>
          <t>**Senior AI/ML Engineer**
 Charlotte, NC (Onsite)
 IntePros is are seeking a highly skilled
 **Senior AI/ML Engineer** 
 to work onsite in Charlotte, NC and contribute to the design, development, and deployment of advanced AI solutions. This role will focus on large language models (LLMs), natural language processing (NLP), and applied machine learning. The ideal candidate will bring hands\-on technical expertise along with the ability to design and implement scalable AI/ML systems.
**Key Responsibilities**
* Design, develop, and optimize machine learning and NLP solutions, with a focus on LLMs.
* Build and integrate APIs for AI/ML models, including Retrieval\-Augmented Generation (RAG) pipelines and vector database solutions.
* Apply LLM prompt engineering and evaluation techniques to improve model accuracy and usability.
* Utilize MLOps practices for monitoring, deployment, and model lifecycle management.
* Leverage tools such as LangSmith, LiteLLM, and LLM Guardrails to ensure robust and safe model deployment.
* Collaborate with cross\-functional teams to integrate AI/ML solutions into production environments.
* Stay current with advancements in AI/ML and recommend emerging technologies to enhance business capabilities.
**Qualifications**
* 6\+ years of overall software engineering or data science experience, including 4\+ years of direct work in AI/ML.
* Strong proficiency in Python, with expertise in machine learning, NLP, LLMs, and text data analysis.
* Hands\-on experience with API creation, RAG, vector databases, LLM prompt engineering, and LLM evaluation.
* Familiarity with MLOps tools and practices, including monitoring, evaluation, CI/CD, model versioning, and deployment.
* Knowledge of or willingness to learn Kubernetes and cloud services such as AWS, GCP, or Azure.
* Excellent problem\-solving, communication, and collaboration skills.
**Nice to Have**
* Experience deploying large\-scale AI models in production.
* Background in developing scalable systems in enterprise environments.</t>
        </is>
      </c>
    </row>
    <row r="72">
      <c r="A72" t="inlineStr">
        <is>
          <t>li-4368272590</t>
        </is>
      </c>
      <c r="B72" t="inlineStr">
        <is>
          <t>AI/ML Engineer</t>
        </is>
      </c>
      <c r="C72" t="inlineStr">
        <is>
          <t>Crossing Hurdles</t>
        </is>
      </c>
      <c r="D72" t="inlineStr">
        <is>
          <t>linkedin</t>
        </is>
      </c>
      <c r="E72">
        <f>HYPERLINK("https://www.linkedin.com/jobs/view/4368272590", "https://www.linkedin.com/jobs/view/4368272590")</f>
        <v/>
      </c>
      <c r="F72" t="inlineStr"/>
      <c r="G72" t="inlineStr"/>
      <c r="H72" t="inlineStr"/>
      <c r="I72" t="inlineStr">
        <is>
          <t>**Crossing Hurdles** 
 is a global recruitment firm partnering with a fast\-growing AI\-powered recruiting marketplace modernizing how companies hire. Backed by top\-tier investors and trusted by industry leaders like Palantir, Shopify, and Coinbase, is building the first end\-to\-end AI recruiting marketplace that combines specialized recruiters with AI agents to help companies hire faster and more accurately.
**Role Snapshot** 
* Role: ML Engineer
* YOE: 4\+ years of experience in data engineering, deploying security\-sage ML solutions
* Location: Washington DC, DMV Area \| Hybrid
* Compensation: $150K – $215K \+ Equity
**About The Client** 
 The company works on AI\-driven projects that help organizations explore complex data and make faster, more informed decisions. Its platform combines machine learning with intuitive visualizations, allowing both technical and non\-technical users to uncover insights efficiently across enterprise and government use cases.
**Why Candidate Should Join** 
* Work on cutting\-edge AI and GenAI systems using LLMs, Reinforcement Learning, and modern ML frameworks in production environments.
* Own ML features end to end, from experimentation and training to deployment and optimization.
* Deliver high\-impact work that directly influences users and business outcomes.
* Learn and grow quickly while deepening expertise in applied ML and scalable AI systems.
* Thrive in a flexible, modern work environment that values autonomy and results.</t>
        </is>
      </c>
    </row>
    <row r="73">
      <c r="A73" t="inlineStr">
        <is>
          <t>li-4368815187</t>
        </is>
      </c>
      <c r="B73" t="inlineStr">
        <is>
          <t>Staff Machine Learning Engineer, Perception</t>
        </is>
      </c>
      <c r="C73" t="inlineStr">
        <is>
          <t>Path Robotics</t>
        </is>
      </c>
      <c r="D73" t="inlineStr">
        <is>
          <t>linkedin</t>
        </is>
      </c>
      <c r="E73">
        <f>HYPERLINK("https://www.linkedin.com/jobs/view/4368815187", "https://www.linkedin.com/jobs/view/4368815187")</f>
        <v/>
      </c>
      <c r="F73" t="inlineStr"/>
      <c r="G73" t="inlineStr">
        <is>
          <t>Columbus, OH</t>
        </is>
      </c>
      <c r="H73" t="inlineStr"/>
      <c r="I73" t="inlineStr">
        <is>
          <t>Build the Path Forward
 At Path Robotics, we’re building the future of embodied intelligence. Our AI\-driven systems enable robots to adapt, learn, and perform in the real world closing the skilled labor gap and transforming industries. We go beyond traditional methods, combining perception, reasoning, and control to deliver field\-ready AI that is risk\-aware, reliable, and continuously improving through real\-world use.
 Big, hard problems are our everyday work, and our team of intelligent, humble, and driven people make the impossible possible together.
 We're seeking a passionate individual to join our team at the intersection of welding science and artificial intelligence. As a Staff Machine Learning Engineer, you'll be instrumental in developing robotic welding solutions. You'll use your skills in computer vision, deep learning, and Python programming to tackle challenges in our field alongside our talented teams.
 What You’ll Do
* Lead the development and implementation of advanced algorithms for robotic perception systems tailored to industrial welding tasks, integrating data from diverse vision sensors such as RGB/GigE, LiDAR, and ToF depth sensors.
* Oversee research initiatives to address complex welding\-related challenges, utilizing image processing, point cloud data, and 3D sensor fusion, contributing to innovative solutions for domain\-specific problems.
* Collaborate with multidisciplinary teams to design and lead experiments evaluating state\-of\-the\-art deep learning models, optimizing machine learning systems for robotic perception in welding.
* Stay at the forefront of advancements in Robotics, Computer Vision, and ML research, driving the integration of cutting\-edge technologies into real\-world applications, and ensuring these innovations have a high impact on production systems.
* Mentor and guide junior engineers, providing technical leadership and fostering collaboration to enhance team expertise in perception systems and machine learning.
* Contribute to strategic decisions about system architecture and the direction of robotics perception technologies within the company, ensuring alignment with product and business goals.
**Who You Are** 
* Master’s or Ph.D. in Computer Science, Robotics, or a related field with a focus on Computer Vision, Machine Learning, or Perception Systems.
* 5\+ years of experience in developing machine learning algorithms or applications for real\-world robotics systems, particularly in industrial or manufacturing environments.
* Strong proficiency in Python, as well as experience with other relevant languages (e.g., C\+\+), and a deep understanding of neural networks, deep learning architectures, and 3D data processing.
* Extensive experience with vision sensors (e.g., RGB, LiDAR, ToF) and demonstrated ability to apply sensor fusion techniques for perception tasks.
* A proven track record of leading projects and research initiatives, with the ability to bridge the gap between theoretical research and practical, deployable solutions.
* Enthusiastic about working in a fast\-paced, dynamic startup environment, with the ability to influence company\-wide technological direction and strategy.
**Why You’ll Love Working Here** 
* Daily free lunch to keep you fueled and connected with the team
* Flexible PTO so you can take the time you need, when you need it
* Comprehensive medical, dental, and vision coverage
* 6 weeks fully paid parental leave, plus an additional 6–8 weeks for birthing parents (12–14 weeks total)
* 401(k) retirement plan through Empower
* Generous employee referral bonuses—help us grow our team!
**Who We Are** 
 At Path Robotics we love coming to work to solve interesting and tough challenges but also because our ideas are welcomed and valued. We encourage unique thinking and are dedicated to creating a diverse and inclusive environment. All qualified applicants will receive consideration for employment without regard to race, color, religion, gender, gender identity or expression, sexual orientation, national origin, genetics, disability, age, or veteran status.</t>
        </is>
      </c>
    </row>
    <row r="74">
      <c r="A74" t="inlineStr">
        <is>
          <t>li-4368270605</t>
        </is>
      </c>
      <c r="B74" t="inlineStr">
        <is>
          <t>ML Engineer</t>
        </is>
      </c>
      <c r="C74" t="inlineStr">
        <is>
          <t>Crossing Hurdles</t>
        </is>
      </c>
      <c r="D74" t="inlineStr">
        <is>
          <t>linkedin</t>
        </is>
      </c>
      <c r="E74">
        <f>HYPERLINK("https://www.linkedin.com/jobs/view/4368270605", "https://www.linkedin.com/jobs/view/4368270605")</f>
        <v/>
      </c>
      <c r="F74" t="inlineStr"/>
      <c r="G74" t="inlineStr"/>
      <c r="H74" t="inlineStr"/>
      <c r="I74" t="inlineStr">
        <is>
          <t>**Crossing Hurdles** 
 is a global recruitment firm partnering with a fast\-growing AI\-powered recruiting marketplace modernizing how companies hire. Backed by top\-tier investors and trusted by industry leaders like Palantir, Shopify, and Coinbase, is building the first end\-to\-end AI recruiting marketplace that combines specialized recruiters with AI agents to help companies hire faster and more accurately.
**Role Snapshot** 
* Role: ML Engineer
* YOE: 4\+ years of experience in data engineering, deploying security\-sage ML solutions
* Location: Washington DC, DMV Area \| Hybrid
* Compensation: $150K – $215K \+ Equity
**About The Client** 
 The company works on AI\-driven projects that help organizations explore complex data and make faster, more informed decisions. Its platform combines machine learning with intuitive visualizations, allowing both technical and non\-technical users to uncover insights efficiently across enterprise and government use cases.
**Why Candidate Should Join** 
* Work on cutting\-edge AI and GenAI systems using LLMs, Reinforcement Learning, and modern ML frameworks in production environments.
* Own ML features end to end, from experimentation and training to deployment and optimization.
* Deliver high\-impact work that directly influences users and business outcomes.
* Learn and grow quickly while deepening expertise in applied ML and scalable AI systems.
* Thrive in a flexible, modern work environment that values autonomy and results.</t>
        </is>
      </c>
    </row>
    <row r="75">
      <c r="A75" t="inlineStr">
        <is>
          <t>li-4368835070</t>
        </is>
      </c>
      <c r="B75" t="inlineStr">
        <is>
          <t>AI/ML Engineer</t>
        </is>
      </c>
      <c r="C75" t="inlineStr">
        <is>
          <t>Summit Tech Partners</t>
        </is>
      </c>
      <c r="D75" t="inlineStr">
        <is>
          <t>linkedin</t>
        </is>
      </c>
      <c r="E75">
        <f>HYPERLINK("https://www.linkedin.com/jobs/view/4368835070", "https://www.linkedin.com/jobs/view/4368835070")</f>
        <v/>
      </c>
      <c r="F75" t="inlineStr"/>
      <c r="G75" t="inlineStr">
        <is>
          <t>Alpharetta, GA</t>
        </is>
      </c>
      <c r="H75" t="inlineStr"/>
      <c r="I75" t="inlineStr">
        <is>
          <t>**AI/ML Engineer** 
**Location:** 
 Alpharetta, GA (Hybrid Onsite)
**Employment Type:** 
 Full‑time / Consulting
**Work Authorization:** 
 Must work directly on W‑2\. No sponsorship available. No C2C, CTH, subcontracting, or third‑party vendors permitted.
**About the Role** 
 The AI/ML Engineer will design, build, and deploy machine learning models that power intelligent, data‑driven applications. You’ll work across the ML lifecycle—from data preparation to model training, evaluation, and production deployment. This role requires strong Python skills, familiarity with modern ML frameworks, and the ability to collaborate with engineering and product teams to deliver scalable AI solutions.
**Responsibilities** 
* Develop, train, and optimize machine learning models using Python and modern ML frameworks.
* Build and maintain end‑to‑end ML pipelines, including data preprocessing, feature engineering, and model evaluation.
* Deploy models into production environments and integrate them with REST APIs.
* Collaborate with engineering teams to design scalable, reliable ML systems.
* Leverage cloud‑based AI/ML services to accelerate development and deployment.
* Apply statistical and analytical techniques to solve complex business problems.
* Explore and implement advanced AI techniques including NLP, deep learning, and transformer‑based architectures.
**Minimum Qualifications** 
* Strong proficiency in
 **Python** 
 .
* Hands‑on experience with
 **TensorFlow** 
 or
 **PyTorch** 
 .
* Understanding of core
 **machine learning algorithms** 
 and concepts.
**Preferred Qualifications** 
* Experience with data preprocessing tools such as
 **Pandas** 
 and
 **NumPy** 
 .
* Familiarity with
 **cloud AI services** 
 (AWS, Azure, or GCP).
* Experience with
 **model deployment** 
 , MLOps practices, and REST API integration.
* Background in
 **NLP** 
 ,
 **deep learning** 
 , or neural network architectures.
* Experience with cloud ML platforms such as
 **AWS SageMaker** 
 or
 **Azure AI** 
 .
* Knowledge of
 **scalable ML system design** 
 and distributed training.
* Strong foundation in
 **advanced statistical modeling** 
 .
* Exposure to
 **transformer models** 
 ,
 **LLMs** 
 , and cutting‑edge AI frameworks.
* Ability to contribute to or lead
 **AI strategy** 
 and roadmap discussions.
**About You** 
 You’re passionate about building intelligent systems, experimenting with new ML techniques, and turning data into meaningful insights. You enjoy working across the full ML lifecycle and thrive in environments where innovation and scalability matter.</t>
        </is>
      </c>
    </row>
    <row r="76">
      <c r="A76" t="inlineStr">
        <is>
          <t>li-4368635731</t>
        </is>
      </c>
      <c r="B76" t="inlineStr">
        <is>
          <t>Machine Learning Engineer</t>
        </is>
      </c>
      <c r="C76" t="inlineStr">
        <is>
          <t>Rain</t>
        </is>
      </c>
      <c r="D76" t="inlineStr">
        <is>
          <t>linkedin</t>
        </is>
      </c>
      <c r="E76">
        <f>HYPERLINK("https://www.linkedin.com/jobs/view/4368635731", "https://www.linkedin.com/jobs/view/4368635731")</f>
        <v/>
      </c>
      <c r="F76">
        <f>HYPERLINK("https://www.wiraa.com/job-description/us949DAEA11A31D84B5C90E4B09FAE1FB3?source=Linkedin&amp;urlHash=5f-w", "https://www.wiraa.com/job-description/us949DAEA11A31D84B5C90E4B09FAE1FB3?source=Linkedin&amp;urlHash=5f-w")</f>
        <v/>
      </c>
      <c r="G76" t="inlineStr"/>
      <c r="H76" t="inlineStr"/>
      <c r="I76" t="inlineStr">
        <is>
          <t>**About The Company**
 Rain is at the forefront of revolutionizing global payments by enabling the next generation of financial transactions. Our lean and dedicated team comprises passionate builders and veteran founders committed to creating innovative infrastructure solutions. We facilitate the use of stablecoins in real\-world applications, powering card transactions, cross\-border payments, B2B purchases, remittances, and more. Our strategic partnerships with fintechs, neobanks, and financial institutions help launch inclusive, efficient, and scalable solutions on a global scale. Backed by top\-tier investors such as Sapphire Ventures, Norwest, Galaxy Ventures, Lightspeed, and Khosla, Rain offers an environment where impactful work can thrive within a hypergrowth setting. If you are curious, bold, and eager to shape a borderless financial future, Rain provides an exciting platform to make a significant difference.
**About The Role**
 We are seeking a highly skilled Machine Learning Engineer specializing in fraud detection and risk mitigation. In this role, you will architect and develop scalable ML systems that enhance our fraud prevention capabilities. Your responsibilities will include designing end\-to\-end ML pipelines, implementing real\-time decision systems, and maintaining robust infrastructure for model deployment and monitoring. You will collaborate closely with data scientists, engineers, and compliance teams to translate analytical insights into practical, reliable fraud detection solutions. The ideal candidate will have extensive experience in building ML models at scale, with a focus on anomaly detection, behavioral analysis, and fraud prevention. Working in a fast\-paced, innovative environment, you will solve complex problems at the intersection of data, ML systems, and system reliability, contributing to the continuous improvement of our risk management strategies.
**Qualifications**
* 5\+ years of experience building ML systems in production environments, with at least 2\+ years in fraud, risk, or anomaly detection domains
* Degree in Computer Science, Engineering, Statistics, Applied Math, or a related technical field
* Proven track record designing and maintaining ML models at scale
* Advanced proficiency in Python and ML frameworks such as PyTorch, TensorFlow, or scikit\-learn
* Strong understanding of supervised and unsupervised learning, anomaly detection, and statistical modeling
* Experience developing, validating, and deploying real\-time and offline fraud detection models
* Ability to work autonomously, manage ambiguity, and collaborate effectively with cross\-functional teams
* Knowledge of model governance, bias mitigation, and regulatory compliance in fraud prevention
**Responsibilities**
* Architect and develop scalable ML systems for fraud detection, anomaly detection, and behavioral analysis
* Build and maintain end\-to\-end ML pipelines covering data ingestion, feature engineering, model training, deployment, and monitoring
* Design and implement low\-latency, real\-time decision systems in partnership with fraud risk data scientists
* Manage ML infrastructure, including model versioning, automated retraining, and deployment strategies such as shadow deployment and rollbacks
* Develop comprehensive monitoring and alerting systems to track model performance, latency, data quality, and drift
* Lead experimentation efforts on model explainability, drift detection, and adversarial robustness for fraud prevention
* Create tooling and processes to accelerate ML development lifecycle and improve model effectiveness
* Collaborate with platform teams to ensure SLAs for availability, latency, and accuracy are met
* Work closely with engineers, data scientists, and compliance teams to deliver innovative fraud mitigation solutions
* Address complex challenges at the nexus of ML systems, data management, and system reliability in a dynamic environment
**Benefits**
* Unlimited paid time off, with a minimum of 10 days mandatory leave
* Flexible working arrangements, including remote work options supported by a home environment stipend
* Comprehensive health, dental, and vision insurance plans for US employees and dependents
* Company\-subsidized life insurance coverage
* 401(k) retirement plan with a 4% company match to support long\-term financial goals
* Equity options to share in the company's success and growth
* Access to Rain Cards for testing and understanding core products and services
* Health and wellness spending allowance for activities such as gym memberships, massages, and acupuncture
* Participation in team summits, including domestic and international off\-sites to foster team cohesion and shared vision
 Equal Opportunity
 Rain is committed to creating an inclusive environment where all employees are valued and respected. We are an equal opportunity employer and do not discriminate based on race, color, religion, gender, gender identity or expression, sexual orientation, national origin, genetics, disability, age, or veteran status. We believe diversity enhances our innovation and success, and we welcome applicants from all backgrounds to join our team in shaping the future of global payments.</t>
        </is>
      </c>
    </row>
    <row r="77">
      <c r="A77" t="inlineStr">
        <is>
          <t>li-4368840310</t>
        </is>
      </c>
      <c r="B77" t="inlineStr">
        <is>
          <t>AI Engineer II</t>
        </is>
      </c>
      <c r="C77" t="inlineStr">
        <is>
          <t>Lean TECHniques</t>
        </is>
      </c>
      <c r="D77" t="inlineStr">
        <is>
          <t>linkedin</t>
        </is>
      </c>
      <c r="E77">
        <f>HYPERLINK("https://www.linkedin.com/jobs/view/4368840310", "https://www.linkedin.com/jobs/view/4368840310")</f>
        <v/>
      </c>
      <c r="F77" t="inlineStr"/>
      <c r="G77" t="inlineStr">
        <is>
          <t>Johnston, IA</t>
        </is>
      </c>
      <c r="H77" t="inlineStr"/>
      <c r="I77" t="inlineStr">
        <is>
          <t>Maybe you’re bored and need a new challenge. Or you’re tired of proof\-of\-concepts that never go anywhere and want to build AI that actually ships. Or maybe you just want to work somewhere that trusts you to do great work without all the red tape.
 Whatever the reason, we want you to know that LT is different. And not just air quotes “different,” but more like “breathing easy for the first time in a long time” different.
 It’s a place where you can write your own story and make a difference along the way. At LT, you’ll have the freedom and flexibility to do what you think needs to be done — while working alongside a team of curious individuals who love a good challenge.
 We’re currently looking to add an
 **AI Engineer II** 
 to this nerd club of ours. If you’ve got a few years of real\-world experience building machine learning or AI\-powered systems and are ready to level up, we’d love to chat.
 Here’s what you can expect as an AI Engineer II at LT:
* You’ll work with a small, collaborative team (typically 3–5 people) to design, build, and deploy AI\-driven solutions that solve real business problems.
* You’ll develop and productionize machine learning models — from data exploration and feature engineering to training, evaluation, and deployment.
* You’ll collaborate closely with software engineers, product owners, and clients to integrate AI capabilities into scalable, maintainable applications.
* You’ll help improve data pipelines, model performance, and system reliability.
* You’ll follow best practices around testing, monitoring, documentation, and responsible AI use.
* You’ll continue sharpening your skills through hands\-on experience, mentorship, and ongoing learning opportunities.
 What we’re generally looking for:
* 2–5 years of experience working with machine learning, data science, or AI systems in a professional setting
* Strong Python skills and experience with ML frameworks (TensorFlow, PyTorch, scikit\-learn, etc.)
* Experience working with real\-world data
* Familiarity with deploying models into production environments (cloud platforms, APIs, pipelines)
* Azure AI experience is a plus
* Curiosity, problem\-solving mindset, and a desire to keep learning</t>
        </is>
      </c>
    </row>
    <row r="78">
      <c r="A78" t="inlineStr">
        <is>
          <t>li-4368019994</t>
        </is>
      </c>
      <c r="B78" t="inlineStr">
        <is>
          <t>Generative AI Engineer</t>
        </is>
      </c>
      <c r="C78" t="inlineStr">
        <is>
          <t>HBI Solutions, Inc.</t>
        </is>
      </c>
      <c r="D78" t="inlineStr">
        <is>
          <t>linkedin</t>
        </is>
      </c>
      <c r="E78">
        <f>HYPERLINK("https://www.linkedin.com/jobs/view/4368019994", "https://www.linkedin.com/jobs/view/4368019994")</f>
        <v/>
      </c>
      <c r="F78" t="inlineStr"/>
      <c r="G78" t="inlineStr">
        <is>
          <t>Palo Alto, CA</t>
        </is>
      </c>
      <c r="H78" t="inlineStr"/>
      <c r="I78" t="inlineStr">
        <is>
          <t>**POSITION SUMMARY** 
**HBI Solutions Inc. is seeking a highly motivated AI Engineer** 
  to join our collaborative team at Stanford University. The intern will contribute to the development and optimization of cutting\-edge foundation models for healthcare applications, leveraging Stanford’s large\-scale electronic medical record (EMR) data. The ideal candidate will have strong skills in natural language processing (NLP), deep learning frameworks, and experience working with transformer\-based architectures such as BERT, GPT, or related LLMs. This role offers the unique opportunity to work at the intersection of AI, clinical medicine, and translational research.
**ESSENTIAL FUNCTIONS** 
**· Contribute to the design, development, and fine\-tuning of large language models for EMR data, focusing on tasks such as clinical outcome prediction, patient stratification, and decision support.** 
**· Implement transformer\-based architectures (e.g., BERT, GPT, LLaMA) and adapt them to healthcare\-specific challenges such as domain adaptation, long\-sequence modeling, and multi\-modal integration.** 
**· Conduct data preprocessing, cleaning, and representation learning on large\-scale EMR datasets, ensuring compliance with privacy and ethical guidelines.** 
**· Develop scalable pipelines for training and evaluating LLMs, leveraging distributed computing and cloud\-based platforms when appropriate.** 
**· Benchmark models against state\-of\-the\-art methods, improve performance metrics, and ensure interpretability and robustness in clinical contexts.** 
**· Collaborate with cross\-functional teams at Stanford, including clinicians, data scientists, and software engineers, to translate research into practical healthcare solutions.** 
**· Document methods, results, and best practices; contribute to research publications, technical reports, and presentations.** 
**EDUCATION/EXPERIENCE REQUIREMENTS** 
**· Bachelor’s degree or above in Computer Science.** 
**· Hands\-on experience in developing and training deep learning models, particularly transformer\-based architectures (BERT, GPT, T5, etc.).** 
**· Proficiency with Python and deep learning frameworks such as PyTorch or TensorFlow.** 
**· Prior experience with large\-scale model training, fine\-tuning, or distributed computing environments is preferred.** 
**REQUIRED COMPETENCIES – KNOWLEDGE, SKILLS, ABILITIES** 
**· Strong problem\-solving skills and ability to work with complex, high\-dimensional data.** 
**· Experience in handling large\-scale datasets, including preprocessing, feature engineering, and evaluation.** 
**· Strong interest in applying AI to healthcare and improving patient outcomes.** 
**· Excellent oral and written communication skills; ability to work independently and collaboratively.** 
**· Passion for innovation and interdisciplinary research.** 
**WORKING ENVIRONMENT/PHYSICAL REQUIREMENTS** 
* **This position requires working in a research environment at Stanford University, involving close collaboration with clinicians and researchers. The role will primarily be computational, with potential exposure to sensitive medical data under strict compliance with HIPAA and Stanford IRB regulations.**</t>
        </is>
      </c>
    </row>
    <row r="79">
      <c r="A79" t="inlineStr">
        <is>
          <t>li-4368287188</t>
        </is>
      </c>
      <c r="B79" t="inlineStr">
        <is>
          <t>Machine Learning Engineer, Fraud</t>
        </is>
      </c>
      <c r="C79" t="inlineStr">
        <is>
          <t>Whatnot</t>
        </is>
      </c>
      <c r="D79" t="inlineStr">
        <is>
          <t>linkedin</t>
        </is>
      </c>
      <c r="E79">
        <f>HYPERLINK("https://www.linkedin.com/jobs/view/4368287188", "https://www.linkedin.com/jobs/view/4368287188")</f>
        <v/>
      </c>
      <c r="F79" t="inlineStr"/>
      <c r="G79" t="inlineStr">
        <is>
          <t>New York, NY</t>
        </is>
      </c>
      <c r="H79" t="inlineStr"/>
      <c r="I79"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 You****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80">
      <c r="A80" t="inlineStr">
        <is>
          <t>li-4368287187</t>
        </is>
      </c>
      <c r="B80" t="inlineStr">
        <is>
          <t>Machine Learning Engineer, Fraud</t>
        </is>
      </c>
      <c r="C80" t="inlineStr">
        <is>
          <t>Whatnot</t>
        </is>
      </c>
      <c r="D80" t="inlineStr">
        <is>
          <t>linkedin</t>
        </is>
      </c>
      <c r="E80">
        <f>HYPERLINK("https://www.linkedin.com/jobs/view/4368287187", "https://www.linkedin.com/jobs/view/4368287187")</f>
        <v/>
      </c>
      <c r="F80" t="inlineStr"/>
      <c r="G80" t="inlineStr">
        <is>
          <t>San Francisco, CA</t>
        </is>
      </c>
      <c r="H80" t="inlineStr"/>
      <c r="I80"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 You****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81">
      <c r="A81" t="inlineStr">
        <is>
          <t>li-4368699727</t>
        </is>
      </c>
      <c r="B81" t="inlineStr">
        <is>
          <t>Machine Learning Engineer</t>
        </is>
      </c>
      <c r="C81" t="inlineStr">
        <is>
          <t>Pinterest</t>
        </is>
      </c>
      <c r="D81" t="inlineStr">
        <is>
          <t>linkedin</t>
        </is>
      </c>
      <c r="E81">
        <f>HYPERLINK("https://www.linkedin.com/jobs/view/4368699727", "https://www.linkedin.com/jobs/view/4368699727")</f>
        <v/>
      </c>
      <c r="F81" t="inlineStr"/>
      <c r="G81" t="inlineStr"/>
      <c r="H81" t="inlineStr"/>
      <c r="I81" t="inlineStr">
        <is>
          <t>**About The Company**
 Millions of people around the world turn to Pinterest to discover creative ideas, envision new possibilities, and plan memorable experiences. Our platform serves as a source of inspiration, helping users curate and realize their dreams across various interests and lifestyles. At Pinterest, we are committed to fostering a vibrant community where innovation thrives, and everyone can find the motivation to create a life they love. Our mission is to bring inspiration to everyone, and this begins with the talented individuals behind our innovative products. We value diversity, creativity, and a passion for making a positive impact, offering a dynamic environment where your ideas can shape the future of visual discovery and social engagement.
**About The Role**
 We are seeking a highly skilled Staff Machine Learning (ML) Engineer to join our Content Mining team. In this pivotal role, you will serve as the technical leader for a team of five engineers, including four Machine Learning Engineers (MLEs). Your primary responsibility will be to define and execute the multiquarter technical vision and roadmap for source discovery, content acquisition optimization, and content understanding. You will be deeply involved in designing, training, and deploying advanced ML systems, with a particular focus on Large Language Models (LLMs) and Natural Language Processing (NLP) techniques for content extraction and classification. Your expertise will help power Pinterest’s engaging and accurate Pins, ensuring content relevance and quality at scale. This role offers an exciting opportunity to lead innovative projects, mentor engineering talent, and collaborate across teams to deliver impactful solutions that enhance user experience and drive business growth.
**Qualifications**
* 5\+ years of experience in building end\-to\-end ML products, including at least 2 years in a technical leadership role
* Deep hands\-on expertise in NLP and LLM training and inference (preferably with PyTorch and Python)
* Proven track record of deploying models at scale with feature/data pipelines, online serving, and monitoring
* Strong software engineering skills in Python, with adherence to best practices
* Experience mentoring senior engineers and influencing cross\-functional teams
* Masters or PhD in Machine Learning, Computer Science, or related fields
* Knowledge of LLM efficiency techniques such as LoRA, adapters, distillation, quantization, and prompt caching
* Experience with MLOps tools like Airflow, Spark/Presto, Triton, and vLLM
* Ability to define and meet operational Service Level Objectives (SLOs) for data quality, model performance, and system reliability
* Strong analytical skills with a focus on experimentation, evaluation, and impact measurement
**Responsibilities**
* Own and drive the long\-term architecture, roadmap, and execution strategies for content source discovery, acquisition, and understanding systems
* Lead technical design reviews, establish engineering standards, and facilitate cross\-team alignment with Product, Data, and Infrastructure teams
* Mentor and develop the skills of MLEs through technical guidance, pairing, and code reviews
* Design, train, and fine\-tune NLP models and LLMs for classification, extraction, and instruction\-following tasks
* Create reusable features and frameworks to share across multiple models, enhancing efficiency and consistency
* Productionize models for large\-scale inference, optimizing for latency, reliability, and cost efficiency through techniques like quantization and distillation
* Establish evaluation protocols, gold standards, and automated regressions for model quality assurance
* Collaborate with labeling teams and define data standards to improve data quality and coverage
* Partner on data strategy, feedback loops, and weak supervision approaches to enhance model accuracy and coverage
* Define and monitor SLOs for data and model performance, leading incident response and postmortem analyses
* Measure and optimize the downstream impact of ML systems on revenue and user engagement
**Benefits**
* Competitive salary and comprehensive health benefits
* Flexible work arrangements with remote working options
* Opportunities for professional development and continuous learning
* Collaborative and inclusive work environment
* Access to cutting\-edge technologies and projects that make a global impact
* Generous paid time off and employee wellness programs
* Support for relocation and work\-life balance initiatives
 Equal Opportunity
 Pinterest is an equal opportunity employer and is committed to fostering an inclusive environment for all employees. We make employment decisions based on merit, qualifications, and business needs without regard to race, color, religion, gender, gender identity or expression, sexual orientation, national origin, age, disability, veteran status, or any other protected characteristic.</t>
        </is>
      </c>
    </row>
    <row r="82">
      <c r="A82" t="inlineStr">
        <is>
          <t>li-4368271736</t>
        </is>
      </c>
      <c r="B82" t="inlineStr">
        <is>
          <t>Machine Learning Engineer, Fraud</t>
        </is>
      </c>
      <c r="C82" t="inlineStr">
        <is>
          <t>Whatnot</t>
        </is>
      </c>
      <c r="D82" t="inlineStr">
        <is>
          <t>linkedin</t>
        </is>
      </c>
      <c r="E82">
        <f>HYPERLINK("https://www.linkedin.com/jobs/view/4368271736", "https://www.linkedin.com/jobs/view/4368271736")</f>
        <v/>
      </c>
      <c r="F82" t="inlineStr"/>
      <c r="G82" t="inlineStr">
        <is>
          <t>Los Angeles, CA</t>
        </is>
      </c>
      <c r="H82" t="inlineStr"/>
      <c r="I82"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 You****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83">
      <c r="A83" t="inlineStr">
        <is>
          <t>li-4331583113</t>
        </is>
      </c>
      <c r="B83" t="inlineStr">
        <is>
          <t>Senior Machine Learning Engineer, AI Product and Platform</t>
        </is>
      </c>
      <c r="C83" t="inlineStr">
        <is>
          <t>BetterUp</t>
        </is>
      </c>
      <c r="D83" t="inlineStr">
        <is>
          <t>linkedin</t>
        </is>
      </c>
      <c r="E83">
        <f>HYPERLINK("https://www.linkedin.com/jobs/view/4331583113", "https://www.linkedin.com/jobs/view/4331583113")</f>
        <v/>
      </c>
      <c r="F83" t="inlineStr"/>
      <c r="G83" t="inlineStr">
        <is>
          <t>New York, United States</t>
        </is>
      </c>
      <c r="H83" t="inlineStr"/>
      <c r="I83" t="inlineStr">
        <is>
          <t>**Let’s face it: if you’re going to build the future of human transformation, you deserve more than a paycheck.**
 You deserve a personal BetterUp Coach, the most curious teammates on the planet, and a mission that pulls you out of bed every morning. At BetterUp, we pair world\-class coaching with Generative AI to help millions live with clarity and purpose. Ready to engineer the models that make that magic feel personal?
**What You’ll Do**
* Prototype, fine\-tune, and evaluate LLM\-powered features—from conversational insights to practice\-moment nudges—using Python and Jupyter notebooks.
* Own the production lifecycle: data prep, experiment design, offline/online evaluation, and weekly pushes to prod alongside a tight squad of ML/Backend/Full Stack Engineers.
* Collaborate daily with Product, Coaching Science, and Learning Design to turn behavior\-change research into delightful user moments.
* Contribute to technical design by shaping model architectures, retrieval strategies, and safety guards—while staying hands\-on in code.
* Measure what matters: define success metrics, implement A/B tests, and iterate quickly on real coach feedback.
* Ship end\-to\-end improvements to products like FocusFrame, our AI copilot that helps coaches deliver higher\-impact sessions in real time.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Bring**
**Core**
* 4\+ years building and shipping ML systems in production, with at least 6–12 months hands\-on with LLM fine\-tuning, prompt engineering, or RAG pipelines.
* Fluency in Python for AI development and comfort working in Jupyter/IPython.
* Solid understanding of modern ML tooling (e.g., PyTorch, TensorFlow, or JAX) and containerized/cloud deployment basics.
* Clear, approachable communication with both technical peers and non\-technical partners.
* Bias toward action, curiosity, and comfort navigating ambiguity in a fast\-moving startup environment.
**Bonus (nice\-to\-have, Not Required)**
* Prior experience in coaching, learning\-science, ed\-tech, or behavior\-change domains.
* Exposure to RLHF, preference tuning, or multimodal models.
**Not sure you hit every bullet?** 
 We value growth mindsets—please apply anyway.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**$200,000 \- $275,000**
 Austin, Arlington, and Chicago:
 **$180,000 \- $247,500**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84">
      <c r="A84" t="inlineStr">
        <is>
          <t>li-4368269766</t>
        </is>
      </c>
      <c r="B84" t="inlineStr">
        <is>
          <t>Machine Learning Engineer, Fraud</t>
        </is>
      </c>
      <c r="C84" t="inlineStr">
        <is>
          <t>Whatnot</t>
        </is>
      </c>
      <c r="D84" t="inlineStr">
        <is>
          <t>linkedin</t>
        </is>
      </c>
      <c r="E84">
        <f>HYPERLINK("https://www.linkedin.com/jobs/view/4368269766", "https://www.linkedin.com/jobs/view/4368269766")</f>
        <v/>
      </c>
      <c r="F84" t="inlineStr"/>
      <c r="G84" t="inlineStr">
        <is>
          <t>Seattle, WA</t>
        </is>
      </c>
      <c r="H84" t="inlineStr"/>
      <c r="I84"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 Design, train, and deploy both traditional ML and LLM\-powered models to detect fraudulent behaviors across users, payments, and marketplace interactions.
* Lead the end\-to\-end architecture of fraud detection, prevention, and intervention systems — balancing platform security with a seamless user experience.
* Build intelligent user graphs to model behavioral patterns, collusion networks, and account connectivity.
* Develop scalable data pipelines and real\-time inference systems supporting high\-volume, low\-latency ML workloads.
* Conduct deep behavioral and adversarial data analysis to uncover fraud trends and continuously improve detection accuracy.
* Partner cross\-functionally with Trust \&amp; Safety, Payments, and Infrastructure teams to develop features, labels, and model evaluation pipelines.
* Implement model monitoring and drift detection systems to ensure reliability and responsiveness.
* Contribute to fraud risk orchestration, combining rules, models, and heuristics for decision automation.
* Define and track key metrics and dashboards for fraud detection effectiveness (e.g., precision, recall, false\-positive rate, latency).
* Stay ahead of emerging fraud tactics and continuously translate insights into adaptive, production\-ready systems.
**We offer flexibility to work from home or from one of our global office hubs, and we value in\-person time for planning, problem\-solving, and connection. Team members in this role must live within commuting distance of our SF, NYC, LA OR SEA hubs.**
****👋 You****
 Curious about who thrives at Whatnot? We’ve found that embodying a low ego, growth mindset, and high\-impact drive goes a long way here.
* Bachelor’s degree in Computer Science, a related field, or equivalent work experience.
* 2–6 years of experience in machine learning or software engineering, ideally in risk, fraud, or trust \&amp; safety domains.
* Strong proficiency in Python and ML libraries (e.g., scikit\-learn, PyTorch, LightGBM).
* Solid backend development skills and experience deploying ML models to production (batch or real\-time).
* Experience in data analysis and ETL (SQL, Spark, DBT) for data pipeline building.
* Familiarity with fraud detection techniques such as chargeback prediction, anomaly detection, or graph\-based modeling.
* Experience with data orchestration frameworks (Dagster, Kubeflow) and feature store design.
* Ability to translate business risk into measurable ML solutions and collaborate across diverse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$245K \- $345K</t>
        </is>
      </c>
    </row>
    <row r="85">
      <c r="A85" t="inlineStr">
        <is>
          <t>li-4366887366</t>
        </is>
      </c>
      <c r="B85" t="inlineStr">
        <is>
          <t>Senior Machine Learning Engineer, AI Product and Platform</t>
        </is>
      </c>
      <c r="C85" t="inlineStr">
        <is>
          <t>BetterUp</t>
        </is>
      </c>
      <c r="D85" t="inlineStr">
        <is>
          <t>linkedin</t>
        </is>
      </c>
      <c r="E85">
        <f>HYPERLINK("https://www.linkedin.com/jobs/view/4366887366", "https://www.linkedin.com/jobs/view/4366887366")</f>
        <v/>
      </c>
      <c r="F85" t="inlineStr"/>
      <c r="G85" t="inlineStr">
        <is>
          <t>San Francisco, CA</t>
        </is>
      </c>
      <c r="H85" t="inlineStr"/>
      <c r="I85" t="inlineStr">
        <is>
          <t>**Let’s face it: if you’re going to build the future of human transformation, you deserve more than a paycheck.**
 You deserve a personal BetterUp Coach, the most curious teammates on the planet, and a mission that pulls you out of bed every morning. At BetterUp, we pair world\-class coaching with Generative AI to help millions live with clarity and purpose. Ready to engineer the models that make that magic feel personal?
**What You’ll Do**
* Prototype, fine\-tune, and evaluate LLM\-powered features—from conversational insights to practice\-moment nudges—using Python and Jupyter notebooks.
* Own the production lifecycle: data prep, experiment design, offline/online evaluation, and weekly pushes to prod alongside a tight squad of ML/Backend/Full Stack Engineers.
* Collaborate daily with Product, Coaching Science, and Learning Design to turn behavior\-change research into delightful user moments.
* Contribute to technical design by shaping model architectures, retrieval strategies, and safety guards—while staying hands\-on in code.
* Measure what matters: define success metrics, implement A/B tests, and iterate quickly on real coach feedback.
* Ship end\-to\-end improvements to products like FocusFrame, our AI copilot that helps coaches deliver higher\-impact sessions in real time.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Bring**
**Core**
* 4\+ years building and shipping ML systems in production, with at least 6–12 months hands\-on with LLM fine\-tuning, prompt engineering, or RAG pipelines.
* Fluency in Python for AI development and comfort working in Jupyter/IPython.
* Solid understanding of modern ML tooling (e.g., PyTorch, TensorFlow, or JAX) and containerized/cloud deployment basics.
* Clear, approachable communication with both technical peers and non\-technical partners.
* Bias toward action, curiosity, and comfort navigating ambiguity in a fast\-moving startup environment.
**Bonus (nice\-to\-have, Not Required)**
* Prior experience in coaching, learning\-science, ed\-tech, or behavior\-change domains.
* Exposure to RLHF, preference tuning, or multimodal models.
**Not sure you hit every bullet?** 
 We value growth mindsets—please apply anyway.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**$200,000 \- $275,000**
 Austin, Arlington, and Chicago:
 **$180,000 \- $247,500**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86">
      <c r="A86" t="inlineStr">
        <is>
          <t>li-4355887904</t>
        </is>
      </c>
      <c r="B86" t="inlineStr">
        <is>
          <t>AI/ML Engineer / Defence / $500k+ / NYC</t>
        </is>
      </c>
      <c r="C86" t="inlineStr">
        <is>
          <t>Open Talent</t>
        </is>
      </c>
      <c r="D86" t="inlineStr">
        <is>
          <t>linkedin</t>
        </is>
      </c>
      <c r="E86">
        <f>HYPERLINK("https://www.linkedin.com/jobs/view/4355887904", "https://www.linkedin.com/jobs/view/4355887904")</f>
        <v/>
      </c>
      <c r="F86" t="inlineStr"/>
      <c r="G86" t="inlineStr">
        <is>
          <t>New York, United States</t>
        </is>
      </c>
      <c r="H86" t="inlineStr"/>
      <c r="I86" t="inlineStr">
        <is>
          <t>**Senior AI/ML Engineer \- (LLMs / RAG / Agentic Systems) \- Aerospace \- NYC \- $500k\+ Equity** 
 We’re hiring for a world class team at one of the fastest growing \&amp; most innovative
 **next\-gen aerospace AI companies** 
 in North America. They're building
 **LLMs, RAG \&amp; high\-performance AI systems** 
 to power mission\-critical operations in defence \&amp; space.
**Only the top 0\.1% of America's AI Engineers can do this.** 
 If you’ve built real mission critical LLM systems that can’t fail \- this could be your next move.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$500,000\+ base salary \+ equity
* Hybrid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87">
      <c r="A87" t="inlineStr">
        <is>
          <t>li-4368851273</t>
        </is>
      </c>
      <c r="B87" t="inlineStr">
        <is>
          <t>Machine Learning Engineer</t>
        </is>
      </c>
      <c r="C87" t="inlineStr">
        <is>
          <t>Skywaves Rise</t>
        </is>
      </c>
      <c r="D87" t="inlineStr">
        <is>
          <t>linkedin</t>
        </is>
      </c>
      <c r="E87">
        <f>HYPERLINK("https://www.linkedin.com/jobs/view/4368851273", "https://www.linkedin.com/jobs/view/4368851273")</f>
        <v/>
      </c>
      <c r="F87" t="inlineStr"/>
      <c r="G87" t="inlineStr">
        <is>
          <t>New York, United States</t>
        </is>
      </c>
      <c r="H87" t="inlineStr"/>
      <c r="I87" t="inlineStr">
        <is>
          <t>**Required skills** 
* 8\+ years for Sr GenAI Engineer and 10\+ years for Staff/Principal GenAI Engineer, of professional experience in building Machine Learning models \&amp; systems
* 3\+ years of hands\-on experience in how LLMs work \&amp; Generative AI (LLM) techniques particularly prompt engineering, RAG, and agents.
* Expert proficiency in programming skills in Python, Langchain/Langgraph and SQL is a must.
* Understanding of Cloud services from various cloud services from Azure, GCP, or AWS for building the GenAI applications
* Excellent communication skills to effectively collaborate with business SMEs
**Roles \&amp; Responsibilities** 
* **Develop and optimize LLM\-based solutions** 
 : Lead the design, training, fine\-tuning, and deployment of large language models, leveraging techniques like prompt engineering, retrieval\-augmented generation (RAG), and agent\-based architectures.
* **Codebase ownership** 
 : Maintain high\-quality, efficient code in Python (using frameworks like LangChain/LangGraph) and SQL, focusing on reusable components, scalability, and performance best practices.
* **Cloud integration** 
 : Aide in deployment of GenAI applications on cloud platforms (Azure, GCP, or AWS), optimizing resource usage and ensuring robust CI/CD processes.
* **Cross\-functional collaboration** 
 : Work closely with product owners, data scientists, and business SMEs to define project requirements, translate technical details, and deliver impactful AI products.
* **Mentoring and guidance** 
 : Provide technical leadership and knowledge\-sharing to the engineering team, fostering best practices in machine learning and large language model development.
* **Continuous innovation** 
 : Stay abreast of the latest advancements in LLM research and generative AI, proposing and experimenting with emerging techniques to drive ongoing improvements in model performance.</t>
        </is>
      </c>
    </row>
    <row r="88">
      <c r="A88" t="inlineStr">
        <is>
          <t>li-4328735226</t>
        </is>
      </c>
      <c r="B88" t="inlineStr">
        <is>
          <t>Senior Machine Learning Engineer, Perception LLM/VLM</t>
        </is>
      </c>
      <c r="C88" t="inlineStr">
        <is>
          <t>Waymo</t>
        </is>
      </c>
      <c r="D88" t="inlineStr">
        <is>
          <t>linkedin</t>
        </is>
      </c>
      <c r="E88">
        <f>HYPERLINK("https://www.linkedin.com/jobs/view/4328735226", "https://www.linkedin.com/jobs/view/4328735226")</f>
        <v/>
      </c>
      <c r="F88" t="inlineStr"/>
      <c r="G88" t="inlineStr">
        <is>
          <t>San Francisco, CA</t>
        </is>
      </c>
      <c r="H88" t="inlineStr"/>
      <c r="I88" t="inlineStr">
        <is>
          <t>Waymo is an autonomous driving technology company with the mission to be the world's most trusted driver. Since its start as the Google Self\-Driving Car Project in 2009, Waymo has focused on building the Waymo Driver—The World's Most Experienced Driver™—to improve access to mobility while saving thousands of lives now lost to traffic crashes. The Waymo Driver powers Waymo’s fully autonomous ride\-hail service and can also be applied to a range of vehicle platforms and product use cases. The Waymo Driver has provided over ten million rider\-only trips, enabled by its experience autonomously driving over 100 million miles on public roads and tens of billions in simulation across 15\+ U.S. states.
 The Perception team builds the system which learns the spatial\-temporal representation and their semantic meanings of the surrounding environment of the autonomously driving vehicle (ADV), i.e., the system that “perceives” the world around the car. We work jointly with downstream teams on the optimization and integration into the Waymo Driver. We conduct our own research to address real\-world problems and collaborate with research teams at Alphabet. We have access to millions of miles of driving data from a diverse set of sensors, enabling engineers like you to (1\) develop methods for efficiently and continuously learning from large scale real\-world data, to (2\) develop models and model training at scale, to (3\) analyze real\-world behavior and develop systems for handling the complexities of interacting with the real\-world, and (4\) optimize models for our onboard and offboard hardware.
**You Will**
* Design, implement, and optimize large\-scale continual pre\-training pipelines for cutting\-edge VLM foundation models.
* Conduct research and development on novel pre\-training techniques, focusing on efficiently integrating new, diverse, and multimodal data streams (e.g., visual data from different sensors) into existing models.
* Develop and rigorously evaluate metrics and methodologies for measuring the performance, and transferability of continually pre\-trained foundation models in the context of autonomous driving.
* Stay current with the latest advancements in large language models, vision\-language models, and continual learning, and translate relevant research into production\-ready systems.
**You Have**
* 5\+ years of experience in Machine Learning, with a focus on large\-scale model development (LLM, VLM, or similar foundation models).
* Proven expertise in LLM/VLM pre\-training, continual learning with large scale datasets.
* Strong coding proficiency in Python and deep learning frameworks (e.g., Jax, TensorFlow, PyTorch).
* Hands\-on experience with model training, evaluation, and deployment in a production environment.
* Master's degree in Computer Science, Electrical Engineering, or a related field, or equivalent practical experience.
**We Prefer**
* Experience in fine\-tuning foundation models for autonomous driving or robotics applications
* Familiarity with large\-scale data curation and quality assurance processes for multimodal datasets.
* Background in autonomous vehicle perception, motion planning, or decision\-making systems.
* Publications in top\-tier machine learning or computer vision conferences (e.g., NeurIPS, ICML, CVPR, ICCV, ECCV).
* PhD in a relevant field.
 The expected base salary range for this full\-time position across US locations is listed below. Actual starting pay will be based on job\-related factors, including exact work location, experience, relevant training and education, and skill level. Your recruiter can share more about the specific salary range for the role location or, if the role can be performed remote, the specific salary range for your preferred location, during the hiring process.
 Waymo employees are also eligible to participate in Waymo’s discretionary annual bonus program, equity incentive plan, and generous Company benefits program, subject to eligibility requirements.
 Salary Range
 $204,000—$259,000 USD</t>
        </is>
      </c>
    </row>
    <row r="89">
      <c r="A89" t="inlineStr">
        <is>
          <t>li-4357716661</t>
        </is>
      </c>
      <c r="B89" t="inlineStr">
        <is>
          <t>Senior Machine Learning Engineer</t>
        </is>
      </c>
      <c r="C89" t="inlineStr">
        <is>
          <t>MRJ Recruitment</t>
        </is>
      </c>
      <c r="D89" t="inlineStr">
        <is>
          <t>linkedin</t>
        </is>
      </c>
      <c r="E89">
        <f>HYPERLINK("https://www.linkedin.com/jobs/view/4357716661", "https://www.linkedin.com/jobs/view/4357716661")</f>
        <v/>
      </c>
      <c r="F89" t="inlineStr"/>
      <c r="G89" t="inlineStr"/>
      <c r="H89" t="inlineStr"/>
      <c r="I89" t="inlineStr">
        <is>
          <t>**Senior Machine Learning Engineer** 
 Remote · United States
 $190,000 to $260,000 base \+ bonus \+ equity
 Not a lab. Not a consulting gig. Not a place where models live in slide decks.
 This is a product engineering environment where machine learning is already live in production and used daily by thousands of customers.
 We’re partnered with a well\-funded, high\-growth US technology business building intelligent software into the core of its platform. They’re scaling fast, investing heavily in data and ML, and hiring senior engineers who want to own real systems, not just experiments.
 You’ll join a small, experienced team with genuine autonomy and a say in technical direction.
**The role:** 
 As a Senior Machine Learning Engineer, you’ll design and ship production ML systems end to end.
 That means more than modelling.
 You’ll build the infrastructure around it too. The pipelines, tooling and platforms that make machine learning reliable, scalable and repeatable across the business.
**Typical work looks like:** 
* Deploying models that serve millions of predictions with low latency
* Building feature stores, training pipelines and CI/CD for ML
* Improving model performance, reliability and observability in production
* Partnering with backend and product teams to embed ML directly into customer journeys
* Reducing inference cost and scaling distributed systems efficiently
* Setting best practices and mentoring other engineers
 It’s messy, real\-world engineering. Ambiguous data. Live users. Tight feedback loops.
 If you like seeing your work land in production quickly and actually get used, you’ll enjoy this environment.
**What they’re looking for:** 
* 5\+ years in ML engineering or applied machine learning roles
* Strong Python skills and experience with PyTorch, TensorFlow or similar
* Experience shipping models into production, not just research
* Solid software engineering fundamentals (APIs, testing, system design, cloud infra)
* Comfortable owning problems end to end
* Bonus: MLOps, platform engineering, or high\-scale systems experience
**Interested?** 
 Apply or reach out to the team at
 **MRJ Recruitment** 
 for a confidential chat about the opportunity and other ML roles we’re supporting across the US market.</t>
        </is>
      </c>
    </row>
    <row r="90">
      <c r="A90" t="inlineStr">
        <is>
          <t>li-4316647295</t>
        </is>
      </c>
      <c r="B90" t="inlineStr">
        <is>
          <t>Senior Machine Learning Engineer, AI Product and Platform</t>
        </is>
      </c>
      <c r="C90" t="inlineStr">
        <is>
          <t>BetterUp</t>
        </is>
      </c>
      <c r="D90" t="inlineStr">
        <is>
          <t>linkedin</t>
        </is>
      </c>
      <c r="E90">
        <f>HYPERLINK("https://www.linkedin.com/jobs/view/4316647295", "https://www.linkedin.com/jobs/view/4316647295")</f>
        <v/>
      </c>
      <c r="F90">
        <f>HYPERLINK("https://jobs.ashbyhq.com/betterup/26e04a95-68ed-4cea-a016-bf13af5dab86?utm_source=linkedin_promoted&amp;urlHash=JVyA", "https://jobs.ashbyhq.com/betterup/26e04a95-68ed-4cea-a016-bf13af5dab86?utm_source=linkedin_promoted&amp;urlHash=JVyA")</f>
        <v/>
      </c>
      <c r="G90" t="inlineStr">
        <is>
          <t>Arlington, VA</t>
        </is>
      </c>
      <c r="H90" t="inlineStr"/>
      <c r="I90" t="inlineStr">
        <is>
          <t>**Let’s face it: if you’re going to build the future of human transformation, you deserve more than a paycheck.**
 You deserve a personal BetterUp Coach, the most curious teammates on the planet, and a mission that pulls you out of bed every morning. At BetterUp, we pair world\-class coaching with Generative AI to help millions live with clarity and purpose. Ready to engineer the models that make that magic feel personal?
**What You’ll Do**
* Prototype, fine\-tune, and evaluate LLM\-powered features—from conversational insights to practice\-moment nudges—using Python and Jupyter notebooks.
* Own the production lifecycle: data prep, experiment design, offline/online evaluation, and weekly pushes to prod alongside a tight squad of ML/Backend/Full Stack Engineers.
* Collaborate daily with Product, Coaching Science, and Learning Design to turn behavior\-change research into delightful user moments.
* Contribute to technical design by shaping model architectures, retrieval strategies, and safety guards—while staying hands\-on in code.
* Measure what matters: define success metrics, implement A/B tests, and iterate quickly on real coach feedback.
* Ship end\-to\-end improvements to products like FocusFrame, our AI copilot that helps coaches deliver higher\-impact sessions in real time.
**We are a hybrid company with a focus on in\-person collaboration when necessary. Employees are expected to be available to work from one of our office hubs at least two days per week, or eight days per month. Our US hub locations include: Austin, TX; New York City, NY; San Francisco, CA; and the Arlington, VA metro area. Please ensure you can realistically commit to this structure before applying.**
**What You’ll Bring**
**Core**
* 4\+ years building and shipping ML systems in production, with at least 6–12 months hands\-on with LLM fine\-tuning, prompt engineering, or RAG pipelines.
* Fluency in Python for AI development and comfort working in Jupyter/IPython.
* Solid understanding of modern ML tooling (e.g., PyTorch, TensorFlow, or JAX) and containerized/cloud deployment basics.
* Clear, approachable communication with both technical peers and non\-technical partners.
* Bias toward action, curiosity, and comfort navigating ambiguity in a fast\-moving startup environment.
**Bonus (nice\-to\-have, Not Required)**
* Prior experience in coaching, learning\-science, ed\-tech, or behavior\-change domains.
* Exposure to RLHF, preference tuning, or multimodal models.
**Not sure you hit every bullet?** 
 We value growth mindsets—please apply anyway.
**AI at BetterUp**
 Our team thrives at the intersection of human expertise and AI capability. As an AI\-forward company, adaptation and continuous learning are part of our daily work. We're looking for teammates who are excited to evolve alongside technology – people who experiment boldly, share their discoveries openly, and help define best practices for AI\-augmented work. These professionals thoughtfully integrate AI into their work to deliver exceptional results while maintaining the human judgment and creativity that drives real innovation. During our interview process, you’ll have opportunities to showcase how you harness AI to learn, iterate, and amplify your impact.
**Benefits**
 At BetterUp, we are committed to living out our mission every day and that starts with providing benefits that allow our employees to care for themselves, support their families, and give back to their community.
* Access to BetterUp coaching; one for you and one for a friend or family member
* A competitive compensation plan with opportunity for advancement
* Medical, dental, and vision insurance
* Flexible paid time off
* Per year:
+ All federal/statutory holidays observed
+ 4 BetterUp Inner Workdays (https://www.betterup.co/inner\-work)
+ 5 Volunteer Days to give back
+ Learning and Development stipend
+ Company wide Summer \&amp; Winter breaks
* Year\-round charitable contribution of your choice on behalf of BetterUp
* 401(k) self contribution
 We are dedicated to building diverse teams that fuel an authentic workplace and sense of belonging for each and every employee. We know applying for a job can be intimidating, please don’t hesitate to reach out — we encourage everyone interested in joining us to apply.
 BetterUp Inc. provides equal employment opportunities (EEO) to all employees and applicants for employment without regard to race, color, religion, sex, national origin, disability, genetics, gender, sexual orientation, age, marital status, veteran status. In addition to federal law requirements, BetterUp Inc. complies with applicable state and local laws governing nondiscrimination in employment in every location in which the company has facilities. This policy applies to all terms and conditions of employment, including recruiting, hiring, placement, promotion, termination, layoff, recall, transfer, leaves of absence, compensation, and training.
 At BetterUp, we compensate our employees fairly for their work. Base salary is determined by job\-related experience, education/training, residence location, as well as market indicators. The range below is representative of base salary only and does not include equity, sales bonus plans (when applicable) and benefits. This range may be modified in the future.
 The base salary range for this role is as follows:
 New York City and San Francisco:
 **$200,000 \- $275,000**
 Austin, Arlington, and Chicago:
 **$180,000 \- $247,500**
*Protecting your privacy and treating your personal information with care is very important to us, and central to the entire BetterUp family. By submitting your application, you acknowledge that your personal information will be processed in accordance with our* 
*Applicant Privacy Notice* 
*. If you have any questions about the privacy of your personal information or your rights with regards to your personal information, please reach out to support@betterup.co*</t>
        </is>
      </c>
    </row>
    <row r="91">
      <c r="A91" t="inlineStr">
        <is>
          <t>li-4357716544</t>
        </is>
      </c>
      <c r="B91" t="inlineStr">
        <is>
          <t>AI Engineer</t>
        </is>
      </c>
      <c r="C91" t="inlineStr">
        <is>
          <t>Infosys</t>
        </is>
      </c>
      <c r="D91" t="inlineStr">
        <is>
          <t>linkedin</t>
        </is>
      </c>
      <c r="E91">
        <f>HYPERLINK("https://www.linkedin.com/jobs/view/4357716544", "https://www.linkedin.com/jobs/view/4357716544")</f>
        <v/>
      </c>
      <c r="F91">
        <f>HYPERLINK("https://digitalcareers.infosys.com/infosys/global-careers/apply-ai-engineer/520824?Codes=LinkedIn&amp;urlHash=OQ8y", "https://digitalcareers.infosys.com/infosys/global-careers/apply-ai-engineer/520824?Codes=LinkedIn&amp;urlHash=OQ8y")</f>
        <v/>
      </c>
      <c r="G91" t="inlineStr">
        <is>
          <t>Bridgewater, NJ</t>
        </is>
      </c>
      <c r="H91" t="inlineStr"/>
      <c r="I91" t="inlineStr">
        <is>
          <t>**Infosys Limited is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Candidate must be located within commuting distance of Bridgewater, NJ or be willing to relocate to the area.
* At least 2 years of experience in Information Technology
* Proficiency in Python, SQL, and machine learning frameworks such as scikit\-learn, TensorFlow, or PyTorch, NLP
* Candidates authorized to work for any employer in the United States without employer\-based visa sponsorship are welcome to apply. Infosys is unable to provide immigration sponsorship for this role at this time
**Preferred Qualifications**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
 The job entails sitting as well as working at a computer for extended periods of time. Should be able to communicate by telephone, email or face to face. Travel may be required as per the job requirements.
 Along with competitive pay, as a full\-time Infosys employee you are also eligible for the following benefits :\-
* Medical/Dental/Vision/Life Insurance
* Long\-term/Short\-term Disability
* Health and Dependent Care Reimbursement Accounts
* Insurance (Accident, Critical Illness, Hospital Indemnity, Legal)
* 401(k) plan and contributions dependent on salary level
* Paid holidays plus Paid Time Off
**About Us**
 Infosys is a global leader in next\-generation digital services and consulting. We enable clients in more than 50 countries to navigate their digital transformation. With over four decades of experience in managing the systems and workings of global enterprises, we expertly steer our clients through their digital journey. We do it by enabling the enterprise with an AI\-powered core that helps prioritize the execution of change. We also empower the business with agile digital at scale to deliver unprecedented levels of performance and customer delight. Our always\-on learning agenda drives their continuous improvement through building and transferring digital skills, expertise, and ideas from our innovation ecosystem.
**Infosys provides equal employment opportunities to applicants and employees without regard to race; color; sex; gender identity; sexual orientation; religious practices and observances; national origin; pregnancy, childbirth, or related medical conditions; status as a protected veteran or spouse/family member of a protected veteran; or disability.**</t>
        </is>
      </c>
    </row>
    <row r="92">
      <c r="A92" t="inlineStr">
        <is>
          <t>li-4368268064</t>
        </is>
      </c>
      <c r="B92" t="inlineStr">
        <is>
          <t>Data &amp; Applied Machine Learning Engineer</t>
        </is>
      </c>
      <c r="C92" t="inlineStr">
        <is>
          <t>LHH</t>
        </is>
      </c>
      <c r="D92" t="inlineStr">
        <is>
          <t>linkedin</t>
        </is>
      </c>
      <c r="E92">
        <f>HYPERLINK("https://www.linkedin.com/jobs/view/4368268064", "https://www.linkedin.com/jobs/view/4368268064")</f>
        <v/>
      </c>
      <c r="F92" t="inlineStr"/>
      <c r="G92" t="inlineStr">
        <is>
          <t>Irvine, CA</t>
        </is>
      </c>
      <c r="H92" t="inlineStr"/>
      <c r="I92" t="inlineStr">
        <is>
          <t>**Data and Applied Machine Learning Engineer** 
**Location:** 
 Irvine, CA
**Schedule:** 
 Onsite (hybrid schedule similar to engineering team norms)
**Employment Type:** 
 Full Time, Permanent
**Compensation:** 
 150,000 to 175,000 base plus 5 percent AIP bonus
**About the Opportunity** 
 A growing engineering organization in Irvine is seeking a
 **Data and Applied Machine Learning Engineer** 
 to join a collaborative, cross functional team. This position combines high level data engineering with applied ML ownership and offers the chance to work closely with a recently acquired AI division focused on computer vision and machine learning.
 This role is a backfill that has evolved from a traditional data engineering position into a hybrid data and ML role with end to end ownership of pipelines, modeling workflows, and data quality for production systems.
**What You Will Do** 
**Data Platform, Pipelines, and Quality (Primary Focus)** 
* Design, build, and operate scalable ELT and ETL pipelines ingesting data from IoT devices, smart cart telemetry, video events, operational systems, and external partners
* Build and maintain cloud based data infrastructure including SQL and NoSQL databases, data warehouses, and integration systems
* Create and maintain canonical data models including schemas, taxonomies, KPIs, and event structures
* Implement robust data quality practices including validation rules, automated tests, anomaly detection, monitoring, and alerting
* Improve consistency across data producing systems through naming standards, identifiers, timestamps, joins, and deduplication
* Perform root cause analysis on pipeline issues and implement durable, long term fixes
* Partner with BI and Product teams to build curated datasets, semantic layers, and internal dashboards for visibility into system health
**Applied Machine Learning Ownership (Secondary Focus)** 
* Own the end to end production lifecycle of a smart cart classification model including data collection, labeling, evaluation, threshold tuning, and safe deployment
* Build and optimize ML pipelines for feature engineering, model training, deployment, and monitoring in production
* Create and maintain evaluation frameworks including repeatable test sets and offline metrics
* Monitor model performance for accuracy drift, data drift, and classification error patterns
* Collaborate with a separate ML team to incorporate model improvements while maintaining stability in production environments
* Work closely with software and systems engineers to integrate the classifier cleanly into product workflows with strong telemetry, logging, and operational documentation
**Required Qualifications** 
* Bachelor’s degree in Computer Science, Software Engineering, Information Systems, Mathematics, Statistics, or related field
* 5 plus years of experience in data engineering or ML engineering
* Strong fluency in
 **SQL** 
 and
 **Python**
* Proven experience building and operating production ELT and ETL pipelines
* Experience with cloud platforms
 **Azure or GCP**
* Hands on experience with orchestration or transformation tools such as Airflow or Prefect
* Experience with Spark, Databricks, or similar batch processing frameworks
* Strong understanding of data modeling, governance, quality practices, and lineage
* Ability to troubleshoot data issues, collaborate with operations teams, and implement production ready solutions
* Strong analytical communication and problem solving abilities
* Must be a
 **US Citizen or Green Card holder**
**Personality Fit** 
* Proactive and comfortable working autonomously
* Communicative and collaborative across engineering, product, and analytics teams
* Analytical mindset with a focus on delivering clear business insights
**Benefit Details** 
* Standard benefits package including medical, dental, PTO, and a 5 percent annual incentive bonus
 Equal Opportunity Employer/Veterans/Disabled
 To read our Candidate Privacy Information Statement, which explains how we will use your information, please navigate to https://www.lhh.com/us/en/candidate\-privacy
 The Company will consider qualified applicants with arrest and conviction records in accordance with federal, state, and local laws and/or security clearance requirements, including, as applicable:
 • The California Fair Chance Act
 • Los Angeles City Fair Chance Ordinance
 • Los Angeles County Fair Chance Ordinance for Employers
 • San Francisco Fair Chance Ordinance</t>
        </is>
      </c>
    </row>
    <row r="93">
      <c r="A93" t="inlineStr">
        <is>
          <t>li-4368817379</t>
        </is>
      </c>
      <c r="B93" t="inlineStr">
        <is>
          <t>Staff Machine Learning Engineer (Platform - Risk AI/ML)</t>
        </is>
      </c>
      <c r="C93" t="inlineStr">
        <is>
          <t>Coinbase</t>
        </is>
      </c>
      <c r="D93" t="inlineStr">
        <is>
          <t>linkedin</t>
        </is>
      </c>
      <c r="E93">
        <f>HYPERLINK("https://www.linkedin.com/jobs/view/4368817379", "https://www.linkedin.com/jobs/view/4368817379")</f>
        <v/>
      </c>
      <c r="F93" t="inlineStr"/>
      <c r="G93" t="inlineStr">
        <is>
          <t>San Francisco, CA</t>
        </is>
      </c>
      <c r="H93" t="inlineStr"/>
      <c r="I93"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**About the Role** 
 We are looking for a 
 **Staff Machine Learning Engineer** 
  to join our Risk AI/ML team. We are dedicated to building the sophisticated models that protect our customers and make Coinbase the most trusted platform in crypto. Your work will directly prevent fraud, account takeovers, and scams, while enabling future products like instant guest checkout and Coinbase Cards. This is a hands\-on technical role where you will leverage our cutting\-edge, self\-service ML platform to rapidly design, deploy, and iterate on the models that defend millions of users.
**What you’ll be doing:** 
* **Own a Critical Risk Domain:** 
  Take full technical ownership of a core problem space, such as Scams or Account Takeover. You will design, build, and lead the strategy for all models in this domain.
* **Architect and Design Systems:** 
  Lead the system design and architecture for new, complex, cross\-team risk detection models. This includes everything from feature pipeline design to model selection (e.g., GNNs, LSTMs, LLMs) and high\-performance serving.
* **Drive the Technical Roadmap:** 
  You will be the primary technical voice influencing at an organizational level. Work with Product, Ops, and other stakeholders to translate ambiguous business needs into a clear technical roadmap. You will be the primary technical voice defining the "how."
* **Mentor and Lead:** 
  Act as a
 senior technical leader and mentor for other senior (IC5\), mid\-level, and junior engineers on the team.
* **Apply Advanced ML:** 
  Apply modern methodologies (e.g., deep learning, NLP, Graph Neural Networks (GNNs), sequence modeling, and LLMs for NLP and conversational agents) to solve complex, crypto\-native challenges.
* **Build Context\-Aware Risk Systems:** 
  Architect the adaptive logic that decides 
 *which* 
  friction (a quiz, an LLM agent, a human review) to apply to 
 *which* 
  user, balancing security with user experience.
**What we look for:** 
* 8\+ years of professional experience in software engineering and/or AI/ML, with experience deploying AI/ML systems into production.
* Proven track record of technical leadership, including leading small teams or pods and designing and deploying large\-scale, cross\-team ML systems from scratch.
* A commitment to building an open financial system and a strong desire to protect users from fraud and scams.
* You embody our core cultural values: add positive energy, communicate clearly, be curious, and be a builder.
* Deep expertise in applied AI/ML techniques (e.g., Risk ML, deep learning, NLP, recommender systems, anomaly detection); with required prior domain experience in Payment Risk, Credit Risk, or Identity Risk / Account Takeover / Scams.
* Expert\-level coding skills (e.g., Python) and deep experience with AI/ML frameworks (TensorFlow, PyTorch). Experience in building backend systems with a focus on data processing or analytics is a plus.
* Ability to work collaboratively on technical initiatives and contribute to impactful AI/ML solutions.
* Strong communication skills, with the ability to convey technical concepts to both technical and non\-technical audiences.
**Nice to Haves:** 
* Master’s / Ph.D in Computer Science, AI/ML, Data Science, or a related field.
* Familiarity with modern data and AI/ML infrastructure (e.g., Feature Stores like Tecton, Model Serving like RayServe, Apache Airflow, Spark, Kafka).
* Experience with Graph Neural Networks (GNNs) or Sequential Models (like LSTMs).
* Experience with LLMs (NLP, fine\-tuning, agentic systems) or Reinforcement Learning.
* Understanding of MLOps best practices, including monitoring and improving production models.
* Experience with data analysis and visualization tools.
 Job \#: P75020
 Pay Transparency Notice: Depending on your work location, the target annual base salary for this position can range as detailed below. Full time offers from Coinbase also include bonus eligibility \+ equity eligibility \+ benefits (including medical, dental, vision and 401(k)).
 Base salary range shown. Total compensation also includes equity and bonus eligibility and benefits:: $218,025 USD \- $256,500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94">
      <c r="A94" t="inlineStr">
        <is>
          <t>li-4368814999</t>
        </is>
      </c>
      <c r="B94" t="inlineStr">
        <is>
          <t>Senior Machine Learning Engineer - I  (MLOps/LLMOps)</t>
        </is>
      </c>
      <c r="C94" t="inlineStr">
        <is>
          <t>Sumo Logic</t>
        </is>
      </c>
      <c r="D94" t="inlineStr">
        <is>
          <t>linkedin</t>
        </is>
      </c>
      <c r="E94">
        <f>HYPERLINK("https://www.linkedin.com/jobs/view/4368814999", "https://www.linkedin.com/jobs/view/4368814999")</f>
        <v/>
      </c>
      <c r="F94">
        <f>HYPERLINK("https://job-boards.greenhouse.io/sumologic/jobs/7584291?gh_src=45c8c7f91+&amp;urlHash=gwnT", "https://job-boards.greenhouse.io/sumologic/jobs/7584291?gh_src=45c8c7f91+&amp;urlHash=gwnT")</f>
        <v/>
      </c>
      <c r="G94" t="inlineStr">
        <is>
          <t>Redwood City, CA</t>
        </is>
      </c>
      <c r="H94" t="inlineStr"/>
      <c r="I94" t="inlineStr">
        <is>
          <t>**Senior Machine Learning Engineer \- I (MLOps/LLMOps)**
 As a Senior Machine Learning Engineer \- MLOps/LLMOps, you will design, build, and scale production\-grade infrastructure and platforms that enable the full lifecycle of ML and LLM systems. You'll architect robust pipelines for model training, evaluation, deployment, and monitoring while ensuring reliability, observability, and efficiency at scale. This role collaborates closely with ML Engineers, Data Scientists, and Product teams to operationalize AI/ML solutions from prototype to production.
**Responsibilities**
 Platform \&amp; Infrastructure
* Design and implement scalable MLOps/LLMOps platforms supporting the full ML lifecycle: data versioning, model training, evaluation, deployment, and monitoring
* Build and maintain CI/CD pipelines for ML models and LLM applications with automated testing, validation, and rollback capabilities
* Develop infrastructure\-as\-code (IaC) for reproducible, version\-controlled ML environments
* Architect model serving infrastructure with auto\-scaling, A/B testing, and canary deployment capabilities
 LLM Operations
* Build platforms for LLM fine\-tuning, prompt management, and experimentation at scale
* Implement evaluation frameworks for LLM performance, quality, safety, and cost optimization
* Design and deploy enterprise\-grade AI agents and copilots with robust monitoring and guardrails
* Establish LLM observability: token usage tracking, latency monitoring, prompt/response logging, and cost attribution
 Operational Excellence
* Own uptime, reliability, and performance of ML/LLM services (SLIs/SLOs)
* Implement comprehensive monitoring, alerting, and incident response for ML systems
* Participate in on\-call rotations and drive post\-incident reviews to improve system resilience
* Build automation and tooling to reduce toil and accelerate ML development velocity
 Collaboration \&amp; Leadership
* Partner with ML Engineers and Data Scientists to translate research into production\-ready systems
* Collaborate with platform and infrastructure teams on cloud architecture and resource optimization
* Mentor team members on MLOps best practices, production ML patterns, and operational excellence
* Drive technical decisions on tooling, frameworks, and architectural patterns
**Required Qualifications And Skills**
* Education: B.S./M.S./Ph.D. in Computer Science, Engineering, or related technical field
* Experience: 4\+ years of software engineering experience with 2\+ years focused on MLOps/LLMOps
* MLOps Expertise:
+ Production experience with ML model serving frameworks (e.g., TensorFlow Serving, TorchServe, Triton)
+ Hands\-on with ML experiment tracking and model registry tools (MLflow, Weights \&amp; Biases, Kubeflow)
+ Proficiency in workflow orchestration (Airflow, Prefect, Kubeflow Pipelines, Metaflow)
* LLMOps Expertise:
+ Experience with LLM deployment, fine\-tuning, and evaluation frameworks (e.g., vLLM, LangChain, LlamaIndex)
+ Knowledge of prompt engineering, RAG architectures, and LLM application patterns
+ Familiarity with LLM observability tools (e.g., LangSmith, Arize, WhyLabs)
* Cloud \&amp; Infrastructure:
+ Strong experience with major cloud providers (AWS, GCP, or Azure) and ML\-specific services (SageMaker, Vertex AI, Azure ML, Bedrock)
+ Proficiency in containerization (Docker, Kubernetes) and infrastructure\-as\-code (Terraform, CloudFormation, Pulumi)
+ Experience with microservices architecture and API development (REST, gRPC)
* Software Engineering:
+ Strong programming skills in Python, terraform and Helm; familiarity with Go, Java, or Rust is a plus
+ Deep understanding of CI/CD practices and tools (GitHub Actions, GitLab CI, Jenkins, ArgoCD)
+ Experience with monitoring and observability stacks (Prometheus, Grafana, DataDog, ELK)
* Operational Excellence:
+ Track record of managing production systems with defined SLIs/SLOs
+ Experience with on\-call rotations, incident management, and reliability engineering practices
**Desired Qualifications And Skills**
* Experience building internal ML platforms or developer tooling used by multiple teams
* Hands\-on with distributed training frameworks (Ray, Horovod, DeepSpeed)
* Knowledge of model optimization techniques (quantization, distillation, pruning)
* Familiarity with feature stores (Feast, Tecton) and data versioning tools (DVC, LakeFS)
* Understanding of ML security best practices, model governance, and compliance requirements
* Experience with cost optimization and resource management for large\-scale ML workloads
* Contributions to open\-source MLOps/LLMOps projects
* Background in applied ML or data science with practical model development experience
**About Us**
 Sumo Logic, Inc. helps make the digital world secure, fast, and reliable by unifying critical security and operational data through its Intelligent Operations Platform. Built to address the increasing complexity of modern cybersecurity and cloud operations challenges, we empower digital teams to move from reaction to readiness—combining agentic AI\-powered SIEM and log analytics into a single platform to detect, investigate, and resolve modern challenges. Customers around the world rely on Sumo Logic for trusted insights to protect against security threats, ensure reliability, and gain powerful insights into their digital environments. For more information, visit www.sumologic.com.
 Sumo Logic Privacy Policy. Employees will be responsible for complying with applicable federal privacy laws and regulations, as well as organizational policies related to data protection.
 The expected annual base salary range for this position is $158,000 \- $185,000\. Compensation varies based on a variety of factors which include (but aren’t limited to) role level, skills and competencies, qualifications, knowledge, location, and experience. In addition to base pay, certain roles are eligible to participate in our bonus or commission plans, as well as our benefits offerings, and equity awards.
 Must be authorized to work in the United States at time of hire and for duration of employment. At this time, we are not able to offer nonimmigrant visa sponsorship for this position.</t>
        </is>
      </c>
    </row>
    <row r="95">
      <c r="A95" t="inlineStr">
        <is>
          <t>li-4368680414</t>
        </is>
      </c>
      <c r="B95" t="inlineStr">
        <is>
          <t>AI Engineer</t>
        </is>
      </c>
      <c r="C95" t="inlineStr">
        <is>
          <t>Imperial PFS</t>
        </is>
      </c>
      <c r="D95" t="inlineStr">
        <is>
          <t>linkedin</t>
        </is>
      </c>
      <c r="E95">
        <f>HYPERLINK("https://www.linkedin.com/jobs/view/4368680414", "https://www.linkedin.com/jobs/view/4368680414")</f>
        <v/>
      </c>
      <c r="F95">
        <f>HYPERLINK("https://ipfs.clearcompany.com/careers/jobs/c19d350a-6d0c-07e7-76be-e6a7d6c64784/apply?source=3629590-JB-1018&amp;utm_source=LINKEDIN&amp;utm_medium=referrer&amp;urlHash=tslk", "https://ipfs.clearcompany.com/careers/jobs/c19d350a-6d0c-07e7-76be-e6a7d6c64784/apply?source=3629590-JB-1018&amp;utm_source=LINKEDIN&amp;utm_medium=referrer&amp;urlHash=tslk")</f>
        <v/>
      </c>
      <c r="G95" t="inlineStr">
        <is>
          <t>Kansas City, MO</t>
        </is>
      </c>
      <c r="H95" t="inlineStr"/>
      <c r="I95" t="inlineStr">
        <is>
          <t>**Job Summary**
 The AI Engineer plays a critical role in advancing IPFS’s mission to build more resilient, efficient, and intelligent systems that enhance data accessibility, integrity, and scalability. This role exists to develop and deploy AI agents, machine learning models, natural language processing tools, and intelligent automation solutions.
 By leveraging AI technologies, the AI Engineer contributes to the creation of smarter protocols, predictive analytics, and adaptive systems that support IPFS’s goals of innovation and customer focus. This position is instrumental in transforming complex data into actionable insights, enabling more intuitive user experiences, and driving innovation across the IPFS ecosystem.
**Key Responsibilities**
* General Innovation ideation and POCs
* Design and Develop AI models and algorithms from scratch (test, deploy, and maintain AI systems)
* Work on functional design, process design ( including scenario design, flow mapping), prototyping, testing, training, and defining support procedures.
* Articulate and document the solutions architecture and lessons learned for each exploration and accelerated incubation.
* Implement AI solutions that integrate with existing business systems to enhance functionality and user interaction.
* Manage the data flow and infrastructure for effective AI deployment
* Stay current with AI trends and suggest improvements to existing systems and workflows (conducting assessments of the AI and automation market and competitor landscape).
* Collecting and analyzing large amounts of data/programming AI software to utilize large amounts of data
* Collaborate with data scientists and other engineers to integrate AI into broader system architectures
* Advise executives and business leaders on a broad range of technology, strategy, and policy issues associated with AI
**Essential Knowledge And Experience**
* Experience with innovation accelerators
* Experience with cloud environments
* MLOps tools: Experience using tools for lifecycle management of machine learning models.
* Docker: Experience in using Docker to create reproducible and scalable environments.
* Machine Learning Models: Advanced knowledge in Machine Learning models and Large Language Models (LLM), using langchain or a similar tool.
* LLM Implementation: Experience in implementing LLMs using vector bases and Retrieval\-Augmented Generation (RAG), as well as tuning models. Using GPTs, Llama, or any other LLM
* Solution Architecture Validation: Ability to perform solution architecture validations for LLMs.
* GenAIOps: Experience in putting Generative AI (GENAI) models into production and providing support to them.
* Knowledge of basic algorithms, object\-oriented and functional design principles, and best\-practice patterns.
* Experience in REST API development, NoSQL database design, and RDBMS design and optimizations.
**Education**
* Bachelors Degree or Graduate Degree
* 3\-5 years of previous relevant experience</t>
        </is>
      </c>
    </row>
    <row r="96">
      <c r="A96" t="inlineStr">
        <is>
          <t>li-4368694848</t>
        </is>
      </c>
      <c r="B96" t="inlineStr">
        <is>
          <t>Senior AI Engineer</t>
        </is>
      </c>
      <c r="C96" t="inlineStr">
        <is>
          <t>Medica</t>
        </is>
      </c>
      <c r="D96" t="inlineStr">
        <is>
          <t>linkedin</t>
        </is>
      </c>
      <c r="E96">
        <f>HYPERLINK("https://www.linkedin.com/jobs/view/4368694848", "https://www.linkedin.com/jobs/view/4368694848")</f>
        <v/>
      </c>
      <c r="F96" t="inlineStr"/>
      <c r="G96" t="inlineStr">
        <is>
          <t>Hopkins, MN</t>
        </is>
      </c>
      <c r="H96" t="inlineStr"/>
      <c r="I96" t="inlineStr">
        <is>
          <t>Medica is a nonprofit health plan with more than a million members that serves communities in Minnesota, Nebraska, Wisconsin, Missouri, and beyond. We deliver personalized health care experiences and partner closely with providers to ensure members are genuinely cared for.
 We're a team that owns our work with accountability, makes data\-driven decisions, embraces continuous learning, and celebrates collaboration — because success is a team sport. It's our mission to be there in the moments that matter most for our members and employees. Join us in creating a community of connected care, where coordinated, quality service is the norm and every member feels valued.
 Medica is seeking a hands\-on Senior AI Platform Engineer to help build and scale our next\-generation AI agents and infrastructure. You’ll work on complex systems that power AI\-driven healthcare solutions \- for our members, providers and employees, that improve the healthcare experience end\-to\-end. This role is ideal for hands on builders who thrive on ownership, love solving technical and business problems, and are on the cutting edge of software. Performs other duties as assigned.
**Key Accountabilities**
* Design, implement and deploy AI pipelines, systems and platforms – from evaluation design and benchmarking through product integration\-ensuring performance, reliability and end\-to\-end safety and transparency
* Prototype, build and operate cutting edge product, and consumer facing AI systems, pushing state\-of\-the\-art to solve our core healthcare and technical challenges
* Contribute to technical decision\-making and architectural discussions for AI and data platforms. Upload high engineering standards and share best practices in code review and design discussions
* Stay up to date with the latest research and developments in AI. Evaluate new approaches or tools and drive their adoption when they can advance our capabilities. Help evangelize to the organization accordingly
**Required Qualifications**
* Bachelor's degree or equivalent experience in related field
* 8 years of work experience beyond degree
**Preferred Qualifications**
* Minimum of 3 years of experience building production grade software with Python, Go, or equivalent
* Proven ability to create, manage and scale public cloud infrastructure in AWS/Azure/GCP
* Experience deploying infrastructure via Terraform or another declarative tool
* Familiarity with containerization \&amp; orchestration including Docker, K8s, Helm
* Modern DevOps tooling including Github Actions, Prometheus \+ Grafana, Open Telemetry
 While not required, we especially want to talk if you:
* Have strong opinions on agent frameworks (e.g., LangGraph, AutoGen, CrewAI, OpenAI ADK)—and can explain when and why to use them (or when/why not to).
* Can explain agent workflows such as orchestrator\-workers, evaluator\-optimizer, and prompt chaining
* Have built evaluations for AI systems—for accuracy, bias, security, function calling accuracy, etc
* Can justify decisions between RAG, prompt engineering, and fine\-tuning
* Have experience with modular agent architectures where specialized agents communicate
* Have a stance on when to leverage generative AI—and when not to
* Have worked with healthcare data, HIPAA compliance, or in regulated environments
* Love (or hate) Claude Code, Codex, Cursor, or GitHub Copilot
* Have a favorite MCP server (or 3\)
 This position is an Office role, which requires an employee to work onsite at our Minnetonka, MN office, on average, 3 days per week.
 The full salary grade for this position is $130,400 \- $223,600\. While the full salary grade is provided, the typical hiring salary range for this role is expected to be between $130,400 \- $176,985\. Annual salary range placement will depend on a variety of factors including, but not limited to, education, work experience, applicable certifications and/or licensure, the position's scope and responsibility, internal pay equity and external market salary data.  In addition to base compensation, this position may be eligible for incentive plan compensation in addition to base salary. Medica offers a generous total rewards package that includes competitive medical, dental, vision, PTO, Holidays, paid volunteer time off, 401K contributions, caregiver services and many other benefits to support our employees.
 The compensation and benefits information is provided as of the date of this posting. Medica’s compensation and benefits are subject to change at any time, with or without notice, subject to applicable law.
**Eligibility to work in the US:** 
 Medica does not offer work visa sponsorship for this role. All candidates must be legally authorized to work in the United States at the time of application. Employment is contingent on verification of identity and eligibility to work in the United States.
 We are an Equal Opportunity employer, where all qualified candidates receive consideration for employment indiscriminate of race, religion, ethnicity, national origin, citizenship, gender, gender identity, sexual orientation, age, veteran status, disability, genetic information, or any other protected characteristic.</t>
        </is>
      </c>
    </row>
    <row r="97">
      <c r="A97" t="inlineStr">
        <is>
          <t>li-4368267772</t>
        </is>
      </c>
      <c r="B97" t="inlineStr">
        <is>
          <t>AI Engineer</t>
        </is>
      </c>
      <c r="C97" t="inlineStr">
        <is>
          <t>Koniag Government Services</t>
        </is>
      </c>
      <c r="D97" t="inlineStr">
        <is>
          <t>linkedin</t>
        </is>
      </c>
      <c r="E97">
        <f>HYPERLINK("https://www.linkedin.com/jobs/view/4368267772", "https://www.linkedin.com/jobs/view/4368267772")</f>
        <v/>
      </c>
      <c r="F97" t="inlineStr"/>
      <c r="G97" t="inlineStr">
        <is>
          <t>Washington, DC</t>
        </is>
      </c>
      <c r="H97" t="inlineStr"/>
      <c r="I97" t="inlineStr">
        <is>
          <t>Koniag Management Solutions, LLC a Koniag Government Services company, is seeking an AI Engineer to support KMS and our government customer at Washington, DC. This position requires the candidate to be able to obtain a Public Trust. This position is for a Future New Business Opportunity.
 We offer competitive compensation and an extraordinary benefits package including health, dental and vision insurance, 401K with company matching, flexible spending accounts, paid holidays, three weeks paid time off, and more.
 Koniag Management Solutions (KMS) is seeking a talented and motivated Low Code AI Engineer to join our dynamic team. The ideal candidate will have a passion for creating responsive, user\-friendly AI applications and staying current with emerging technologies and best practices in web development. This role offers the opportunity to work on challenging projects while contributing to our company's continued growth and success.
**Essential Functions, Responsibilities \&amp; Duties may include, but are not limited to:**
**The Low Code AI Engineer Will Be Responsible For**
* Designing and developing AI models, algorithms, and applications to solve specific problems
* Collaborating to preprocess and analyze large datasets
* Implementing machine learning and deep learning algorithms and frameworks
* Fine\-tuning AI models for improved performance and accuracy
* Documenting code, algorithms, and processes for future references
* Documentation must include all information necessary for someone else to assume the maintenance
* Integrating AI models into production systems
* Staying up\-to\-date with the latest AI technologies
**Required**
**Education and Experience:**
* Bachelor's degree in IT or related subject
* 2\+ years of experience in AI Engineering
**Required Skills And Competencies**
* Experience with responsive and adaptive design principles
* Strong problem\-solving abilities and attention to detail
* Excellent communication skills and ability to work effectively in a team environment
* Experience with testing and debugging processes
* Ability to meet deadlines and manage multiple projects simultaneously
**Desired Skills And Competencies**
* Experience designing and deploying AI solutions in Microsoft Azure
* Experience with CI/CD pipelines and deployment strategies
* Knowledge of UI/UX design principles
* Familiarity with Agile development methodologies
* Experience working in environments of various classifications
* Experience in government contracting environment
**Security Requirement**
* This position requires the candidate to be able to obtain a Public Trust.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***Equal Opportunity Employer/Veterans/Disabled. Shareholder Preference in accordance with Public Law 88\-352***</t>
        </is>
      </c>
    </row>
    <row r="98">
      <c r="A98" t="inlineStr">
        <is>
          <t>li-4368273117</t>
        </is>
      </c>
      <c r="B98" t="inlineStr">
        <is>
          <t>AI Engineer</t>
        </is>
      </c>
      <c r="C98" t="inlineStr">
        <is>
          <t>Haystack</t>
        </is>
      </c>
      <c r="D98" t="inlineStr">
        <is>
          <t>linkedin</t>
        </is>
      </c>
      <c r="E98">
        <f>HYPERLINK("https://www.linkedin.com/jobs/view/4368273117", "https://www.linkedin.com/jobs/view/4368273117")</f>
        <v/>
      </c>
      <c r="F98" t="inlineStr"/>
      <c r="G98" t="inlineStr"/>
      <c r="H98" t="inlineStr"/>
      <c r="I98" t="inlineStr">
        <is>
          <t>**GenAI Cloud Engineer \| Remote \| $69,550 \- $125,725** 
 We're working with Leidos on this exciting opportunity.
 Are you an early\-career GenAI Contact Center Engineer ready to make an impact? Join Leidos and design, secure, and automate an AWS contact center platform leveraging cutting\-edge technologies like Amazon Connect, Lex V2, Amazon Q, Bedrock, OpenSearch, and Python\-based Lambda functions. This is your chance to shape the future of customer experience with generative AI!
**The Role** 
 • Design and implement Amazon Connect contact center infrastructure, managing agent operations and security profiles.
 • Optimize agent and customer experiences by continuously improving the Contact Control Panel, analyzing post\-contact analytics with Contact Lens, and integrating Lex V2 capabilities.
 • Develop internal proficiency using OpenSearch for self\-service troubleshooting and knowledge management, and build operational dashboards with cloud\-native tools.
 • Build and develop advanced AI capabilities using Python\-based Lambda functions, integrating with AWS Bedrock, and securely managing AI models and datasets.
**What You'll Need** 
 • Bachelor’s degree in Computer Science or related field with 3\+ years, or 7\+ years of relevant experience.
 • 2\+ years hands\-on experience designing, configuring, and operating Amazon Connect contact centers.
 • Expertise in troubleshooting WebRTC audio quality issues and network diagnostics (DNS, TLS, TURN/STUN).
 • Strong programming aptitude in Python for Lambda functions, AI development, and cloud\-based APIs.
 • Ability to obtain a Public Trust clearance.
**What's On Offer** 
 • Be part of a dynamic team at the forefront of generative AI and cloud technology.
 • Contribute to mission\-critical projects that outthink, outbuild, and outpace the status quo.
 • Comprehensive compensation package including competitive salary, health benefits, and retirement plans.
 • Opportunities for continuous learning and professional development in a supportive environment.
**Apply via Haystack today!**</t>
        </is>
      </c>
    </row>
    <row r="99">
      <c r="A99" t="inlineStr">
        <is>
          <t>li-4368806592</t>
        </is>
      </c>
      <c r="B99" t="inlineStr">
        <is>
          <t>Staff Machine Learning Engineer, Moloco Ads</t>
        </is>
      </c>
      <c r="C99" t="inlineStr">
        <is>
          <t>Moloco</t>
        </is>
      </c>
      <c r="D99" t="inlineStr">
        <is>
          <t>linkedin</t>
        </is>
      </c>
      <c r="E99">
        <f>HYPERLINK("https://www.linkedin.com/jobs/view/4368806592", "https://www.linkedin.com/jobs/view/4368806592")</f>
        <v/>
      </c>
      <c r="F99" t="inlineStr"/>
      <c r="G99" t="inlineStr">
        <is>
          <t>Menlo Park, CA</t>
        </is>
      </c>
      <c r="H99" t="inlineStr"/>
      <c r="I99" t="inlineStr">
        <is>
          <t>**About Moloco:**
 Moloco builds some of the most powerful AI advertising solutions in the world. Our name—short for "machine learning company"—reflects our core mission: democratizing access to the advanced AI that has historically been reserved for tech giants. Led by machine learning pioneers who built some of the most successful ad systems at Google, including YouTube's monetization engine and key search advertising technologies, we're transforming how businesses grow and compete in the digital economy.
 Built with AI from day one, Moloco’s planet\-scale machine learning platform powers a suite of solutions for advertising growth and monetization.
 **Moloco Ads** 
 is an AI\-powered platform that delivers real business outcomes for mobile app marketers through performance\-based user acquisition.
 **Moloco Commerce Media** 
 and
 **Streaming Monetization** 
 solutions enable retailers, marketplaces, and streaming platforms to build revenue\-generating ad businesses that balance user experience and advertiser performance.
 Moloco is headquartered in Silicon Valley, with offices in Seattle, New York, San Francisco, Seoul, Beijing, Singapore, Bangalore, Gurgaon, Tokyo, Shanghai, London, Tel Aviv, and Berlin.
 Moloco is a truly rewarding place to work and in an exciting period of growth, which you could be a part of. Join us today and apply now!
**The Impact You’ll Be Contributing to Moloco**
 As a Staff Machine Learning Engineer focused on Ads Quality at Moloco, you will drive the development and optimization of advanced machine learning models that power our ad\-serving platform, directly influencing the effectiveness and efficiency of our advertising solutions.
**The Opportunity**
* Design, implement, and optimize large\-scale machine learning models to improve ad relevance, user engagement, and campaign performance.
* Collaborate closely with product managers, data scientists, and engineers to translate business objectives into robust ML solutions.
* Analyze massive datasets to identify patterns, diagnose issues, and uncover opportunities for model and system improvements.
* Lead the end\-to\-end lifecycle of ML projects, from ideation and prototyping to deployment and monitoring in production environments.
* Develop and maintain scalable, reliable, and efficient ML pipelines and infrastructure.
* Conduct rigorous offline and online experiments (A/B testing) to validate model performance and impact.
* Mentor and provide technical guidance to junior engineers and cross\-functional team members.
* Stay current with the latest research and industry trends in machine learning, applying new techniques to enhance Moloco’s ad quality.
* Communicate complex technical concepts and results to both technical and non\-technical stakeholders.
**How Do I Know if the Role is Right For Me?**
* 7\+ years of experience in machine learning, data science, or a related field, with a proven track record of delivering impactful ML solutions in production.
* Demonstrate deep expertise in Python, TensorFlow, Jax, or PyTorch and proficiency with large\-scale data processing tools such as Spark or Hadoop.
* Exhibit strong problem\-solving skills and comfort working in ambiguous, fast\-paced environments where requirements may evolve.
* Show experience designing, building, and deploying ML models for ad quality, recommendation systems, or similar domains.
* Possess a solid understanding of statistical analysis, experimentation, and A/B testing methodologies.
* Collaborate effectively with cross\-functional teams, including product, engineering, and business stakeholders.
* Communicate clearly and concisely, adapting messaging for both technical and non\-technical audiences.
* Demonstrate a passion for continuous learning and applying cutting\-edge research to real\-world problems.
* Lead and mentor others, fostering a culture of technical excellence and knowledge sharing (if people management is part of your background or interests).
**Our Compensation And Benefits (for United States Residents Only)**
 In accordance with various state laws, the range provided is a reasonable estimate of the base compensation for this role. The actual amount may be higher or lower based on non\-discriminatory factors such as experience, knowledge, skills, and abilities. We also offer a competitive benefits package.
 Base Pay Range:
 $230,000—$300,000 USD
**Moloco Thrive: Benefits and Well\-Being:**
 We take care of you and create the conditions for you to do the best work of your career. We offer innovative benefits that empower our employees to take care of themselves and their families so they can do the best work of their lives.
**Moloco Values:**
* Lead with Humility: Everyone’s voice is respected, valued, and heard. With humility, we become more open and accessible to each other. We win, lose, and learn together. Accountability and feedback are essential to our success.
* Uncapped Growth Mindset: We see all situations as opportunities to learn, grow, and improve as individuals and as an organization. We seek diverse perspectives, encourage curiosity, and promote experimentation to push the boundaries of what’s possible.
* Create Real Value: We pursue the most impactful opportunities with rigor and integrity. We take intelligent risks and make disciplined trade\-offs to maintain deep focus. We help our customers win by delivering durable value.
* Go Further Together: We’re one team working towards one mission and vision. We collaborate proactively and inclusively, involving the right people at the right time and in the right way. We strive to create a more equitable workplace. We won’t let each other fail.
**Additional Resources:**
* Moloco Company Blog
* Moloco Leadership
* Moloco Newsroom
**Equal Opportunity:**
 Creating a diverse workforce and a culture of inclusion and belonging is core to our existence. To reach our goals, diversity of talent and thought is a critical component of how we operate as an organization. Our workforce is our superpower, and we know that fostering a culture of inclusion, authenticity, and belonging gives us the greatest opportunity to achieve our vision to become the scaling engine for the Internet economy.
 Moloco is an equal opportunity employer. We highly value diversity in our current and future employees and do not discriminate (including in our hiring and promotion practices) on the basis of race, color, creed, religion, national origin, age, sex and gender, gender expression and identity, sexual orientation, marital status, ancestry, physical or mental disability, military or veteran status, or any other characteristic protected by law.
**Candidate Privacy Notice:**
 Your privacy matters to us. By applying, you acknowledge that you’ve reviewed our Candidate Privacy Notice.</t>
        </is>
      </c>
    </row>
    <row r="100">
      <c r="A100" t="inlineStr">
        <is>
          <t>li-4368286054</t>
        </is>
      </c>
      <c r="B100" t="inlineStr">
        <is>
          <t>Senior Machine Learning Engineer- Data Science Platform</t>
        </is>
      </c>
      <c r="C100" t="inlineStr">
        <is>
          <t>Visa</t>
        </is>
      </c>
      <c r="D100" t="inlineStr">
        <is>
          <t>linkedin</t>
        </is>
      </c>
      <c r="E100">
        <f>HYPERLINK("https://www.linkedin.com/jobs/view/4368286054", "https://www.linkedin.com/jobs/view/4368286054")</f>
        <v/>
      </c>
      <c r="F100">
        <f>HYPERLINK("https://jobs.smartrecruiters.com/Visa/744000107131584-senior-machine-learning-engineer-data-science-platform?source=LinkedIn&amp;urlHash=UdLR", "https://jobs.smartrecruiters.com/Visa/744000107131584-senior-machine-learning-engineer-data-science-platform?source=LinkedIn&amp;urlHash=UdLR")</f>
        <v/>
      </c>
      <c r="G100" t="inlineStr">
        <is>
          <t>Foster City, CA</t>
        </is>
      </c>
      <c r="H100" t="inlineStr"/>
      <c r="I100"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The Data and Artificial Intelligence Platform (DAP) group is a key component of Visa’s Technology organization that provides the enabling technology and processes to handle Visa’s data assets and deliver valuable information, products, and services to customers. DAP delivers secure, high\-quality, and easy\-to\-use Visa core data assets as a service, together with reliable and scalable data platform as a service, to enable Visa and our partners to rapidly and efficiently innovate data\-driven business products and services to lead the digital payment industry.
 The Data Solutions \&amp; Products team is creating the next generation of scalable and responsible AI, ML and Data Innovations and products to solve client and consumer problems. We are a cross\-functional team of data scientists, product managers, AI and data engineers, program managers focused on generating value for the payments ecosystem.
 The portfolio comprises of over 60 data products \&amp; platforms for various external clients and internal lines of business. We provide services on behalf of traditional bank customers to millions of cardholders and merchants globally. Our application development is at the forefront of technology, we are viewed as innovative leaders within our industry.
**Essential Functions:**
 We are looking for a senior machine learning engineer to join our merchant data platform/ data science and modeling team to help build next generation AI powered merchant ecosystem.
 In this role, you will help build machine learning solutions to enhance merchant data, discover insights, ensure data quality and power cross functional peers to unleash merchant data potential.
 This is a hybrid position. Expectation of days in the office will be confirmed by your Hiring Manager.
**Qualifications**
**Basic Qualifications:**
* 2 or more years of work experience with a Bachelor’s Degree or an Advanced Degree (e.g. Masters, MBA, JD, MD)
**Preferred Qualifications:**
* 3 or more years of work experience with a Bachelor’s Degree or more than 2 years of work experience with an Advanced Degree (e.g. Masters, MBA, JD, MD)
* Skilled in SQL, Python and basic libraries for machine learning such as scikit\-learn and Pandas, as well as Jupyter Notebook.
* Experience with Big Data and analytics in general leveraging technologies like Hadoop, Spark, and Query Engines.
* Relevant experiences in modeling techniques such as logistic regression, Naive Bayes, SVM, decision trees, natural language processing or neural networks.
* Experience in Automation framework such as Airflow, Metaflow.
* Experience in MLOps and production machine learning systems at large scale.
* Experience in DevOps and CI/CD tooling and concepts such as docker and Jenkins.
* Experience in cloud services (AWS preferable – SageMaker, EMR, Glue).
* Understand ML infrastructure concepts such as feature store, batch inference and model pipeline orchestration.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$145,200 to $224,800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01">
      <c r="A101" t="inlineStr">
        <is>
          <t>li-4368251033</t>
        </is>
      </c>
      <c r="B101" t="inlineStr">
        <is>
          <t>AI/ML Engineer  Multiple Openings to the Various Locations</t>
        </is>
      </c>
      <c r="C101" t="inlineStr">
        <is>
          <t>Jobs via Dice</t>
        </is>
      </c>
      <c r="D101" t="inlineStr">
        <is>
          <t>linkedin</t>
        </is>
      </c>
      <c r="E101">
        <f>HYPERLINK("https://www.linkedin.com/jobs/view/4368251033", "https://www.linkedin.com/jobs/view/4368251033")</f>
        <v/>
      </c>
      <c r="F101" t="inlineStr"/>
      <c r="G101" t="inlineStr">
        <is>
          <t>Charlotte, NC</t>
        </is>
      </c>
      <c r="H101" t="inlineStr"/>
      <c r="I101" t="inlineStr">
        <is>
          <t>Dice is the leading career destination for tech experts at every stage of their careers. Our client, HYR Global Source Inc, is seeking the following. Apply via Dice today!
**Title: AI/ML Engineer (2 openings)**
**Location: Malvern, PA (preferred) \- Charlotte, NC \| Dallas, TX**
**Work Model: Hybrid 3 days onsite**
**Job Description:**
* We are seeking an experienced AI/ML Engineer to design, build, and deploy scalable machine learning and generative AI solutions.
* This role will focus on LLM\-based applications, agentic AI frameworks, MLOps, and cloud\-native ML engineering on AWS.
**Key Responsibilities:**
* Design and develop production\-grade AI/ML solutions, including LLM applications with RAG and structured outputs.
* Implement agentic AI frameworks (LangGraph, AutoGen) and Model Context Protocol (MCP) for secure orchestration.
* Build and manage scalable data, model, and MLOps pipelines using AWS services (SageMaker, Lambda, ECS/ECR).
* Integrate security and identity solutions (Okta, JWT) for API and service authentication.
* Monitor model performance, investigate alerts, and support end\-to\-end model lifecycle management.
* Collaborate with data scientists, product owners, and business stakeholders to align AI solutions with business goals.
* Produce required governance and compliance artifacts (MDLC/MPLC documentation).
**Qualifications**
* Bachelor's degree in Computer Science, Engineering, or related field (Master's preferred).
* 6\+ years of experience in AI/ML engineering, data engineering, and MLOps.
* Strong Python skills with hands\-on experience in TensorFlow, PyTorch, or Scikit\-learn.
* Deep experience with AWS ML stack (SageMaker, Bedrock, Glue, Lambda).
* Hands\-on experience building LLM\-based applications with RAG and GenAI evaluation frameworks.
* Experience with CI/CD, Docker, Kubernetes, and cloud\-native deployments.
* Solid understanding of software engineering best practices, security, and ML lifecycle management.
**Nice to Have:**
* Experience with data governance, model explainability, and responsible AI practices.
* Familiarity with React UI, GraphDB, and GenAI performance evaluation.
 Follow us on LinkedIn \-</t>
        </is>
      </c>
    </row>
    <row r="102">
      <c r="A102" t="inlineStr">
        <is>
          <t>li-4368233757</t>
        </is>
      </c>
      <c r="B102" t="inlineStr">
        <is>
          <t>Machine Learning AI Engineer</t>
        </is>
      </c>
      <c r="C102" t="inlineStr">
        <is>
          <t>Jobs via Dice</t>
        </is>
      </c>
      <c r="D102" t="inlineStr">
        <is>
          <t>linkedin</t>
        </is>
      </c>
      <c r="E102">
        <f>HYPERLINK("https://www.linkedin.com/jobs/view/4368233757", "https://www.linkedin.com/jobs/view/4368233757")</f>
        <v/>
      </c>
      <c r="F102" t="inlineStr"/>
      <c r="G102" t="inlineStr">
        <is>
          <t>Santa Monica, CA</t>
        </is>
      </c>
      <c r="H102" t="inlineStr"/>
      <c r="I102" t="inlineStr">
        <is>
          <t>**NEW Machine Learning AI Engineer Opportunity!**
 This Jobot Job is hosted by: Audrey Block
 Are you a fit? Easy Apply now by clicking the "Apply Now" button and sending us your resume.
 Salary: $125,000 \- $145,000 per year
**A bit about us:**
 We are looking for a Machine Learning AI Engineer to join the team!
**Why join us?**
 HUGE Opportunity for growth
 Base salary \+ Equity
 Team events
 Lunch, gym membership, Fun Fridays
 Flexible schedule
**Job Details**
 Job Details:
 We are looking for a Machine Learning AI Engineer to join our startup. This is a permanent, full\-time position requiring a minimum of 1 year of experience in the field.
 Responsibilities:
* Design, develop and implement advanced AI models and algorithms.
* Utilize programming languages such as Golang and Rust to develop AI systems.
* Use container orchestration tools to manage and automate deployments, scaling and management of containerized applications.
* Develop and maintain Docker containers for deployment of AI applications.
* Work closely with the software development team to integrate AI models into desktop software applications.
* Collaborate with the OpenAI team to develop and implement cutting\-edge AI technologies.
* Use the LLM (Language Model) to train AI models and improve their performance.
* Conduct regular testing to ensure the performance and reliability of AI systems.
* Keep up\-to\-date with the latest industry trends and technologies to ensure our AI systems remain competitive.
* Collaborate with cross\-functional teams to understand needs and devise possible solutions.
 Qualifications:
* Bachelor's degree in Computer Science, Engineering, or a related field. A Master's degree or PhD would be advantageous.
* Minimum of 1 year of experience in a similar role.
* Strong knowledge of programming languages such as Golang and Rust.
* Extensive experience with container orchestration tools and Docker.
* Proven experience in AI, machine learning, and deep learning.
* Familiarity with desktop software development.
* Experience with OpenAI and LLM.
* Excellent problem\-solving skills and the ability to think creatively.
* Strong communication skills, with the ability to explain complex concepts to non\-technical team members.
* Ability to work effectively as part of a team, as well as independently.
* Passion for technology and a desire to stay up\-to\-date with the latest industry trends.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103">
      <c r="A103" t="inlineStr">
        <is>
          <t>li-4368854553</t>
        </is>
      </c>
      <c r="B103" t="inlineStr">
        <is>
          <t>Cyber AI Engineer</t>
        </is>
      </c>
      <c r="C103" t="inlineStr">
        <is>
          <t>PHIZENIX</t>
        </is>
      </c>
      <c r="D103" t="inlineStr">
        <is>
          <t>linkedin</t>
        </is>
      </c>
      <c r="E103">
        <f>HYPERLINK("https://www.linkedin.com/jobs/view/4368854553", "https://www.linkedin.com/jobs/view/4368854553")</f>
        <v/>
      </c>
      <c r="F103" t="inlineStr"/>
      <c r="G103" t="inlineStr">
        <is>
          <t>Dallas, TX</t>
        </is>
      </c>
      <c r="H103" t="inlineStr"/>
      <c r="I103" t="inlineStr">
        <is>
          <t>**Role Overview:** 
 The Cyber AI Engineer will drive the development and optimization of advanced tools, processes, and workflows to predict, detect, and prevent AI\-specific threats. This hands\-on technical leadership role combines deep research in AI security with close collaboration across teams to integrate AI security capabilities into robust cybersecurity architectures
**Key Responsibilities:** 
 • Design, develop, and optimize AI\-security\-specific threat models, tools, and solutions for threat identification, prediction, and prevention.
 • Implement and secure machine learning models, GenAI models, and AI techniques to enhance threat detection, monitoring, and risk scoring.
 • Integrate AI security tools and technologies across cybersecurity architectures, collaborating with data scientists, security engineers, and other stakeholders.
 • Analyze AI security incident data to refine and improve AI models and methodologies.
 • Provide technical leadership and mentorship to junior engineers in AI and machine learning.
 • Ensure alignment and compliance with industry standards (NIST AI\-RMF, ISO 42001, OWASP Top 10 for LLMs) and advanced security architectures (Agentic, MCP).
 • Stay abreast of emerging trends and advancements in AI and cybersecurity.
**Required Qualifications:** 
 • A Bachelor’s or master’s degree in computer science, Engineering, or a closely related discipline is required.
 • 5\+ years of experience in AI\-focused cybersecurity in an enterprise environment.
 • Expertise in Python, R, Java, or similar programming languages.
 • Deep understanding of machine learning, neural networks, and application to security systems.
 • Hands\-on experience with AI security technologies (intrusion detection, anomaly detection, threat intelligence).
 • 3\+ years’ experience in Azure or AWS cloud\-native services, architectures, and tools.
 • Expertise in enterprise architectures (including cloud\-native and AI architecture patterns).
 • Advanced knowledge of security and governance frameworks (NIST AI\-RMF, ISO 42001, OWASP Top 10 for LLM).
 • Strong communication and collaboration skills.
**Preferred Qualifications** 
 • Experience with implementing OWASP Top 10 LLM Threats in practice with any industry or open\-source product.
 • Working experience in Threat Modeling
 • Experience with agentic and Model Context Protocol (MCP) architectures.
 • Demonstrated ability to lead cross\-functional technical teams.
 • Track record of published research or thought leadership in AI security.</t>
        </is>
      </c>
    </row>
    <row r="104">
      <c r="A104" t="inlineStr">
        <is>
          <t>li-4368291023</t>
        </is>
      </c>
      <c r="B104" t="inlineStr">
        <is>
          <t>AI / ML Engineer</t>
        </is>
      </c>
      <c r="C104" t="inlineStr">
        <is>
          <t>Jobs via Dice</t>
        </is>
      </c>
      <c r="D104" t="inlineStr">
        <is>
          <t>linkedin</t>
        </is>
      </c>
      <c r="E104">
        <f>HYPERLINK("https://www.linkedin.com/jobs/view/4368291023", "https://www.linkedin.com/jobs/view/4368291023")</f>
        <v/>
      </c>
      <c r="F104">
        <f>HYPERLINK("https://click.appcast.io/t/4KSvYd-ELZNH9QmZsrczV8e-fzqmaTxldKH6libMRLc=&amp;urlHash=qUIF", "https://click.appcast.io/t/4KSvYd-ELZNH9QmZsrczV8e-fzqmaTxldKH6libMRLc=&amp;urlHash=qUIF")</f>
        <v/>
      </c>
      <c r="G104" t="inlineStr">
        <is>
          <t>Atlanta, GA</t>
        </is>
      </c>
      <c r="H104" t="inlineStr"/>
      <c r="I104" t="inlineStr">
        <is>
          <t>Dice is the leading career destination for tech experts at every stage of their careers. Our client, INNOVIT USA INC, is seeking the following. Apply via Dice today!
**Hiring: W2 Candidates Only**
**Visa: Open to any visa type with valid work authorization in the USA**
**Key Responsibilities**
* Design, build, and deploy machine learning models
* Analyze large datasets to extract actionable insights
* Develop and optimize ML pipelines (data preprocessing training inference)
* Implement algorithms for classification, regression, clustering, NLP, or computer vision
* Train, evaluate, and fine\-tune models for accuracy and performance
* Deploy models into production and monitor performance
* Collaborate with data engineers, product teams, and stakeholders
* Document models, workflows, and technical designs
* Ensure ethical, explainable, and scalable AI solutions
**Required Technical Skills**
* Programming: Python (primary), R (optional)
* ML Libraries: Scikit\-learn, TensorFlow, PyTorch
* Data Handling: Pandas, NumPy
* Data Visualization: Matplotlib, Seaborn
* SQL \&amp; NoSQL databases
* Feature engineering \&amp; model evaluation techniques
* APIs \&amp; model serving: REST APIs, FastAPI
* Version control: Git</t>
        </is>
      </c>
    </row>
    <row r="105">
      <c r="A105" t="inlineStr">
        <is>
          <t>li-4368824944</t>
        </is>
      </c>
      <c r="B105" t="inlineStr">
        <is>
          <t>Artificial Intelligence and Machine Learning Engineer, Senior</t>
        </is>
      </c>
      <c r="C105" t="inlineStr">
        <is>
          <t>Booz Allen Hamilton</t>
        </is>
      </c>
      <c r="D105" t="inlineStr">
        <is>
          <t>linkedin</t>
        </is>
      </c>
      <c r="E105">
        <f>HYPERLINK("https://www.linkedin.com/jobs/view/4368824944", "https://www.linkedin.com/jobs/view/4368824944")</f>
        <v/>
      </c>
      <c r="F105">
        <f>HYPERLINK("https://careers.boozallen.com/careers/JobDetail?jobId=120295&amp;source=JB-16500&amp;urlHash=8ZH3", "https://careers.boozallen.com/careers/JobDetail?jobId=120295&amp;source=JB-16500&amp;urlHash=8ZH3")</f>
        <v/>
      </c>
      <c r="G105" t="inlineStr">
        <is>
          <t>McLean, VA</t>
        </is>
      </c>
      <c r="H105" t="inlineStr"/>
      <c r="I105" t="inlineStr">
        <is>
          <t>**Job Number: R0233270**
 Artificial Intelligence and Machine Learning Engineer, Senior
**The Opportunity:**
 As an experienced AI and ML Engineer, you will help develop and operationalize secure, scalable, production\-grade AI solutions that sustain and advance mission\-critical capabilities. You will work as part of a cross\-functional team, collaborating with data engineers, data scientists, solution architects, and product owners to deliver high\-impact AI and ML solutions across a broad range of use cases.
 In this role, you will modernize and operate an end\-to\-end, AI\-driven platform built on Databricks, Palantir, Amazon Bedrock, and custom AI and ML models. You will sustain and enhance batch and streaming data pipelines, improve data quality, lineage, and observability, and partner with data engineers and subject matter experts (SMEs) to define data contracts and feature pipelines. You will modernize legacy case selection capabilities by decomposing them into scalable services and operationalizing rules, and model\-driven scoring, prioritization, routing, and human\-in\-the\-loop review. You will build and operate production\-grade ML pipelines with strong MLOps practices, including versioning, CI/CD, monitoring, drift detection, explainability, and fairness, and integrate with shared enterprise services using API\-first and event\-driven patterns. You will also harden the platform to meet security and compliance requirements, including ATO, produce architecture and operational documentation, and collaborate closely with product, fraud, and case management teams in an Agile delivery environment. Due to the nature of work performed within this facility, U.S. citizenship is required.
 Join us. The world can’t wait.
**You Have:**
* Experience building, deploying, and operating production ML models such as supervised, unsupervised, and anomaly detection, including techniques for imbalanced datasets
* Experience with ML engineering and MLOps, including model versioning, CI/CD for ML, monitoring, drift detection, and automated retraining
* Experience with Python and ML frameworks such as scikit\-learn, PyTorch, or TensorFlow, data engineering platforms such as Palantir, Databricks, or Spark, and SQL, including batch and streaming pipelines
* Experience improving data quality, lineage, and observability in enterprise data environments
* Experience operationalizing rules and model\-driven scoring for prioritization, routing, or case selection
* Experience with API\-first and event\-driven integration patterns, including secure service\-to\-service communication
* Knowledge of responsible AI practices, including explainability, fairness, and bias assessment
* Ability to design and document architecture artifacts, data contracts, and operational runbooks
* Ability to obtain and maintain a Public Trust or Suitability/Fitness determination based on client requirements
* Bachelor’s degree and 4\+ years of experience with DevOps, software, or data engineering, or 7\+ years of experience with DevOps, software, or data engineering in lieu of a degree
**Nice If You Have:**
* Experience working in Agile delivery environments and collaborating with product owners, SMEs, and engineering teams
* Experience with fraud detection, risk analytics, or case selection in government, tax, or financial domains
* Experience with Amazon Bedrock and integrating custom AI models into enterprise workflows
* Experience deploying ML solutions in AWS GovCloud or other regulated cloud environments
* Experience with federal ATO processes, continuous compliance, and operating systems under FISMA controls
* Experience in enterprise modernization programs such as cloud migration, microservices, API strategy, and DevSecOps
* Knowledge of graph\-based analytics and advanced anomaly detection techniques
* AWS Machine Learning Specialty, Security\+, AI Engineer, or similar Certification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06">
      <c r="A106" t="inlineStr">
        <is>
          <t>li-4351341505</t>
        </is>
      </c>
      <c r="B106" t="inlineStr">
        <is>
          <t>Machine Learning Engineer - NYC- Leading Global Prop Trading Firm</t>
        </is>
      </c>
      <c r="C106" t="inlineStr">
        <is>
          <t>Jobs via eFinancialCareers</t>
        </is>
      </c>
      <c r="D106" t="inlineStr">
        <is>
          <t>linkedin</t>
        </is>
      </c>
      <c r="E106">
        <f>HYPERLINK("https://www.linkedin.com/jobs/view/4351341505", "https://www.linkedin.com/jobs/view/4351341505")</f>
        <v/>
      </c>
      <c r="F106" t="inlineStr"/>
      <c r="G106" t="inlineStr">
        <is>
          <t>New York, NY</t>
        </is>
      </c>
      <c r="H106" t="inlineStr"/>
      <c r="I106" t="inlineStr">
        <is>
          <t>**Salary: up to $300,000 USD base \+ annual bonus**
**Summary**
 Exciting opportunity to work at one of the world's leading propriety trading firms with offices across the globe. You will be working with an elite global team of top minds in machine learning and engineering to help drive the direction of their ML platform.
 Seeking accomplished engineers with expertise in machine learning and robust mathematical foundations to work on building the firm\-wired machine learning infrastructure
 **and/or** 
 working with quantitative researchers on building end\-to\-end machine learning models.
**Requirements**
* Experience building and maintaining ML infrastructure from concept to production.
* Strong experience in model training and mathematical concepts like optimization theory, regularization techniques and linear algebra.
* Eagerness to stay updated on cutting\-edge ML advancements.
* Ability to create and maintain organized, reproducible research code.
* Expertise in ML frameworks, particularly PyTorch, or Jax, TensorFlow or similar.
* Innovative mindset, with a focus on questioning and improving methods.
**NB: Please only apply if you meet the above criteria.**
**Benefits And Incentives**
* Annual bonus.
* Health insurance and other benefits.
* Paid time off and parental leave.
* A retirement plan with a company match.
* And more!
 Whilst we carefully review all applications, to all jobs, due to the high volume of applications we receive it is not possible to respond to those who have not been successful.
**Contact**
 If this sounds like you or you'd like to know more, please get in touch:
**Clouie Anareta**
 clouie.anareta@oxfordknight.com
 linkedin.com/in/clouieanareta</t>
        </is>
      </c>
    </row>
    <row r="107">
      <c r="A107" t="inlineStr">
        <is>
          <t>li-4368269828</t>
        </is>
      </c>
      <c r="B107" t="inlineStr">
        <is>
          <t>ML Engineer</t>
        </is>
      </c>
      <c r="C107" t="inlineStr">
        <is>
          <t>Jobs via Dice</t>
        </is>
      </c>
      <c r="D107" t="inlineStr">
        <is>
          <t>linkedin</t>
        </is>
      </c>
      <c r="E107">
        <f>HYPERLINK("https://www.linkedin.com/jobs/view/4368269828", "https://www.linkedin.com/jobs/view/4368269828")</f>
        <v/>
      </c>
      <c r="F107">
        <f>HYPERLINK("https://click.appcast.io/t/aWnjff2VcokmiraYmZCb4o3BOLH-7MKF\u002d\u002dxqjHPHyl4=&amp;urlHash=kDgQ", "https://click.appcast.io/t/aWnjff2VcokmiraYmZCb4o3BOLH-7MKF\u002d\u002dxqjHPHyl4=&amp;urlHash=kDgQ")</f>
        <v/>
      </c>
      <c r="G107" t="inlineStr">
        <is>
          <t>Plano, TX</t>
        </is>
      </c>
      <c r="H107" t="inlineStr"/>
      <c r="I107" t="inlineStr">
        <is>
          <t>Dice is the leading career destination for tech experts at every stage of their careers. Our client, AgreeYa Solutions, is seeking the following. Apply via Dice today!
 Title\- ML Engineer (Jr./Mid Level)
 Location\- Plano, TX\- Onsite (Locals Only)
 Type\- Contract\- C2C Works
 Duration\- 12\+ Months
 Mode of Interview\- F2F
**Job Description\-**
 Design, develop, and deploy machine learning models and GenAI/LLM solutions within Databricks and Azure\-based environments
 Build and maintain end\-to\-end ML pipelines covering feature engineering, model training, validation, and batch/real\-time inference
 Strong Databricks and PySpark experience.
 Advanced SQL and data modeling for slowly changing dimensions / temporal mappings.
 Experience building production\-grade data pipelines.
 Solid Python skills and familiarity with Gen AI, LLM, NLP and ML workflows.
 Familiarity with Unity Catalog
 Familiarity with Azure
 Good team player role
 Nice to have :
 Delta Lake, MLflow, and workflow orchestration experience.
 Migrations involving identifier remapping or historical backfills.</t>
        </is>
      </c>
    </row>
    <row r="108">
      <c r="A108" t="inlineStr">
        <is>
          <t>li-4330377290</t>
        </is>
      </c>
      <c r="B108" t="inlineStr">
        <is>
          <t>Senior Development Engineer (AI/ML Engineer Expertise)</t>
        </is>
      </c>
      <c r="C108" t="inlineStr">
        <is>
          <t>North Risk Partners</t>
        </is>
      </c>
      <c r="D108" t="inlineStr">
        <is>
          <t>linkedin</t>
        </is>
      </c>
      <c r="E108">
        <f>HYPERLINK("https://www.linkedin.com/jobs/view/4330377290", "https://www.linkedin.com/jobs/view/4330377290")</f>
        <v/>
      </c>
      <c r="F108">
        <f>HYPERLINK("https://recruiting.paylocity.com/Recruiting/Jobs/Details/3814484&amp;urlHash=grOV", "https://recruiting.paylocity.com/Recruiting/Jobs/Details/3814484&amp;urlHash=grOV")</f>
        <v/>
      </c>
      <c r="G108" t="inlineStr">
        <is>
          <t>Plymouth, MN</t>
        </is>
      </c>
      <c r="H108" t="inlineStr"/>
      <c r="I108" t="inlineStr">
        <is>
          <t>Job Type
 Full\-time
**Description**
 \*\*\*This role is onsite in our Plymouth, Minnesota office.\*\*\*
**WHY NORTH RISK PARTNERS**
 Are you interested in doing work that matters everyday with an organization intentional about building and living out a values\-driven team culture? North Risk Partners is a fast\-growing firm dedicated to serving the insurance and risk management needs of businesses and individuals. We provide expertise in Commercial Lines, Employee \&amp; Individual Benefits, Personal Lines, Surety, Claims, and Risk Management. Our team consists of over 450 employees working in over 30 locations across five states, including Minnesota, Iowa, North Dakota, South Dakota, and Nebraska.
 At North Risk Partners, our \#oneTEAM lives out \#oneMISSION: to provide extraordinary \#service to our clients, to each other, and to our communities while living out our core values each day. Our team environments are designed to provide \#oneTEAM members opportunity to focus on collaborative relationships (clients and team), variety from day\-to\-day, constant learning, and the tools and resources to learn and grow at work and in life.
**Job Summary**
 This highly skilled Senior Development Engineer will design, build, and optimize systems that power analytics, AI Agentic workflows and business intelligence solutions. This role combines development expertise in enterprise systems, AI/ML development, and cloud technologies with hands\-on experience in AI and machine learning workflows. In this role, you’ll design and deliver AI solutions that drive measurable business impact, set technical direction for AI initiatives, and influence cross\-functional stakeholders. You will be at the intersection of engineering, product, and operations \- connecting our strategic roadmap to outcomes.
**Essential Responsibilites**
* Design, develop, and maintain systems to support analytics, AI, and operational workflows
* Leverage best practices for AI/ML data modeling, storage, and retrieval across structured and unstructured data sources
* Optimize data workflows for AI/ML model training, inference, and deployment
* Collaborate with data engineers, developers, and business stakeholders to ensure scalable system availability and quality for AI initiatives.
* Develop best practices in use of data infrastructure in cloud environments (e.g., AWS, Azure, GCP)
* Ensure compliance with data governance, security, and privacy standards
* Troubleshoot and resolve systems and AI pipeline issues promptly
* Support our AI strategy and roadmap aligned to business objectives and value creation
* Architect scalable, secure AI systems (ML pipelines, model serving, data ingestion, monitoring) leveraging cloud\-native services
* Conduct build vs. buy assessments, vendor evaluations, and cost–benefit analyses for AI tooling and platforms
* Establish model governance, risk controls, and ethical AI guidelines (bias monitoring, lineage, explain\-ability, and human\-in\-the\-loop)
*Hands\-on Development*
* Design, train, and deploy models (e.g., NLP, LLMs/RAG, computer vision, time\-series forecasting, recommendation systems)
* Optimize models for performance, latency, cost, and reliability, including prompt engineering and fine\-tuning for LLMs
* Integrate models into product and workflow experiences via APIs/microservices, event\-driven architectures, and secure data pipelines
*Leadership \&amp; Enablement*
* Partner across Product, Security, Legal, and HR to align delivery with compliance and change management
* Communicate complex technical topics to executive and non\-technical audiences; influence decisions with clarity and data
* Develop guardrails, templates, and playbooks that accelerate safe, responsible AI use across the organization
*Operational Excellence*
* Define KPIs \&amp; success metrics (e.g., model accuracy, adoption, cycle time, business impact, risk/incident rate)
* Oversee observability: data drift, model decay, cost tracking, usage analytics, and incident response processes
* Manage budgets, vendor relationships, and licensing for AI platforms and tools
**Requirements**
**QUALIFICATIONS (Knowledge, Skills, \&amp; Abilities)**
* 7\+ years in development engineering with 2\-4 years focused on AI/ML productization
* Expert in Python and core ML/AI libraries (ex. PyTorch, TensorFlow)
* Deep experience with LLMs (fine\-tuning, prompt engineering, RAG, vector databases such as FAISS/pgvector/Pinecone)
* Cloud proficiency: Azure (preferred), AWS, or GCP—covering model deployment, security, and cost optimization
* Proven leadership: leading teams/projects, mentoring, and influencing executive stakeholders
* Solid grasp of AI governance: responsible AI, security, privacy, compliance, and risk management
* Experience integrating AI into enterprise platforms (e.g., Microsoft 365, Dynamics, Power Platform, Azure OpenAI) is preferred
* Prior success delivering AI features at scale in production environments is preferred
* Strategic Thinking: Connects technology choices to business outcomes; crafts clear roadmaps
* Technical Depth: You can both design and implement robust AI systems—end\-to\-end
* Leadership \&amp; Coaching: Grows talent; creates clarity; builds trust; raises the bar
* Influence \&amp; Communication: Tailors messaging to executives and engineers; drives alignment
* Bias \&amp; Ethics Awareness: Proactive about responsible AI, data stewardship, and user trust
* Ownership \&amp; Delivery: Moves from idea to impact; manages risks; meets commitments
* Languages: Python, JavaScript, C\#
* ML/AI: PyTorch, TensorFlow
* Data: Azure Data Lake/Databricks, SQL, Spark; vector DBs (FAISS, pgvector, Pinecone)
* Cloud: Azure (Functions, AKS, App Service, Key Vault, Cosmos/SQL DB), Azure OpenAI
**BEHAVIOR EXPECTATIONS**
* A role model for North Risk Partners’ core values, mission, and desired culture
* Demonstrate enthusiasm and a positive attitude
* Professionally and positively represent North Risk Partners to all coworkers, clients, and external stakeholders
* A team player who collaborates and works well with his/her coworkers
* A professional who demonstrates the ability to carry on a conversation with clients, Risk Advisors, and other coworkers within North Risk Partners
**Physical Requirements**
* Perform under normal office conditions; may include lifting/carrying objects weighing up to 25 pounds
* Twist, bend, stoop, kneel, squat, stand, walk, and reach frequently
* Hear, speak, and effectively verbally communicate in the English language, including following oral and written instructions to communicate with people inside and outside of the organization
* Sit and a desk for extended periods of time and perform long hours of work sitting at a computer
* Move around office/building/facilities repeatedly throughout the day
* Apply manual dexterity, visual acuity and ability, for computer keyboarding, office equipment uses, review of detailed reports, information, fine print, and warning labels
* Must possess valid driver’s license and be able to travel to different North Risk Partners locations for meetings, as well as various locations throughout the state and potentially the region for client meetings
* Able to work a flexible work schedule, including overtime and potential evenings/weekends for events and meetings as needed
**TOOLS AND EQUIPMENT USED**
 Incumbents must be able to use telephones, calculators, copy machines, computers, printers, and other office equipment
**WORK ENVIRONMENT**
 The work environment is primarily indoors. Exposure to a variety of weather conditions during work related travel and events held outside of the workplace will occur and I acknowledge that I have read, understood, and agree with the contents of this position description. I agree to use my best efforts to fulfill all expectations of the position. I also acknowledge that I am an at\-will employee. This job description does not necessarily list all the job functions or accountabilities of the job. Employees may be asked by management to perform additional duties and tasks. Management reserves the right to revise and update job descriptions at any time.
**Compensation And Benefits**
 The estimated base salary range for this full\-time position is $140,000 \- $180,000 annually, plus benefits. The salary of the finalist selected for this role will be set based on a variety of factors, including but not limited to departmental budgets, qualifications, experience, education, licenses, specialty, and training. The hiring range represents the company’s good faith and reasonable estimate of the range of possible compensation at the time of posting.
 We offer a comprehensive benefits package, including health, dental, vision, short\-term and long\-term disability, life, long\-term care, 401(k) plan, and more. North Risk Partners is growing which means your career can too. \#oneTEAM members receive continuing professional education and development, volunteer time off, paid time off, paid holidays, and hybrid work opportunities.</t>
        </is>
      </c>
    </row>
    <row r="109">
      <c r="A109" t="inlineStr">
        <is>
          <t>li-4368249074</t>
        </is>
      </c>
      <c r="B109" t="inlineStr">
        <is>
          <t>AI/ML Engineer</t>
        </is>
      </c>
      <c r="C109" t="inlineStr">
        <is>
          <t>Jobs via Dice</t>
        </is>
      </c>
      <c r="D109" t="inlineStr">
        <is>
          <t>linkedin</t>
        </is>
      </c>
      <c r="E109">
        <f>HYPERLINK("https://www.linkedin.com/jobs/view/4368249074", "https://www.linkedin.com/jobs/view/4368249074")</f>
        <v/>
      </c>
      <c r="F109">
        <f>HYPERLINK("https://click.appcast.io/t/X38mo3PojkHZ1kxCP9YXGQfSGcsslC-cR574iNoYq30=&amp;urlHash=JBsV", "https://click.appcast.io/t/X38mo3PojkHZ1kxCP9YXGQfSGcsslC-cR574iNoYq30=&amp;urlHash=JBsV")</f>
        <v/>
      </c>
      <c r="G109" t="inlineStr">
        <is>
          <t>Texas City, TX</t>
        </is>
      </c>
      <c r="H109" t="inlineStr"/>
      <c r="I109" t="inlineStr">
        <is>
          <t>Dice is the leading career destination for tech experts at every stage of their careers. Our client, Raas Infotek LLC, is seeking the following. Apply via Dice today!
**Job Title:** 
 AI/ML Engineer
**Location:** 
 Texas, USA
**Employment Type:** 
 W2
**Experience:** 
 12\+ Years
**Job Description**
 We are seeking a skilled
 **AI/ML Engineer** 
 to design, build, and deploy machine learning models and AI\-driven solutions. The ideal candidate will have strong experience in data modeling, algorithm development, and productionizing machine learning systems.
**Key Responsibilities**
* Design, develop, and deploy machine learning models for real\-world applications.
* Build and maintain data pipelines for model training and inference.
* Collaborate with data scientists, engineers, and business stakeholders.
* Evaluate and optimize model performance and accuracy.
* Implement model monitoring, retraining, and versioning.
* Work with unstructured and structured data.
* Ensure scalability, reliability, and security of AI solutions.
**Required Skills \&amp; Qualifications**
* Strong experience in Python and ML libraries (TensorFlow, PyTorch, scikit\-learn).
* Solid understanding of machine learning, deep learning, and statistical methods.
* Experience with SQL and data processing frameworks.
* Hands\-on experience with cloud platforms (AWS, Azure, or Google Cloud Platform).
* Experience deploying models using APIs, Docker, or Kubernetes.
* Knowledge of data preprocessing, feature engineering, and model evaluation.
**Preferred Qualifications**
* Experience with NLP, computer vision, or generative AI.
* Familiarity with MLOps tools (MLflow, Kubeflow).
* Experience working in Agile/Scrum environments.
* Background in finance, telecom, or enterprise systems.
**Education**
* Bachelor’s or Master’s degree in Computer Science, AI, Machine Learning, or related field.</t>
        </is>
      </c>
    </row>
    <row r="110">
      <c r="A110" t="inlineStr">
        <is>
          <t>li-4368290022</t>
        </is>
      </c>
      <c r="B110" t="inlineStr">
        <is>
          <t>Lead Cortex AI Engineer</t>
        </is>
      </c>
      <c r="C110" t="inlineStr">
        <is>
          <t>Jobs via Dice</t>
        </is>
      </c>
      <c r="D110" t="inlineStr">
        <is>
          <t>linkedin</t>
        </is>
      </c>
      <c r="E110">
        <f>HYPERLINK("https://www.linkedin.com/jobs/view/4368290022", "https://www.linkedin.com/jobs/view/4368290022")</f>
        <v/>
      </c>
      <c r="F110" t="inlineStr"/>
      <c r="G110" t="inlineStr">
        <is>
          <t>Owings Mills, MD</t>
        </is>
      </c>
      <c r="H110" t="inlineStr"/>
      <c r="I110" t="inlineStr">
        <is>
          <t>Dice is the leading career destination for tech experts at every stage of their careers. Our client, ASCII Group LLC, is seeking the following. Apply via Dice today!
**Hi,**
**The following requirement is open with our client.**
**Title : Lead Cortex AI Engineer**
**Location : Owings Mills, MD**
**Duration : 6\+ Months**
**Relevant Experience (in Yrs.): 6\+**
**Detailed Job Description:**
* 5\+ years of hands\-on experience on Snowflake AI Data Cloud.
* 2\+ years of experience with building applications with LLMs including agentic workflows.
* 2\+ years of hands\-on experience on design, develop and orchestrate agentic AI applications using Snowflake Cortex.
* 5\+ years of experience in Python \&amp; pyspark programming.
* 5 \+ years of experience in AWS Services
* Good written and verbal communication skills.
* Analytical and problem\-solving skills.
**Thanks \&amp; regards,**
 Vamsi Billa
 Technical Recruiter
 \=\=
 ASCII Group, LLC
 Mobile:
 Email: \| Website:</t>
        </is>
      </c>
    </row>
    <row r="111">
      <c r="A111" t="inlineStr">
        <is>
          <t>li-4368263687</t>
        </is>
      </c>
      <c r="B111" t="inlineStr">
        <is>
          <t>Delivery Excellence - AI Engineer - Senior Manager</t>
        </is>
      </c>
      <c r="C111" t="inlineStr">
        <is>
          <t>PwC</t>
        </is>
      </c>
      <c r="D111" t="inlineStr">
        <is>
          <t>linkedin</t>
        </is>
      </c>
      <c r="E111">
        <f>HYPERLINK("https://www.linkedin.com/jobs/view/4368263687", "https://www.linkedin.com/jobs/view/4368263687")</f>
        <v/>
      </c>
      <c r="F111" t="inlineStr"/>
      <c r="G111" t="inlineStr">
        <is>
          <t>Silicon Valley, CA</t>
        </is>
      </c>
      <c r="H111" t="inlineStr"/>
      <c r="I111"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2">
      <c r="A112" t="inlineStr">
        <is>
          <t>li-4368285029</t>
        </is>
      </c>
      <c r="B112" t="inlineStr">
        <is>
          <t>Delivery Excellence - AI Engineer - Senior Manager</t>
        </is>
      </c>
      <c r="C112" t="inlineStr">
        <is>
          <t>PwC</t>
        </is>
      </c>
      <c r="D112" t="inlineStr">
        <is>
          <t>linkedin</t>
        </is>
      </c>
      <c r="E112">
        <f>HYPERLINK("https://www.linkedin.com/jobs/view/4368285029", "https://www.linkedin.com/jobs/view/4368285029")</f>
        <v/>
      </c>
      <c r="F112">
        <f>HYPERLINK("https://ad.doubleclick.net/ddm/clk/438405794;254302458;m?https://jobs.us.pwc.com/job/-/-/932/91312691984?utm_source=linkedin.com&amp;utm_campaign=core_media&amp;utm_medium=social_media&amp;utm_content=job_posting&amp;ss=paid&amp;urlHash=zfj5", "https://ad.doubleclick.net/ddm/clk/438405794;254302458;m?https://jobs.us.pwc.com/job/-/-/932/91312691984?utm_source=linkedin.com&amp;utm_campaign=core_media&amp;utm_medium=social_media&amp;utm_content=job_posting&amp;ss=paid&amp;urlHash=zfj5")</f>
        <v/>
      </c>
      <c r="G112" t="inlineStr">
        <is>
          <t>New York, NY</t>
        </is>
      </c>
      <c r="H112" t="inlineStr"/>
      <c r="I112" t="inlineStr">
        <is>
          <t>**Specialty/Competency:** 
 Data Science
**Industry/Sector:** 
 Not Applicable
**Time Type:** 
 Full time
**Travel Requirements:** 
 Up to 20%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**Skills**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AI Engineering team you will lead the creation and delivery of innovative data solutions that harness the power of generative AI and cloud\-native technologies. As a Senior Manager, you will serve as a strategic advisor, guiding teams through complex challenges while fostering a culture of excellence and collaboration. This role offers the chance to influence the future of AI applications, driving impactful results for clients and contributing to the firm's success.
**Responsibilities**
* Lead the development and implementation of advanced data solutions
* Secure the delivery of impactful results through strategic project management
* Cultivate meaningful relationships with stakeholders to align on objectives
* Utilize cloud\-native technologies to enhance operational effectiveness
* Mentor and develop team members to build top\-performing groups
 What You Must Have
* Bachelor's Degree
* At least 10 years of experience
 What Sets You Apart
* Proven experience in AI application development
* Demonstrating thought leadership in advanced AI domains
* Building intuitive storytelling and analytics tools
* Evaluating model performance using key metrics
* Familiarity with API evaluation and testing tools
* Developing rapid proofs\-of\-concept solutions
* Applying generative AI concepts to architect solutions
* Designing LLM solutions using Python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2026-02-03T21:10:44Z</dcterms:created>
  <dcterms:modified xsi:type="dcterms:W3CDTF">2026-02-03T21:10:44Z</dcterms:modified>
</cp:coreProperties>
</file>