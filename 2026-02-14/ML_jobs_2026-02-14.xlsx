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in-3a6288c915c206c6</t>
        </is>
      </c>
      <c r="B2" t="inlineStr">
        <is>
          <t>Applied Scientist II, Prime Video - Personalization and Discovery Science, Personalization and Discovery Science</t>
        </is>
      </c>
      <c r="C2" t="inlineStr">
        <is>
          <t>Amazon.com</t>
        </is>
      </c>
      <c r="D2" t="inlineStr">
        <is>
          <t>indeed</t>
        </is>
      </c>
      <c r="E2" t="inlineStr"/>
      <c r="F2" t="inlineStr"/>
      <c r="G2" t="inlineStr">
        <is>
          <t>Sunnyvale, CA, US</t>
        </is>
      </c>
      <c r="H2" s="2"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in-80ffd79cbc6e8403</t>
        </is>
      </c>
      <c r="B3" t="inlineStr">
        <is>
          <t>Applied Scientist II, Prime Video - Personalization and Discovery Science, Personalization and Discovery Science</t>
        </is>
      </c>
      <c r="C3" t="inlineStr">
        <is>
          <t>Amazon.com</t>
        </is>
      </c>
      <c r="D3" t="inlineStr">
        <is>
          <t>indeed</t>
        </is>
      </c>
      <c r="E3" t="inlineStr"/>
      <c r="F3" t="inlineStr"/>
      <c r="G3" t="inlineStr">
        <is>
          <t>Seattle, WA,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in-4f89452dda145626</t>
        </is>
      </c>
      <c r="B4" t="inlineStr">
        <is>
          <t>Applied Scientist II, Prime Video - Personalization and Discovery Science, Personalization and Discovery Science</t>
        </is>
      </c>
      <c r="C4" t="inlineStr">
        <is>
          <t>Amazon.com</t>
        </is>
      </c>
      <c r="D4" t="inlineStr">
        <is>
          <t>indeed</t>
        </is>
      </c>
      <c r="E4" t="inlineStr"/>
      <c r="F4" t="inlineStr"/>
      <c r="G4" t="inlineStr">
        <is>
          <t>New York, NY,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in-cfa1e37677d4f62c</t>
        </is>
      </c>
      <c r="B5" t="inlineStr">
        <is>
          <t>Applied Scientist II, Prime Video - Personalization and Discovery Science</t>
        </is>
      </c>
      <c r="C5" t="inlineStr">
        <is>
          <t>Amazon.com</t>
        </is>
      </c>
      <c r="D5" t="inlineStr">
        <is>
          <t>indeed</t>
        </is>
      </c>
      <c r="E5" t="inlineStr"/>
      <c r="F5" t="inlineStr"/>
      <c r="G5" t="inlineStr">
        <is>
          <t>Seattle, WA, US</t>
        </is>
      </c>
      <c r="H5" s="2" t="n">
        <v>45881</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in-94b9ec5297d2640d</t>
        </is>
      </c>
      <c r="B6" t="inlineStr">
        <is>
          <t>Sr. Applied Scientist, Prime Video - Personalization and Discovery Science</t>
        </is>
      </c>
      <c r="C6" t="inlineStr">
        <is>
          <t>Amazon.com</t>
        </is>
      </c>
      <c r="D6" t="inlineStr">
        <is>
          <t>indeed</t>
        </is>
      </c>
      <c r="E6" t="inlineStr"/>
      <c r="F6" t="inlineStr"/>
      <c r="G6" t="inlineStr">
        <is>
          <t>New York, NY, US</t>
        </is>
      </c>
      <c r="H6" s="2" t="n">
        <v>45881</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in-9f8ef45e2692c728</t>
        </is>
      </c>
      <c r="B7" t="inlineStr">
        <is>
          <t>Sr. Applied Scientist, Prime Video - Personalization and Discovery Science</t>
        </is>
      </c>
      <c r="C7" t="inlineStr">
        <is>
          <t>Amazon.com</t>
        </is>
      </c>
      <c r="D7" t="inlineStr">
        <is>
          <t>indeed</t>
        </is>
      </c>
      <c r="E7" t="inlineStr"/>
      <c r="F7" t="inlineStr"/>
      <c r="G7" t="inlineStr">
        <is>
          <t>Seattle, WA,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in-b5eac7f869345477</t>
        </is>
      </c>
      <c r="B8" t="inlineStr">
        <is>
          <t>Applied Scientist II, Prime Video - Personalization and Discovery Science</t>
        </is>
      </c>
      <c r="C8" t="inlineStr">
        <is>
          <t>Amazon.com</t>
        </is>
      </c>
      <c r="D8" t="inlineStr">
        <is>
          <t>indeed</t>
        </is>
      </c>
      <c r="E8" t="inlineStr"/>
      <c r="F8" t="inlineStr"/>
      <c r="G8" t="inlineStr">
        <is>
          <t>New York, NY,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in-bb6b454091db7ece</t>
        </is>
      </c>
      <c r="B9" t="inlineStr">
        <is>
          <t>Applied Scientist II, Prime Video - Personalization and Discovery Science</t>
        </is>
      </c>
      <c r="C9" t="inlineStr">
        <is>
          <t>Amazon.com</t>
        </is>
      </c>
      <c r="D9" t="inlineStr">
        <is>
          <t>indeed</t>
        </is>
      </c>
      <c r="E9" t="inlineStr"/>
      <c r="F9" t="inlineStr"/>
      <c r="G9" t="inlineStr">
        <is>
          <t>Sunnyvale, CA,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in-90a198663abffe6a</t>
        </is>
      </c>
      <c r="B10" t="inlineStr">
        <is>
          <t>Sr. Applied Scientist, Prime Video - Personalization and Discovery Science</t>
        </is>
      </c>
      <c r="C10" t="inlineStr">
        <is>
          <t>Amazon.com</t>
        </is>
      </c>
      <c r="D10" t="inlineStr">
        <is>
          <t>indeed</t>
        </is>
      </c>
      <c r="E10" t="inlineStr"/>
      <c r="F10" t="inlineStr"/>
      <c r="G10" t="inlineStr">
        <is>
          <t>Sunnyvale, CA, US</t>
        </is>
      </c>
      <c r="H10" s="2"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in-edee8b8e68c8f398</t>
        </is>
      </c>
      <c r="B11" t="inlineStr">
        <is>
          <t>Sr. Enterprise Data Foundation &amp; Intelligent Automation AI Engineer</t>
        </is>
      </c>
      <c r="C11" t="inlineStr">
        <is>
          <t>Niagara Bottling</t>
        </is>
      </c>
      <c r="D11" t="inlineStr">
        <is>
          <t>indeed</t>
        </is>
      </c>
      <c r="E11" t="inlineStr"/>
      <c r="F11" t="inlineStr"/>
      <c r="G11" t="inlineStr">
        <is>
          <t>Diamond Bar, CA, US</t>
        </is>
      </c>
      <c r="H11" s="2" t="n">
        <v>46065</v>
      </c>
      <c r="I11"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Sr. Enterprise Data Foundation \&amp; Intelligent Automation AI Engineer
The Sr. Enterprise Data Foundation \&amp; Intelligent Automation AI Engineer is responsible for designing, developing, and optimizing analytical data models, data pipelines, and intelligent automation solutions. This role plays a critical part in strengthening the organization’s data foundation, improving data maturity, and enabling high\-quality, data\-driven decision\-making across the enterprise.**Essential Functions**
* Design, develop, and maintain high\-quality data pipelines, models, and automation solutions in alignment with Analytics Modeling ELT principles.
* Implement data quality frameworks and data governance best practices to ensure reliable and trusted data assets.
* Solve complex data engineering problems to enhance business intelligence and operational efficiency.
* Develop reusable data products for product managers, data scientists, and business teams to streamline decision\-making processes.
* Collaborate with data engineers, machine learning engineers, and solution architects to create scalable and optimized enterprise data solutions.
* Support AI\-first initiatives and Robotic Process Automation (RPA) to drive efficiency across the analytics data value chain.
* Partner with key stakeholders to automate and optimize business processes through Business Process Automation (BPA).
* Continuously evaluate emerging data technologies and automation tools to enhance data engineering productivity.
* Foster a culture of innovation, efficiency, and technical excellence within the data engineering domain.
* Please note this job description is not exhaustive and may be subject to change as business needs evolve.
**Qualifications**
* Minimum Qualifications:
	+ 4 years of experience in technology consulting, data analytics, or related fields.
	+ 4 years of experience supporting operations or strategy functions.
	+ 2 years of experience managing projects or teams.
* ***experience may include a combination of work experience and education***
* Preferred Qualifications:
	+ 6 years of experience in technology consulting, data analytics, or related fields.
	+ 6 years of experience in operations or strategy functions.
	+ 4 years of experience managing projects or teams.
* ***experience may include a combination of work experience and education***
**Competencies**
* Strong expertise in ELT, SQL, and at least one programming language (e.g., Python, R).
* Experience developing and maintaining data warehouses and big data solutions (e.g., Snowflake, Hadoop, Spark, BigQuery).
* Understanding of cloud computing services for data and analytics solutions.
* Experience working with relational, NoSQL, and cloud\-based databases.
* Conceptual knowledge of data governance, dimensional modeling, and structured/unstructured data management.
* Exposure to machine learning, artificial intelligence, and statistical methodologies.
* Familiarity with agile methodologies and experience in cross\-functional teams.
* Strong problem\-solving skills with the ability to simplify complex technical concepts for broader organizational alignment.
* Passion for technology, innovation, and continuous learning.
* Ability to foster a culture of collaboration, transparency, and trust.
This position embodies the values of Niagara’s LIFE competency model, focusing on the following key drivers of success:
* Lead Like an Owner
	+ Provides strategic input and oversight to departmental projects
	+ Skilled in reducing costs and managing timelines while prioritizing long run impact
	+ Leads/facilitates discussions to get positive outcomes for the customer
	+ Makes strategic and sustainable data driven decisions which prioritize the needs of the customer over departmental/individual goals
* InnovACT
	+ Continuously evaluates existing programs and processes, and develops new initiatives to increase efficiency and reduce waste
	+ Creates, monitors, and responds to departmental performance metrics to drive continuous improvement
	+ Communicates a clear vision, organizes resources effectively, and adjusts the strategy as needed when managing change
* Find a Way
	+ Demonstrates ability to think analytically and synthesize complex information
	+ Effectively delegates technical tasks to subordinates
	+ Works effectively with depts, vendors, and customers to achieve organizational success
	+ Identifies opportunities for collaboration in strategic ways
* Empowered to be Great
	+ Engages in long term talent planning
	+ Provides opportunities for the development of all direct reports
	+ Understands, identifies, and addresses conflict within own team and between teams
**Education**
* Minimum Required:
	+ Bachelor's Degree in Supply Chain/Information Technology/Business Analytics/Systems Engineering/Data Science or other related field
* Preferred:
	+ Master's Degree in Supply Chain/Information Technology/Business Analytics/Systems Engineering/Data Science or other related field
**Certification/License:**
* Required: N/A
* Preferred: APICS CPIM/CSCP, PMP PMI
**Typical Compensation Range**
Pay Rate Type: Salary
$111,766\.36 \- $159,267\.07 / Yearly**Benefits**
Our Total Rewards package is thoughtfully designed to support both you and your family:
*Regular full\-time team members are offered a comprehensive benefits package, while part\-time, intern, and seasonal team members are offered a limited benefits package.*
* Paid Time Off for holidays, sick time, and vacation time
* Paid parental and caregiver leaves
* Medical, including virtual care options
* Dental
* Vision
* 401(k) with company match
* Health Savings Account with company match
* Flexible Spending Accounts
* Expanded mental wellbeing benefits including free counseling sessions for all team members and household family members
* Family Building Benefits including enhanced fertility benefits for IVF and fertility preservation plus adoption, surrogacy, and Doula reimbursements
* Income protection including Life and AD\&amp;D, short and long\-term disability, critical illness and an accident plan
* Special discount programs including pet plans, pre\-paid legal services, identity theft, car rental, airport parking, etc.
* Tuition reimbursement, college savings plan and scholarship opportunities
* And more!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résumé into this career site or to a hiring manager does so with the understanding that the applicant's résumé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résumé to the designated Niagara Bottling, LLC recruiter or, upon authorization, submit résumé into this career site to be eligible for placement fees.**
**Niagara Plant Name**  
**CORP\-MAIN**</t>
        </is>
      </c>
    </row>
    <row r="12">
      <c r="A12" t="inlineStr">
        <is>
          <t>in-96806ace43ab9c92</t>
        </is>
      </c>
      <c r="B12" t="inlineStr">
        <is>
          <t>Machine Learning Engineer</t>
        </is>
      </c>
      <c r="C12" t="inlineStr">
        <is>
          <t>Manulife</t>
        </is>
      </c>
      <c r="D12" t="inlineStr">
        <is>
          <t>indeed</t>
        </is>
      </c>
      <c r="E12" t="inlineStr"/>
      <c r="F12" t="inlineStr"/>
      <c r="G12" t="inlineStr">
        <is>
          <t>Boston, MA, US</t>
        </is>
      </c>
      <c r="H12" s="2" t="n">
        <v>46065</v>
      </c>
      <c r="I12" t="inlineStr">
        <is>
          <t>We’re looking for an ML Engineer to support end‑to‑end data operations and analytics across key initiatives within our US Segment. In this role, you’ll own data pipelines, productionize data science solutions, build tables and databases, and work with a variety of internal and external partners to understand, acquire, and transform complex datasets. You’ll contribute to analytics and reporting for projects of moderate scope, generate actionable insights, and translate technical findings into clear business language. You’ll also help measure model effectiveness, mentor junior team members, and leverage your strong understanding of programming, data querying, and visualization tools. This position is ideal for someone who is curious, collaborative, and able to connect data across diverse systems while supporting solutions that drive broader business strategy.
**Position Responsibilities:**
* Support data operations lifecycle of AA projects \- Input into the approach and Owns and manages assigned tasks.
* Develops and implements ad\-hoc and business analytics and reporting on projects of moderate scope
* Own data pipeline and productionizing
* Identify and gain access to sources of data with limited assistance from senior team members.
* Work with internal and external team members to understand the data; present findings to the team.
* Document the acquired data via standard team templates; present findings to the team
* Create appropriate tables and DBs
* Work with internal and external team members to code DS's solution in production system, coach junior team members.
* Acquire data to measure effectiveness of the solution, present findings to internal and external peers, with guidance from senior team members.
* Works on problems of moderate scope / complexity where analysis of situations or data requires a review of a variety of factors
* Ability to generate relevant, actionable insights based on iterative data analysis, translate data\-driven output into business language, and to make appropriate recommendations to respective business stakeholders
* Strong ability to extract, transform and stage data for consumption by the data scientist leveraging data querying tools
* Provides analysis on datasets of significant complexity.
* Quickly able to develop enough business insight to connect data sources across multiple diverse and complicated systems.
* Communicates business analytics of moderate complexity to more senior team members and junior business partners
* Works closely with subject matter experts to understand data sources.
* Has intimate understanding of the business value chain and customer lifecycle for the projects they are supporting.
* Has fundamental understanding of the business as a whole.
* Curious and asks the right kinds of questions of peers and customers to gain knowledge.
* Establishes an internal network and leverages the network of more senior data analysts.
* Provides guidance and mentorship to more junior team members Owns their career development.
* Takes advantage of available resources to advance their technical and business skills.
* Understands how their project supports broader business strategy, including the core drivers of business value
**Required Qualifications:**
* Minimum of 2 years of applicable experience Advanced knowledge of programming languages and concepts (g. Java, Sequel, C, SAS, SPSS, R (different modules) or Python)
* Advanced knowledge of data visualization tools such as Tableau, QlikView, PowerBI
* Advanced knowledge of data transformation to support BI Reporting Advanced knowledge of common database querying languages such as SQL.
* Minimum Bachelor’s degree in Math, Computer Science, or Engineering; or Bachelor’s degree with equivalent technical experience
**Preferred Qualifications:**
* Capability of applying a systematic, structured approach to explore / navigate / mine massive amount of data, structured or un\-structured, to uncover hidden patterns / insights.
* Strong working knowledge of relational database models ( data vaulting techniques, rules tables).
* Advanced knowledge in distributed computing \- Hadoop/ NoSQL/unstructured data
* Basic understanding of different techniques and knowledge of machine learning algorithms.
* Basic knowledge of AI toolkits.
* Familiarity with basic statistical tests, distributions, maximum likelihood estimators, statistical modelling techniques (regression, cluster / factor / principle components, decision tree, survival analysis, etc.)
***When you join our team:***
* We’ll empower you to learn and grow the career you want.
* We’ll recognize and support you in a flexible environment where well\-being and inclusion are more than just words.
* As part of our global team, we’ll support you in shaping the future you want to see.
\#LI\-Hybrid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
**Referenced Salary Location**
Boston, Massachusetts
**Working Arrangement**
Hybrid
**Salary range is expected to be between**
$90,160\.00 USD \- $167,440\.00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row r="13">
      <c r="A13" t="inlineStr">
        <is>
          <t>in-47fd96e4f903c924</t>
        </is>
      </c>
      <c r="B13" t="inlineStr">
        <is>
          <t>Sr. Applied Scientist, Sponsored Products Off-Search Sourcing</t>
        </is>
      </c>
      <c r="C13" t="inlineStr">
        <is>
          <t>Amazon.com</t>
        </is>
      </c>
      <c r="D13" t="inlineStr">
        <is>
          <t>indeed</t>
        </is>
      </c>
      <c r="E13" t="inlineStr"/>
      <c r="F13" t="inlineStr"/>
      <c r="G13" t="inlineStr">
        <is>
          <t>Seattle, WA, US</t>
        </is>
      </c>
      <c r="H13" s="2" t="n">
        <v>46049</v>
      </c>
      <c r="I1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
      <c r="A14" t="inlineStr">
        <is>
          <t>in-443a46f4e6ccd144</t>
        </is>
      </c>
      <c r="B14" t="inlineStr">
        <is>
          <t>Sr. Applied Scientist, Sponsored Products Off-Search Sourcing</t>
        </is>
      </c>
      <c r="C14" t="inlineStr">
        <is>
          <t>Amazon.com</t>
        </is>
      </c>
      <c r="D14" t="inlineStr">
        <is>
          <t>indeed</t>
        </is>
      </c>
      <c r="E14" t="inlineStr"/>
      <c r="F14" t="inlineStr"/>
      <c r="G14" t="inlineStr">
        <is>
          <t>Palo Alto, CA, US</t>
        </is>
      </c>
      <c r="H14" s="2" t="n">
        <v>46049</v>
      </c>
      <c r="I1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5">
      <c r="A15" t="inlineStr">
        <is>
          <t>in-d9aad945003788f3</t>
        </is>
      </c>
      <c r="B15" t="inlineStr">
        <is>
          <t>Sr. Applied Scientist, Sponsored Products Off-Search Sourcing</t>
        </is>
      </c>
      <c r="C15" t="inlineStr">
        <is>
          <t>Amazon.com</t>
        </is>
      </c>
      <c r="D15" t="inlineStr">
        <is>
          <t>indeed</t>
        </is>
      </c>
      <c r="E15" t="inlineStr"/>
      <c r="F15" t="inlineStr"/>
      <c r="G15" t="inlineStr">
        <is>
          <t>New York, NY, US</t>
        </is>
      </c>
      <c r="H15" s="2" t="n">
        <v>46049</v>
      </c>
      <c r="I1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6">
      <c r="A16" t="inlineStr">
        <is>
          <t>in-c407f4aed3984f5a</t>
        </is>
      </c>
      <c r="B16" t="inlineStr">
        <is>
          <t>Applied Scientist II, Prime Video Personalization and Discovery Science</t>
        </is>
      </c>
      <c r="C16" t="inlineStr">
        <is>
          <t>Amazon.com</t>
        </is>
      </c>
      <c r="D16" t="inlineStr">
        <is>
          <t>indeed</t>
        </is>
      </c>
      <c r="E16" t="inlineStr"/>
      <c r="F16" t="inlineStr"/>
      <c r="G16" t="inlineStr">
        <is>
          <t>New York, NY, US</t>
        </is>
      </c>
      <c r="H16" s="2" t="n">
        <v>46047</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
      <c r="A17" t="inlineStr">
        <is>
          <t>in-61397baece7cba93</t>
        </is>
      </c>
      <c r="B17" t="inlineStr">
        <is>
          <t>Applied Scientist II, Prime Video Personalization and Discovery Science</t>
        </is>
      </c>
      <c r="C17" t="inlineStr">
        <is>
          <t>Amazon.com</t>
        </is>
      </c>
      <c r="D17" t="inlineStr">
        <is>
          <t>indeed</t>
        </is>
      </c>
      <c r="E17" t="inlineStr"/>
      <c r="F17" t="inlineStr"/>
      <c r="G17" t="inlineStr">
        <is>
          <t>Sunnyvale, CA, US</t>
        </is>
      </c>
      <c r="H17" s="2" t="n">
        <v>46047</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
      <c r="A18" t="inlineStr">
        <is>
          <t>in-c39d755b717c8d62</t>
        </is>
      </c>
      <c r="B18" t="inlineStr">
        <is>
          <t>Applied Scientist II, Prime Video Personalization and Discovery Science</t>
        </is>
      </c>
      <c r="C18" t="inlineStr">
        <is>
          <t>Amazon.com</t>
        </is>
      </c>
      <c r="D18" t="inlineStr">
        <is>
          <t>indeed</t>
        </is>
      </c>
      <c r="E18" t="inlineStr"/>
      <c r="F18" t="inlineStr"/>
      <c r="G18" t="inlineStr">
        <is>
          <t>Seattle, WA, US</t>
        </is>
      </c>
      <c r="H18" s="2" t="n">
        <v>46047</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
      <c r="A19" t="inlineStr">
        <is>
          <t>in-9a556f30a5e7f1c7</t>
        </is>
      </c>
      <c r="B19" t="inlineStr">
        <is>
          <t>Sr. Applied Scientist, Amazon Connect</t>
        </is>
      </c>
      <c r="C19" t="inlineStr">
        <is>
          <t>Amazon Web Services</t>
        </is>
      </c>
      <c r="D19" t="inlineStr">
        <is>
          <t>indeed</t>
        </is>
      </c>
      <c r="E19" t="inlineStr"/>
      <c r="F19" t="inlineStr"/>
      <c r="G19" t="inlineStr">
        <is>
          <t>New York, NY, US</t>
        </is>
      </c>
      <c r="H19" s="2" t="n">
        <v>46047</v>
      </c>
      <c r="I1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0">
      <c r="A20" t="inlineStr">
        <is>
          <t>in-2b04696484c4efbd</t>
        </is>
      </c>
      <c r="B20" t="inlineStr">
        <is>
          <t>Applied Scientist, Amazon Connect</t>
        </is>
      </c>
      <c r="C20" t="inlineStr">
        <is>
          <t>Amazon Web Services</t>
        </is>
      </c>
      <c r="D20" t="inlineStr">
        <is>
          <t>indeed</t>
        </is>
      </c>
      <c r="E20" t="inlineStr"/>
      <c r="F20" t="inlineStr"/>
      <c r="G20" t="inlineStr">
        <is>
          <t>New York, NY, US</t>
        </is>
      </c>
      <c r="H20" s="2" t="n">
        <v>46047</v>
      </c>
      <c r="I2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1">
      <c r="A21" t="inlineStr">
        <is>
          <t>in-9f2b5e395c2b3dad</t>
        </is>
      </c>
      <c r="B21" t="inlineStr">
        <is>
          <t>Applied Scientist, Amazon Connect</t>
        </is>
      </c>
      <c r="C21" t="inlineStr">
        <is>
          <t>Amazon Web Services</t>
        </is>
      </c>
      <c r="D21" t="inlineStr">
        <is>
          <t>indeed</t>
        </is>
      </c>
      <c r="E21" t="inlineStr"/>
      <c r="F21" t="inlineStr"/>
      <c r="G21" t="inlineStr">
        <is>
          <t>Seattle, WA, US</t>
        </is>
      </c>
      <c r="H21" s="2" t="n">
        <v>46047</v>
      </c>
      <c r="I2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2">
      <c r="A22" t="inlineStr">
        <is>
          <t>in-f22f56165c6c36f4</t>
        </is>
      </c>
      <c r="B22" t="inlineStr">
        <is>
          <t>Sr. Applied Scientist, Amazon Connect</t>
        </is>
      </c>
      <c r="C22" t="inlineStr">
        <is>
          <t>Amazon Web Services</t>
        </is>
      </c>
      <c r="D22" t="inlineStr">
        <is>
          <t>indeed</t>
        </is>
      </c>
      <c r="E22" t="inlineStr"/>
      <c r="F22" t="inlineStr"/>
      <c r="G22" t="inlineStr">
        <is>
          <t>Seattle, WA, US</t>
        </is>
      </c>
      <c r="H22" s="2" t="n">
        <v>46047</v>
      </c>
      <c r="I2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3">
      <c r="A23" t="inlineStr">
        <is>
          <t>in-92980e9f6d9aa848</t>
        </is>
      </c>
      <c r="B23" t="inlineStr">
        <is>
          <t>Machine Learning Engineer, WWPS ProServe Data and Machine Learning</t>
        </is>
      </c>
      <c r="C23" t="inlineStr">
        <is>
          <t>Amazon Web Services</t>
        </is>
      </c>
      <c r="D23" t="inlineStr">
        <is>
          <t>indeed</t>
        </is>
      </c>
      <c r="E23" t="inlineStr"/>
      <c r="F23" t="inlineStr"/>
      <c r="G23" t="inlineStr">
        <is>
          <t>Herndon, VA, US</t>
        </is>
      </c>
      <c r="H23" s="2" t="n">
        <v>46043</v>
      </c>
      <c r="I2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
      <c r="A24" t="inlineStr">
        <is>
          <t>in-4522d282cad0f4c9</t>
        </is>
      </c>
      <c r="B24" t="inlineStr">
        <is>
          <t>Machine Learning Engineer, WWPS ProServe Data and Machine Learning</t>
        </is>
      </c>
      <c r="C24" t="inlineStr">
        <is>
          <t>Amazon Web Services</t>
        </is>
      </c>
      <c r="D24" t="inlineStr">
        <is>
          <t>indeed</t>
        </is>
      </c>
      <c r="E24" t="inlineStr"/>
      <c r="F24" t="inlineStr"/>
      <c r="G24" t="inlineStr">
        <is>
          <t>Arlington, VA, US</t>
        </is>
      </c>
      <c r="H24" s="2" t="n">
        <v>46043</v>
      </c>
      <c r="I2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
      <c r="A25" t="inlineStr">
        <is>
          <t>in-dff8057871861b0a</t>
        </is>
      </c>
      <c r="B25" t="inlineStr">
        <is>
          <t>Applied Scientist, Safety ML</t>
        </is>
      </c>
      <c r="C25" t="inlineStr">
        <is>
          <t>Amazon.com</t>
        </is>
      </c>
      <c r="D25" t="inlineStr">
        <is>
          <t>indeed</t>
        </is>
      </c>
      <c r="E25" t="inlineStr"/>
      <c r="F25" t="inlineStr"/>
      <c r="G25" t="inlineStr">
        <is>
          <t>Seattle, WA, US</t>
        </is>
      </c>
      <c r="H25" s="2" t="n">
        <v>46037</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6">
      <c r="A26" t="inlineStr">
        <is>
          <t>in-15d8e7e760261a6f</t>
        </is>
      </c>
      <c r="B26" t="inlineStr">
        <is>
          <t>Applied Scientist, Safety ML</t>
        </is>
      </c>
      <c r="C26" t="inlineStr">
        <is>
          <t>Amazon.com</t>
        </is>
      </c>
      <c r="D26" t="inlineStr">
        <is>
          <t>indeed</t>
        </is>
      </c>
      <c r="E26" t="inlineStr"/>
      <c r="F26" t="inlineStr"/>
      <c r="G26" t="inlineStr">
        <is>
          <t>San Francisco, CA, US</t>
        </is>
      </c>
      <c r="H26" s="2" t="n">
        <v>46037</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
      <c r="A27" t="inlineStr">
        <is>
          <t>in-251d9b2c6795683f</t>
        </is>
      </c>
      <c r="B27" t="inlineStr">
        <is>
          <t>Applied Scientist, LLM Code Agents, Kiro Science</t>
        </is>
      </c>
      <c r="C27" t="inlineStr">
        <is>
          <t>Amazon.com</t>
        </is>
      </c>
      <c r="D27" t="inlineStr">
        <is>
          <t>indeed</t>
        </is>
      </c>
      <c r="E27" t="inlineStr"/>
      <c r="F27" t="inlineStr"/>
      <c r="G27" t="inlineStr">
        <is>
          <t>Seattle, WA, US</t>
        </is>
      </c>
      <c r="H27" s="2" t="n">
        <v>46035</v>
      </c>
      <c r="I2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8">
      <c r="A28" t="inlineStr">
        <is>
          <t>in-d250b2ae73cc158d</t>
        </is>
      </c>
      <c r="B28" t="inlineStr">
        <is>
          <t>Applied Scientist, LLM Code Agents, Kiro Science</t>
        </is>
      </c>
      <c r="C28" t="inlineStr">
        <is>
          <t>Amazon.com</t>
        </is>
      </c>
      <c r="D28" t="inlineStr">
        <is>
          <t>indeed</t>
        </is>
      </c>
      <c r="E28" t="inlineStr"/>
      <c r="F28" t="inlineStr"/>
      <c r="G28" t="inlineStr">
        <is>
          <t>Santa Clara, CA, US</t>
        </is>
      </c>
      <c r="H28" s="2" t="n">
        <v>46035</v>
      </c>
      <c r="I2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9">
      <c r="A29" t="inlineStr">
        <is>
          <t>in-dc935499afbff801</t>
        </is>
      </c>
      <c r="B29" t="inlineStr">
        <is>
          <t>Applied Scientist II, Prime Video Personalization and Discovery Science</t>
        </is>
      </c>
      <c r="C29" t="inlineStr">
        <is>
          <t>Amazon.com</t>
        </is>
      </c>
      <c r="D29" t="inlineStr">
        <is>
          <t>indeed</t>
        </is>
      </c>
      <c r="E29" t="inlineStr"/>
      <c r="F29" t="inlineStr"/>
      <c r="G29" t="inlineStr">
        <is>
          <t>Sunnyvale, CA, US</t>
        </is>
      </c>
      <c r="H29" s="2" t="n">
        <v>46034</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0">
      <c r="A30" t="inlineStr">
        <is>
          <t>in-526a828beab87685</t>
        </is>
      </c>
      <c r="B30" t="inlineStr">
        <is>
          <t>Applied Scientist II, Prime Video Personalization and Discovery Science</t>
        </is>
      </c>
      <c r="C30" t="inlineStr">
        <is>
          <t>Amazon.com</t>
        </is>
      </c>
      <c r="D30" t="inlineStr">
        <is>
          <t>indeed</t>
        </is>
      </c>
      <c r="E30" t="inlineStr"/>
      <c r="F30" t="inlineStr"/>
      <c r="G30" t="inlineStr">
        <is>
          <t>Seattle, WA, US</t>
        </is>
      </c>
      <c r="H30" s="2" t="n">
        <v>46034</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1">
      <c r="A31" t="inlineStr">
        <is>
          <t>in-709093b5a51780a5</t>
        </is>
      </c>
      <c r="B31" t="inlineStr">
        <is>
          <t>Applied Scientist, Alexa Smart Home</t>
        </is>
      </c>
      <c r="C31" t="inlineStr">
        <is>
          <t>Amazon.com</t>
        </is>
      </c>
      <c r="D31" t="inlineStr">
        <is>
          <t>indeed</t>
        </is>
      </c>
      <c r="E31" t="inlineStr"/>
      <c r="F31" t="inlineStr"/>
      <c r="G31" t="inlineStr">
        <is>
          <t>Sunnyvale, CA, US</t>
        </is>
      </c>
      <c r="H31" s="2" t="n">
        <v>46033</v>
      </c>
      <c r="I3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2">
      <c r="A32" t="inlineStr">
        <is>
          <t>in-cb79cfa551d5d9fa</t>
        </is>
      </c>
      <c r="B32" t="inlineStr">
        <is>
          <t>Applied Scientist, Alexa Smart Home</t>
        </is>
      </c>
      <c r="C32" t="inlineStr">
        <is>
          <t>Amazon.com</t>
        </is>
      </c>
      <c r="D32" t="inlineStr">
        <is>
          <t>indeed</t>
        </is>
      </c>
      <c r="E32" t="inlineStr"/>
      <c r="F32" t="inlineStr"/>
      <c r="G32" t="inlineStr">
        <is>
          <t>Seattle, WA, US</t>
        </is>
      </c>
      <c r="H32" s="2" t="n">
        <v>46033</v>
      </c>
      <c r="I3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
      <c r="A33" t="inlineStr">
        <is>
          <t>in-ce9d774642899d53</t>
        </is>
      </c>
      <c r="B33" t="inlineStr">
        <is>
          <t>Sr Applied Scientist, AWS Proactive Security</t>
        </is>
      </c>
      <c r="C33" t="inlineStr">
        <is>
          <t>Amazon.com</t>
        </is>
      </c>
      <c r="D33" t="inlineStr">
        <is>
          <t>indeed</t>
        </is>
      </c>
      <c r="E33" t="inlineStr"/>
      <c r="F33" t="inlineStr"/>
      <c r="G33" t="inlineStr">
        <is>
          <t>Sunnyvale, CA, US</t>
        </is>
      </c>
      <c r="H33" s="2" t="n">
        <v>46030</v>
      </c>
      <c r="I3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4">
      <c r="A34" t="inlineStr">
        <is>
          <t>in-767dd4758f2246cd</t>
        </is>
      </c>
      <c r="B34" t="inlineStr">
        <is>
          <t>Sr Applied Scientist, AWS Proactive Security</t>
        </is>
      </c>
      <c r="C34" t="inlineStr">
        <is>
          <t>Amazon.com</t>
        </is>
      </c>
      <c r="D34" t="inlineStr">
        <is>
          <t>indeed</t>
        </is>
      </c>
      <c r="E34" t="inlineStr"/>
      <c r="F34" t="inlineStr"/>
      <c r="G34" t="inlineStr">
        <is>
          <t>Herndon, VA, US</t>
        </is>
      </c>
      <c r="H34" s="2" t="n">
        <v>46030</v>
      </c>
      <c r="I3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5">
      <c r="A35" t="inlineStr">
        <is>
          <t>in-7404a1343b0f6ed6</t>
        </is>
      </c>
      <c r="B35" t="inlineStr">
        <is>
          <t>Sr Applied Scientist, AWS Proactive Security</t>
        </is>
      </c>
      <c r="C35" t="inlineStr">
        <is>
          <t>Amazon.com</t>
        </is>
      </c>
      <c r="D35" t="inlineStr">
        <is>
          <t>indeed</t>
        </is>
      </c>
      <c r="E35" t="inlineStr"/>
      <c r="F35" t="inlineStr"/>
      <c r="G35" t="inlineStr">
        <is>
          <t>Arlington, VA, US</t>
        </is>
      </c>
      <c r="H35" s="2" t="n">
        <v>46030</v>
      </c>
      <c r="I3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6">
      <c r="A36" t="inlineStr">
        <is>
          <t>in-179a1910fd4aa810</t>
        </is>
      </c>
      <c r="B36" t="inlineStr">
        <is>
          <t>Applied Scientist, AWS Applied AI Solutions</t>
        </is>
      </c>
      <c r="C36" t="inlineStr">
        <is>
          <t>Amazon Web Services</t>
        </is>
      </c>
      <c r="D36" t="inlineStr">
        <is>
          <t>indeed</t>
        </is>
      </c>
      <c r="E36" t="inlineStr"/>
      <c r="F36" t="inlineStr"/>
      <c r="G36" t="inlineStr">
        <is>
          <t>Seattle, WA, US</t>
        </is>
      </c>
      <c r="H36" s="2" t="n">
        <v>46030</v>
      </c>
      <c r="I3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7">
      <c r="A37" t="inlineStr">
        <is>
          <t>in-11cf6afee0dced50</t>
        </is>
      </c>
      <c r="B37" t="inlineStr">
        <is>
          <t>Applied Scientist, AWS Applied AI Solutions</t>
        </is>
      </c>
      <c r="C37" t="inlineStr">
        <is>
          <t>Amazon Web Services</t>
        </is>
      </c>
      <c r="D37" t="inlineStr">
        <is>
          <t>indeed</t>
        </is>
      </c>
      <c r="E37" t="inlineStr"/>
      <c r="F37" t="inlineStr"/>
      <c r="G37" t="inlineStr">
        <is>
          <t>New York, NY, US</t>
        </is>
      </c>
      <c r="H37" s="2" t="n">
        <v>46030</v>
      </c>
      <c r="I3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
      <c r="A38" t="inlineStr">
        <is>
          <t>in-d1f4ed16977b4721</t>
        </is>
      </c>
      <c r="B38" t="inlineStr">
        <is>
          <t>Applied Scientist, Last Mile Delivery Automation</t>
        </is>
      </c>
      <c r="C38" t="inlineStr">
        <is>
          <t>Amazon.com</t>
        </is>
      </c>
      <c r="D38" t="inlineStr">
        <is>
          <t>indeed</t>
        </is>
      </c>
      <c r="E38" t="inlineStr"/>
      <c r="F38" t="inlineStr"/>
      <c r="G38" t="inlineStr">
        <is>
          <t>Santa Clara, CA, US</t>
        </is>
      </c>
      <c r="H38" s="2" t="n">
        <v>46026</v>
      </c>
      <c r="I3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in-ff986194756f07ae</t>
        </is>
      </c>
      <c r="B39" t="inlineStr">
        <is>
          <t>Applied Scientist, Last Mile Delivery Automation</t>
        </is>
      </c>
      <c r="C39" t="inlineStr">
        <is>
          <t>Amazon.com</t>
        </is>
      </c>
      <c r="D39" t="inlineStr">
        <is>
          <t>indeed</t>
        </is>
      </c>
      <c r="E39" t="inlineStr"/>
      <c r="F39" t="inlineStr"/>
      <c r="G39" t="inlineStr">
        <is>
          <t>Bellevue, WA, US</t>
        </is>
      </c>
      <c r="H39" s="2" t="n">
        <v>46026</v>
      </c>
      <c r="I3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in-5d495cd818f20308</t>
        </is>
      </c>
      <c r="B40" t="inlineStr">
        <is>
          <t>Senior Applied Scientist, Sponsored Products and Brands, Off-Search</t>
        </is>
      </c>
      <c r="C40" t="inlineStr">
        <is>
          <t>Amazon.com</t>
        </is>
      </c>
      <c r="D40" t="inlineStr">
        <is>
          <t>indeed</t>
        </is>
      </c>
      <c r="E40" t="inlineStr"/>
      <c r="F40" t="inlineStr"/>
      <c r="G40" t="inlineStr">
        <is>
          <t>Palo Alto, CA, US</t>
        </is>
      </c>
      <c r="H40" s="2" t="n">
        <v>46017</v>
      </c>
      <c r="I4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in-e6aecd806d3049ed</t>
        </is>
      </c>
      <c r="B41" t="inlineStr">
        <is>
          <t>Senior Applied Scientist, Sponsored Products and Brands, Off-Search</t>
        </is>
      </c>
      <c r="C41" t="inlineStr">
        <is>
          <t>Amazon.com</t>
        </is>
      </c>
      <c r="D41" t="inlineStr">
        <is>
          <t>indeed</t>
        </is>
      </c>
      <c r="E41" t="inlineStr"/>
      <c r="F41" t="inlineStr"/>
      <c r="G41" t="inlineStr">
        <is>
          <t>New York, NY, US</t>
        </is>
      </c>
      <c r="H41" s="2" t="n">
        <v>46017</v>
      </c>
      <c r="I4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in-5acb16ee1a355a34</t>
        </is>
      </c>
      <c r="B42" t="inlineStr">
        <is>
          <t>Senior Applied Scientist, Sponsored Products and Brands, Off-Search</t>
        </is>
      </c>
      <c r="C42" t="inlineStr">
        <is>
          <t>Amazon.com</t>
        </is>
      </c>
      <c r="D42" t="inlineStr">
        <is>
          <t>indeed</t>
        </is>
      </c>
      <c r="E42" t="inlineStr"/>
      <c r="F42" t="inlineStr"/>
      <c r="G42" t="inlineStr">
        <is>
          <t>Seattle, WA, US</t>
        </is>
      </c>
      <c r="H42" s="2" t="n">
        <v>46017</v>
      </c>
      <c r="I4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in-fd46d71563a57515</t>
        </is>
      </c>
      <c r="B43" t="inlineStr">
        <is>
          <t>Applied Scientist II, Prime Video - Personalization and Discovery Science</t>
        </is>
      </c>
      <c r="C43" t="inlineStr">
        <is>
          <t>Amazon.com</t>
        </is>
      </c>
      <c r="D43" t="inlineStr">
        <is>
          <t>indeed</t>
        </is>
      </c>
      <c r="E43" t="inlineStr"/>
      <c r="F43" t="inlineStr"/>
      <c r="G43" t="inlineStr">
        <is>
          <t>Sunnyvale, CA, US</t>
        </is>
      </c>
      <c r="H43" s="2" t="n">
        <v>46012</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4">
      <c r="A44" t="inlineStr">
        <is>
          <t>in-9a52803b8ad99389</t>
        </is>
      </c>
      <c r="B44" t="inlineStr">
        <is>
          <t>Applied Scientist II, Prime Video - Personalization and Discovery Science</t>
        </is>
      </c>
      <c r="C44" t="inlineStr">
        <is>
          <t>Amazon.com</t>
        </is>
      </c>
      <c r="D44" t="inlineStr">
        <is>
          <t>indeed</t>
        </is>
      </c>
      <c r="E44" t="inlineStr"/>
      <c r="F44" t="inlineStr"/>
      <c r="G44" t="inlineStr">
        <is>
          <t>Seattle, WA, US</t>
        </is>
      </c>
      <c r="H44" s="2" t="n">
        <v>46012</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5">
      <c r="A45" t="inlineStr">
        <is>
          <t>in-dd3ea918f2266382</t>
        </is>
      </c>
      <c r="B45" t="inlineStr">
        <is>
          <t>Principal Applied Scientist, Kiro Science</t>
        </is>
      </c>
      <c r="C45" t="inlineStr">
        <is>
          <t>Amazon Web Services</t>
        </is>
      </c>
      <c r="D45" t="inlineStr">
        <is>
          <t>indeed</t>
        </is>
      </c>
      <c r="E45" t="inlineStr"/>
      <c r="F45" t="inlineStr"/>
      <c r="G45" t="inlineStr">
        <is>
          <t>New York, NY, US</t>
        </is>
      </c>
      <c r="H45" s="2" t="n">
        <v>45999</v>
      </c>
      <c r="I4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6">
      <c r="A46" t="inlineStr">
        <is>
          <t>in-c76bbad883bab510</t>
        </is>
      </c>
      <c r="B46" t="inlineStr">
        <is>
          <t>Principal Applied Scientist, Kiro Science</t>
        </is>
      </c>
      <c r="C46" t="inlineStr">
        <is>
          <t>Amazon Web Services</t>
        </is>
      </c>
      <c r="D46" t="inlineStr">
        <is>
          <t>indeed</t>
        </is>
      </c>
      <c r="E46" t="inlineStr"/>
      <c r="F46" t="inlineStr"/>
      <c r="G46" t="inlineStr">
        <is>
          <t>Santa Clara, CA, US</t>
        </is>
      </c>
      <c r="H46" s="2" t="n">
        <v>45999</v>
      </c>
      <c r="I4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7">
      <c r="A47" t="inlineStr">
        <is>
          <t>in-4a807f4a7e043180</t>
        </is>
      </c>
      <c r="B47" t="inlineStr">
        <is>
          <t>Sr. Applied Scientist, Amazon Ads</t>
        </is>
      </c>
      <c r="C47" t="inlineStr">
        <is>
          <t>Amazon.com</t>
        </is>
      </c>
      <c r="D47" t="inlineStr">
        <is>
          <t>indeed</t>
        </is>
      </c>
      <c r="E47" t="inlineStr"/>
      <c r="F47" t="inlineStr"/>
      <c r="G47" t="inlineStr">
        <is>
          <t>Boulder, CO, US</t>
        </is>
      </c>
      <c r="H47" s="2"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in-213da2bd35c8065b</t>
        </is>
      </c>
      <c r="B48" t="inlineStr">
        <is>
          <t>Sr. Applied Scientist, Amazon Ads</t>
        </is>
      </c>
      <c r="C48" t="inlineStr">
        <is>
          <t>Amazon.com</t>
        </is>
      </c>
      <c r="D48" t="inlineStr">
        <is>
          <t>indeed</t>
        </is>
      </c>
      <c r="E48" t="inlineStr"/>
      <c r="F48" t="inlineStr"/>
      <c r="G48" t="inlineStr">
        <is>
          <t>Palo Alto, CA, US</t>
        </is>
      </c>
      <c r="H48" s="2"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in-aaf39ec9f2b87ee4</t>
        </is>
      </c>
      <c r="B49" t="inlineStr">
        <is>
          <t>Sr. Applied Scientist, Amazon Ads</t>
        </is>
      </c>
      <c r="C49" t="inlineStr">
        <is>
          <t>Amazon.com</t>
        </is>
      </c>
      <c r="D49" t="inlineStr">
        <is>
          <t>indeed</t>
        </is>
      </c>
      <c r="E49" t="inlineStr"/>
      <c r="F49" t="inlineStr"/>
      <c r="G49" t="inlineStr">
        <is>
          <t>Corvallis, OR, US</t>
        </is>
      </c>
      <c r="H49" s="2"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in-86e7ddb081a38fe6</t>
        </is>
      </c>
      <c r="B50" t="inlineStr">
        <is>
          <t>Sr. Applied Scientist, Amazon Ads</t>
        </is>
      </c>
      <c r="C50" t="inlineStr">
        <is>
          <t>Amazon.com</t>
        </is>
      </c>
      <c r="D50" t="inlineStr">
        <is>
          <t>indeed</t>
        </is>
      </c>
      <c r="E50" t="inlineStr"/>
      <c r="F50" t="inlineStr"/>
      <c r="G50" t="inlineStr">
        <is>
          <t>Brooklyn, NY, US</t>
        </is>
      </c>
      <c r="H50" s="2"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in-c5a69845cf3a3365</t>
        </is>
      </c>
      <c r="B51" t="inlineStr">
        <is>
          <t>Sr. Applied Scientist, Amazon Ads</t>
        </is>
      </c>
      <c r="C51" t="inlineStr">
        <is>
          <t>Amazon.com</t>
        </is>
      </c>
      <c r="D51" t="inlineStr">
        <is>
          <t>indeed</t>
        </is>
      </c>
      <c r="E51" t="inlineStr"/>
      <c r="F51" t="inlineStr"/>
      <c r="G51" t="inlineStr">
        <is>
          <t>Tukwila, WA, US</t>
        </is>
      </c>
      <c r="H51" s="2"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in-4cab0862670dbcae</t>
        </is>
      </c>
      <c r="B52" t="inlineStr">
        <is>
          <t>Sr. Applied Scientist, Amazon Ads</t>
        </is>
      </c>
      <c r="C52" t="inlineStr">
        <is>
          <t>Amazon.com</t>
        </is>
      </c>
      <c r="D52" t="inlineStr">
        <is>
          <t>indeed</t>
        </is>
      </c>
      <c r="E52" t="inlineStr"/>
      <c r="F52" t="inlineStr"/>
      <c r="G52" t="inlineStr">
        <is>
          <t>New York, NY, US</t>
        </is>
      </c>
      <c r="H52" s="2"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in-0c86fdc54489c5b0</t>
        </is>
      </c>
      <c r="B53" t="inlineStr">
        <is>
          <t>Sr. Applied Scientist, Amazon Ads</t>
        </is>
      </c>
      <c r="C53" t="inlineStr">
        <is>
          <t>Amazon.com</t>
        </is>
      </c>
      <c r="D53" t="inlineStr">
        <is>
          <t>indeed</t>
        </is>
      </c>
      <c r="E53" t="inlineStr"/>
      <c r="F53" t="inlineStr"/>
      <c r="G53" t="inlineStr">
        <is>
          <t>Sunnyvale, CA, US</t>
        </is>
      </c>
      <c r="H53" s="2"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in-1ec9053dccf5cb8b</t>
        </is>
      </c>
      <c r="B54" t="inlineStr">
        <is>
          <t>Sr. Applied Scientist, Amazon Ads</t>
        </is>
      </c>
      <c r="C54" t="inlineStr">
        <is>
          <t>Amazon.com</t>
        </is>
      </c>
      <c r="D54" t="inlineStr">
        <is>
          <t>indeed</t>
        </is>
      </c>
      <c r="E54" t="inlineStr"/>
      <c r="F54" t="inlineStr"/>
      <c r="G54" t="inlineStr">
        <is>
          <t>Santa Monica, CA, US</t>
        </is>
      </c>
      <c r="H54" s="2"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in-e29b6ab40073e5e9</t>
        </is>
      </c>
      <c r="B55" t="inlineStr">
        <is>
          <t>Sr. Applied Scientist, Amazon Ads</t>
        </is>
      </c>
      <c r="C55" t="inlineStr">
        <is>
          <t>Amazon.com</t>
        </is>
      </c>
      <c r="D55" t="inlineStr">
        <is>
          <t>indeed</t>
        </is>
      </c>
      <c r="E55" t="inlineStr"/>
      <c r="F55" t="inlineStr"/>
      <c r="G55" t="inlineStr">
        <is>
          <t>Boston, MA, US</t>
        </is>
      </c>
      <c r="H55" s="2"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in-f3fa7ae58db73384</t>
        </is>
      </c>
      <c r="B56" t="inlineStr">
        <is>
          <t>Sr. Applied Scientist, Amazon Ads</t>
        </is>
      </c>
      <c r="C56" t="inlineStr">
        <is>
          <t>Amazon.com</t>
        </is>
      </c>
      <c r="D56" t="inlineStr">
        <is>
          <t>indeed</t>
        </is>
      </c>
      <c r="E56" t="inlineStr"/>
      <c r="F56" t="inlineStr"/>
      <c r="G56" t="inlineStr">
        <is>
          <t>Seattle, WA, US</t>
        </is>
      </c>
      <c r="H56" s="2"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in-463fde4fce335e89</t>
        </is>
      </c>
      <c r="B57" t="inlineStr">
        <is>
          <t>Principal Applied Scientist, Sponsored Products and Brands</t>
        </is>
      </c>
      <c r="C57" t="inlineStr">
        <is>
          <t>Amazon.com</t>
        </is>
      </c>
      <c r="D57" t="inlineStr">
        <is>
          <t>indeed</t>
        </is>
      </c>
      <c r="E57" t="inlineStr"/>
      <c r="F57" t="inlineStr"/>
      <c r="G57" t="inlineStr">
        <is>
          <t>Seattle, WA, US</t>
        </is>
      </c>
      <c r="H57" s="2"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in-46560e61294f68bf</t>
        </is>
      </c>
      <c r="B58" t="inlineStr">
        <is>
          <t>Principal Applied Scientist, Sponsored Products and Brands</t>
        </is>
      </c>
      <c r="C58" t="inlineStr">
        <is>
          <t>Amazon.com</t>
        </is>
      </c>
      <c r="D58" t="inlineStr">
        <is>
          <t>indeed</t>
        </is>
      </c>
      <c r="E58" t="inlineStr"/>
      <c r="F58" t="inlineStr"/>
      <c r="G58" t="inlineStr">
        <is>
          <t>New York, NY,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in-b161c1b62310cb04</t>
        </is>
      </c>
      <c r="B59" t="inlineStr">
        <is>
          <t>Applied Scientist, Personalization, DTx Science</t>
        </is>
      </c>
      <c r="C59" t="inlineStr">
        <is>
          <t>Amazon.com</t>
        </is>
      </c>
      <c r="D59" t="inlineStr">
        <is>
          <t>indeed</t>
        </is>
      </c>
      <c r="E59" t="inlineStr"/>
      <c r="F59" t="inlineStr"/>
      <c r="G59" t="inlineStr">
        <is>
          <t>Seattle, WA, US</t>
        </is>
      </c>
      <c r="H59" s="2" t="n">
        <v>45979</v>
      </c>
      <c r="I5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in-1c8f19e1579b8b35</t>
        </is>
      </c>
      <c r="B60" t="inlineStr">
        <is>
          <t>Applied Scientist, Personalization, DTx Science</t>
        </is>
      </c>
      <c r="C60" t="inlineStr">
        <is>
          <t>Amazon.com</t>
        </is>
      </c>
      <c r="D60" t="inlineStr">
        <is>
          <t>indeed</t>
        </is>
      </c>
      <c r="E60" t="inlineStr"/>
      <c r="F60" t="inlineStr"/>
      <c r="G60" t="inlineStr">
        <is>
          <t>New York, NY, US</t>
        </is>
      </c>
      <c r="H60" s="2" t="n">
        <v>45979</v>
      </c>
      <c r="I6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in-4834fe2ad7f488d2</t>
        </is>
      </c>
      <c r="B61" t="inlineStr">
        <is>
          <t>Senior Applied Scientist, Sponsored Products and Brands</t>
        </is>
      </c>
      <c r="C61" t="inlineStr">
        <is>
          <t>Amazon.com</t>
        </is>
      </c>
      <c r="D61" t="inlineStr">
        <is>
          <t>indeed</t>
        </is>
      </c>
      <c r="E61" t="inlineStr"/>
      <c r="F61" t="inlineStr"/>
      <c r="G61" t="inlineStr">
        <is>
          <t>New York, NY, US</t>
        </is>
      </c>
      <c r="H61" s="2" t="n">
        <v>45979</v>
      </c>
      <c r="I6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2">
      <c r="A62" t="inlineStr">
        <is>
          <t>in-e6443f2a7c6c7589</t>
        </is>
      </c>
      <c r="B62" t="inlineStr">
        <is>
          <t>Senior Applied Scientist, Sponsored Products and Brands</t>
        </is>
      </c>
      <c r="C62" t="inlineStr">
        <is>
          <t>Amazon.com</t>
        </is>
      </c>
      <c r="D62" t="inlineStr">
        <is>
          <t>indeed</t>
        </is>
      </c>
      <c r="E62" t="inlineStr"/>
      <c r="F62" t="inlineStr"/>
      <c r="G62" t="inlineStr">
        <is>
          <t>Seattle, WA, US</t>
        </is>
      </c>
      <c r="H62" s="2" t="n">
        <v>45979</v>
      </c>
      <c r="I6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3">
      <c r="A63" t="inlineStr">
        <is>
          <t>in-ab23c7342c320f63</t>
        </is>
      </c>
      <c r="B63" t="inlineStr">
        <is>
          <t>Applied Scientist II, Prime Video Personalization and Discovery Science</t>
        </is>
      </c>
      <c r="C63" t="inlineStr">
        <is>
          <t>Amazon.com</t>
        </is>
      </c>
      <c r="D63" t="inlineStr">
        <is>
          <t>indeed</t>
        </is>
      </c>
      <c r="E63" t="inlineStr"/>
      <c r="F63" t="inlineStr"/>
      <c r="G63" t="inlineStr">
        <is>
          <t>New York, NY, US</t>
        </is>
      </c>
      <c r="H63" s="2" t="n">
        <v>45978</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4">
      <c r="A64" t="inlineStr">
        <is>
          <t>in-132edf8b7760b24c</t>
        </is>
      </c>
      <c r="B64" t="inlineStr">
        <is>
          <t>Applied Scientist II, Prime Video Personalization and Discovery Science</t>
        </is>
      </c>
      <c r="C64" t="inlineStr">
        <is>
          <t>Amazon.com</t>
        </is>
      </c>
      <c r="D64" t="inlineStr">
        <is>
          <t>indeed</t>
        </is>
      </c>
      <c r="E64" t="inlineStr"/>
      <c r="F64" t="inlineStr"/>
      <c r="G64" t="inlineStr">
        <is>
          <t>Seattle, WA, US</t>
        </is>
      </c>
      <c r="H64" s="2" t="n">
        <v>45978</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5">
      <c r="A65" t="inlineStr">
        <is>
          <t>in-735f4e72f8d8f016</t>
        </is>
      </c>
      <c r="B65" t="inlineStr">
        <is>
          <t>Applied Scientist II, Prime Video Personalization and Discovery Science</t>
        </is>
      </c>
      <c r="C65" t="inlineStr">
        <is>
          <t>Amazon.com</t>
        </is>
      </c>
      <c r="D65" t="inlineStr">
        <is>
          <t>indeed</t>
        </is>
      </c>
      <c r="E65" t="inlineStr"/>
      <c r="F65" t="inlineStr"/>
      <c r="G65" t="inlineStr">
        <is>
          <t>Sunnyvale, CA, US</t>
        </is>
      </c>
      <c r="H65" s="2" t="n">
        <v>45978</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6">
      <c r="A66" t="inlineStr">
        <is>
          <t>in-412f7c630e14ece4</t>
        </is>
      </c>
      <c r="B66" t="inlineStr">
        <is>
          <t>Sr. Applied Scientist, Sponsored Products</t>
        </is>
      </c>
      <c r="C66" t="inlineStr">
        <is>
          <t>Amazon.com</t>
        </is>
      </c>
      <c r="D66" t="inlineStr">
        <is>
          <t>indeed</t>
        </is>
      </c>
      <c r="E66" t="inlineStr"/>
      <c r="F66" t="inlineStr"/>
      <c r="G66" t="inlineStr">
        <is>
          <t>Arlington, VA, US</t>
        </is>
      </c>
      <c r="H66" s="2" t="n">
        <v>45976</v>
      </c>
      <c r="I6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7">
      <c r="A67" t="inlineStr">
        <is>
          <t>in-6b5fd1b428eedb10</t>
        </is>
      </c>
      <c r="B67" t="inlineStr">
        <is>
          <t>Sr. Applied Scientist, Sponsored Products</t>
        </is>
      </c>
      <c r="C67" t="inlineStr">
        <is>
          <t>Amazon.com</t>
        </is>
      </c>
      <c r="D67" t="inlineStr">
        <is>
          <t>indeed</t>
        </is>
      </c>
      <c r="E67" t="inlineStr"/>
      <c r="F67" t="inlineStr"/>
      <c r="G67" t="inlineStr">
        <is>
          <t>New York, NY, US</t>
        </is>
      </c>
      <c r="H67" s="2" t="n">
        <v>45976</v>
      </c>
      <c r="I6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8">
      <c r="A68" t="inlineStr">
        <is>
          <t>in-c34fc1964d4a35c9</t>
        </is>
      </c>
      <c r="B68" t="inlineStr">
        <is>
          <t>Sr. Applied Scientist, Sponsored Products</t>
        </is>
      </c>
      <c r="C68" t="inlineStr">
        <is>
          <t>Amazon.com</t>
        </is>
      </c>
      <c r="D68" t="inlineStr">
        <is>
          <t>indeed</t>
        </is>
      </c>
      <c r="E68" t="inlineStr"/>
      <c r="F68" t="inlineStr"/>
      <c r="G68" t="inlineStr">
        <is>
          <t>Seattle, WA, US</t>
        </is>
      </c>
      <c r="H68" s="2" t="n">
        <v>45976</v>
      </c>
      <c r="I6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9">
      <c r="A69" t="inlineStr">
        <is>
          <t>in-e215adc7dd15426c</t>
        </is>
      </c>
      <c r="B69" t="inlineStr">
        <is>
          <t>Applied Scientist, AWS Agentic AI</t>
        </is>
      </c>
      <c r="C69" t="inlineStr">
        <is>
          <t>Amazon Web Services</t>
        </is>
      </c>
      <c r="D69" t="inlineStr">
        <is>
          <t>indeed</t>
        </is>
      </c>
      <c r="E69" t="inlineStr"/>
      <c r="F69" t="inlineStr"/>
      <c r="G69" t="inlineStr">
        <is>
          <t>New York, NY, US</t>
        </is>
      </c>
      <c r="H69" s="2" t="n">
        <v>45962</v>
      </c>
      <c r="I6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in-ebada4f631630cf7</t>
        </is>
      </c>
      <c r="B70" t="inlineStr">
        <is>
          <t>Applied Scientist, AWS Agentic AI</t>
        </is>
      </c>
      <c r="C70" t="inlineStr">
        <is>
          <t>Amazon Web Services</t>
        </is>
      </c>
      <c r="D70" t="inlineStr">
        <is>
          <t>indeed</t>
        </is>
      </c>
      <c r="E70" t="inlineStr"/>
      <c r="F70" t="inlineStr"/>
      <c r="G70" t="inlineStr">
        <is>
          <t>Seattle, WA, US</t>
        </is>
      </c>
      <c r="H70" s="2"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in-34ecc2e0ffec7186</t>
        </is>
      </c>
      <c r="B71" t="inlineStr">
        <is>
          <t>Applied Scientist, AWS Agentic AI</t>
        </is>
      </c>
      <c r="C71" t="inlineStr">
        <is>
          <t>Amazon Web Services</t>
        </is>
      </c>
      <c r="D71" t="inlineStr">
        <is>
          <t>indeed</t>
        </is>
      </c>
      <c r="E71" t="inlineStr"/>
      <c r="F71" t="inlineStr"/>
      <c r="G71" t="inlineStr">
        <is>
          <t>Santa Clara, CA, US</t>
        </is>
      </c>
      <c r="H71" s="2" t="n">
        <v>45962</v>
      </c>
      <c r="I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in-adb921faeb6c7991</t>
        </is>
      </c>
      <c r="B72" t="inlineStr">
        <is>
          <t>Applied Scientist, AI Automation, Prime Video</t>
        </is>
      </c>
      <c r="C72" t="inlineStr">
        <is>
          <t>Amazon.com</t>
        </is>
      </c>
      <c r="D72" t="inlineStr">
        <is>
          <t>indeed</t>
        </is>
      </c>
      <c r="E72" t="inlineStr"/>
      <c r="F72" t="inlineStr"/>
      <c r="G72" t="inlineStr">
        <is>
          <t>Culver City, CA, US</t>
        </is>
      </c>
      <c r="H72" s="2" t="n">
        <v>45949</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in-290ea9654d1d45c9</t>
        </is>
      </c>
      <c r="B73" t="inlineStr">
        <is>
          <t>Applied Scientist, AI Automation, Prime Video</t>
        </is>
      </c>
      <c r="C73" t="inlineStr">
        <is>
          <t>Amazon.com</t>
        </is>
      </c>
      <c r="D73" t="inlineStr">
        <is>
          <t>indeed</t>
        </is>
      </c>
      <c r="E73" t="inlineStr"/>
      <c r="F73" t="inlineStr"/>
      <c r="G73" t="inlineStr">
        <is>
          <t>Seattle, WA, US</t>
        </is>
      </c>
      <c r="H73" s="2" t="n">
        <v>45949</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in-be1f8b36ab15230c</t>
        </is>
      </c>
      <c r="B74" t="inlineStr">
        <is>
          <t>Principal Applied Scientist, Advertiser Growth, Amazon Sponsored Products &amp; Brands</t>
        </is>
      </c>
      <c r="C74" t="inlineStr">
        <is>
          <t>Amazon.com</t>
        </is>
      </c>
      <c r="D74" t="inlineStr">
        <is>
          <t>indeed</t>
        </is>
      </c>
      <c r="E74" t="inlineStr"/>
      <c r="F74" t="inlineStr"/>
      <c r="G74" t="inlineStr">
        <is>
          <t>New York, NY,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in-b02b97a8468e2a37</t>
        </is>
      </c>
      <c r="B75" t="inlineStr">
        <is>
          <t>Principal Applied Scientist, Advertiser Growth, Amazon Sponsored Products &amp; Brands</t>
        </is>
      </c>
      <c r="C75" t="inlineStr">
        <is>
          <t>Amazon.com</t>
        </is>
      </c>
      <c r="D75" t="inlineStr">
        <is>
          <t>indeed</t>
        </is>
      </c>
      <c r="E75" t="inlineStr"/>
      <c r="F75" t="inlineStr"/>
      <c r="G75" t="inlineStr">
        <is>
          <t>Palo Alto, CA,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in-09e15f1909561524</t>
        </is>
      </c>
      <c r="B76" t="inlineStr">
        <is>
          <t>Principal Applied Scientist, Advertiser Growth, Amazon Sponsored Products &amp; Brands</t>
        </is>
      </c>
      <c r="C76" t="inlineStr">
        <is>
          <t>Amazon.com</t>
        </is>
      </c>
      <c r="D76" t="inlineStr">
        <is>
          <t>indeed</t>
        </is>
      </c>
      <c r="E76" t="inlineStr"/>
      <c r="F76" t="inlineStr"/>
      <c r="G76" t="inlineStr">
        <is>
          <t>Seattle, WA,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in-7d58417849e74501</t>
        </is>
      </c>
      <c r="B77" t="inlineStr">
        <is>
          <t>Applied Scientist</t>
        </is>
      </c>
      <c r="C77" t="inlineStr">
        <is>
          <t>Amazon.com</t>
        </is>
      </c>
      <c r="D77" t="inlineStr">
        <is>
          <t>indeed</t>
        </is>
      </c>
      <c r="E77" t="inlineStr"/>
      <c r="F77" t="inlineStr"/>
      <c r="G77" t="inlineStr">
        <is>
          <t>New York, NY,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in-f513cda0889d2dc4</t>
        </is>
      </c>
      <c r="B78" t="inlineStr">
        <is>
          <t>Sr. Applied Scientist, SPB Advertiser Guidance</t>
        </is>
      </c>
      <c r="C78" t="inlineStr">
        <is>
          <t>Amazon.com</t>
        </is>
      </c>
      <c r="D78" t="inlineStr">
        <is>
          <t>indeed</t>
        </is>
      </c>
      <c r="E78" t="inlineStr"/>
      <c r="F78" t="inlineStr"/>
      <c r="G78" t="inlineStr">
        <is>
          <t>New York, NY,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in-8ba0175d129b368a</t>
        </is>
      </c>
      <c r="B79" t="inlineStr">
        <is>
          <t>Applied Scientist</t>
        </is>
      </c>
      <c r="C79" t="inlineStr">
        <is>
          <t>Amazon.com</t>
        </is>
      </c>
      <c r="D79" t="inlineStr">
        <is>
          <t>indeed</t>
        </is>
      </c>
      <c r="E79" t="inlineStr"/>
      <c r="F79" t="inlineStr"/>
      <c r="G79" t="inlineStr">
        <is>
          <t>Seattle, WA,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in-ce0bcdf9286d4937</t>
        </is>
      </c>
      <c r="B80" t="inlineStr">
        <is>
          <t>Sr. Applied Scientist, SPB Advertiser Guidance</t>
        </is>
      </c>
      <c r="C80" t="inlineStr">
        <is>
          <t>Amazon.com</t>
        </is>
      </c>
      <c r="D80" t="inlineStr">
        <is>
          <t>indeed</t>
        </is>
      </c>
      <c r="E80" t="inlineStr"/>
      <c r="F80" t="inlineStr"/>
      <c r="G80" t="inlineStr">
        <is>
          <t>Palo Alto, CA,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in-33ad8f9a645ece2a</t>
        </is>
      </c>
      <c r="B81" t="inlineStr">
        <is>
          <t>Applied Scientist</t>
        </is>
      </c>
      <c r="C81" t="inlineStr">
        <is>
          <t>Amazon.com</t>
        </is>
      </c>
      <c r="D81" t="inlineStr">
        <is>
          <t>indeed</t>
        </is>
      </c>
      <c r="E81" t="inlineStr"/>
      <c r="F81" t="inlineStr"/>
      <c r="G81" t="inlineStr">
        <is>
          <t>Palo Alto, CA,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in-b692a4b0dd23ee9a</t>
        </is>
      </c>
      <c r="B82" t="inlineStr">
        <is>
          <t>Sr. Applied Scientist, SPB Advertiser Guidance</t>
        </is>
      </c>
      <c r="C82" t="inlineStr">
        <is>
          <t>Amazon.com</t>
        </is>
      </c>
      <c r="D82" t="inlineStr">
        <is>
          <t>indeed</t>
        </is>
      </c>
      <c r="E82" t="inlineStr"/>
      <c r="F82" t="inlineStr"/>
      <c r="G82" t="inlineStr">
        <is>
          <t>Seattle, WA,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in-4783d6e840cfda51</t>
        </is>
      </c>
      <c r="B83" t="inlineStr">
        <is>
          <t>Applied Scientist, Workplace Health &amp; Safety</t>
        </is>
      </c>
      <c r="C83" t="inlineStr">
        <is>
          <t>Amazon.com</t>
        </is>
      </c>
      <c r="D83" t="inlineStr">
        <is>
          <t>indeed</t>
        </is>
      </c>
      <c r="E83" t="inlineStr"/>
      <c r="F83" t="inlineStr"/>
      <c r="G83" t="inlineStr">
        <is>
          <t>Bellevue, WA, US</t>
        </is>
      </c>
      <c r="H83" s="2" t="n">
        <v>45917</v>
      </c>
      <c r="I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in-9405225d347b0c0e</t>
        </is>
      </c>
      <c r="B84" t="inlineStr">
        <is>
          <t>Applied Scientist, Workplace Health &amp; Safety</t>
        </is>
      </c>
      <c r="C84" t="inlineStr">
        <is>
          <t>Amazon.com</t>
        </is>
      </c>
      <c r="D84" t="inlineStr">
        <is>
          <t>indeed</t>
        </is>
      </c>
      <c r="E84" t="inlineStr"/>
      <c r="F84" t="inlineStr"/>
      <c r="G84" t="inlineStr">
        <is>
          <t>Nashville, TN, US</t>
        </is>
      </c>
      <c r="H84" s="2" t="n">
        <v>45917</v>
      </c>
      <c r="I8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in-f4da4e89efb78692</t>
        </is>
      </c>
      <c r="B85" t="inlineStr">
        <is>
          <t>Sr. Applied Scientist, Prime Video - Personalization and Discovery Science</t>
        </is>
      </c>
      <c r="C85" t="inlineStr">
        <is>
          <t>Amazon.com</t>
        </is>
      </c>
      <c r="D85" t="inlineStr">
        <is>
          <t>indeed</t>
        </is>
      </c>
      <c r="E85" t="inlineStr"/>
      <c r="F85" t="inlineStr"/>
      <c r="G85" t="inlineStr">
        <is>
          <t>Seattle, WA, US</t>
        </is>
      </c>
      <c r="H85" s="2"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in-d60d08eb2fafd8e1</t>
        </is>
      </c>
      <c r="B86" t="inlineStr">
        <is>
          <t>Sr. Applied Scientist, Prime Video - Personalization and Discovery Science</t>
        </is>
      </c>
      <c r="C86" t="inlineStr">
        <is>
          <t>Amazon.com</t>
        </is>
      </c>
      <c r="D86" t="inlineStr">
        <is>
          <t>indeed</t>
        </is>
      </c>
      <c r="E86" t="inlineStr"/>
      <c r="F86" t="inlineStr"/>
      <c r="G86" t="inlineStr">
        <is>
          <t>New York, NY, US</t>
        </is>
      </c>
      <c r="H86" s="2"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in-5d339dc1383d9adf</t>
        </is>
      </c>
      <c r="B87" t="inlineStr">
        <is>
          <t>Sr. Applied Scientist, Prime Video - Personalization and Discovery Science</t>
        </is>
      </c>
      <c r="C87" t="inlineStr">
        <is>
          <t>Amazon.com</t>
        </is>
      </c>
      <c r="D87" t="inlineStr">
        <is>
          <t>indeed</t>
        </is>
      </c>
      <c r="E87" t="inlineStr"/>
      <c r="F87" t="inlineStr"/>
      <c r="G87" t="inlineStr">
        <is>
          <t>Sunnyvale, CA, US</t>
        </is>
      </c>
      <c r="H87" s="2" t="n">
        <v>45896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8">
      <c r="A88" t="inlineStr">
        <is>
          <t>in-c00fa51bf5cc1c96</t>
        </is>
      </c>
      <c r="B88" t="inlineStr">
        <is>
          <t>Applied Scientist II, Prime Video , Personalization and Discovery Science</t>
        </is>
      </c>
      <c r="C88" t="inlineStr">
        <is>
          <t>Amazon.com</t>
        </is>
      </c>
      <c r="D88" t="inlineStr">
        <is>
          <t>indeed</t>
        </is>
      </c>
      <c r="E88" t="inlineStr"/>
      <c r="F88" t="inlineStr"/>
      <c r="G88" t="inlineStr">
        <is>
          <t>Seattle, WA, US</t>
        </is>
      </c>
      <c r="H88" s="2" t="n">
        <v>45886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9">
      <c r="A89" t="inlineStr">
        <is>
          <t>in-d2eb094f629beec4</t>
        </is>
      </c>
      <c r="B89" t="inlineStr">
        <is>
          <t>Applied Scientist II, Prime Video , Personalization and Discovery Science</t>
        </is>
      </c>
      <c r="C89" t="inlineStr">
        <is>
          <t>Amazon.com</t>
        </is>
      </c>
      <c r="D89" t="inlineStr">
        <is>
          <t>indeed</t>
        </is>
      </c>
      <c r="E89" t="inlineStr"/>
      <c r="F89" t="inlineStr"/>
      <c r="G89" t="inlineStr">
        <is>
          <t>New York, NY, US</t>
        </is>
      </c>
      <c r="H89" s="2" t="n">
        <v>45886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0">
      <c r="A90" t="inlineStr">
        <is>
          <t>in-fc619f77a581a45d</t>
        </is>
      </c>
      <c r="B90" t="inlineStr">
        <is>
          <t>Applied Scientist II, Prime Video , Personalization and Discovery Science</t>
        </is>
      </c>
      <c r="C90" t="inlineStr">
        <is>
          <t>Amazon.com</t>
        </is>
      </c>
      <c r="D90" t="inlineStr">
        <is>
          <t>indeed</t>
        </is>
      </c>
      <c r="E90" t="inlineStr"/>
      <c r="F90" t="inlineStr"/>
      <c r="G90" t="inlineStr">
        <is>
          <t>Sunnyvale, CA, US</t>
        </is>
      </c>
      <c r="H90" s="2"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1">
      <c r="A91" t="inlineStr">
        <is>
          <t>in-fa5b84c796fcd7ec</t>
        </is>
      </c>
      <c r="B91" t="inlineStr">
        <is>
          <t>Applied Scientist III, StoreGen</t>
        </is>
      </c>
      <c r="C91" t="inlineStr">
        <is>
          <t>Amazon.com</t>
        </is>
      </c>
      <c r="D91" t="inlineStr">
        <is>
          <t>indeed</t>
        </is>
      </c>
      <c r="E91" t="inlineStr"/>
      <c r="F91" t="inlineStr"/>
      <c r="G91" t="inlineStr">
        <is>
          <t>Sunnyvale, CA, US</t>
        </is>
      </c>
      <c r="H91" s="2" t="n">
        <v>45868</v>
      </c>
      <c r="I9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in-38a1d52fede0e147</t>
        </is>
      </c>
      <c r="B92" t="inlineStr">
        <is>
          <t>Applied Scientist III, StoreGen</t>
        </is>
      </c>
      <c r="C92" t="inlineStr">
        <is>
          <t>Amazon.com</t>
        </is>
      </c>
      <c r="D92" t="inlineStr">
        <is>
          <t>indeed</t>
        </is>
      </c>
      <c r="E92" t="inlineStr"/>
      <c r="F92" t="inlineStr"/>
      <c r="G92" t="inlineStr">
        <is>
          <t>Seattle, WA, US</t>
        </is>
      </c>
      <c r="H92" s="2" t="n">
        <v>45868</v>
      </c>
      <c r="I9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in-942e3f17fcdedc55</t>
        </is>
      </c>
      <c r="B93" t="inlineStr">
        <is>
          <t>Sr. Applied Scientist, Amazon Advertising</t>
        </is>
      </c>
      <c r="C93" t="inlineStr">
        <is>
          <t>Amazon.com</t>
        </is>
      </c>
      <c r="D93" t="inlineStr">
        <is>
          <t>indeed</t>
        </is>
      </c>
      <c r="E93" t="inlineStr"/>
      <c r="F93" t="inlineStr"/>
      <c r="G93" t="inlineStr">
        <is>
          <t>Los Angeles, CA,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in-aa3998d5fa5ecad7</t>
        </is>
      </c>
      <c r="B94" t="inlineStr">
        <is>
          <t>Sr. Applied Scientist, Amazon Advertising</t>
        </is>
      </c>
      <c r="C94" t="inlineStr">
        <is>
          <t>Amazon.com</t>
        </is>
      </c>
      <c r="D94" t="inlineStr">
        <is>
          <t>indeed</t>
        </is>
      </c>
      <c r="E94" t="inlineStr"/>
      <c r="F94" t="inlineStr"/>
      <c r="G94" t="inlineStr">
        <is>
          <t>New York, NY,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in-b18e634ea0835efd</t>
        </is>
      </c>
      <c r="B95" t="inlineStr">
        <is>
          <t>Sr. Applied Scientist, Amazon Advertising</t>
        </is>
      </c>
      <c r="C95" t="inlineStr">
        <is>
          <t>Amazon.com</t>
        </is>
      </c>
      <c r="D95" t="inlineStr">
        <is>
          <t>indeed</t>
        </is>
      </c>
      <c r="E95" t="inlineStr"/>
      <c r="F95" t="inlineStr"/>
      <c r="G95" t="inlineStr">
        <is>
          <t>Seattle, WA,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in-7c25370712a5f4a1</t>
        </is>
      </c>
      <c r="B96" t="inlineStr">
        <is>
          <t>Sr. Applied Scientist, Amazon Advertising</t>
        </is>
      </c>
      <c r="C96" t="inlineStr">
        <is>
          <t>Amazon.com</t>
        </is>
      </c>
      <c r="D96" t="inlineStr">
        <is>
          <t>indeed</t>
        </is>
      </c>
      <c r="E96" t="inlineStr"/>
      <c r="F96" t="inlineStr"/>
      <c r="G96" t="inlineStr">
        <is>
          <t>Austin, TX,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in-be28bfebe9e9c0cd</t>
        </is>
      </c>
      <c r="B97" t="inlineStr">
        <is>
          <t>Sr. Applied Scientist, Amazon Advertising</t>
        </is>
      </c>
      <c r="C97" t="inlineStr">
        <is>
          <t>Amazon.com</t>
        </is>
      </c>
      <c r="D97" t="inlineStr">
        <is>
          <t>indeed</t>
        </is>
      </c>
      <c r="E97" t="inlineStr"/>
      <c r="F97" t="inlineStr"/>
      <c r="G97" t="inlineStr">
        <is>
          <t>West Hollywood,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in-ce20199b9577a24c</t>
        </is>
      </c>
      <c r="B98" t="inlineStr">
        <is>
          <t>Sr. Applied Scientist, Amazon Advertising</t>
        </is>
      </c>
      <c r="C98" t="inlineStr">
        <is>
          <t>Amazon.com</t>
        </is>
      </c>
      <c r="D98" t="inlineStr">
        <is>
          <t>indeed</t>
        </is>
      </c>
      <c r="E98" t="inlineStr"/>
      <c r="F98" t="inlineStr"/>
      <c r="G98" t="inlineStr">
        <is>
          <t>Arlington, VA,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in-31b1ecd55981f867</t>
        </is>
      </c>
      <c r="B99" t="inlineStr">
        <is>
          <t>Sr. Applied Scientist, Amazon Advertising</t>
        </is>
      </c>
      <c r="C99" t="inlineStr">
        <is>
          <t>Amazon.com</t>
        </is>
      </c>
      <c r="D99" t="inlineStr">
        <is>
          <t>indeed</t>
        </is>
      </c>
      <c r="E99" t="inlineStr"/>
      <c r="F99" t="inlineStr"/>
      <c r="G99" t="inlineStr">
        <is>
          <t>Simi Valley,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in-830a3225b4f3ea9a</t>
        </is>
      </c>
      <c r="B100" t="inlineStr">
        <is>
          <t>Sr. Applied Scientist, Amazon Advertising</t>
        </is>
      </c>
      <c r="C100" t="inlineStr">
        <is>
          <t>Amazon.com</t>
        </is>
      </c>
      <c r="D100" t="inlineStr">
        <is>
          <t>indeed</t>
        </is>
      </c>
      <c r="E100" t="inlineStr"/>
      <c r="F100" t="inlineStr"/>
      <c r="G100" t="inlineStr">
        <is>
          <t>Palo Alto, CA,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in-55800fb7523ca0ed</t>
        </is>
      </c>
      <c r="B101" t="inlineStr">
        <is>
          <t>Sr. Applied Scientist, Sales AI</t>
        </is>
      </c>
      <c r="C101" t="inlineStr">
        <is>
          <t>Amazon.com</t>
        </is>
      </c>
      <c r="D101" t="inlineStr">
        <is>
          <t>indeed</t>
        </is>
      </c>
      <c r="E101" t="inlineStr"/>
      <c r="F101" t="inlineStr"/>
      <c r="G101" t="inlineStr">
        <is>
          <t>Seattle, WA, US</t>
        </is>
      </c>
      <c r="H101" s="2"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in-f162554f59bbbee4</t>
        </is>
      </c>
      <c r="B102" t="inlineStr">
        <is>
          <t>Sr. Applied Scientist, Sales AI</t>
        </is>
      </c>
      <c r="C102" t="inlineStr">
        <is>
          <t>Amazon.com</t>
        </is>
      </c>
      <c r="D102" t="inlineStr">
        <is>
          <t>indeed</t>
        </is>
      </c>
      <c r="E102" t="inlineStr"/>
      <c r="F102" t="inlineStr"/>
      <c r="G102" t="inlineStr">
        <is>
          <t>New York, NY, US</t>
        </is>
      </c>
      <c r="H102" s="2" t="n">
        <v>45830</v>
      </c>
      <c r="I10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in-32cae44790c83e96</t>
        </is>
      </c>
      <c r="B103" t="inlineStr">
        <is>
          <t>Sr. Applied Scientist, Sales AI</t>
        </is>
      </c>
      <c r="C103" t="inlineStr">
        <is>
          <t>Amazon.com</t>
        </is>
      </c>
      <c r="D103" t="inlineStr">
        <is>
          <t>indeed</t>
        </is>
      </c>
      <c r="E103" t="inlineStr"/>
      <c r="F103" t="inlineStr"/>
      <c r="G103" t="inlineStr">
        <is>
          <t>Sunnyvale, CA, US</t>
        </is>
      </c>
      <c r="H103" s="2" t="n">
        <v>45830</v>
      </c>
      <c r="I10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in-45c28981b5ad5c71</t>
        </is>
      </c>
      <c r="B104" t="inlineStr">
        <is>
          <t>Senior Applied Scientist, Delivery Foundation Model</t>
        </is>
      </c>
      <c r="C104" t="inlineStr">
        <is>
          <t>Amazon.com</t>
        </is>
      </c>
      <c r="D104" t="inlineStr">
        <is>
          <t>indeed</t>
        </is>
      </c>
      <c r="E104" t="inlineStr"/>
      <c r="F104" t="inlineStr"/>
      <c r="G104" t="inlineStr">
        <is>
          <t>Santa Clara, CA, US</t>
        </is>
      </c>
      <c r="H104" s="2"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in-2f412d2dcaffc7f6</t>
        </is>
      </c>
      <c r="B105" t="inlineStr">
        <is>
          <t>Senior Applied Scientist, Delivery Foundation Model</t>
        </is>
      </c>
      <c r="C105" t="inlineStr">
        <is>
          <t>Amazon.com</t>
        </is>
      </c>
      <c r="D105" t="inlineStr">
        <is>
          <t>indeed</t>
        </is>
      </c>
      <c r="E105" t="inlineStr"/>
      <c r="F105" t="inlineStr"/>
      <c r="G105" t="inlineStr">
        <is>
          <t>Bellevue, WA, US</t>
        </is>
      </c>
      <c r="H105" s="2"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in-819f6dbe362964b2</t>
        </is>
      </c>
      <c r="B106" t="inlineStr">
        <is>
          <t>Senior Applied Scientist, Delivery Foundation Model</t>
        </is>
      </c>
      <c r="C106" t="inlineStr">
        <is>
          <t>Amazon.com</t>
        </is>
      </c>
      <c r="D106" t="inlineStr">
        <is>
          <t>indeed</t>
        </is>
      </c>
      <c r="E106" t="inlineStr"/>
      <c r="F106" t="inlineStr"/>
      <c r="G106" t="inlineStr">
        <is>
          <t>New York, NY, US</t>
        </is>
      </c>
      <c r="H106" s="2"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in-dd0ab2df9ac0197e</t>
        </is>
      </c>
      <c r="B107" t="inlineStr">
        <is>
          <t>Sr. Applied Scientist - Privacy, Privacy Engineering</t>
        </is>
      </c>
      <c r="C107" t="inlineStr">
        <is>
          <t>Amazon.com</t>
        </is>
      </c>
      <c r="D107" t="inlineStr">
        <is>
          <t>indeed</t>
        </is>
      </c>
      <c r="E107" t="inlineStr"/>
      <c r="F107" t="inlineStr"/>
      <c r="G107" t="inlineStr">
        <is>
          <t>Santa Clara, CA, US</t>
        </is>
      </c>
      <c r="H107" s="2" t="n">
        <v>45787</v>
      </c>
      <c r="I10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in-45715a834fc515f5</t>
        </is>
      </c>
      <c r="B108" t="inlineStr">
        <is>
          <t>Sr. Applied Scientist - Privacy, Privacy Engineering</t>
        </is>
      </c>
      <c r="C108" t="inlineStr">
        <is>
          <t>Amazon.com</t>
        </is>
      </c>
      <c r="D108" t="inlineStr">
        <is>
          <t>indeed</t>
        </is>
      </c>
      <c r="E108" t="inlineStr"/>
      <c r="F108" t="inlineStr"/>
      <c r="G108" t="inlineStr">
        <is>
          <t>Seattle, WA, US</t>
        </is>
      </c>
      <c r="H108" s="2" t="n">
        <v>45787</v>
      </c>
      <c r="I10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in-efa883e13044751d</t>
        </is>
      </c>
      <c r="B109" t="inlineStr">
        <is>
          <t>Sr. Applied Scientist - Privacy, Privacy Engineering</t>
        </is>
      </c>
      <c r="C109" t="inlineStr">
        <is>
          <t>Amazon.com</t>
        </is>
      </c>
      <c r="D109" t="inlineStr">
        <is>
          <t>indeed</t>
        </is>
      </c>
      <c r="E109" t="inlineStr"/>
      <c r="F109" t="inlineStr"/>
      <c r="G109" t="inlineStr">
        <is>
          <t>San Francisco, CA, US</t>
        </is>
      </c>
      <c r="H109" s="2" t="n">
        <v>45787</v>
      </c>
      <c r="I10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in-40b04c91576880c9</t>
        </is>
      </c>
      <c r="B110" t="inlineStr">
        <is>
          <t>Sr. Applied Scientist - Privacy, Privacy Engineering</t>
        </is>
      </c>
      <c r="C110" t="inlineStr">
        <is>
          <t>Amazon.com</t>
        </is>
      </c>
      <c r="D110" t="inlineStr">
        <is>
          <t>indeed</t>
        </is>
      </c>
      <c r="E110" t="inlineStr"/>
      <c r="F110" t="inlineStr"/>
      <c r="G110" t="inlineStr">
        <is>
          <t>Sunnyvale, CA, US</t>
        </is>
      </c>
      <c r="H110" s="2"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in-c663ba30ef675bca</t>
        </is>
      </c>
      <c r="B111" t="inlineStr">
        <is>
          <t>Staff Voice AI Engineer - Applied AI</t>
        </is>
      </c>
      <c r="C111" t="inlineStr">
        <is>
          <t>Uber</t>
        </is>
      </c>
      <c r="D111" t="inlineStr">
        <is>
          <t>indeed</t>
        </is>
      </c>
      <c r="E111" t="inlineStr"/>
      <c r="F111" t="inlineStr"/>
      <c r="G111" t="inlineStr">
        <is>
          <t>San Francisco, CA, US</t>
        </is>
      </c>
      <c r="H111" s="2" t="n">
        <v>46066</v>
      </c>
      <c r="I111" t="inlineStr">
        <is>
          <t>**About the Role:**
Applied AI at Uber builds intelligent systems that power next\-generation product experiences for riders, drivers, merchants, and couriers. As a Staff Voice AI Engineer, you will lead the design and deployment of large\-scale, real\-time Voice AI systems that enable natural, reliable, and intelligent voice interactions across Uber's ecosystem.
You will operate as a full\-stack technical leader across speech modeling, LLM\-powered conversational intelligence, and low\-latency backend infrastructure \- owning Voice AI systems end\-to\-end, from model development and evaluation to highly available, distributed production services. This includes advancing capabilities in automatic speech recognition (ASR), text\-to\-speech (TTS), spoken language understanding, and LLM\-driven dialogue systems.
You will partner closely with product, design, and infrastructure teams to translate customer pain points into seamless voice\-first experiences \- setting the foundation for how Voice AI is built, deployed, and operated across Uber's global platform.
**What You Will Do:**
* Design and build end\-to\-end Voice AI solutions, from understanding customer pain points and defining product requirements to deploying LLM\-powered, real\-time voice interfaces in production.
* Benchmark and evaluate voice AI systems, including speech recognition, speech synthesis, and spoken language understanding, by designing evaluations, analyzing results, and identifying systematic weaknesses.
* Improve voice model performance through system prompt tuning, fine\-tuning voice\- and speech\-specific models, and optimizing architectures for low\-latency, real\-time voice interactions.
* Analyze voice request logs, prompt traces, and audio inputs to diagnose failure modes, improve transcription accuracy, conversational quality, and overall user experience.
* Build and maintain internal tools and platforms to automate Voice AI workflows, such as large\-scale transcription pipelines, real\-time audio processing services, and evaluation harnesses for voice quality.
* Own Voice AI systems in production end\-to\-end, including rollout strategies, monitoring, alerting, quality regression detection, and on\-call readiness.
* Collaborate closely with product, design, and research teams to translate user needs into Voice AI capabilities with measurable business and customer impact.
**Basic Qualifications:*** 10\+ years of experience in software engineering, data science, or machine learning, including a track record of shipping production AI systems.
* Deep understanding of large language models, including fine\-tuning, prompt engineering, embeddings, and retrieval\-augmented generation (RAG).
* Strong backend and distributed systems expertise, with experience designing and operating highly available, scalable services in production.
* Deep experience with ML infrastructure, including model training pipelines, online serving systems, feature stores, experiment platforms, and evaluation frameworks.
* Hands\-on experience with distributed data processing systems (e.g., Spark, Flink, Ray) and workflow orchestration (e.g., Airflow or equivalent).
* Ability to analyze data, run experiments, and derive insights for model and product improvement.
* Excellent communication and collaboration skills across technical and non\-technical teams.
**Preferred Qualifications:*** Experience building evaluation frameworks for Voice AI, including metrics and human/LLM\-assisted evaluations for speech recognition accuracy, latency, robustness, and naturalness of synthesized speech.
* Demonstrated expertise in machine learning fundamentals applied to voice, including model evaluation, training, and fine\-tuning of ASR, TTS, or speech\-language models.
* Proven experience deploying Voice AI systems to production, with an emphasis on low\-latency, high\-reliability, real\-time environments.
* Experience writing developer documentation, creating voice\-specific SDKs, or enabling internal teams to build on shared Voice AI platforms.
Hands\-on work with large\-scale audio datasets, including data curation, labeling strategies, and optimization of voice processing pipelines at scale.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2">
      <c r="A112" t="inlineStr">
        <is>
          <t>in-385d7c1e929f2c37</t>
        </is>
      </c>
      <c r="B112" t="inlineStr">
        <is>
          <t>Staff Voice AI Engineer - Applied AI</t>
        </is>
      </c>
      <c r="C112" t="inlineStr">
        <is>
          <t>Uber</t>
        </is>
      </c>
      <c r="D112" t="inlineStr">
        <is>
          <t>indeed</t>
        </is>
      </c>
      <c r="E112" t="inlineStr"/>
      <c r="F112" t="inlineStr"/>
      <c r="G112" t="inlineStr">
        <is>
          <t>Sunnyvale, CA, US</t>
        </is>
      </c>
      <c r="H112" s="2" t="n">
        <v>46066</v>
      </c>
      <c r="I112" t="inlineStr">
        <is>
          <t>**About the Role:**
Applied AI at Uber builds intelligent systems that power next\-generation product experiences for riders, drivers, merchants, and couriers. As a Staff Voice AI Engineer, you will lead the design and deployment of large\-scale, real\-time Voice AI systems that enable natural, reliable, and intelligent voice interactions across Uber's ecosystem.
You will operate as a full\-stack technical leader across speech modeling, LLM\-powered conversational intelligence, and low\-latency backend infrastructure \- owning Voice AI systems end\-to\-end, from model development and evaluation to highly available, distributed production services. This includes advancing capabilities in automatic speech recognition (ASR), text\-to\-speech (TTS), spoken language understanding, and LLM\-driven dialogue systems.
You will partner closely with product, design, and infrastructure teams to translate customer pain points into seamless voice\-first experiences \- setting the foundation for how Voice AI is built, deployed, and operated across Uber's global platform.
**What You Will Do:**
* Design and build end\-to\-end Voice AI solutions, from understanding customer pain points and defining product requirements to deploying LLM\-powered, real\-time voice interfaces in production.
* Benchmark and evaluate voice AI systems, including speech recognition, speech synthesis, and spoken language understanding, by designing evaluations, analyzing results, and identifying systematic weaknesses.
* Improve voice model performance through system prompt tuning, fine\-tuning voice\- and speech\-specific models, and optimizing architectures for low\-latency, real\-time voice interactions.
* Analyze voice request logs, prompt traces, and audio inputs to diagnose failure modes, improve transcription accuracy, conversational quality, and overall user experience.
* Build and maintain internal tools and platforms to automate Voice AI workflows, such as large\-scale transcription pipelines, real\-time audio processing services, and evaluation harnesses for voice quality.
* Own Voice AI systems in production end\-to\-end, including rollout strategies, monitoring, alerting, quality regression detection, and on\-call readiness.
* Collaborate closely with product, design, and research teams to translate user needs into Voice AI capabilities with measurable business and customer impact.
**Basic Qualifications:*** 10\+ years of experience in software engineering, data science, or machine learning, including a track record of shipping production AI systems.
* Deep understanding of large language models, including fine\-tuning, prompt engineering, embeddings, and retrieval\-augmented generation (RAG).
* Strong backend and distributed systems expertise, with experience designing and operating highly available, scalable services in production.
* Deep experience with ML infrastructure, including model training pipelines, online serving systems, feature stores, experiment platforms, and evaluation frameworks.
* Hands\-on experience with distributed data processing systems (e.g., Spark, Flink, Ray) and workflow orchestration (e.g., Airflow or equivalent).
* Ability to analyze data, run experiments, and derive insights for model and product improvement.
* Excellent communication and collaboration skills across technical and non\-technical teams.
**Preferred Qualifications:*** Experience building evaluation frameworks for Voice AI, including metrics and human/LLM\-assisted evaluations for speech recognition accuracy, latency, robustness, and naturalness of synthesized speech.
* Demonstrated expertise in machine learning fundamentals applied to voice, including model evaluation, training, and fine\-tuning of ASR, TTS, or speech\-language models.
* Proven experience deploying Voice AI systems to production, with an emphasis on low\-latency, high\-reliability, real\-time environments.
* Experience writing developer documentation, creating voice\-specific SDKs, or enabling internal teams to build on shared Voice AI platforms.
Hands\-on work with large\-scale audio datasets, including data curation, labeling strategies, and optimization of voice processing pipelines at scale.  
*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3">
      <c r="A113" t="inlineStr">
        <is>
          <t>in-88438aca0eb67144</t>
        </is>
      </c>
      <c r="B113" t="inlineStr">
        <is>
          <t>Senior Machine Learning Engineer</t>
        </is>
      </c>
      <c r="C113" t="inlineStr">
        <is>
          <t>Quarterhill</t>
        </is>
      </c>
      <c r="D113" t="inlineStr">
        <is>
          <t>indeed</t>
        </is>
      </c>
      <c r="E113" t="inlineStr"/>
      <c r="F113" t="inlineStr"/>
      <c r="G113" t="inlineStr">
        <is>
          <t>Frisco, TX, US</t>
        </is>
      </c>
      <c r="H113" s="2" t="n">
        <v>46065</v>
      </c>
      <c r="I113" t="inlineStr">
        <is>
          <t>Overview:
We are seeking a **Senior Machine Learning Engineer** to join our forward\-thinking team building the next generation of **Intelligent Transportation Systems**. In this role, you will design, develop, and deploy state\-of\-the\-art**computer vision models** that power scalable, real\-world solutions. You’ll work with large\-scale image and video data, building and optimizing production\-grade vision systems while contributing clean, and modular code to shared repositories.
As part of our AI team, you’ll collaborate closely with engineering teams to deliver high\-impact features for our growing SaaS platform. The ideal candidate brings hands\-on experience deploying computer vision models in production and applying MLOps best practices on cloud platforms.
Responsibilities:
* Design, train, and fine\-tune **Computer Vision and Deep Learning models** for tasks such as image classification, object detection, object tracking, and OCR.
* Preprocess and prepare**image and video datasets**, including data augmentation, labeling strategies, normalization, and feature extraction.
* **Contribute to our machine learning repositories**, extending CNN\- and transformer\-based pipelines.
* Optimize models for performance, scalability, and real\-time inference across edge and cloud environments.
* **Implement MLOps best practices**to train, evaluate, deploy, and monitor production\-grade computer vision models, emphasizing clean, modular, and well\-documented code.
* Collaborate with cross\-functional teams to integrate computer vision solutions into end\-to\-end products and platforms.
* Stay up to date with the latest research and industry, applying new techniques to improve model accuracy and efficiency.
This list of responsibilities might not cover everything you'll end up doing.
Qualifications:
* 5\+ years of experience in machine learning, with a strong focus on **computer vision**.
* Bachelor’s (Master’s preferred) in Computer Science, Machine Learning, or related field.
* **Strong expertise in computer vision architectures**(CNNs, Vision Transformers) and image processing frameworks such as OpenCV and PIL.
* Proficiency in Python and deep learning frameworks such as **PyTorch** and TensorFlow.
* Hands\-on experience with**MLOps tools** (MLflow, Kubeflow, Docker, Kubernetes) for model deployment and lifecycle management.
* Strong communication skills, problem\-solving mindset, and passion for continuous learning
Benefits:
We offer a Total Rewards plan designed with you and your family’s health and wellness in mind that includes:
* Paid days off (i.e. vacation, sick days, bereavement leave)
* Health and Dental plans
* Retirement plans
* Employee and Family Assistance Program (EFAP)
* Employee referral program
We welcome applicants from all backgrounds, regardless of race, color, religion, sex, veteran status, sexual orientation, gender identity, national origin, age, or disability or any other protected characteristics in accordance with applicable federal, state/provincial, and local laws. We're committed to creating a workplace where everyone feels valued and respected.  
We appreciate all responses and will acknowledge only those being considered for an interview.
We respectfully request no calls or unsolicited resumes from Agencies.</t>
        </is>
      </c>
    </row>
    <row r="114">
      <c r="A114" t="inlineStr">
        <is>
          <t>in-36df21f264777be4</t>
        </is>
      </c>
      <c r="B114" t="inlineStr">
        <is>
          <t>Staff Machine Learning/AI Engineer</t>
        </is>
      </c>
      <c r="C114" t="inlineStr">
        <is>
          <t>Rivian</t>
        </is>
      </c>
      <c r="D114" t="inlineStr">
        <is>
          <t>indeed</t>
        </is>
      </c>
      <c r="E114" t="inlineStr"/>
      <c r="F114" t="inlineStr"/>
      <c r="G114" t="inlineStr">
        <is>
          <t>Palo Alto, CA, US</t>
        </is>
      </c>
      <c r="H114" s="2" t="n">
        <v>46065</v>
      </c>
      <c r="I114"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an Engineer / Research Scientist with deep expertise in quantized deep learning models for hardware acceleration in autonomous systems. In this cross\-disciplinary role, you will bridge perception model design and hardware\-aware deployment, enabling efficient execution of high\-performance perception algorithms across embedded compute platforms. You will focus on researching state of the art perception models and develop optimization pipelines for the quantized versions of these models customized to provide real\-time performance and energy efficiency on next\-generation autonomy hardware.
Responsibilities:
* Research state of the art perception models in collaboration with the ADAS SW teams
* Lead the development of optimizations for mapping quantized perception models (e.g., CNNs, Transformers, LLMs) to embedded and heterogeneous hardware platforms.
* Design and implement hardware\-aware optimizations, including quantization strategies, model compression, memory\-efficient representations, and operator fusion, targeted to custom accelerators.
* Collaborate with hardware teams to co\-optimize model architecture and compute pipeline under real\-time constraints (latency, throughput, power).
* Benchmark and analyze system performance across platforms and iterate to achieve optimal deployment efficiency.
* Partner with perception, systems, and autonomy teams to align model optimization efforts with hardware roadmap and real\-world autonomy requirements.
Qualifications:
* Ph.D. or M.S. in Computer Engineering, Electrical Engineering, Computer Science, or related field with a focus on ML compilers, embedded systems, or hardware\-aware AI.
* Hands\-on experience with quantized model deployment, ML design stacks, and code generation for embedded or heterogeneous compute systems.
* Strong understanding of computer vision models (e.g., object detection, segmentation) and their optimization for edge inference.
* Proficiency in deep learning frameworks (e.g., PyTorch, TensorFlow) and their low\-level IRs or export formats (e.g., ONNX).
* Solid programming skills in C\+\+, Python
* Familiarity with CUDA/OpenCL (or other accelerator programming models).
Preferred Qualifications:* Prior experience working with hardware\-software co\-design, especially for autonomous or robotics platforms.
* Deep knowledge of numerical precision trade\-offs, quantization\-aware training (QAT), and dynamic/static quantization flows.
* Familiarity with embedded real\-time constraints and hardware profiling/debugging tools.
* Familiarity with rearchitecting models to best suit hardware capabilities.
* Publication record in top\-tier ML/Systems conferences (e.g., MLSys, NeurIPS, DAC, ICCAD).
Pay Disclosure:
**Salary Range:** The salary range for this role is $206,500 \- $258,000\.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**Benefits Summary:** Rivian offers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15">
      <c r="A115" t="inlineStr">
        <is>
          <t>in-10940629ffdc61bd</t>
        </is>
      </c>
      <c r="B115" t="inlineStr">
        <is>
          <t>Robotics AI Engineer (Entry-Level)</t>
        </is>
      </c>
      <c r="C115" t="inlineStr">
        <is>
          <t>Benda Infotech</t>
        </is>
      </c>
      <c r="D115" t="inlineStr">
        <is>
          <t>indeed</t>
        </is>
      </c>
      <c r="E115" t="inlineStr"/>
      <c r="F115" t="inlineStr"/>
      <c r="G115" t="inlineStr">
        <is>
          <t>Chicago, IL, US</t>
        </is>
      </c>
      <c r="H115" s="2" t="n">
        <v>46065</v>
      </c>
      <c r="I115" t="inlineStr">
        <is>
          <t>**Description**
---------------
Benda Infotech is excited to announce an opportunity for an Entry\-Level Robotics AI Engineer to join our innovative team in Chicago. This full\-time, on\-site position is perfect for recent graduates or those looking to kickstart their careers in the rapidly evolving field of robotics and artificial intelligence.
In this role, you will contribute to developing intelligent robotics systems that enhance automation and efficiency across various applications. You'll collaborate with experienced engineers and researchers on exciting projects that push the boundaries of technology. We offer a competitive salary range of $71,000 \- $94,000 annually, along with a supportive work environment that fosters professional growth and development.
### **Responsibilities**
* Assist in the design and development of robotics AI systems
* Collaborate with senior engineers to implement algorithms for machine learning and perception
* Participate in testing and debugging of robotics systems
* Contribute to project documentation and reporting
* Support the integration of AI models into robotic platforms
* Engage in continuous learning and professional development opportunities
* Work collaboratively in a team environment to achieve project goals
* Stay updated with the latest trends and technologies in robotics and AI
### **Requirements**
* Bachelor's degree in Computer Science, Robotics, Engineering, or a related field
* Familiarity with programming languages such as Python, C\+\+, or Java
* Understanding of machine learning concepts and algorithms
* Basic knowledge of robotics hardware and software systems
* Strong analytical and problem\-solving skills
* Ability to work effectively in a team\-oriented environment
* Excellent communication skills, both written and verbal
* Passion for technology and eagerness to learn and grow in the field</t>
        </is>
      </c>
    </row>
    <row r="116">
      <c r="A116" t="inlineStr">
        <is>
          <t>in-bb40158edc8392ae</t>
        </is>
      </c>
      <c r="B116" t="inlineStr">
        <is>
          <t>Sr. Machine Learning Engineer, WWPS ProServe Data and Machine Learning</t>
        </is>
      </c>
      <c r="C116" t="inlineStr">
        <is>
          <t>Amazon Web Services</t>
        </is>
      </c>
      <c r="D116" t="inlineStr">
        <is>
          <t>indeed</t>
        </is>
      </c>
      <c r="E116" t="inlineStr"/>
      <c r="F116" t="inlineStr"/>
      <c r="G116" t="inlineStr">
        <is>
          <t>Arlington, VA, US</t>
        </is>
      </c>
      <c r="H116" s="2" t="n">
        <v>46062</v>
      </c>
      <c r="I116"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17">
      <c r="A117" t="inlineStr">
        <is>
          <t>in-5c6084d2166782ce</t>
        </is>
      </c>
      <c r="B117" t="inlineStr">
        <is>
          <t>Sr. Machine Learning Engineer, WWPS ProServe Data and Machine Learning</t>
        </is>
      </c>
      <c r="C117" t="inlineStr">
        <is>
          <t>Amazon Web Services</t>
        </is>
      </c>
      <c r="D117" t="inlineStr">
        <is>
          <t>indeed</t>
        </is>
      </c>
      <c r="E117" t="inlineStr"/>
      <c r="F117" t="inlineStr"/>
      <c r="G117" t="inlineStr">
        <is>
          <t>Herndon, VA, US</t>
        </is>
      </c>
      <c r="H117" s="2" t="n">
        <v>46062</v>
      </c>
      <c r="I117"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18">
      <c r="A118" t="inlineStr">
        <is>
          <t>in-cbea886ecc90d4f7</t>
        </is>
      </c>
      <c r="B118" t="inlineStr">
        <is>
          <t>Data and Machine Learning Engineer - Vision Language Models, Data &amp; Machine Learning (DML)</t>
        </is>
      </c>
      <c r="C118" t="inlineStr">
        <is>
          <t>Amazon Web Services</t>
        </is>
      </c>
      <c r="D118" t="inlineStr">
        <is>
          <t>indeed</t>
        </is>
      </c>
      <c r="E118" t="inlineStr"/>
      <c r="F118" t="inlineStr"/>
      <c r="G118" t="inlineStr">
        <is>
          <t>Herndon, VA, US</t>
        </is>
      </c>
      <c r="H118" s="2" t="n">
        <v>46051</v>
      </c>
      <c r="I11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in-db0f5377ae60cd26</t>
        </is>
      </c>
      <c r="B119" t="inlineStr">
        <is>
          <t>Data and Machine Learning Engineer - Vision Language Models, Data &amp; Machine Learning (DML)</t>
        </is>
      </c>
      <c r="C119" t="inlineStr">
        <is>
          <t>Amazon Web Services</t>
        </is>
      </c>
      <c r="D119" t="inlineStr">
        <is>
          <t>indeed</t>
        </is>
      </c>
      <c r="E119" t="inlineStr"/>
      <c r="F119" t="inlineStr"/>
      <c r="G119" t="inlineStr">
        <is>
          <t>Arlington, VA, US</t>
        </is>
      </c>
      <c r="H119" s="2" t="n">
        <v>46051</v>
      </c>
      <c r="I11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in-5426e186214e8934</t>
        </is>
      </c>
      <c r="B120" t="inlineStr">
        <is>
          <t>Machine Learning Engineer, WWPS ProServe Data and Machine Learning</t>
        </is>
      </c>
      <c r="C120" t="inlineStr">
        <is>
          <t>Amazon Web Services</t>
        </is>
      </c>
      <c r="D120" t="inlineStr">
        <is>
          <t>indeed</t>
        </is>
      </c>
      <c r="E120" t="inlineStr"/>
      <c r="F120" t="inlineStr"/>
      <c r="G120" t="inlineStr">
        <is>
          <t>Herndon, VA, US</t>
        </is>
      </c>
      <c r="H120" s="2" t="n">
        <v>46044</v>
      </c>
      <c r="I12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1">
      <c r="A121" t="inlineStr">
        <is>
          <t>in-5678b5511bb1ca23</t>
        </is>
      </c>
      <c r="B121" t="inlineStr">
        <is>
          <t>Machine Learning Engineer, WWPS ProServe Data and Machine Learning</t>
        </is>
      </c>
      <c r="C121" t="inlineStr">
        <is>
          <t>Amazon Web Services</t>
        </is>
      </c>
      <c r="D121" t="inlineStr">
        <is>
          <t>indeed</t>
        </is>
      </c>
      <c r="E121" t="inlineStr"/>
      <c r="F121" t="inlineStr"/>
      <c r="G121" t="inlineStr">
        <is>
          <t>Arlington, VA, US</t>
        </is>
      </c>
      <c r="H121" s="2" t="n">
        <v>46044</v>
      </c>
      <c r="I12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2">
      <c r="A122" t="inlineStr">
        <is>
          <t>in-61e73c039403f332</t>
        </is>
      </c>
      <c r="B122" t="inlineStr">
        <is>
          <t>ML Engineer, GO-AI Technology &amp; Development Team</t>
        </is>
      </c>
      <c r="C122" t="inlineStr">
        <is>
          <t>Amazon.com</t>
        </is>
      </c>
      <c r="D122" t="inlineStr">
        <is>
          <t>indeed</t>
        </is>
      </c>
      <c r="E122" t="inlineStr"/>
      <c r="F122" t="inlineStr"/>
      <c r="G122" t="inlineStr">
        <is>
          <t>Boston, MA, US</t>
        </is>
      </c>
      <c r="H122" s="2" t="n">
        <v>45998</v>
      </c>
      <c r="I1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3">
      <c r="A123" t="inlineStr">
        <is>
          <t>in-b141c799ace84a30</t>
        </is>
      </c>
      <c r="B123" t="inlineStr">
        <is>
          <t>ML Engineer, GO-AI Technology &amp; Development Team</t>
        </is>
      </c>
      <c r="C123" t="inlineStr">
        <is>
          <t>Amazon.com</t>
        </is>
      </c>
      <c r="D123" t="inlineStr">
        <is>
          <t>indeed</t>
        </is>
      </c>
      <c r="E123" t="inlineStr"/>
      <c r="F123" t="inlineStr"/>
      <c r="G123" t="inlineStr">
        <is>
          <t>Reading, MA, US</t>
        </is>
      </c>
      <c r="H123" s="2" t="n">
        <v>45998</v>
      </c>
      <c r="I1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4">
      <c r="A124" t="inlineStr">
        <is>
          <t>in-650da70df763d5f9</t>
        </is>
      </c>
      <c r="B124" t="inlineStr">
        <is>
          <t>ML Engineer, GO-AI Technology &amp; Development Team</t>
        </is>
      </c>
      <c r="C124" t="inlineStr">
        <is>
          <t>Amazon.com</t>
        </is>
      </c>
      <c r="D124" t="inlineStr">
        <is>
          <t>indeed</t>
        </is>
      </c>
      <c r="E124" t="inlineStr"/>
      <c r="F124" t="inlineStr"/>
      <c r="G124" t="inlineStr">
        <is>
          <t>Westborough, MA, US</t>
        </is>
      </c>
      <c r="H124" s="2" t="n">
        <v>45998</v>
      </c>
      <c r="I1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5">
      <c r="A125" t="inlineStr">
        <is>
          <t>in-0a74d265addf2c34</t>
        </is>
      </c>
      <c r="B125" t="inlineStr">
        <is>
          <t>ML Engineer, GO-AI Technology &amp; Development Team</t>
        </is>
      </c>
      <c r="C125" t="inlineStr">
        <is>
          <t>Amazon.com</t>
        </is>
      </c>
      <c r="D125" t="inlineStr">
        <is>
          <t>indeed</t>
        </is>
      </c>
      <c r="E125" t="inlineStr"/>
      <c r="F125" t="inlineStr"/>
      <c r="G125" t="inlineStr">
        <is>
          <t>Seattle, WA, US</t>
        </is>
      </c>
      <c r="H125" s="2" t="n">
        <v>45998</v>
      </c>
      <c r="I1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6">
      <c r="A126" t="inlineStr">
        <is>
          <t>in-b76f04e817088400</t>
        </is>
      </c>
      <c r="B126" t="inlineStr">
        <is>
          <t>Lead AI Engineer</t>
        </is>
      </c>
      <c r="C126" t="inlineStr">
        <is>
          <t>Capital One</t>
        </is>
      </c>
      <c r="D126" t="inlineStr">
        <is>
          <t>indeed</t>
        </is>
      </c>
      <c r="E126" t="inlineStr"/>
      <c r="F126" t="inlineStr"/>
      <c r="G126" t="inlineStr">
        <is>
          <t>New York, NY, US</t>
        </is>
      </c>
      <c r="H126" s="2" t="n">
        <v>46065</v>
      </c>
      <c r="I126" t="inlineStr">
        <is>
          <t>Lead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7">
      <c r="A127" t="inlineStr">
        <is>
          <t>in-ceee3716b1c6249d</t>
        </is>
      </c>
      <c r="B127" t="inlineStr">
        <is>
          <t>Senior Lead AI Engineer (AI Foundations, LLM Core and Agentic AI)</t>
        </is>
      </c>
      <c r="C127" t="inlineStr">
        <is>
          <t>Capital One</t>
        </is>
      </c>
      <c r="D127" t="inlineStr">
        <is>
          <t>indeed</t>
        </is>
      </c>
      <c r="E127" t="inlineStr"/>
      <c r="F127" t="inlineStr"/>
      <c r="G127" t="inlineStr">
        <is>
          <t>New York, NY, US</t>
        </is>
      </c>
      <c r="H127" s="2" t="n">
        <v>46065</v>
      </c>
      <c r="I127" t="inlineStr">
        <is>
          <t>Senior Lead AI Engineer (AI Foundations, LLM Core and Agentic AI)**Overview:**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8">
      <c r="A128" t="inlineStr">
        <is>
          <t>in-a965df8e3f24884d</t>
        </is>
      </c>
      <c r="B128" t="inlineStr">
        <is>
          <t>Identity AI / ML Engineer</t>
        </is>
      </c>
      <c r="C128" t="inlineStr">
        <is>
          <t>Openkyber</t>
        </is>
      </c>
      <c r="D128" t="inlineStr">
        <is>
          <t>indeed</t>
        </is>
      </c>
      <c r="E128" t="inlineStr"/>
      <c r="F128" t="inlineStr"/>
      <c r="G128" t="inlineStr">
        <is>
          <t>CA, US</t>
        </is>
      </c>
      <c r="H128" s="2" t="n">
        <v>46065</v>
      </c>
      <c r="I128" t="inlineStr">
        <is>
          <t>TECHNOGEN, Inc. is a Proven Leader in providing full IT Services, Software Development and Solutions for 15 years. TECHNOGEN is a Small \&amp; Woman Owned Minority Business with GSA Advantage Certification. We have offices in VA; MD \&amp; Offshore development centers in India. We have successfully executed 100\+ projects for clients ranging from small business and non\-profits to Fortune 50 companies and federal, state and local agencies.
**Position:** AI/ML Architect
**Location:** SFO Bay Area, CA (Hybrid)
**Duration:** Long Term
**Job Description:** Client is looking for a hands\-on AI/ML Architect to design and scale production\-grade AI and ML solutions for enterprise clients. This role owns end\-to\-end AI/ML architecture and works closely with data engineering, product, and client stakeholders.
**Key Responsibilities**
* Design and architect end\-to\-end AI/ML and GenAI solutions
* Define scalable ML platforms and MLOps frameworks (training, deployment, monitoring)
* Collaborate with data engineers on pipelines, feature stores, and data quality
* Translate business problems into AI/ML system designs
* Lead architectural reviews and provide technical guidance to delivery teams
**Required Skills \&amp; Experience**
* 10\+ years in software/data/ML engineering; 5\+ years in AI/ML architecture
* Strong hands\-on experience with Python and ML frameworks (PyTorch, TensorFlow, etc.)
* Proven experience deploying ML models into production
* Solid understanding of MLOps and data engineering fundamentals
* Experience with AWS, Azure, or Google Cloud Platform
* Strong communication and stakeholder collaboration skills
* Generative AI, LLMs, RAG, vector databases
* Experience in client\-facing or consulting environments
**For applications and inquiries, contact:** hirings@openkyber.com</t>
        </is>
      </c>
    </row>
    <row r="129">
      <c r="A129" t="inlineStr">
        <is>
          <t>in-5a42324f9cc9bbbc</t>
        </is>
      </c>
      <c r="B129" t="inlineStr">
        <is>
          <t>Sr Machine Learning Engineer - Personalization</t>
        </is>
      </c>
      <c r="C129" t="inlineStr"/>
      <c r="D129" t="inlineStr">
        <is>
          <t>indeed</t>
        </is>
      </c>
      <c r="E129" t="inlineStr"/>
      <c r="F129" t="inlineStr"/>
      <c r="G129" t="inlineStr">
        <is>
          <t>New York, NY, US</t>
        </is>
      </c>
      <c r="H129" s="2" t="n">
        <v>46066</v>
      </c>
      <c r="I129"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Our team designs and builds models that directly shape the user experience – powering personalization and engagement across our Disney Streaming’s suite of streaming video apps, notably Disney\+ and Hulu. With a strong product mindset and a focus on usability, we ensure every ML\-driven product enhances how users discover, interact, and enjoy our experiences.
As a member of this team you will collaborate across Engineering, Product, and Data teams to apply machine learning methods to meet strategic product personalization goals, explore innovative, cutting edge techniques that can be applied to recommendations, and constantly seek ways to optimize operational processes.
This is an Individual Contributor role. You will be expected to lead recommendation and personalization algorithm research, development, and productionization for product areas, and to coordinate requirements and manage stakeholder expectations with Product, Engineering, and Editorial teams. As an IC, you will also be responsible for helping to set the roadmap for algorithmic work — not only for how to approach product requests for new recommendation features, but for helping to drive larger company objectives in the areas of personalization and recommendations.
**Responsibilities and Duties of the Role:**
* **Algorithm Development and Maintenance:** Utilize cutting edge machine learning methods to develop algorithms for personalization, recommendation, and other predictive systems; maintain algorithms deployed to production and be the point person in explaining methodologies to technical and non\-technical teams
* **Feature Engineering and Optimization:** Develop and maintain ETL pipelines using orchestration tools such as Airflow and Jenkins; deploy scalable streaming and batch data pipelines to support petabyte scale datasets
* **Development Best Practices:** Maintain existing and establish new algorithm development, testing, and deployment standards
* **Collaborate with product and business stakeholders:** Identify and define new personalization opportunities and work with other data teams to improve how we do data collection, experimentation and analysis
**Required Education, Experience/Skills/Training:**
Basic Qualifications
* 5\+ years of experience developing machine learning models, performing large\-scale data analysis, and/or data engineering experience
* 5\+ years writing production\-level, scalable code (Python, SQL)
* 3\+ years of experience developing algorithms for deployment to production systems
* In\-depth understanding of modern machine learning (e.g. deep learning methods), models, and their mathematical underpinnings
* Experience deploying and maintaining pipelines and in engineering big\-data solutions using technologies like Databricks, S3, and Spark
* Ability to gauge the complexity of machine learning problems and a willingness to execute simple approaches for quick, effective solutions as appropriate
* Strong written and verbal communication skills
Preferred Qualifications
* MS or PhD in statistics, math, computer science, or related quantitative field
* Production experience with developing content recommendation algorithms at scale
* Experience building and deploying full stack ML pipelines: data extraction, data mining, model training, feature development, testing, and deployment
* Familiar with metadata management, data lineage, and principles of data governance
* Experience loading and querying cloud\-hosted databases
Experience with:
* AWS, Databricks
Required Education
* Bachelor’s Degree in Computer Science, Math, Statistics, or related quantitative field
The hiring range for this position in New York, NY is $148,700 \- $199,400 per year and in Santa Monica, CA is $141,900 \- $190,300\.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0">
      <c r="A130" t="inlineStr">
        <is>
          <t>in-db098ee16b51f5a7</t>
        </is>
      </c>
      <c r="B130" t="inlineStr">
        <is>
          <t>Sr Machine Learning Engineer - Personalization</t>
        </is>
      </c>
      <c r="C130" t="inlineStr"/>
      <c r="D130" t="inlineStr">
        <is>
          <t>indeed</t>
        </is>
      </c>
      <c r="E130" t="inlineStr"/>
      <c r="F130" t="inlineStr"/>
      <c r="G130" t="inlineStr">
        <is>
          <t>New York, NY, US</t>
        </is>
      </c>
      <c r="H130" s="2" t="n">
        <v>46066</v>
      </c>
      <c r="I130"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Product Engineering is a unified team responsible for the engineering of Disney Entertainment \&amp; ESPN digital and streaming products and platforms. This includes product engineering, media engineering, quality assurance, engineering behind personalization, commerce, lifecycle, and identity.
**Job Summary:**
Our team designs and builds models that directly shape the user experience – powering personalization and engagement across our Disney Streaming’s suite of streaming video apps, notably Disney\+ and Hulu. With a strong product mindset and a focus on usability, we ensure every ML\-driven product enhances how users discover, interact, and enjoy our experiences.
As a member of this team you will collaborate across Engineering, Product, and Data teams to apply machine learning methods to meet strategic product personalization goals, explore innovative, cutting edge techniques that can be applied to recommendations, and constantly seek ways to optimize operational processes.
This is an Individual Contributor role. You will be expected to lead recommendation and personalization algorithm research, development, and productionization for product areas, and to coordinate requirements and manage stakeholder expectations with Product, Engineering, and Editorial teams. As an IC, you will also be responsible for helping to set the roadmap for algorithmic work — not only for how to approach product requests for new recommendation features, but for helping to drive larger company objectives in the areas of personalization and recommendations.
**Responsibilities and Duties of the Role:**
* **Algorithm Development and Maintenance:** Utilize cutting edge machine learning methods to develop algorithms for personalization, recommendation, and other predictive systems; maintain algorithms deployed to production and be the point person in explaining methodologies to technical and non\-technical teams
* **Feature Engineering and Optimization:** Develop and maintain ETL pipelines using orchestration tools such as Airflow and Jenkins; deploy scalable streaming and batch data pipelines to support petabyte scale datasets
* **Development Best Practices:** Maintain existing and establish new algorithm development, testing, and deployment standards
* **Collaborate with product and business stakeholders:** Identify and define new personalization opportunities and work with other data teams to improve how we do data collection, experimentation and analysis
**Required Education, Experience/Skills/Training:**
Basic Qualifications
* 5\+ years of experience developing machine learning models, performing large\-scale data analysis, and/or data engineering experience
* 5\+ years writing production\-level, scalable code (Python, SQL)
* 3\+ years of experience developing algorithms for deployment to production systems
* In\-depth understanding of modern machine learning (e.g. deep learning methods), models, and their mathematical underpinnings
* Experience deploying and maintaining pipelines and in engineering big\-data solutions using technologies like Databricks, S3, and Spark
* Ability to gauge the complexity of machine learning problems and a willingness to execute simple approaches for quick, effective solutions as appropriate
* Strong written and verbal communication skills
Preferred Qualifications
* MS or PhD in statistics, math, computer science, or related quantitative field
* Production experience with developing content recommendation algorithms at scale
* Experience building and deploying full stack ML pipelines: data extraction, data mining, model training, feature development, testing, and deployment
* Familiar with metadata management, data lineage, and principles of data governance
* Experience loading and querying cloud\-hosted databases
Experience with:
* AWS, Databricks
Required Education
* Bachelor’s Degree in Computer Science, Math, Statistics, or related quantitative field
The hiring range for this position in New York, NY is $148,700 \- $199,400 per year and in Santa Monica, CA is $141,900 \- $190,300\.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1">
      <c r="A131" t="inlineStr">
        <is>
          <t>in-dcc810d9f135f17c</t>
        </is>
      </c>
      <c r="B131" t="inlineStr">
        <is>
          <t>AIML - Staff Machine Learning Engineer</t>
        </is>
      </c>
      <c r="C131" t="inlineStr">
        <is>
          <t>Apple</t>
        </is>
      </c>
      <c r="D131" t="inlineStr">
        <is>
          <t>indeed</t>
        </is>
      </c>
      <c r="E131" t="inlineStr"/>
      <c r="F131" t="inlineStr"/>
      <c r="G131" t="inlineStr">
        <is>
          <t>Santa Clara, CA, US</t>
        </is>
      </c>
      <c r="H131" s="2" t="n">
        <v>46065</v>
      </c>
      <c r="I131" t="inlineStr">
        <is>
          <t>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 to power innovative features in both Apple’s devices and services on the cloud.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multiple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cutting edge research in generative AI to production ready technologies.  
**Description**  
As a member of our fast\-paced group, you’ll have the unique and rewarding opportunity to shape upcoming products from Apple. We are looking for people with excellent applied machine learning, NLP experience and solid engineering skills in creating outstanding search and NLP services. This role will have the following responsibilities:  
Working on query understanding components such as intent classification, entity recognition, entity linking, etc. and analyzing query understanding issues and opportunities  
Developing, fine\-tuning, and evaluating domain specific Large Language Models for various tasks and applications in Apple’s AI powered products  
Conducting applied research to transfer the cutting edge research in generative AI to production ready technologies  
Understanding product requirements, translate them into modeling tasks and engineering tasks  
Building machine learned models for entity linking, intent classification, entity recognition, search relevance, ranking and query understanding problems  
Integrating search functions into Apple products, such as Siri, Spotlight, Safari, Messages, Lookup, etc.  
Building end\-to\-end production system including query understanding and ranking to power search  
Utilizing Spark, Hadoop MapReduce, Hive, Impala to perform distributed data processing  
**Preferred Qualifications**  
MS or PhD in Computer Science, Artificial Intelligence, Natural Language Processing, Machine Learning, Information Retrieval, Data Science or related field  
**Minimum Qualifications**  
Experience in machine learning, deep learning, information retrieval, knowledge graphs, natural language processing or data mining  
Experience of prompt engineering, fine\-tuning, evaluating, and developing data collection/annotation/management tooling for LLMs.  
Proficiency in one of following languages: Python, Go, Java, C\+\+  
Excellent knowledge and good practical skills in major machine learning algorithms  
Excellent data analytical skills  
Good interpersonal skills and team player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$386,300,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2">
      <c r="A132" t="inlineStr">
        <is>
          <t>in-df92841df463e7aa</t>
        </is>
      </c>
      <c r="B132" t="inlineStr">
        <is>
          <t>Identity AI / ML Engineer</t>
        </is>
      </c>
      <c r="C132" t="inlineStr">
        <is>
          <t>Openkyber</t>
        </is>
      </c>
      <c r="D132" t="inlineStr">
        <is>
          <t>indeed</t>
        </is>
      </c>
      <c r="E132" t="inlineStr"/>
      <c r="F132" t="inlineStr"/>
      <c r="G132" t="inlineStr">
        <is>
          <t>NH, US</t>
        </is>
      </c>
      <c r="H132" s="2" t="n">
        <v>46065</v>
      </c>
      <c r="I132" t="inlineStr">
        <is>
          <t>Data Scientist (Python, AI/ML) Banking and Payment Domian Location Charlotte NC Client : Wells Fargo Visa: ,EAD no H1B and OPT(Need Candidate On Our W2\) Interview Mode: In\-Person Job Overview We are looking for a highly capable Python \&amp; AI/ML with deep expertise in backend engineering, LLM\-based applications, RAG architectures, and AI agent frameworks. You will lead the design, development, and deployment of production\-grade AI systems built on Python, modern LLM tooling, retrieval engines, embeddings, and vector databases. This is a hands\-on leadership role focused on building scalable and intelligent AI products.
**Key Responsibilities**
Lead the architecture and development of LLM\-driven applications, AI agents, and RAG\-based systems. Provide technical guidance, conduct code reviews, and mentor junior team members.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 Postgres with pgvector , Elasticsearch , Neo4j ,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**Cross\-Functional Collaboration:**
* Collaborate with product, data engineering, and business teams to understand requirements.
* Translate business problems into scalable AI architectures and deliver practical solutions.
* Communicate technical decisions, trade\-offs, and progress to stakeholders.
**Required Qualifications:**
* Bachelor's/Master's degree in Computer Science, AI/ML, Data Science, or related fields.
* 10\+ years of experience in Python backend development.
* Strong proficiency in FastAPI or Flask.
* Strong working knowledge of SQL databases (Postgres, MySQL, etc.).
* Hands\-on expertise with vector databases:
* Practical experience with FAISS for similarity search.
* Hands\-on experience with modern LLM frameworks: LangChain, LangGraph, Semantic Kernel, Haystack, LlamaIndex, AutoGen.
* Strong understanding of: Embeddings \&amp; vector search RAG pipelines Retrieval optimization Chunking strategies Document loaders \&amp; indexing
* Experience building AI apps using OpenAI SDK or similar.
* Experience deploying APIs/services using Docker and cloud environments.
* Leadership experience: guiding teams, conducting reviews, driving architecture decisions.
**For applications and inquiries, contact:** hirings@openkyber.com</t>
        </is>
      </c>
    </row>
    <row r="133">
      <c r="A133" t="inlineStr">
        <is>
          <t>in-20a86095bbc0f840</t>
        </is>
      </c>
      <c r="B133" t="inlineStr">
        <is>
          <t>Identity AI / ML Engineer</t>
        </is>
      </c>
      <c r="C133" t="inlineStr">
        <is>
          <t>Openkyber</t>
        </is>
      </c>
      <c r="D133" t="inlineStr">
        <is>
          <t>indeed</t>
        </is>
      </c>
      <c r="E133" t="inlineStr"/>
      <c r="F133" t="inlineStr"/>
      <c r="G133" t="inlineStr">
        <is>
          <t>SC, US</t>
        </is>
      </c>
      <c r="H133" s="2" t="n">
        <v>46065</v>
      </c>
      <c r="I133" t="inlineStr">
        <is>
          <t>**AI Engineer Primary Location :** Fort Mill South Carolina V\-Soft Consulting is currently hiring for a AI Engineer for our premier client in Fort Mill, South Carolina . **Education and Experience** Experience deployment to production AI/ML architectures, and data infrastructure to public cloud platforms.  
**Knowledge and Skills:**
* Conduct exploratory data analysis and discovery on raw data sources, incorporating business context to support model development.
* Track data lineage and perform root cause analysis during early\-stage exploration or issue resolution.
* Experience in LLM, NLP, RAG development and tuning
* Integrate and maintain data and model pipelines, proactively diagnosing data quality issues and documenting assumptions.
* Collaborate closely with data scientists to validate model\-ready datasets and ensure thorough, accurate feature documentation.
* Proficient in Python and SQL; able to write clean, reviewable code
* Comfortable developing POCs without needing a full SDLC pipeline; able to iterate quickly and document trade offs.
**WHAT YOU LL DO: Job Responsibilities:**
* Programming skills including Python/PySpark.
* Integrate and maintain data and model pipelines, proactively diagnosing data quality issues and documenting assumptions.
* Designing and building user interfaces using HTML, CSS, and JavaScript frameworks like React or Angular.
* Strong understanding of layers of software stack including API design, development and production deployment at scale.
Interested? Qualified candidates should send their resumes to OpenKyber is recognized among the top 100 fastest growing staffing companies in North America, OpenKyber is headquartered in Louisville, KY with strategic locations in India, Canada and the U.S. OpenKyber is known as an agile, innovative technology services company holding several awards and distinctions and has a wide variety of partnerships across diverse technology stacks. As a valued OpenKyber Consultant, you re eligible for full benefits (Medical, Dental, Vision), a 401(k) plan, competitive compensation and more. OpenKyber is partnered with numerous Fortune 500 companies, exceptionally positioned to advance your career growth. OpenKyber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**For applications and inquiries, contact:** hirings@openkyber.com</t>
        </is>
      </c>
    </row>
    <row r="134">
      <c r="A134" t="inlineStr">
        <is>
          <t>in-5f5f5da511335507</t>
        </is>
      </c>
      <c r="B134" t="inlineStr">
        <is>
          <t>Identity AI / ML Engineer</t>
        </is>
      </c>
      <c r="C134" t="inlineStr">
        <is>
          <t>Openkyber</t>
        </is>
      </c>
      <c r="D134" t="inlineStr">
        <is>
          <t>indeed</t>
        </is>
      </c>
      <c r="E134" t="inlineStr"/>
      <c r="F134" t="inlineStr"/>
      <c r="G134" t="inlineStr">
        <is>
          <t>AZ, US</t>
        </is>
      </c>
      <c r="H134" s="2" t="n">
        <v>46065</v>
      </c>
      <c r="I134" t="inlineStr">
        <is>
          <t>Candidate current location should be in NJ/NY with NY/NJ local enterprise projects in recent Required Skills Minimum 10 years of experience in functional and technical analysis across enterprise applications and data\-driven solutions. Minimum 5 years of strong understanding of AI/ML concepts, automation frameworks, and data fundamentals. Minimum 10 years of experience preparing BRDs, FSDs, user stories, workflow diagrams, and system documentation . Minimum 7 years of experience analyzing structured and unstructured data and interpreting results to support business decisions. Minimum 7 years of hands\-on experience writing complex SQL, optimizing queries, and working with enterprise RDBMS platforms (e.g., SQL Server, Oracle, PostgreSQL). Minimum 5 years of experience working with enterprise data warehouses, ETL/ELT processes, and data modeling. Minimum 5 years of experience applying statistics and ML techniques on real\-world datasets, including model validation and iteration. Minimum 5 years of exposure with data libraries (e.g., Python, pandas) and exposure to CI/CD or MLOps practices. Minimum 5 years of experience evaluating AI tools, frameworks, or vendors and making solution or architecture recommendations. Minimum 7 years of experience leading or overseeing pilots/POCs, defining success metrics, and contributing to scale\-up or roadmap planning.
Description : Tasks \&amp; Duties: Lead workshops with business stakeholders to document business processes, pain points, user stories, functional specifications, and acceptance criteria. Perform feasibility analysis to identify opportunities for AI/ML, automation, decisioning, and workflow optimization. Develop process maps (BPMN), system flows, data lineage, and integration documentation. Translate business requirements into clear, actionable technical specifications, including APIs, data flows, validation rules, and model inputs/outputs. Analyze existing applications, databases, integrations, and AWS cloud environments to inform solution design and implementation. Collaborate closely with architects, developers, data scientists, and engineers to ensure accurate interpretation of requirements and solution intent. Work with data science and engineering teams to define data needs, metrics, business rules, validation logic, and AI/ML model behavior.
**For applications and inquiries, contact:** hirings@openkyber.com</t>
        </is>
      </c>
    </row>
    <row r="135">
      <c r="A135" t="inlineStr">
        <is>
          <t>in-4bce7c7cd0893c94</t>
        </is>
      </c>
      <c r="B135" t="inlineStr">
        <is>
          <t>Identity AI / ML Engineer</t>
        </is>
      </c>
      <c r="C135" t="inlineStr">
        <is>
          <t>Openkyber</t>
        </is>
      </c>
      <c r="D135" t="inlineStr">
        <is>
          <t>indeed</t>
        </is>
      </c>
      <c r="E135" t="inlineStr"/>
      <c r="F135" t="inlineStr"/>
      <c r="G135" t="inlineStr">
        <is>
          <t>GA, US</t>
        </is>
      </c>
      <c r="H135" s="2" t="n">
        <v>46065</v>
      </c>
      <c r="I135" t="inlineStr">
        <is>
          <t>**Role :** Lead AI/ML Engineer(w2Position)  
**Location :** Remote  
**Experience:** 12\+yrs
AI Project Execution \&amp; Delivery: Lead the end\-to\-end execution of high\-priority AI/ML projects, ensuring they are delivered on time, within budget, and to the highest technical standards. Translate the enterprise AI strategy and product roadmaps into detailed project plans, technical specifications, and actionable backlogs for engineering teams. Serve as the primary technical point of contact for project stakeholders, managing dependencies, mitigating risks, and communicating progress effectively.
AI Governance \&amp; AIRB Facilitation: Manage the day\-to\-day operations of the AI Review Board (AIRB) submission process, acting as a hands\-on guide for Data Science and product teams. Facilitate the preparation of all required documentation for AIRB reviews, ensuring submissions are complete, clear, and proactively address potential ethical, compliance, and technical concerns. Implement and enforce the governance framework, ensuring teams adhere to established standards and best practices for responsible AI.
Team Leadership \&amp; Technical Mentorship: Provide direct line management, technical leadership, and mentorship to a team of senior AI/ML Engineers and Data Scientists. Foster a culture of engineering excellence, collaboration, and continuous improvement within the team and enterprise. Conduct code reviews, design sessions, and technical deep dives to ensure the quality, scalability, and robustness of AI solutions.
Hands\-on MLOps \&amp; Engineering Practice: Drive the practical implementation of the MLOps strategy, directly overseeing the construction and optimization of CI/CD pipelines for AI/ML systems using tools like GitHub Actions. Enforce rigorous engineering hygiene, including version control for code, data, and models (Git, DVC), and the application of Infrastructure as Code (IaC) principles. Lead the technical implementation of production monitoring solutions to track model performance, identify drift, and ensure the long\-term reliability of deployed AI systems.
**Required Qualifications:**
* Proven AI/ML Leadership: 10\-15 years of experience in the AI/ML field, with at least 4\-5 years in a leadership or management role leading technical teams in the delivery of complex AI solutions.
* Experience with AI Governance: Direct, hands\-on experience successfully navigating an internal AI ethics, risk, or governance review process for multiple projects.
* Strong Project Management Skills: Demonstrated ability to manage complex technical projects from conception to deployment, with expertise in agile methodologies.
* Expertise in the ML Lifecycle: Deep, practical knowledge of the entire machine learning lifecycle, from data acquisition and feature engineering to model deployment and post\-launch monitoring.
* Hands\-on MLOps Experience: Proven experience building and managing CI/CD pipelines and MLOps workflows for machine learning.
**For applications and inquiries, contact:** hirings@openkyber.com</t>
        </is>
      </c>
    </row>
    <row r="136">
      <c r="A136" t="inlineStr">
        <is>
          <t>in-f2c5ccf5924a06b6</t>
        </is>
      </c>
      <c r="B136" t="inlineStr">
        <is>
          <t>Member of Technical Staff - Machine Learning Engineer</t>
        </is>
      </c>
      <c r="C136" t="inlineStr">
        <is>
          <t>Microsoft</t>
        </is>
      </c>
      <c r="D136" t="inlineStr">
        <is>
          <t>indeed</t>
        </is>
      </c>
      <c r="E136" t="inlineStr"/>
      <c r="F136" t="inlineStr"/>
      <c r="G136" t="inlineStr">
        <is>
          <t>Redmond, WA, US</t>
        </is>
      </c>
      <c r="H136" s="2" t="n">
        <v>46062</v>
      </c>
      <c r="I136" t="inlineStr">
        <is>
          <t>**Overview**  
About the Team
Copilot Security is at the core of Microsoft’s mission to deliver trusted, human‑centered AI experiences. We make security and resilience intrinsic to every Copilot interaction—across devices, platforms, and ecosystems. Our work spans secure identity flows, defenses against emerging threats such as prompt injection, and privacy‑first systems that scale globally across Microsoft Copilot surfaces.  
As Copilot enters a new era of agentic AI, where systems reason, plan, and act on behalf of users, security can no longer be static or rules‑based. We are building adaptive, learning‑driven defenses that bring judgment, context, and “security common sense” directly into model behavior and agentic workflows.
About the Role
We are seeking a Senior Machine Learning Engineer to tackle some of the hardest problems at the intersection of applied ML, AI security, and agentic systems. This is a hands‑on role focused on designing, training, evaluating, and shipping ML‑powered defenses that protect Copilot users from threats such as prompt injection, adversarial manipulation, unsafe delegation, and abuse of agentic workflows.  
You will work closely with security engineers, applied scientists, and product teams to translate emerging threat patterns into production ML systems—from detection models and policy learners to evaluation frameworks that measure real‑world robustness. Your work will directly shape how Copilot reasons safely, applies guardrails, and earns user trust at global scale.
Why This Role Matters
Agentic AI introduces fundamentally new security risks: indirect prompt injection, cross‑tool privilege escalation, unsafe reasoning chains, and subtle information‑flow failures. Your work will help define how AI systems develop and apply security judgment, enabling Copilot to act safely and responsibly while still unlocking powerful new capabilities for hundreds of millions of users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train, and deploy ML‑based defenses for threats such as prompt injection, adversarial inputs, and abuse of agentic workflows.
* Develop adaptive detection and policy models that learn from evolving attacker behavior rather than relying solely on static rules or signatures.
* Build and own evaluation frameworks for AI security, including adversarial testing, red‑teaming support, and continuous robustness measurement across real Copilot scenarios.
* Partner with security and engineering teams to integrate ML defenses into secure orchestration frameworks that govern agent delegation, tool calling, and action execution.
* Apply ML to encode security “common sense” and judgment into AI responses, balancing usefulness, safety, and user intent.
* Monitor and analyze telemetry to improve model performance, reduce false positives/negatives, and guide iterative defense improvements.
* Collaborate cross‑functionally with product, privacy, and AI platform teams to land agentic security patterns across Copilot and MAI.
* Document and share applied ML security techniques, helping establish best practices for secure agentic AI across Microsoft.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4\+ years of hands‑on experience building and shipping machine learning systems in production.
* Solid foundation in ML fundamentals, including classification, anomaly detection, representation learning, and model evaluation.
* Proficiency in Python and experience with modern ML frameworks (e.g., PyTorch, JAX, TensorFlow).
* Experience designing end‑to‑end ML pipelines: data collection, training, evaluation, deployment, and monitoring.
* Ability to reason about adversarial behavior, threat models, and failure modes in AI/ML systems.
* Experience working on AI safety, trust, or security‑adjacent ML problems, including prompt injection, abuse detection, or adversarial ML.
* Familiarity with agentic or LLM‑based systems, including tool calling, multi‑step reasoning, or orchestration flows.
* Experience building ML evaluation and observability systems for real‑world AI behavior (e.g., adversarial testing, red‑team loops, robustness metrics).
* Exposure to distributed ML systems, large‑scale data processing, or model serving in cloud environments.
* Ability to clearly communicate complex ML and security concepts to engineering and non‑ML stakeholders.
\#MicrosoftAI \#MAIDPS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7">
      <c r="A137" t="inlineStr">
        <is>
          <t>in-3727d77051511d1b</t>
        </is>
      </c>
      <c r="B137" t="inlineStr">
        <is>
          <t>Principal Applied Scientist</t>
        </is>
      </c>
      <c r="C137" t="inlineStr">
        <is>
          <t>Microsoft</t>
        </is>
      </c>
      <c r="D137" t="inlineStr">
        <is>
          <t>indeed</t>
        </is>
      </c>
      <c r="E137" t="inlineStr"/>
      <c r="F137" t="inlineStr"/>
      <c r="G137" t="inlineStr">
        <is>
          <t>Redmond, WA, US</t>
        </is>
      </c>
      <c r="H137" s="2" t="n">
        <v>46062</v>
      </c>
      <c r="I137" t="inlineStr">
        <is>
          <t>**Overview**  
The Microsoft Content Product team is looking for a passionate ML scientist to join our Core Recommendation and Content Generation team. This opportunity truly is exciting as the project we're working on has the potential to define the future of content services for Microsoft. Imagine a scenario where billions of users around the world can discover content they care about and start new conversations with their friends, family, and colleagues \- this is what we're creating! Today, Windows has close to 1 billion monthly active users, and Outlook, Teams, Edge, and Bing also have hundreds of millions of users plus the partnership with third party, the presents a huge opportunity to engage users with content worldwide.
Are you an experienced ML scientist who is seeking an opportunity to expand and apply your existing knowledge in LLM and NLP? Do you want to challenge yourself and pursue the latest ideas while changing the way millions of people do local search every day? Do you want to build scalable services using state of art deep learning that can truly help users using Windows/Bing in mobile and desktop? If so, this is a great opportunity with real customer impact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design, implementation, and execution across a variety of features, including directly building SOTA LLM models.
* Drive architectural changes into the product to expand our footprint and increase developer agility.
* Invest in others’ growth, mentor team members, and help build a highly capable team.
* Regularly communicate team progress internally and evangelize progress and opportunities to a wider audience including management and leadership.
* Drive innovations in AIGC applications, ranking and recommendation algorithms.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**Additional or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2\+ years experience presenting at conferences or other events in the outside research/industry community as an invited speaker.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At least 8\+ years of industry software development experience coding in C/C\+\+, C\#, Java and/or Python.
* Solid knowledge in deep learning computational graph frameworks, such as TensorFlow/Pytorch.
* Experience in LLM including fine tuning, evaluation for product scenarios
* Experience working through full product cycles from initial design to final product delivery.
* Experience developing and designing backgrounds in multi\-tiered distributed services.
* Experience with data structures, algorithms, asynchronous programming, and data processing
* Experience developing end to end ML/DL systems.
* Knowledge and experience in large scale data analytics, such as Spark.
* An undergraduate or graduate degree in computer science or related technical discipline.
* At least 6\+ years of industry software development experience coding in C/C\+\+, C\#, Java and/or Python.
* Experience applying LLM techniques or Recommendation system.
* Tech lead on critical project related to recommendation or AIGC scenarios.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8">
      <c r="A138" t="inlineStr">
        <is>
          <t>in-0545c54855a55886</t>
        </is>
      </c>
      <c r="B138" t="inlineStr">
        <is>
          <t>Senior Applied Scientist</t>
        </is>
      </c>
      <c r="C138" t="inlineStr">
        <is>
          <t>Microsoft</t>
        </is>
      </c>
      <c r="D138" t="inlineStr">
        <is>
          <t>indeed</t>
        </is>
      </c>
      <c r="E138" t="inlineStr"/>
      <c r="F138" t="inlineStr"/>
      <c r="G138" t="inlineStr">
        <is>
          <t>Redmond, WA, US</t>
        </is>
      </c>
      <c r="H138" s="2" t="n">
        <v>46061</v>
      </c>
      <c r="I138" t="inlineStr">
        <is>
          <t>**Overview**  
The Signals Team at Microsoft Ads develops advanced machine learning models to predict user responses to advertisements. These predictive signals play a crucial role in enhancing user engagement and maximizing advertiser returns.
As a Senior Applied Scientist on our team, you will design and implement large\-scale machine learning models, driving their deployment into production and translating your expertise into tangible revenue impact. This role offers a unique opportunity to enhance your skills in building and deploying machine learning models at scale. You will gain invaluable experience analyzing model behavior within a complex, multi\-layered model stack, and understanding the intricate interactions between various algorithms. Additionally, you will stay at the forefront of state\-of\-the\-art approaches in this domain.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 large scale machine learning models for text and numerical data, deploy models in production.
* Run A/B testing, analyze impact of model metrics and possible model failure modes on business KPIs.
* Conduct data exploration and analysis of new features and model improvements.
* Establish scalable pipelines for data processing and analytics, model training and validation.
* Establish automated processes to monitor system health using agentic workflows.
* Track relevant state\-of\-the\-art approaches in the field, identify and implement applications to improve the modeling stack.
* Mentor junior scientists.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 1\+ year(s) experience developing and deploying products or systems at multiple points in the product cycle from ideation to shipping. 2\+ years customer\-facing, project\-delivery experience, professional services, and/or consulting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9">
      <c r="A139" t="inlineStr">
        <is>
          <t>in-dd8766e58f092ec5</t>
        </is>
      </c>
      <c r="B139" t="inlineStr">
        <is>
          <t>Senior Machine Learning Engineer</t>
        </is>
      </c>
      <c r="C139" t="inlineStr">
        <is>
          <t>Intuit</t>
        </is>
      </c>
      <c r="D139" t="inlineStr">
        <is>
          <t>indeed</t>
        </is>
      </c>
      <c r="E139" t="inlineStr"/>
      <c r="F139" t="inlineStr"/>
      <c r="G139" t="inlineStr">
        <is>
          <t>Mountain View, CA, US</t>
        </is>
      </c>
      <c r="H139" s="2" t="n">
        <v>46066</v>
      </c>
      <c r="I139" t="inlineStr">
        <is>
          <t>**Overview**
------------
N/A
 **Responsibilities**
N/A
 **Qualifications**
N/A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40">
      <c r="A140" t="inlineStr">
        <is>
          <t>in-2fd57ae31d0767bd</t>
        </is>
      </c>
      <c r="B140" t="inlineStr">
        <is>
          <t>AIML - Senior Applied Machine Learning Engineer, ML Lifecycle (MLPT)</t>
        </is>
      </c>
      <c r="C140" t="inlineStr">
        <is>
          <t>Apple</t>
        </is>
      </c>
      <c r="D140" t="inlineStr">
        <is>
          <t>indeed</t>
        </is>
      </c>
      <c r="E140" t="inlineStr"/>
      <c r="F140" t="inlineStr"/>
      <c r="G140" t="inlineStr">
        <is>
          <t>Cupertino, CA, US</t>
        </is>
      </c>
      <c r="H140" s="2" t="n">
        <v>46065</v>
      </c>
      <c r="I140" t="inlineStr">
        <is>
          <t>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  
* Design and implement core systems that enable scalable development and deployment of AI applications including agent platforms, RAG frameworks, and adaptive ML services.
* Build reusable infrastructure for model training, evaluation, and inference emphasizing observability, reproducibility, and modularity.
* Collaborate cross\-functionally with product, infra, and research teams to translate AI concepts into production\-ready systems.
* Develop intelligent tooling for data processing, simulation, and experimentation to accelerate applied AI innovation.
* Contribute to architectural direction for our broader AI ecosystem designing for flexibility across future projects.
* Prototype new capabilities using large language models, retrieval systems, and agentic workflows.
* Partner with infrastructure and product teams to operationalize new AI capabilities
You’ll help bridge research and engineering bringing rigor, scalability, and real\-world validation to the way we build intelligent systems.  
**Preferred Qualifications**  
Experience with LLM\-based systems, RAG pipelines, or AI agent frameworks  
Familiarity with MLOps tools (e.g., MLflow, Weights \&amp; Biases, Ray, Airflow)  
Knowledge of evaluation methodologies for generative or agentic AI  
Background in simulation systems, reinforcement learning, or continuous learning  
Experience with data\-centric AI data curation, labeling, and feedback loops  
Proven ability to move between research\-driven prototyping and production\-scale engineering  
Enthusiasm for emerging areas like multimodal AI, reasoning agents, and AI safety evaluation  
**Minimum Qualifications**  
7\+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Strong background in distributed systems, APIs, and scalable data/compute infrastructure  
Hands\-on experience with ML frameworks such as PyTorch, TensorFlow, or JAX  
Strong communication, documentation,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1">
      <c r="A141" t="inlineStr">
        <is>
          <t>in-4b3d871d31a705b1</t>
        </is>
      </c>
      <c r="B141" t="inlineStr">
        <is>
          <t>AIML - Senior Applied Machine Learning Engineer, ML Lifecycle (MLPT)</t>
        </is>
      </c>
      <c r="C141" t="inlineStr">
        <is>
          <t>Apple</t>
        </is>
      </c>
      <c r="D141" t="inlineStr">
        <is>
          <t>indeed</t>
        </is>
      </c>
      <c r="E141" t="inlineStr"/>
      <c r="F141" t="inlineStr"/>
      <c r="G141" t="inlineStr">
        <is>
          <t>Cupertino, CA, US</t>
        </is>
      </c>
      <c r="H141" s="2" t="n">
        <v>46065</v>
      </c>
      <c r="I141" t="inlineStr">
        <is>
          <t>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  
* Design and implement core systems that enable scalable development and deployment of AI applications including agent platforms, RAG frameworks, and adaptive ML services.
* Build reusable infrastructure for model training, evaluation, and inference emphasizing observability, reproducibility, and modularity.
* Collaborate cross\-functionally with product, infra, and research teams to translate AI concepts into production\-ready systems.
* Develop intelligent tooling for data processing, simulation, and experimentation to accelerate applied AI innovation.
* Contribute to architectural direction for our broader AI ecosystem designing for flexibility across future projects.
* Prototype new capabilities using large language models, retrieval systems, and agentic workflows.
* Partner with infrastructure and product teams to operationalize new AI capabilities
You’ll help bridge research and engineering bringing rigor, scalability, and real\-world validation to the way we build intelligent systems.  
**Preferred Qualifications**  
Experience with LLM\-based systems, RAG pipelines, or AI agent frameworks  
Familiarity with MLOps tools (e.g., MLflow, Weights \&amp; Biases, Ray, Airflow)  
Knowledge of evaluation methodologies for generative or agentic AI  
Background in simulation systems, reinforcement learning, or continuous learning  
Experience with data\-centric AI data curation, labeling, and feedback loops  
Proven ability to move between research\-driven prototyping and production\-scale engineering  
Enthusiasm for emerging areas like multimodal AI, reasoning agents, and AI safety evaluation  
**Minimum Qualifications**  
7\+ years of experience in ML engineering, software engineering or applied AI roles  
Solid understanding of machine learning fundamentals, especially around large models, embeddings, and retrieval systems  
Proven experience building production\-grade ML systems or intelligent data\-driven products  
Strong background in distributed systems, APIs, and scalable data/compute infrastructure  
Hands\-on experience with ML frameworks such as PyTorch, TensorFlow, or JAX  
Strong communication, documentation, and collaboration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2">
      <c r="A142" t="inlineStr">
        <is>
          <t>in-6d802fe7b0e4d4f3</t>
        </is>
      </c>
      <c r="B142" t="inlineStr">
        <is>
          <t>Machine Learning Engineer, Siri Core Modeling</t>
        </is>
      </c>
      <c r="C142" t="inlineStr">
        <is>
          <t>Apple</t>
        </is>
      </c>
      <c r="D142" t="inlineStr">
        <is>
          <t>indeed</t>
        </is>
      </c>
      <c r="E142" t="inlineStr"/>
      <c r="F142" t="inlineStr"/>
      <c r="G142" t="inlineStr">
        <is>
          <t>San Francisco Bay Area, CA, US</t>
        </is>
      </c>
      <c r="H142" s="2" t="n">
        <v>46065</v>
      </c>
      <c r="I142" t="inlineStr">
        <is>
          <t>The Siri team is creating groundbreaking technology for large scale systems, spoken language, machine learning, and LLMs to enable better conversational experience with Siri. The features we create are redefining how hundreds of millions of people use their computers and mobile devices to fulfill their requirements and find what they are looking for. As part of the Siri team, you will work with the talent dense team who crafted the intelligent assistant that helps users get things done \- just by asking.  
**Description**  
As a machine learning engineer at Siri, you will be responsible for doing development and research in the deep learning field and building the most advanced natural language and conversation understanding systems. You should be passionate about working with software and platform engineers to integrate the models on\-device and improve natural language understanding ability of Siri. Excellent interpersonal skills will be required to coordinate work across multiple teams to ship the state\-of\-the\-art technology to production and impact all Siri users.","responsibilities":"As a member of this team, the successful candidate will:  
Develop novel ML/DL models including LLMs for natural language understanding and generation, especially under computation and resource limitations.  
Work with software and platform engineers to ship LLMs in production.  
Diagnose model errors and perform accuracy hill climbing for AI assistants.  
Context engineering for LLMs  
Large scale dataset generation  
**Preferred Qualifications**  
3\-5\+ years proven programming skills using standard ML tools such as C/C\+\+, Python, PyTorch, Tensorflow, Hugging Face, etc.  
Hands\-on experience working (training, fine\-tuning, optimizing, deploying) with large models (e.g. LLMs).  
Hands\-on experience applying common machine learning optimization techniques, like quantization and distillation, to reduce the resource consumption and/or eliminate latency  
Publication at top ML/DL/NLP conferences such as NeurIPS, ACL, EMNLP, etc. is a plus.  
**Minimum Qualifications**  
Solid understanding of state\-of\-the\-art technology in machine learning, deep learning (including LLMs) and natural language understanding.  
Excellent problem\-solving (e.g. via building forward\-looking prototype systems), critical thinking, strong communication, and collaboration skills  
Ph.D. or M.S. degree in related fields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3">
      <c r="A143" t="inlineStr">
        <is>
          <t>in-d2536e5d2d2ffa45</t>
        </is>
      </c>
      <c r="B143" t="inlineStr">
        <is>
          <t>Identity AI / ML Engineer</t>
        </is>
      </c>
      <c r="C143" t="inlineStr">
        <is>
          <t>Openkyber</t>
        </is>
      </c>
      <c r="D143" t="inlineStr">
        <is>
          <t>indeed</t>
        </is>
      </c>
      <c r="E143" t="inlineStr"/>
      <c r="F143" t="inlineStr"/>
      <c r="G143" t="inlineStr">
        <is>
          <t>CA, US</t>
        </is>
      </c>
      <c r="H143" s="2" t="n">
        <v>46065</v>
      </c>
      <c r="I143" t="inlineStr">
        <is>
          <t>**Role: AI/ML Compiler Architect Location: Mountain View., California (Hybrid)**  
**Responsibilities**  
**Compiler Architecture \&amp; Design**
* Design and develop a robust compiler architecture that effectively interacts with our NPU
* Implement advanced graph optimizations that incorporate both hardware agnostic and hardware specific enhancements
* Develop and optimize algorithms for tiling and memory management to efficiently utilize the NPU's resources
* Create sophisticated optimization passes for neural network inference and training workloads
**Code Generation \&amp; Hardware Integration**
* Map high\-level operations to optimized library macros and convert them into hardware\-level instructions
* Generate and manage DMA commands to facilitate data movement and operation within the hardware ecosystem
* Collaborate with hardware engineers and system architects to ensure seamless integration and maximal performance of the NPU
* Implement efficient scheduling and resource allocation algorithms for concurrent AI workload execution
**Innovation \&amp; Technology Leadership**
* Stay updated with the latest trends and advancements in compiler technology and machine learning to continuously improve the compiler design
* Lead research initiatives in advanced compilation techniques for AI accelerators
* Drive adoption of cutting\-edge optimization strategies and compilation methodologies
* Mentor engineering teams on compiler design principles and best practices
**Skills Must have General Skills:**
* Expert communicator across cultural and team boundaries
* Expertise in motivating teams and fostering a collaborative and productive environment
* Background in managing multiple and competing stakeholder interests; establishing trust, clear roles and responsibilities, and goodwill between partner engineering organizations
* Experience managing cross\-functional and/or cross\-team projects
* Technical leadership experience with ability to mentor engineering teams
* Strategic thinking capabilities with focus on long\-term architectural decisions
* Collaborate and work with multiple teams across geographies and time zones
**Required Specialized Skills:**
* 12\+ years of experience in compiler development or architecture, particularly targeting AI or ML hardware accelerators
* Strong understanding of machine learning algorithms and their computational implications
* Working experience with TVM, IREE, XLA, MLIR or LLVM
* Proficiency in programming languages such as C\+\+ and Python
* Experience with graph optimization techniques and memory management strategies in compilers
* Demonstrated ability to translate high\-level functional requirements into detailed technical designs
* Deep knowledge of hardware architecture principles and AI accelerator design concepts
* Proven track record of leading compiler architecture projects from concept to production deployment
**Nice to have Desired Skills:**
* Prior experience with NPU hardware
* Knowledge of automotive industry standards and functional safety requirements
* Experience with neural network quantization and optimization techniques
* Background in high\-performance computing and parallel processing architectures
* Publications or contributions to open\-source compiler projects
* Experience with GenAI tools for accelerated engineering workflows and AI\-assisted development practices
* Enthusiasm for adopting innovative AI\-augmented development practices and continuous learning in rapidly evolving GenAI technologies
**For applications and inquiries, contact:** hirings@openkyber.com</t>
        </is>
      </c>
    </row>
    <row r="144">
      <c r="A144" t="inlineStr">
        <is>
          <t>in-f78df6a2e49a0402</t>
        </is>
      </c>
      <c r="B144" t="inlineStr">
        <is>
          <t>Identity AI / ML Engineer</t>
        </is>
      </c>
      <c r="C144" t="inlineStr">
        <is>
          <t>Openkyber</t>
        </is>
      </c>
      <c r="D144" t="inlineStr">
        <is>
          <t>indeed</t>
        </is>
      </c>
      <c r="E144" t="inlineStr"/>
      <c r="F144" t="inlineStr"/>
      <c r="G144" t="inlineStr">
        <is>
          <t>GA, US</t>
        </is>
      </c>
      <c r="H144" s="2" t="n">
        <v>46065</v>
      </c>
      <c r="I144" t="inlineStr">
        <is>
          <t>Role\-AI Engineer \- Azure Foundry and Lang chain Location\- Remote Exp\- 10\+ years
Job Description
* Build agentic AI systems: Design and implement tool\-calling agents that combine retrieval, structured reasoning, and secure action execution (function calling, change orchestration, policy enforcement).
*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**ESSENTIAL SKILLS**
* 5\+ years of software development in one or more languages strong hands\-on experience building and maintaining large\-scale Python applications preferred.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**For applications and inquiries, contact:** hirings@openkyber.com</t>
        </is>
      </c>
    </row>
    <row r="145">
      <c r="A145" t="inlineStr">
        <is>
          <t>in-5c2644b04c19a5d1</t>
        </is>
      </c>
      <c r="B145" t="inlineStr">
        <is>
          <t>Identity AI / ML Engineer</t>
        </is>
      </c>
      <c r="C145" t="inlineStr">
        <is>
          <t>Openkyber</t>
        </is>
      </c>
      <c r="D145" t="inlineStr">
        <is>
          <t>indeed</t>
        </is>
      </c>
      <c r="E145" t="inlineStr"/>
      <c r="F145" t="inlineStr"/>
      <c r="G145" t="inlineStr">
        <is>
          <t>CA, US</t>
        </is>
      </c>
      <c r="H145" s="2" t="n">
        <v>46065</v>
      </c>
      <c r="I145" t="inlineStr">
        <is>
          <t>**Role:** AI/ML Engineer
**Location:** Thousand, Oaks, CA
**Duration:** 6 months
**Role Descriptions:** Lead the execution of the commercial analytics strategy\| acting as a senior advisor to marketing\| sales\| and market access teams to shape strategic decisions.
**Data Analysis Insights Generation**
Conduct deep\-dive analyses on brand performance\| patient journeys\| and provider behavior using a variety of real\-world data (RWD) sources (e.g.\| medicalpharmacy claims\| EMR\| IQVIA\| Symphony).
**Essential Skills:** Machine Learning
**Desirable Skills:** Keyword: Skills: Digital : Machine Learning
**Experience Required:** 10 \&amp; Above
**For applications and inquiries, contact:** hirings@openkyber.com</t>
        </is>
      </c>
    </row>
    <row r="146">
      <c r="A146" t="inlineStr">
        <is>
          <t>in-3313be1f2c1e9bf4</t>
        </is>
      </c>
      <c r="B146" t="inlineStr">
        <is>
          <t>Identity AI / ML Engineer</t>
        </is>
      </c>
      <c r="C146" t="inlineStr">
        <is>
          <t>Openkyber</t>
        </is>
      </c>
      <c r="D146" t="inlineStr">
        <is>
          <t>indeed</t>
        </is>
      </c>
      <c r="E146" t="inlineStr"/>
      <c r="F146" t="inlineStr"/>
      <c r="G146" t="inlineStr">
        <is>
          <t>HI, US</t>
        </is>
      </c>
      <c r="H146" s="2" t="n">
        <v>46065</v>
      </c>
      <c r="I146" t="inlineStr">
        <is>
          <t>RESPONSIBILITIES: OpenKyber has a client in Juno Beach, FL that is seeking an AI/ML Engineer with Salesforce experience to drive the integration of artificial intelligence and machine learning capabilities within our Salesforce ecosystem. This role will focus on developing, deploying, and optimizing AI\-powered solutions that enhance platform capabilities and deliver measurable business value.
**Key Responsibilities:**
* Design and develop AI/ML models and solutions within the Salesforce platform
* Implement predictive analytics, automation, and intelligent features using Salesforce Einstein and external AI frameworks
* Build and optimize machine learning pipelines for Salesforce data processing and insights generation
* Integrate third\-party AI services and APIs with Salesforce applications
* Develop custom AI\-enabled components using Apex, Lightning Web Components, and Salesforce APIs
* Configure and customize Salesforce Einstein features including prediction builder, recommendations, and discovery
* Design scalable data models to support AI/ML workloads within Salesforce architecture
* Implement automated testing frameworks for AI\-enhanced Salesforce solutions
* Partner with business stakeholders, architects, and developers to identify AI opportunities
* Collaborate with cross\-functional teams to translate business requirements into AI\-driven solutions
* Participate in code reviews, technical discussions, and knowledge\-sharing sessions
* Stay current with emerging AI/ML technologies and Salesforce platform capabilities
* Monitor and optimize AI model performance, accuracy, and efficiency
* Ensure solutions meet security, compliance, and data governance standards
* Document technical designs, model architectures, and implementation approaches
* Troubleshoot and resolve AI/ML\-related issues in production environments
**REQUIREMENTS:**
* Bachelor's degree in Computer Science, Data Science, Engineering, or related field
* 3\+ years of professional experience in software development, AI/ML, or related roles
* Hands\-on experience with Salesforce platform (development, configuration, or administration)
* Proficiency in Python, R, or similar languages for AI/ML development
* Understanding of machine learning algorithms, neural networks, and statistical modeling
* Experience with AI/ML frameworks (TensorFlow, PyTorch, scikit\-learn)
* Familiarity with Salesforce development tools (Apex, LWC, SOQL, REST/SOAP APIs)
**Preferred Qualifications:**
* Salesforce certifications (Platform Developer I/II, AI Specialist)
* Experience with Salesforce Einstein Analytics, Einstein Prediction Builder, or Einstein Bots
* Knowledge of cloud platforms (AWS, Azure, Google Cloud Platform) and AI services
* Experience with CI/CD pipelines and DevOps practices for AI/ML deployments
* Understanding of NLP, computer vision, or other specialized AI domains
* Agile/Scrum methodology experience
**Core Competencies:**
* Strong analytical and problem\-solving skills
* Excellent communication and collaboration abilities
* Self\-motivated with continuous learning mindset
* Adaptable to evolving technologies and business needs
* Detail\-oriented with commitment to quality and innovation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47">
      <c r="A147" t="inlineStr">
        <is>
          <t>in-f3bc8c3a535c5486</t>
        </is>
      </c>
      <c r="B147" t="inlineStr">
        <is>
          <t>Identity AI / ML Engineer</t>
        </is>
      </c>
      <c r="C147" t="inlineStr">
        <is>
          <t>Openkyber</t>
        </is>
      </c>
      <c r="D147" t="inlineStr">
        <is>
          <t>indeed</t>
        </is>
      </c>
      <c r="E147" t="inlineStr"/>
      <c r="F147" t="inlineStr"/>
      <c r="G147" t="inlineStr">
        <is>
          <t>GA, US</t>
        </is>
      </c>
      <c r="H147" s="2" t="n">
        <v>46065</v>
      </c>
      <c r="I147" t="inlineStr">
        <is>
          <t>**Required Skills \&amp; Experience 10\+ years in software/data/ML engineering ; 5\+ years in AI/ML architecture**
Strong hands\-on experience with Python and ML frameworks (PyTorch, TensorFlow, etc.)
Proven experience deploying ML models into production
Solid understanding of MLOps and data engineering fundamentals
Experience with AWS, Azure, or Google Cloud Platform
Strong communication and stakeholder collaboration skills
Generative AI, LLMs, RAG, vector databases
Experience in client\-facing or consulting environments
**For applications and inquiries, contact:** hirings@openkyber.com</t>
        </is>
      </c>
    </row>
    <row r="148">
      <c r="A148" t="inlineStr">
        <is>
          <t>in-0d05b734203a3cc0</t>
        </is>
      </c>
      <c r="B148" t="inlineStr">
        <is>
          <t>Identity AI / ML Engineer</t>
        </is>
      </c>
      <c r="C148" t="inlineStr">
        <is>
          <t>Openkyber</t>
        </is>
      </c>
      <c r="D148" t="inlineStr">
        <is>
          <t>indeed</t>
        </is>
      </c>
      <c r="E148" t="inlineStr"/>
      <c r="F148" t="inlineStr"/>
      <c r="G148" t="inlineStr">
        <is>
          <t>TX, US</t>
        </is>
      </c>
      <c r="H148" s="2" t="n">
        <v>46065</v>
      </c>
      <c r="I148" t="inlineStr">
        <is>
          <t>**Title:** Computer Vision AI/ML Engineer  
**Location:** Dallas, TX (Hybrid)  
**Duration:** 6\+ Months (Possibility of Long Term)  
**Implementation Partner:** OpenKyber  
**End Client:** To be disclosed
JD: Atleast 8 years of overall experience required. Machine Learning Engineer with advanced Python expertise and strong computer vision capabilities, specializing in:
* Multi\-Target Multi\-Camera (MTMC) object detection and tracking
* Re\-Identification (ReID) algorithms
* Kalman Filter
* Hungarian algorithm
* Deep SORT
* ByteTrack
* End\-to\-end computer vision solution development
* NVIDIA multi\-camera tracking (MTMC) solutions
**For applications and inquiries, contact:** hirings@openkyber.com</t>
        </is>
      </c>
    </row>
    <row r="149">
      <c r="A149" t="inlineStr">
        <is>
          <t>in-82a5f0ec22bcb677</t>
        </is>
      </c>
      <c r="B149" t="inlineStr">
        <is>
          <t>Director, AI Engineering (171674)</t>
        </is>
      </c>
      <c r="C149" t="inlineStr">
        <is>
          <t>Colgate-Palmolive</t>
        </is>
      </c>
      <c r="D149" t="inlineStr">
        <is>
          <t>indeed</t>
        </is>
      </c>
      <c r="E149" t="inlineStr"/>
      <c r="F149" t="inlineStr"/>
      <c r="G149" t="inlineStr">
        <is>
          <t>New York, NY, US</t>
        </is>
      </c>
      <c r="H149" s="2" t="n">
        <v>46064</v>
      </c>
      <c r="I149" t="inlineStr">
        <is>
          <t>Requisition ID **171674** \- Posted **02/12/2026** \- **Analytics** \- **United States** \- **New York** \- **New York** \- **Colgate\-Palmolive** \- **Travel \- up to 10% of time** \- **Hybrid**  
Relocation Assistance Offered Within Country  
Job Number \#171674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**Purpose:**
The Director of AI Engineering is the lead of Colgate\-Palmolive’s Enterprise AI Engineering team. This leader is responsible for managing a high\-impact team of AI engineers who will architect the next generation of enterprise AI infrastructure, specifically focusing on AI communication protocols, agentic platforms, context management systems, verification frameworks, and emerging technologies. As the head of the AI engineering for the enterprise, you will also lead a team of elite AI Engineers to transform high\-priority enterprise "moonshots" into production\-grade realities that drive measurable business value across Marketing, Supply Chain, and Innovation verticals.  
**Core Responsibilities:**
* **Enterprise AI Architecture:** Own the technical design and roadmap for the enterprise AI ecosystem, including the evolution of agentic workflows, enterprise context and knowledge graphs, secure routing services (eg. MCP), and integrated HITL workflows.
* **Core AI Lab Leadership:** Direct the company’s internal AI Lab to rapidly prototype emerging technologies, setting the standard for agile forward deployed engineering to deliver rapid value on critical high\-visibility projects.
* **Priority Project Delivery:** Act as the lead technical partner for high\-stakes enterprise Vertical Priorities, across functionals and global businesses.
* **Standards \&amp; Governance:** Establish enterprise\-wide engineering standards for Evaluation Frameworks, ensuring all AI agents and models are reliable, ethical, and compliant with Global AI Governance.
* **Infrastructure Ownership:** Define the tech stack for context management, RAG architectures, agent communication, vector database implementations, etc to create leading\-edge AI infrastructure and architectures.
**Required Qualifications:**
Bachelor’s Degree in Computer Science, Artificial Intelligence, Software Engineering, or a related technical STEM field.  
* 
* Leadership: 5\+ years of experience in AI or software engineering, with at least 3 years in a leadership role managing technical teams.
* Agentic Frameworks: Proven ability to build E2E AI\-powered solutions using modern AI frameworks like n8n, Vercel, Langgraph, etc.
* AI at Scale: Experience deploying production\-grade AI applications.
* Modern Tooling: Expert hands\-on proficiency \- able to lead from the front and dive into technical problems when needed.
**Preferred Qualifications:**
Master's in a quantitative field (e.g., Computer Science, Statistics, or Physics).
Preferred experience working in matrixed global organizational structures.
**Technical Skills:**
* **Architectural Mastery:** Deep understanding of Software and architecture best practices. And latest frameworks in AI stack, including Model Context Protocol (MCP), A2A, RAG architectures, and semantic search, context graphs, etc.
* **Orchestration \&amp; Coding:** Mastery of LLM orchestration and high\-level competency in a major programming language.
* **MLOps \&amp; DevOps:** Expert knowledge of containerization (Docker/Kubernetes) and CI/CD frameworks specifically for the ML lifecycle.
* **Data Integrity:** Familiarity with pipeline orchestration tools like Airflow and dbt to ensure high\-quality, AI\-ready data foundations.
**Core Competencies:**
* **Problem\-solving:** Ability to decompose complex enterprise challenges into modular, agentic AI solutions.
* **Executive Communication:** Exceptional ability to explain highly technical architectural concepts to non\-technical stakeholders and C\-suite executives.
* **Project Management:** Excellence in managing a portfolio of complex AI initiatives simultaneously while meeting aggressive deadlines.
**Compensation and Benefits**  
Salary Range $200,000\.00 \- $225,000\.00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is>
      </c>
    </row>
    <row r="150">
      <c r="A150" t="inlineStr">
        <is>
          <t>in-e57d21f4fbaeb0b3</t>
        </is>
      </c>
      <c r="B150" t="inlineStr">
        <is>
          <t>Principal ML Engineer, CoreAI</t>
        </is>
      </c>
      <c r="C150" t="inlineStr">
        <is>
          <t>Microsoft</t>
        </is>
      </c>
      <c r="D150" t="inlineStr">
        <is>
          <t>indeed</t>
        </is>
      </c>
      <c r="E150" t="inlineStr"/>
      <c r="F150" t="inlineStr"/>
      <c r="G150" t="inlineStr">
        <is>
          <t>Redmond, WA, US</t>
        </is>
      </c>
      <c r="H150" s="2" t="n">
        <v>46053</v>
      </c>
      <c r="I150" t="inlineStr">
        <is>
          <t>**Overview**  
You’ll help build core generative AI and multimodal capabilities that power customer\-facing AI services at global scale. In this role, you’ll combine strong software engineering with applied ML expertise to design, ship, and operate production systems—using techniques like context engineering, synthetic data generation, and rigorous evaluation/metrics to continuously improve quality. You’ll partner closely across product, research, and service engineering to deliver secure, performant improvements for enterprise customers.
This position is in\-office, with a minimum of 3 days/week in office.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Design, build, and operate production\-grade generative AI and multimodal systems, with end\-to\-end ownership from concept through deployment and service operations.
* Lead technical design for core GenAI capabilities (e.g., retrieval\-augmented generation, context and memory, orchestration) and make data\-driven tradeoffs across quality, latency, cost, and safety.
* Define and improve model and system quality using evaluation frameworks, experiment design, and production telemetry; ensure robust testing and regression coverage.
* Collaborate with security, privacy, and compliance partners to build solutions that meet enterprise requirements and align with Responsible AI standards and practices.
* Provide technical leadership across teams by setting direction, reviewing designs, unblocking execution, and mentoring engineers on architecture, coding standards, and ML engineering best practices.
* Partner with product and customers to understand scenarios, translate requirements into well\-designed APIs and developer experiences, and drive adoption through documentation and samples.
 **Qualifications**  
Required Qualifications
* Bachelor's Degree in Computer Science or related technical field and 6\+ years technical engineering experience with coding in languages including, but not limited to, C, C\+\+, C\#, Java, JavaScript, Python or equivalent experience.
Preferred Qualifications
* Advanced degree in Computer Science, Machine Learning, or related field.
* Demonstrated technical leadership through influence (e.g., leading designs, setting architecture direction, mentoring engineers).
* Experience with prompt engineering, retrieval\-augmented generation (RAG), and memory/agent frameworks.
* Experience building and shipping generative AI systems (including multimodal scenarios).
* Familiarity with compliance and security standards in enterprise AI solutions.
* Track record of delivering enterprise\-facing AI products at scale.
* Experience building and operating ML/AI systems in cloud environments; familiarity with MLOps practices (Azure a plus).
* Experience partnering with cross\-functional stakeholders to define requirements and drive technical decisions.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1">
      <c r="A151" t="inlineStr">
        <is>
          <t>in-2dc4079eecc18cfe</t>
        </is>
      </c>
      <c r="B151" t="inlineStr">
        <is>
          <t>AI Engineer-Machine Learning Platform</t>
        </is>
      </c>
      <c r="C151" t="inlineStr">
        <is>
          <t>American Express</t>
        </is>
      </c>
      <c r="D151" t="inlineStr">
        <is>
          <t>indeed</t>
        </is>
      </c>
      <c r="E151" t="inlineStr"/>
      <c r="F151" t="inlineStr"/>
      <c r="G151" t="inlineStr">
        <is>
          <t>Phoenix, AZ, US</t>
        </is>
      </c>
      <c r="H151" s="2" t="n">
        <v>45993</v>
      </c>
      <c r="I151"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The Enterprise Data and AI organization unites the data governance, strategy, engineering, and product teams with those responsible for AI engineering, generative AI enablement, and automation product and engineering. This group plays a pivotal role in leveraging data as a core driver of innovation and integrating AI capabilities to transform products, operations, and customer experiences. The EDAI organization also incorporates technology Research \&amp; Development and experimentation with emerging capabilities, along with engineering support for Amex Digital Labs. This integration ensures that research breakthroughs seamlessly translate into business impact.
**Responsibilities:**
* Lead the Discovery, Development and Maintenance of scalable AI driven capabilities in the area of Document AI, Computer Vision, NLP, Chatbots (Conversational AI)
* Research and Deploy AI and Gen AI solutions to power enterprise business needs
* Partner with Research teams to take AI enabled initiatives from conceptualization to production
* Create data pipelines that feed machine learning models through out the model lifecycle including training, inference ,HITL and re\-training .
* Closely follow research and open\-source developments/publications and apply them.
* Drive high\-level and detailed technical design conversations and reviews
* Function as an active member of an agile team
**Qualifications:**
* BS or MS degree in computer science, computer engineering, or other technical discipline.
* Strong proficiency in Python language, machine learning libraries and SQL
* Core competencies in distributed technologies including Python frameworks, API Design, Linux, JSON, Postgres, NoSQL databases etc.
* Demonstrated experience in building and deploying a diverse set of ML models including vision and NLP based models at scale
* Experience in designing and implementing highly scalable, low latency Python applications.
* Familiarity with CI/CD pipelines and DevOps tools (Jenkins, GitLab).
* Proficiency with Containers (Docker) and orchestration (Airflow, Kubernetes)
* Practical knowledge of caching and distributed systems.
* Team player and a hands\-on engineer.
* Ability to think abstractly and deal with ambiguous/under\-defined problems.
* Have excellent written and verbal communications skills.
**Preferred Qualifications :**
* 2\-3 years of software development experience
* Hands\-on experience in GCP/AWS/Azure cloud is a preferred
* Experience in deploying Gen AI use cases using Foundational LLMs and RAG pipelines
* Experience in Financial Services industry is a plus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li-4372988628</t>
        </is>
      </c>
      <c r="B2" t="inlineStr">
        <is>
          <t>Senior Applied Scientist - AI Red Teaming &amp; Model Risk</t>
        </is>
      </c>
      <c r="C2" t="inlineStr">
        <is>
          <t>Uber</t>
        </is>
      </c>
      <c r="D2" t="inlineStr">
        <is>
          <t>linkedin</t>
        </is>
      </c>
      <c r="E2" t="inlineStr"/>
      <c r="F2" t="inlineStr"/>
      <c r="G2" t="inlineStr">
        <is>
          <t>San Francisco, CA</t>
        </is>
      </c>
      <c r="H2" t="inlineStr"/>
      <c r="I2"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
      <c r="A3" t="inlineStr">
        <is>
          <t>li-4372992365</t>
        </is>
      </c>
      <c r="B3" t="inlineStr">
        <is>
          <t>Applied Scientist, Quantum Computing</t>
        </is>
      </c>
      <c r="C3" t="inlineStr">
        <is>
          <t>Amazon Web Services (AWS)</t>
        </is>
      </c>
      <c r="D3" t="inlineStr">
        <is>
          <t>linkedin</t>
        </is>
      </c>
      <c r="E3" t="inlineStr"/>
      <c r="F3" t="inlineStr"/>
      <c r="G3" t="inlineStr">
        <is>
          <t>Pasadena, CA</t>
        </is>
      </c>
      <c r="H3" t="inlineStr"/>
      <c r="I3" t="inlineStr">
        <is>
          <t>**Description**
 The Amazon Web Services (AWS) Center for Quantum Computing in Pasadena, CA, is looking to hire a Quantum Research Scientist in the Fabrication group. You will join a multi\-disciplinary team of theoretical and experimental physicists, materials scientists, and hardware and software engineers working at the forefront of quantum computing. You should have a deep and broad knowledge of device fabrication techniques.
 Candidates with a track record of original scientific contributions will be preferred. We are looking for candidates with strong engineering principles, resourcefulness and a bias for action, superior problem solving, and excellent communication skills. Working effectively within a team environment is essential. As a research scientist you will be expected to work on new ideas and stay abreast of the field of experimental quantum computation.
 Key job responsibilities
 In this role, you will drive improvements in qubit performance by characterizing the impact of environmental and material noise on qubit dynamics. This will require designing experiments to assess the role of specific noise sources, ensuring the collection of statistically significant data through automation, analyzing the results, and preparing clear summaries for the team. Finally, you will work with hardware engineers, material scientists, and circuit designers to implement changes which mitigate the impact of the most significant noise sources.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**Basic Qualifications**
* Experience programming in Java, C\+\+, Python or related language
* Experience with SQL and an RDBMS (e.g., Oracle) or Data Warehouse
**Preferred Qualifications**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Pasadena \- 136,000\.00 \- 184,000\.00 USD annually
**Company** 
 \- Amazon Development Center U.S., Inc.
 Job ID: A3181264</t>
        </is>
      </c>
    </row>
    <row r="4">
      <c r="A4" t="inlineStr">
        <is>
          <t>li-4372990447</t>
        </is>
      </c>
      <c r="B4" t="inlineStr">
        <is>
          <t>Applied Scientist, FAR (Frontier AI &amp; Robotics)</t>
        </is>
      </c>
      <c r="C4" t="inlineStr">
        <is>
          <t>Amazon</t>
        </is>
      </c>
      <c r="D4" t="inlineStr">
        <is>
          <t>linkedin</t>
        </is>
      </c>
      <c r="E4" t="inlineStr"/>
      <c r="F4" t="inlineStr"/>
      <c r="G4" t="inlineStr">
        <is>
          <t>San Francisco, CA</t>
        </is>
      </c>
      <c r="H4" t="inlineStr"/>
      <c r="I4"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perception, manipulation, science understanding, locomotion, manipulation, sim2real transfer, multi\-modal foundation models and multi\-task robot learning, designing novel frameworks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Drive independent research initiatives across the robotics stack, including robotics foundation models, focusing on breakthrough approaches in perception, and manipulation, for example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Lead full\-stack robotics projects from conceptualization through deployment, taking a system\-level approach that integrates hardware considerations with algorithmic development, ensuring robust performance in production environments
* Collaborate with platform and hardware teams to ensure seamless integration across the entire robotics stack, optimizing and scaling models for real\-world applications
* Contribute to the team's technical strategy and help shape our approach to next\-generation robotics challenges
 A day in the life
* Design and implement novel foundation model architectures and innovative systems and algorithms, leveraging our extensive infrastructure to prototype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**About The Team**
 At Frontier AI \&amp; Robotics, we're not just advancing robotics – we're reimagining it from the ground up. Our team is building the future of intelligent robotics through innovative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CS, CE, ML or related field experience
* Experience programming in Java, C\+\+, Python or related language
* Experience in patents or publications at top\-tier peer\-reviewed conferences or journals
* Experience applying theoretical models in an applied environment
* Experience building machine learning models or developing algorithms for business application
* Experience developing and implementing deep learning models
* Track record of solving complex technical problems
**Preferred Qualifications**
* Experience using Unix/Linux
* First\-author publications at major or top\-tier ML/Robotics/AI conferences
* Experience with foundation models or large language models
* Background in Robotics, computer vision, or related fields
* Experience with sim2real transfer or multi\-task learning
* Familiarity with distributed training systems
* Track record of deploying ML models in production environments
* Experience with large\-scale robotic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Amazon.com Services LLC
 Job ID: A3181373</t>
        </is>
      </c>
    </row>
    <row r="5">
      <c r="A5" t="inlineStr">
        <is>
          <t>li-4361527377</t>
        </is>
      </c>
      <c r="B5" t="inlineStr">
        <is>
          <t>Machine Learning Engineer</t>
        </is>
      </c>
      <c r="C5" t="inlineStr">
        <is>
          <t>Toyota Research Institute</t>
        </is>
      </c>
      <c r="D5" t="inlineStr">
        <is>
          <t>linkedin</t>
        </is>
      </c>
      <c r="E5" t="inlineStr"/>
      <c r="F5" t="inlineStr"/>
      <c r="G5" t="inlineStr">
        <is>
          <t>Los Altos, CA</t>
        </is>
      </c>
      <c r="H5" t="inlineStr"/>
      <c r="I5"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Machine Learning Engineer to join our autonomy team and help bring end\-to\-end ML models (from pixels to trajectories ) into robust, testable, and deployable systems. This role is ideal for engineers who thrive at the intersection of machine learning, systems engineering, and real\-world deployment.
 You’ll contribute to the implementation, evaluation, and integration of ML\-based components for perception, planning, and control. This includes supporting our team’s efforts in simulation\-based testing, real\-time deployment, and data\-driven model development. You’ll work closely with researchers, data engineers, and autonomy engineers to ensure models scale from prototype to production. This work is part of Toyota’s global AI efforts to build a more coordinated global approach across Toyota entities.
**Responsibilities** 
* Implement, maintain, and evaluate end\-to\-end ML models used in the autonomy stack
* Collaborate with ML researchers, data scientists and engineers, and simulation teams to build training, evaluation, and deployment pipelines.
* Integrate models into real\-time systems running on simulation and vehicle platforms, ensuring correctness and performance.
* Support open\-loop, closed\-loop, and batch evaluation workflows of trained models, including metrics tracking, ablation studies, and debugging tools.
* Help design scalable workflows for managing large datasets (e.g., demonstration driving for imitation learning) and support diverse scenario coverage.
* Write clean, modular, well\-tested code with a focus on reliability, clarity, and maintainability.
**Qualifications** 
* Bachelor’s or Master’s degree in Computer Science, Robotics, Engineering, or a related field.
* 3\+ years of strong experience with ML frameworks such as PyTorch, Tensorflow or Caffe.
* Strong Python and C\+\+ programming skills and solid understanding of ML model development best practices.
* Familiarity with metrics dashboards, experiment tracking, and ML ops tooling (e.g., Weights \&amp; Biases, MLflow, Metaflow).
* Some experience working with robotics or real\-world sensor data (e.g., video, lidar, IMU, or radar).
* Strong understanding of version control, testing, and software engineering fundamentals.
* Enthusiasm for collaborative engineering and building reliable ML systems that support real\-world autonomy.
**Bonus Qualifications** 
* Experience working with ROS, simulation frameworks (e.g., CARLA, Nvidia DriveSim), or vehicle interfaces.
* Experience with model deployment with NVIDIA stack (e.g. ONNX graphs, TensorRT, profiling)
* Exposure to distributed training, inference optimization, or model deployment on edge devices.
* Familiarity with recent breakthroughs in ML (e.g. foundation models, pre\-training and efficient fine\-tuning, multimodal Transformer architectures).
**Please include links to any relevant open\-source contributions or technical project write\-ups with your application.** 
*The pay range for this position at commencement of employment is expected to be between $176,000 and $264,000/year for California\-based roles. Base pay offered may vary depending on multiple individualized factors, including, but not limited to, business or organizational needs, market location, job\-related knowledge, skills, and experience. Note that TRI offers a generous benefits package (including 401(k) eligibility and various paid time off benefits, such as vacation, sick time, and parental leave) and an annual cash bonus structure.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li-4372989424</t>
        </is>
      </c>
      <c r="B6" t="inlineStr">
        <is>
          <t>AI/ML Engineer w/ Full Stack experience</t>
        </is>
      </c>
      <c r="C6" t="inlineStr">
        <is>
          <t>PlanIT Group, LLC</t>
        </is>
      </c>
      <c r="D6" t="inlineStr">
        <is>
          <t>linkedin</t>
        </is>
      </c>
      <c r="E6" t="inlineStr"/>
      <c r="F6" t="inlineStr"/>
      <c r="G6" t="inlineStr"/>
      <c r="H6" t="inlineStr"/>
      <c r="I6" t="inlineStr">
        <is>
          <t>**Required Skills**
* 4\-year degree in Computer Science, Data Science, Systems Engineering, or a related field or equivalent experience.
* Experience with Agentic frameworks and building agentic AI applications.
* Strong proficiency in Python and prompt engineering for LLMs.
* Ability to differentiate between data models (e.g., Meta vs. OpenAI) based on project requirements.
* Hands on experience with Natural Language Processing and deploying scalable AI models.
* Deep knowledge technologies (SAP HANA, DB2, SQL Server) and solid SQL expertise.
* Experience building agentic AI or AI assistant style products.
* Prior work with Lockheed Martin data platforms (EDE, LDW, EDW) or comparable enterprise scale environments.
* Relevant cloud AI or machine learning certifications (e.g., Azure AI Engineer, AWS ML)
**Desired Skills**
* Nodejs
* Predictive Modeling
* Knowledge/Experience with Model Context Protocol (MCP)
* Demonstrated ability to thrive in a fast paced, collaborative environment.</t>
        </is>
      </c>
    </row>
    <row r="7">
      <c r="A7" t="inlineStr">
        <is>
          <t>li-4372796646</t>
        </is>
      </c>
      <c r="B7" t="inlineStr">
        <is>
          <t>Machine Learning Engineer</t>
        </is>
      </c>
      <c r="C7" t="inlineStr">
        <is>
          <t>Capgemini</t>
        </is>
      </c>
      <c r="D7" t="inlineStr">
        <is>
          <t>linkedin</t>
        </is>
      </c>
      <c r="E7" t="inlineStr"/>
      <c r="F7" t="inlineStr"/>
      <c r="G7" t="inlineStr">
        <is>
          <t>New York, NY</t>
        </is>
      </c>
      <c r="H7" t="inlineStr"/>
      <c r="I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8">
      <c r="A8" t="inlineStr">
        <is>
          <t>li-4343514443</t>
        </is>
      </c>
      <c r="B8" t="inlineStr">
        <is>
          <t>Senior Machine Learning Engineer - Data Science &amp; Machine Learning</t>
        </is>
      </c>
      <c r="C8" t="inlineStr">
        <is>
          <t>Squarespace</t>
        </is>
      </c>
      <c r="D8" t="inlineStr">
        <is>
          <t>linkedin</t>
        </is>
      </c>
      <c r="E8" t="inlineStr"/>
      <c r="F8" t="inlineStr"/>
      <c r="G8" t="inlineStr">
        <is>
          <t>New York, NY</t>
        </is>
      </c>
      <c r="H8" t="inlineStr"/>
      <c r="I8" t="inlineStr">
        <is>
          <t>The Data Science \&amp; Machine Learning team is looking for a Machine Learning Systems Engineer to scale and support our team capabilities. We are modeling experts who solve business challenges with durable data science solutions. We work cross\-functionally to enable Squarespace to integrate data science models into the product and the company.
 You will work closely with other Machine Learning Engineers to develop and maintain the machine learning platform that underpins all production data science models to unlock value for Squarespace and its customers. You will also have the opportunity to design, train, and update models alongside Data Scientists. The Machine Learning Systems function is focused on Data Scientist success: our goal is to enable Data Scientists to move fast and succeed, whether via tooling, partnership, or hands\-on operational support.
 This is an opportunity for you to play a role in the deployment, scaling, and evolution of machine learning models using Google's Vertex AI platform. You will contribute to the strategy and implementation work to enable and unlock our growing machine learning capabilities.
 This is a hybrid role working from our NYC office 3 days per week. You will report to the Manager of Machine Learning Systems.
 You'll Get To…
* Collaborate with Data Scientists, ML Engineers, Site Reliability Engineers, and Product Engineers to identify opportunities and work around constraints to deliver ML systems
* Deploy, monitor, evaluate, and optimize production machine learning models in 24/7 customer\-facing applications.
* Pair with team members or independently execute model training and updates
* Implement scalable and reliable systems to handle model inference at scale
* Develop and maintain automated pipelines for model training, testing, and deployment
* Improve CI/CD practices to enable rapid and reliable model updates to speed up iterative learning
* Respond to alerts and troubleshoot issues related to model deployment and infrastructure
* Design and develop robust endpoint APIs to enable software engineers across the product to integrate ML APIs into applications
* Develop, deploy, maintain and extend new technologies to enable and enhance data scientists' capabilities for every step of the ML model life cycle
 Who We're Looking For
* Bachelor's Degree with 4\+ years of experience working in a Machine Learning or similar role
* Strong competency with Python, proficiency with SQL
* Experience with cloud platforms. Knowledge of Google Cloud Platform and Vertex AI is a plus
* Experience deploying and scaling ML models in production. Experience training models is a plus.
* Knowledge of emerging ML technologies, tools, and industry best practices (e.g. vector databases, embedding models, open\-source ecosystems)
 Benefits \&amp; Perks
* A choice between medical plans with an option for 100% covered premiums including medical, dental, and vision
* Supplemental Life and Disability Insurance plans
* Fertility and adoption benefits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7 Global Employee Resource Groups (ERGs)
* Dog\-friendly workplace
* Free lunch and snacks
* Private rooftop
* Hack week twice per year
 Cash Compensation Range: $128,000 \- $207,000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9">
      <c r="A9" t="inlineStr">
        <is>
          <t>li-4372048048</t>
        </is>
      </c>
      <c r="B9" t="inlineStr">
        <is>
          <t>Machine Learning Engineer</t>
        </is>
      </c>
      <c r="C9" t="inlineStr">
        <is>
          <t>Tata Consultancy Services</t>
        </is>
      </c>
      <c r="D9" t="inlineStr">
        <is>
          <t>linkedin</t>
        </is>
      </c>
      <c r="E9" t="inlineStr"/>
      <c r="F9" t="inlineStr"/>
      <c r="G9" t="inlineStr">
        <is>
          <t>Warren, MI</t>
        </is>
      </c>
      <c r="H9" t="inlineStr"/>
      <c r="I9" t="inlineStr">
        <is>
          <t>**Job Description**
 Must Have Technical/Functional Skills
* Assist in fine\-tuning VLA (Vision\-Language Alignment) models for robotic perception and interaction tasks
* Curate and preprocess multi\-modal datasets (images, text, sensor data) from simulation and real\-world sources
* Evaluate model performance for tasks such as semantic understanding, object recognition, and scene interpretation
* Collaborate with simulation engineers to validate models in Isaac Sim and Omniverse environments
* Support real\-world deployment and testing of VLA models on robotic platforms
* Work with AWS teams to optimize training pipelines and model integration workflows
* Analyze model outputs and provide insights for iterative improvements
 Roles \&amp; Responsibilities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0">
      <c r="A10" t="inlineStr">
        <is>
          <t>li-4372991680</t>
        </is>
      </c>
      <c r="B10" t="inlineStr">
        <is>
          <t>Machine Learning Engineer</t>
        </is>
      </c>
      <c r="C10" t="inlineStr">
        <is>
          <t>Wiraa</t>
        </is>
      </c>
      <c r="D10" t="inlineStr">
        <is>
          <t>linkedin</t>
        </is>
      </c>
      <c r="E10" t="inlineStr"/>
      <c r="F10" t="inlineStr"/>
      <c r="G10" t="inlineStr"/>
      <c r="H10" t="inlineStr"/>
      <c r="I10" t="inlineStr">
        <is>
          <t>**About The Company**
 At Angi®, we have dedicated over 30 years to our mission of ensuring jobs are completed well. Our platform connects homeowners with reliable professionals possessing the necessary skills, facilitating a seamless experience for both parties. With a global presence and a commitment to excellence, Angi has become a trusted name in the home services industry. Our extensive network has supported more than 300 million projects, covering over 1,000 home service tasks with the help of 2,800 employees worldwide. We pride ourselves on creating an environment where homeowners, service providers, and employees all benefit from a thriving ecosystem that emphasizes quality, efficiency, and trust.
**About The Role**
 We are seeking an exceptional Staff Machine Learning Engineer to join our Data Science and Machine Learning team. This role is pivotal in transforming Angi into a world\-class online marketplace by leveraging advanced machine learning and AI techniques. You will be responsible for developing innovative models to enhance our homeowner\-pro matching, search ranking, and overall user experience. Your expertise will enable us to deploy scalable, low\-latency solutions that serve our customers dynamically at large scale. This is a leadership position that involves collaborating with cross\-functional teams—including engineers, data scientists, product managers, and designers—to build impactful, data\-driven solutions. Your work will directly influence key business metrics such as user engagement, retention, and conversion rates, helping us deliver on our promise of quality and reliability in home services.
**Qualifications**
* Master’s or Ph.D. in Computer Science, Statistics, Mathematics, or related quantitative fields
* 7\+ years of experience in data science and machine learning, preferably within the tech industry and marketplace environments
* Expertise in machine learning and deep learning techniques, with a strong understanding of large language models
* Proven track record of deploying impactful machine learning models into production
* Proficiency in SQL and Python programming languages
* Experience with cloud\-based machine learning solutions and deployment strategies
* Strong communication skills capable of translating complex technical concepts for non\-technical stakeholders
**Responsibilities**
* Lead the development of machine learning models and algorithms to improve search ranking and consumer\-pro matching processes
* Design and implement robust MLOps practices to ensure seamless deployment, scalability, and monitoring of models
* Automate model training, versioning, and deployment pipelines to enable reliable, fast delivery of ML solutions into production
* Collaborate closely with engineering, product management, and design teams throughout the development lifecycle
* Explore and implement innovative approaches and techniques to solve complex business challenges
* Mentor junior team members, fostering a culture of continuous learning, innovation, and technical excellence
* Contribute to the strategic data science initiatives that enhance product features and customer experience
**Benefits**
* Competitive salary ranging from $200,000 to $280,000, commensurate with experience and performance
* Year\-end performance bonus and equity package
* Comprehensive medical, dental, and vision insurance plans
* Flexible vacation policy to support work\-life balance
* Pet discount plans and a retirement plan with company match (401K)
* Opportunity to work with motivated and talented teams solving innovative challenges
 Equal Opportunity
 Angi®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diverse perspectives foster innovation and drive our success.</t>
        </is>
      </c>
    </row>
    <row r="11">
      <c r="A11" t="inlineStr">
        <is>
          <t>li-4372057052</t>
        </is>
      </c>
      <c r="B11" t="inlineStr">
        <is>
          <t>Machine Learning Engineer</t>
        </is>
      </c>
      <c r="C11" t="inlineStr">
        <is>
          <t>Quest Global</t>
        </is>
      </c>
      <c r="D11" t="inlineStr">
        <is>
          <t>linkedin</t>
        </is>
      </c>
      <c r="E11" t="inlineStr"/>
      <c r="F11" t="inlineStr"/>
      <c r="G11" t="inlineStr">
        <is>
          <t>Sunnyvale, CA</t>
        </is>
      </c>
      <c r="H11" t="inlineStr"/>
      <c r="I11"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Designing, and Developing ML systems .
* Collaborating with data scientists and engineers to select, collect, clean, preprocess, and analyze large datasets for model training and feature engineering.
* Time series forecasting
* Implementing appropriate ML algorithms and using frameworks like TensorFlow or PyTorch.
* Building scalable ML pipelines, deploying models into production environments (often using Docker, Kubernetes, and cloud platforms like AWS), and creating APIs for application integration.
* Dashboard and Data Analytics
* Analysis to interpret results, and monitor deployed models for performance and potential issues.
* Collaboration and Communication: Working with cross\-functional teams
* Staying updated with the latest advancements in machine learning, deep learning, and AI tooling to incorporate new knowledge into ongoing projects.
* Domain: Demand and supply planning
* Python, TensorFlow, PyTorch, scikit\-learn
* ML pipelines and data processing systems.
* ML models
**What You Will Bring**
* Expert\-level proficiency in Python is standard
* In\-depth knowledge of ML frameworks such as TensorFlow / PyTorch
* Solid understanding of probability, statistics, linear algebra, and calculus is essential for algorithm development and model evaluation.
* Experience with software architecture, data structures, unit testing, version control (Git), and general software development best practices.
* Familiarity with tools for processing data
* Experience with cloud services for deploying and managing ML models (AWS).
* Experince with Data pipelines, SQL and Snowflake
* Strong analytical and problem\-solving abilities.
* Excellent communication and teamwork skills.
* Adaptability and a commitment to continuous learning in a fast\-evolving field
**Pay Range:** 
 $100K \- $105K
*Compensation decisions are made based on factors including experience, skills, education, and other job\-related factors, in accordance with our internal pay structure. We also offer a comprehensive benefits package, including health insurance, paid time off, and retirement plan.*
**Work Experience**
* Python, TensorFlow, PyTorch, scikit\-learn
* ML pipelines and data processing systems.
* ML models
**Benefits**
 Full time</t>
        </is>
      </c>
    </row>
    <row r="12">
      <c r="A12" t="inlineStr">
        <is>
          <t>li-4372051221</t>
        </is>
      </c>
      <c r="B12" t="inlineStr">
        <is>
          <t>Machine Learning Engineer</t>
        </is>
      </c>
      <c r="C12" t="inlineStr">
        <is>
          <t>Quest Global</t>
        </is>
      </c>
      <c r="D12" t="inlineStr">
        <is>
          <t>linkedin</t>
        </is>
      </c>
      <c r="E12" t="inlineStr"/>
      <c r="F12" t="inlineStr"/>
      <c r="G12" t="inlineStr">
        <is>
          <t>Sunnyvale, CA</t>
        </is>
      </c>
      <c r="H12" t="inlineStr"/>
      <c r="I12"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Designing, and Developing ML systems .
* Collaborating with data scientists and engineers to select, collect, clean, preprocess, and analyze large datasets for model training and feature engineering.
* Time series forecasting
* Implementing appropriate ML algorithms and using frameworks like TensorFlow or PyTorch.
* Building scalable ML pipelines, deploying models into production environments (often using Docker, Kubernetes, and cloud platforms like AWS), and creating APIs for application integration.
* Dashboard and Data Analytics
* Analysis to interpret results, and monitor deployed models for performance and potential issues.
* Collaboration and Communication: Working with cross\-functional teams
* Staying updated with the latest advancements in machine learning, deep learning, and AI tooling to incorporate new knowledge into ongoing projects.
* Domain: Demand and supply planning
* Python, TensorFlow, PyTorch, scikit\-learn
* ML pipelines and data processing systems.
* ML models
**What You Will Bring**
* Expert\-level proficiency in Python is standard
* In\-depth knowledge of ML frameworks such as TensorFlow / PyTorch
* Solid understanding of probability, statistics, linear algebra, and calculus is essential for algorithm development and model evaluation.
* Experience with software architecture, data structures, unit testing, version control (Git), and general software development best practices.
* Familiarity with tools for processing data
* Experience with cloud services for deploying and managing ML models (AWS).
* Experince with Data pipelines, SQL and Snowflake
* Strong analytical and problem\-solving abilities.
* Excellent communication and teamwork skills.
* Adaptability and a commitment to continuous learning in a fast\-evolving field
**Pay Range:** 
 $100K \- $105K
*Compensation decisions are made based on factors including experience, skills, education, and other job\-related factors, in accordance with our internal pay structure. We also offer a comprehensive benefits package, including health insurance, paid time off, and retirement plan.*
**Work Experience**
* Python, TensorFlow, PyTorch, scikit\-learn
* ML pipelines and data processing systems.
* ML models
**Benefits**
 Full time</t>
        </is>
      </c>
    </row>
    <row r="13">
      <c r="A13" t="inlineStr">
        <is>
          <t>li-2147622173</t>
        </is>
      </c>
      <c r="B13" t="inlineStr">
        <is>
          <t>Machine Learning Engineer</t>
        </is>
      </c>
      <c r="C13" t="inlineStr">
        <is>
          <t>Tata Consultancy Services</t>
        </is>
      </c>
      <c r="D13" t="inlineStr">
        <is>
          <t>linkedin</t>
        </is>
      </c>
      <c r="E13" t="inlineStr"/>
      <c r="F13" t="inlineStr"/>
      <c r="G13" t="inlineStr">
        <is>
          <t>Warren, MI</t>
        </is>
      </c>
      <c r="H13" t="inlineStr"/>
      <c r="I13" t="inlineStr">
        <is>
          <t>**Job Description**
 Must Have Technical/Functional Skills
* Assist in fine\-tuning VLA (Vision\-Language Alignment) models for robotic perception and interaction tasks
* Curate and preprocess multi\-modal datasets (images, text, sensor data) from simulation and real\-world sources
* Evaluate model performance for tasks such as semantic understanding, object recognition, and scene interpretation
* Collaborate with simulation engineers to validate models in Isaac Sim and Omniverse environments
* Support real\-world deployment and testing of VLA models on robotic platforms
* Work with AWS teams to optimize training pipelines and model integration workflows
* Analyze model outputs and provide insights for iterative improvements
 Roles \&amp; Responsibilities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4">
      <c r="A14" t="inlineStr">
        <is>
          <t>li-4373200376</t>
        </is>
      </c>
      <c r="B14" t="inlineStr">
        <is>
          <t>Machine Learning Engineer, Sr.</t>
        </is>
      </c>
      <c r="C14" t="inlineStr">
        <is>
          <t>Wiraa</t>
        </is>
      </c>
      <c r="D14" t="inlineStr">
        <is>
          <t>linkedin</t>
        </is>
      </c>
      <c r="E14" t="inlineStr"/>
      <c r="F14" t="inlineStr"/>
      <c r="G14" t="inlineStr"/>
      <c r="H14" t="inlineStr"/>
      <c r="I14" t="inlineStr">
        <is>
          <t>**About The Company**
 Block, Inc. is a global leader in financial technology, dedicated to increasing access to the worldwide economy through innovative solutions. Our ecosystem includes renowned brands such as Square, Cash App, Afterpay, TIDAL, Bitkey, and Proto, each designed to empower individuals and businesses by providing accessible, reliable, and secure financial services. Square offers comprehensive tools for merchants to accept payments, manage operations, and expand their reach across online and offline channels. Cash App provides a fast, user\-friendly platform for sending, spending, saving, investing, and borrowing money, redefining personal financial interactions. Our mission is rooted in fostering economic inclusion and creating a more open financial system for all, driven by a culture of ownership, creativity, and impact. With operations spanning across multiple regions, we prioritize trust, safety, and innovation to serve our diverse customer base effectively.
**About The Role**
 We are seeking experienced Senior Machine Learning Engineers to join our Risk Machine Learning organization at Block. In this role, you will leverage advanced machine learning techniques to develop scalable solutions that detect, prevent, and mitigate fraud and abuse across Cash App and Square platforms. Your work will directly contribute to safeguarding our ecosystem, reducing financial losses, and enabling seamless, secure financial experiences for millions of users, sellers, and families. Depending on your background and interests, you may join teams focused on fraud and chargeback risk management or trust and safety initiatives supporting Cash App Families and teen banking. You will collaborate closely with cross\-functional teams, including product managers, data scientists, engineers, and policy specialists, to design, deploy, and monitor machine learning models that protect our users and uphold our commitment to safety and trust.
**Qualifications**
* Minimum of 2\+ years of industry experience in machine learning, applied AI, or related fields
* Bachelor's degree in Computer Science, Engineering, Statistics, Physics, Applied Math, or a related quantitative discipline
* Master's degree or PhD preferred
* Proven experience in designing, deploying, and maintaining machine learning solutions in production environments
* Strong familiarity with machine learning techniques such as tree\-based models, deep learning, transfer learning, and reinforcement learning
* Experience influencing technical strategy and collaborating with cross\-functional teams at scale
* Excellent communication skills, sound judgment, and a proactive ownership mindset
* Curiosity and alignment with Block’s mission of economic empowerment
**Responsibilities**
* Partner with product, engineering, data science, policy, and operations teams to design and implement ML\-driven risk management solutions at scale
* Own the full lifecycle of machine learning systems, from problem definition and modeling to deployment, monitoring, and iterative improvement
* Lead technical decision\-making within your workstreams, influencing ML strategy and planning
* Develop tooling and processes that enhance the speed, reliability, and impact of ML development and deployment
* Apply state\-of\-the\-art modeling techniques and incorporate third\-party data sources to improve detection accuracy and decision\-making
* Investigate emerging patterns of fraud, abuse, and risk to proactively inform product safeguards and policy enhancements
* Collaborate with ML platform and engineering teams to ensure models operate reliably in real\-time at scale
* Continuously monitor model performance and implement improvements to adapt to evolving threats and data patterns
**Benefits**
* Competitive salary based on experience and geographic location
* Remote work flexibility to support work\-life balance
* Comprehensive medical, dental, and vision insurance plans
* Flexible time off policies to promote well\-being and personal time
* Retirement savings plans with company matching
* Support for modern family planning and parental leave
* Opportunities for professional growth and development through training and mentorship programs
* Inclusive and collaborative work environment that values diversity and innovation
 Equal Opportunity
 Block is committed to fostering an inclusive environment where all employees are valued and respected. We are an equal opportunity employer and do not discriminate based on race, color, religion, gender, gender identity or expression, sexual orientation, national origin, genetics, disability, age, or veteran status. We believe diversity enhances our culture and drives our success, and we welcome applicants from all backgrounds to join our team.</t>
        </is>
      </c>
    </row>
    <row r="15">
      <c r="A15" t="inlineStr">
        <is>
          <t>li-4372060020</t>
        </is>
      </c>
      <c r="B15" t="inlineStr">
        <is>
          <t>AI/ML Engineer</t>
        </is>
      </c>
      <c r="C15" t="inlineStr">
        <is>
          <t>Tata Consultancy Services</t>
        </is>
      </c>
      <c r="D15" t="inlineStr">
        <is>
          <t>linkedin</t>
        </is>
      </c>
      <c r="E15" t="inlineStr"/>
      <c r="F15" t="inlineStr"/>
      <c r="G15" t="inlineStr">
        <is>
          <t>Atlanta, GA</t>
        </is>
      </c>
      <c r="H15" t="inlineStr"/>
      <c r="I15" t="inlineStr">
        <is>
          <t>**Job Description**
**Must Have Technical/Functional Skills**
* 5\+ years of work experience in Software Engineering
* 3\+ years of work/educational experience in Artificial Intelligence/Machine Learning
* Experience with Agile Software Development Lifecycles and DevOps/DevSecOps
* Development experience on AWS, AWS Sagemaker required
* Experience with one or more general purpose programming languages including but not limited to: Python, R, Scala, Spark
* Experience with one or more of the following: Natural Language Processing, sentiment analysis, classification, pattern recognition.
* Development experience with AI frameworks such as TensorFlow, Microsoft CNTK, scikit, Keras, Caffe, Gluon, Torch.
* Familiarity with GenAI technology stack, including frameworks for prompt engineering, guardrails for GenAI applications, and LLM fine\-tuning
* Experience working with VectorDBs and other data infrastructure required to efficiently support Generative AI training pipelines and production applications
* Experience training and maintaining large language models
* Experience with production\-grade development, integration and support
* Experience and familiarity presenting to technical and business audiences
* Position open to ATL and MSP offices
**Roles \&amp; Responsibilities**
* Grow Customer’s use of AI within customer and employee facing experiences
* Partner with cross functional business and technology teams to understand business landscape and drive AI opportunities.
* Provide technical thought\-leadership and direction for AI solutions across a wide range of centralized and distributed environments across the Customer landscape.
* Partner with Architecture, Foundations, and Security teams to pave the way for Customer leverage industrialized design patterns
* Help to define, design and capture data required for measurement of each solution
* Collaborate frequently to share ideas and gain perspective. Communicates critical information in a clear and timely manner. Listens to others. Seeks clarification and confirms shared understanding when communicating.
* Delivering with Quality and Speed
* Collaborate with business and product owners, understanding the product and business domain to engineer solutions that create a competitive advantage
* Work within a team of engineers and cross\-divisionally to design and build Artificial Intelligence into technical solutions at scale
* Contribute to the strategy around which frameworks and technologies are leveraged with each solution, and partner with the foundations teams to approve new design patterns
* Look upstream and downstream to see around corners and anticipate future consequences for immediate technical choices
* Document and communicate solutions with effective documentation, flowcharts, layouts, diagrams, charts, code comments and clear code
* Design, Develop, Monitor, and scale AI components, APIs, and loosely coupled applications and integrate these with highly available channels and systems
* Incorporate security standards, test\-driven development, and pipeline deployment automation to achieve robust reliability and scale
* Mentor junior team\-mates to define and implement detailed measurement data, error logging/tracking for all products within our domain
* Initiate and lead code reviews and continuous im provement efforts
* Analysis and implementation of Performance/Stability/Reliability initiatives
* Monitors metrics, problems, trends, and costs, in order to determine solutions, required process changes, etc. that will make the function more efficient o Plan, create, and execute automated test cases and load/performance testing
* Operate with Agile and Cloud Target squads within two\-week sprints
* Own and support what you build
* Production issue triage, management, and prevention with a focus on continuous improvement
* Develop an AI first mindset and help democratize AI for Customer
 Salary Range\-$100,000\-$130,000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16">
      <c r="A16" t="inlineStr">
        <is>
          <t>li-4372966699</t>
        </is>
      </c>
      <c r="B16" t="inlineStr">
        <is>
          <t>Staff Machine Learning/AI Engineer</t>
        </is>
      </c>
      <c r="C16" t="inlineStr">
        <is>
          <t>Rivian</t>
        </is>
      </c>
      <c r="D16" t="inlineStr">
        <is>
          <t>linkedin</t>
        </is>
      </c>
      <c r="E16" t="inlineStr"/>
      <c r="F16" t="inlineStr"/>
      <c r="G16" t="inlineStr">
        <is>
          <t>Palo Alto, CA</t>
        </is>
      </c>
      <c r="H16" t="inlineStr"/>
      <c r="I16"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an Engineer / Research Scientist with deep expertise in quantized deep learning models for hardware acceleration in autonomous systems. In this cross\-disciplinary role, you will bridge perception model design and hardware\-aware deployment, enabling efficient execution of high\-performance perception algorithms across embedded compute platforms. You will focus on researching state of the art perception models and develop optimization pipelines for the quantized versions of these models customized to provide real\-time performance and energy efficiency on next\-generation autonomy hardware.
**Responsibilities**
* Research state of the art perception models in collaboration with the ADAS SW teams
* Lead the development of optimizations for mapping quantized perception models (e.g., CNNs, Transformers, LLMs) to embedded and heterogeneous hardware platforms.
* Design and implement hardware\-aware optimizations, including quantization strategies, model compression, memory\-efficient representations, and operator fusion, targeted to custom accelerators.
* Collaborate with hardware teams to co\-optimize model architecture and compute pipeline under real\-time constraints (latency, throughput, power).
* Benchmark and analyze system performance across platforms and iterate to achieve optimal deployment efficiency.
* Partner with perception, systems, and autonomy teams to align model optimization efforts with hardware roadmap and real\-world autonomy requirements.
**Qualifications**
* Ph.D. or M.S. in Computer Engineering, Electrical Engineering, Computer Science, or related field with a focus on ML compilers, embedded systems, or hardware\-aware AI.
* Hands\-on experience with quantized model deployment, ML design stacks, and code generation for embedded or heterogeneous compute systems.
* Strong understanding of computer vision models (e.g., object detection, segmentation) and their optimization for edge inference.
* Proficiency in deep learning frameworks (e.g., PyTorch, TensorFlow) and their low\-level IRs or export formats (e.g., ONNX).
* Solid programming skills in C\+\+, Python
* Familiarity with CUDA/OpenCL (or other accelerator programming models).
**Preferred Qualifications**
* Prior experience working with hardware\-software co\-design, especially for autonomous or robotics platforms.
* Deep knowledge of numerical precision trade\-offs, quantization\-aware training (QAT), and dynamic/static quantization flows.
* Familiarity with embedded real\-time constraints and hardware profiling/debugging tools.
* Familiarity with rearchitecting models to best suit hardware capabilities.
* Publication record in top\-tier ML/Systems conferences (e.g., MLSys, NeurIPS, DAC, ICCAD).
**Pay Disclosure**
**Salary Range: The salary range for this role is $206,500 \- $258,000\.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**Benefits Summary:** 
 Rivian offers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7">
      <c r="A17" t="inlineStr">
        <is>
          <t>li-4372987761</t>
        </is>
      </c>
      <c r="B17" t="inlineStr">
        <is>
          <t>AI Engineer, Sr.</t>
        </is>
      </c>
      <c r="C17" t="inlineStr">
        <is>
          <t>Wiraa</t>
        </is>
      </c>
      <c r="D17" t="inlineStr">
        <is>
          <t>linkedin</t>
        </is>
      </c>
      <c r="E17" t="inlineStr"/>
      <c r="F17" t="inlineStr"/>
      <c r="G17" t="inlineStr"/>
      <c r="H17" t="inlineStr"/>
      <c r="I17" t="inlineStr">
        <is>
          <t>**About The Company**
 HII's Mission Technologies Division is a global leader in delivering advanced technological solutions and expertise across multiple domains to support national security and defense initiatives. With a workforce of over 7,000 professionals worldwide, the division specializes in providing comprehensive capabilities ranging from C5ISR, artificial intelligence, and big data analytics to cyber operations, synthetic training environments, fleet sustainment, environmental remediation, and unmanned underwater vehicles. Committed to innovation and excellence, HII's Mission Technologies Division plays a pivotal role in shaping the future of national defense by accelerating the data evolution and supporting mission partners across government and commercial sectors. The organization fosters a collaborative and inclusive environment, emphasizing continuous learning, technological advancement, and operational excellence.
**About The Role**
 HII\-Mission Technologies is seeking a highly skilled Senior Generative AI Engineer to join our dynamic team. This remote position offers the opportunity to work on cutting\-edge AI solutions that support a wide array of applications, including intelligence analysis, manufacturing optimization, and digital modernization initiatives. The role involves developing, deploying, and managing end\-to\-end generative AI systems, working closely with clients and internal teams to deliver innovative solutions. The Senior Generative AI Engineer will be responsible for designing scalable software architectures, prototyping AI applications, and translating complex technical concepts into understandable strategies for diverse stakeholders. Occasional travel to the Annapolis Junction, MD office may be required to facilitate collaboration and project implementation. This position is ideal for professionals with a strong background in AI, cloud technologies, and software development who are eager to contribute to national security and technological advancement.
**Qualifications**
* Bachelor’s degree in Data Science, Computer Science, Mathematics, or related field with 9\+ years of relevant experience
* Master’s degree in related field with 7\+ years of relevant experience
* PhD or Juris Doctorate in related field with 4\+ years of relevant experience
* High School Diploma or equivalent with 13\+ years of relevant experience
* Proficiency in programming languages such as Python
* Experience with containerized development and deployment tools like Docker, Rancher, and Kubernetes
* Hands\-on experience with cloud platforms including Azure, AWS, or GCP
* Knowledge of databases such as SQL, NoSQL, and vector databases
* Experience managing CI/CD pipelines and implementing DevSecOps principles
* Strong understanding of Git workflows, code review processes, and documentation practices
* Practical experience with open\-source large language models (LLMs) and ecosystem tools (model serving, fine\-tuning, prompt engineering, embeddings)
* Experience developing generative AI products or platforms, including multimodal applications (text, vision, audio, document understanding)
* Ability to travel occasionally with advance notice
* Must have the ability to obtain and maintain a Secret security clearance
**Responsibilities**
* Research, develop, and implement machine learning, deep learning, and large language model techniques for operational AI applications
* Design and develop full\-stack prototypes demonstrating AI capabilities, transitioning these prototypes into scalable, production\-ready solutions
* Collaborate with internal and external clients to understand requirements and deliver AI solutions aligned with mission objectives
* Support client meetings as a subject matter expert in AI, cloud technologies, and software solutions
* Manage multiple concurrent projects across various client environments, ensuring timely delivery and quality standards
* Work closely with cross\-functional teams to drive technical decisions, architecture reviews, and best practices
* Document technical strategies, design decisions, and system architectures clearly for diverse audiences
* Stay current with emerging AI trends, tools, and methodologies to continuously enhance project outcomes
**Benefits**
* Competitive medical, dental, and vision insurance plans
* Wellness resources and employee assistance programs
* Retirement savings plans, including 401(k) options
* Financial planning tools and life insurance coverage
* Employee discounts and paid holidays
* Paid time off and tuition reimbursement programs
* Scholarships for early childhood and post\-secondary education
* Opportunities for professional development and continuous learning
 Equal Opportunity
 HII is an equal opportunity employer committed to fostering an inclusive workplace. We value diversity and do not discriminate against any individual based on race, color, religion, gender, gender identity or expression, sexual orientation, national origin, physical or mental disability, age, veteran status, or any other protected characteristic under applicable federal, state, or local law. All qualified applicants will receive consideration for employment without regard to these factors.</t>
        </is>
      </c>
    </row>
    <row r="18">
      <c r="A18" t="inlineStr">
        <is>
          <t>li-4372976601</t>
        </is>
      </c>
      <c r="B18" t="inlineStr">
        <is>
          <t>Senior Machine Learning Engineer (Canada Only)</t>
        </is>
      </c>
      <c r="C18" t="inlineStr">
        <is>
          <t>FreshBooks</t>
        </is>
      </c>
      <c r="D18" t="inlineStr">
        <is>
          <t>linkedin</t>
        </is>
      </c>
      <c r="E18" t="inlineStr"/>
      <c r="F18" t="inlineStr"/>
      <c r="G18" t="inlineStr">
        <is>
          <t>California, United States</t>
        </is>
      </c>
      <c r="H18" t="inlineStr"/>
      <c r="I18" t="inlineStr">
        <is>
          <t>**Role Overview**
 As a Senior Machine Learning Engineer, you will take end\-to\-end ownership of the machine learning lifecycle from early experimentation and model prototyping to deployment and monitoring in production. You handle varied and moderately complex challenges, moving beyond execution to
 **refine processes** 
 and
 **mentor others** 
 . You will be part of a growing team delivering ML\-powered features, optimizing systems for reliability and performance, and supporting rapid experimentation with clear, measurable impact.
 This role is centered on machine learning, with supporting skills in software engineering to enable model development and deployment. You’ll be responsible for not only building models, but also packaging them for production and collaborating with our Data Engineering and Product teams on the design of APIs and infrastructure. This role is ideal for someone who loves seeing ideas come to life, enjoys taking initiative, and is excited to deliver customer impact through data and ML.
**Responsibilities**
* Design, prototype, and validate machine learning models to power product features or internal tools.
* Own and lead all phases of the ML lifecycle from experimentation through to production deployment and model monitoring.
* Collaborate with Data Engineers and Product Engineers to integrate models into production infrastructure (batch and online serving).
* Develop and prototype features for the shared feature store, including documentation, versioning, and consistency validation.
* Author high\-quality, production\-ready code with appropriate tests, observability, and monitoring hooks.
* Design experiments (e.g. A/B tests, pre\-post analyses) and interpret results to guide product and business decisions.
* Design and build end\-to\-end pipelines for classification, ranking, embeddings, or generation tasks
* Drive reliability practices in deployed models, including retraining logic, alerting on drift, and root cause analysis.
* Work closely with product and engineering stakeholders to align ML work with business priorities. Skilfully adapt messaging to varied audiences; collaborating with cross\-functional teams to facilitate alignment and proactively address communication gaps or misunderstandings.
* Contribute to standards and documentation, mentor junior team members, and help shape our evolving ML platform. Regularly provide informal guidance, support peer collaboration, and influence task outcomes to ensure high\-quality delivery.
* Other duties may be assigned.
**Qualifications**
* 5\+ years of experience in data science, applied ML, or ML engineering roles.
* Strong background in supervised and unsupervised learning, statistical modeling, and experimentation techniques.
* Proven experience developing and shipping ML models in production environments (batch or real\-time).
* Strong Python and SQL skills; comfort working with structured and unstructured data
* Hands\-on experience building and deploying ML or LLM\-based systems (e.g. retrieval\-augmented generation, embeddings, prompt tuning)
* Familiarity with cloud infrastructure and ML tools, ideally on Google Cloud Platform (e.g. Vertex AI, BigQuery, Cloud Composer, Kubernetes).
* Experience working with CI/CD pipelines, containerization (Docker), and job orchestration tools (Airflow, dbt, etc.).
* Deep understanding of end\-to\-end ML operations including model observability, model drift detection, and model performance optimization.
* Strong communication skills and ability to explain technical concepts to non\-technical stakeholders. Skillful at anticipating communication needs across the organization.
* Demonstrated initiative, adaptability, and ability to operate independently on complex problems.
**Additional Valuable Skills, Experience, Or Credentials**
* Experience working with Agentic Models
* Familiarity with LLM orchestration frameworks (e.g. ADK, LangChain, Semantic Kernel, Haystack)
* A background in software engineering (e.g., system design, API development, or distributed systems), enabling strong collaboration with infrastructure teams and greater autonomy in full\-stack ML delivery.
**Compensation**
 At FreshBooks, we approach each individual's compensation with a promise of fair market value and internal equity commensurate with experience and specific skill set.
 The total annual compensation for this role ranges from CA$128,000 to CA$160,000, which may include participation in our incentive programs.</t>
        </is>
      </c>
    </row>
    <row r="19">
      <c r="A19" t="inlineStr">
        <is>
          <t>li-4372051814</t>
        </is>
      </c>
      <c r="B19" t="inlineStr">
        <is>
          <t>AI Engineer</t>
        </is>
      </c>
      <c r="C19" t="inlineStr">
        <is>
          <t>RemoteHunter</t>
        </is>
      </c>
      <c r="D19" t="inlineStr">
        <is>
          <t>linkedin</t>
        </is>
      </c>
      <c r="E19" t="inlineStr"/>
      <c r="F19" t="inlineStr"/>
      <c r="G19" t="inlineStr"/>
      <c r="H19" t="inlineStr"/>
      <c r="I19"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
      <c r="A20" t="inlineStr">
        <is>
          <t>li-4372996040</t>
        </is>
      </c>
      <c r="B20" t="inlineStr">
        <is>
          <t>Principal Machine Learning Engineer</t>
        </is>
      </c>
      <c r="C20" t="inlineStr">
        <is>
          <t>Hologic, Inc.</t>
        </is>
      </c>
      <c r="D20" t="inlineStr">
        <is>
          <t>linkedin</t>
        </is>
      </c>
      <c r="E20" t="inlineStr"/>
      <c r="F20" t="inlineStr"/>
      <c r="G20" t="inlineStr">
        <is>
          <t>Newark, NJ</t>
        </is>
      </c>
      <c r="H20" t="inlineStr"/>
      <c r="I20" t="inlineStr">
        <is>
          <t>As a
 **Principal Machine Learning Engineer** 
 in Hologic’s Breast and Skeletal Health division, you will play a pivotal role in designing, developing, and deploying advanced AI algorithms for next\-generation medical devices. You will focus on creating and validating AI\-driven solutions for breast cancer detection in breast tomosynthesis (3D mammography). Your work will have a direct impact on patient outcomes by ensuring our technologies are robust, safe, and clinically validated—upholding Hologic’s mission to deliver innovation with precision and reliability.
**What You’ll Bring** 
**Knowledge:** 
* Deep expertise in machine learning and deep learning, including supervised and self\-supervised methods.
* Mastery of cutting\-edge neural network architectures and training techniques.
* Strong foundation in computer vision, data preprocessing, feature engineering, and statistical analysis.
* Experience with model validation and performance benchmarking.
* Knowledge of software engineering best practices for building maintainable, scalable systems.
* *Bonus:* 
 Familiarity with FDA regulatory standards for AI in healthcare, DICOM format, digital breast tomosynthesis, and breast cancer pathology/diagnostic workflows.
**Skills:** 
* Advanced programming in Python and C\+\+, with proficiency in ML/data science libraries (e.g., Pandas, OpenCV, XGBoost, NumPy, SciPy).
* Hands\-on experience with deep learning frameworks (PyTorch, TensorFlow) and cloud platforms (AWS, Azure, GCP).
* Proven ability to design, implement, and optimize machine learning pipelines for large\-scale, high\-dimensional 3D medical imaging data.
* Experience deploying and maintaining models in production environments.
* Strong problem\-solving skills for translating clinical requirements into technical solutions.
* Excellent communication skills for technical documentation and stakeholder presentations.
* Effective cross\-functional collaboration with engineers, clinicians, and product managers.
**Qualifications** 
* **Education \&amp; Experience:** 
	+ At least a
	 **Bachelor’s degree** 
	 in a relevant field (e.g., Computer Science, Electrical Engineering, Biomedical Engineering, Applied Mathematics, or related discipline).
	+ **8\+ years** 
	 of professional experience working with machine learning, deep learning, or closely related applied AI/ML domains.
**Behaviors:** 
* Demonstrates leadership and initiative in driving complex projects from concept to deployment.
* Champions a collaborative, open, and success\-driven team culture.
* Maintains high standards of integrity, accountability, and ethical decision\-making.
* Adapts quickly to evolving technologies and priorities.
* Proactively seeks feedback and growth opportunities.
* Shows resilience and resourcefulness in technical and regulatory challenges.
* Prioritizes patient safety, data privacy, and compliance.
* Inspires teams through commitment to Hologic’s mission and values.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$126,000 \- $210,100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As part of our commitment to a fair and accurate evaluation of each candidate's qualifications, we require all applicants to refrain from using AI tools, such as generative AI or automated writing assistance, during any stage of the interview process. Responses influenced by AI may result in disqualification. We appreciate your understanding and cooperation in ensuring a transparent and equitable selection process.
 Hologic, Inc. is proud to be an Equal Opportunity Employer inclusive of disability and veterans.</t>
        </is>
      </c>
    </row>
    <row r="21">
      <c r="A21" t="inlineStr">
        <is>
          <t>li-4373202145</t>
        </is>
      </c>
      <c r="B21" t="inlineStr">
        <is>
          <t>AI Engineer</t>
        </is>
      </c>
      <c r="C21" t="inlineStr">
        <is>
          <t>BJC HealthCare</t>
        </is>
      </c>
      <c r="D21" t="inlineStr">
        <is>
          <t>linkedin</t>
        </is>
      </c>
      <c r="E21" t="inlineStr"/>
      <c r="F21" t="inlineStr"/>
      <c r="G21" t="inlineStr">
        <is>
          <t>St Louis, MO</t>
        </is>
      </c>
      <c r="H21" t="inlineStr"/>
      <c r="I21" t="inlineStr">
        <is>
          <t>****Additional Information About The Role****
 BJC is currently seeking an AI Engineer for a remote position. We are looking for candidates with a strong understanding of traditional AI/ML concepts along with hands\-on experience in generative AI technologies. Ideal candidates will have experience fine‑tuning large language models (LLMs), developing AI agents, and working with frameworks such as the Model Context Protocol (MCP) or similar tools.
 This role involves integrating AI models from various environments into existing BI tools to deliver AI‑enhanced visualizations and actionable insights for our users. Proficiency in Microsoft Azure tools is a plus.
 Join us in shaping the future of AI at BJC!
**Eligible States:**
* Alabama Iowa North Carolina Wisconsin
* Arkansas Kansas Ohio
* Florida Kentucky Oklahoma
* Georgia Louisiana South Carolina
* Illinois Mississippi Tennessee
* Indiana Missouri Texas
****Overview****
**BJC HealthCare** 
 is one of the largest nonprofit health care organizations in the United States, delivering services to residents primarily in the greater St. Louis, southern Illinois and southeast Missouri regions. With net revenues of $6\.3 billion and more than 30,000 employees, BJC serves patients and their families in urban, suburban and rural communities through its 14 hospitals and multiple community health locations. Services include inpatient and outpatient care, primary care, community health and wellness, workplace health, home health, community mental health, rehabilitation, long\-term care and hospice.
 BJC is the largest provider of charity care, unreimbursed care and community benefits in the state of Missouri. BJC and its hospitals and health service organizations provide $785\.9 million annually in community benefit. That includes $410\.6 million in charity care and other financial assistance to patients to ensure medical care regardless of their ability to pay. In addition, BJC provides additional community benefits through commitments to research, emergency preparedness, regional health care safety net services, health literacy, community outreach and community health programs and regional economic development.
 BJC’s patients have access to the latest advances in medical science and technology through a formal affiliation between Barnes\-Jewish Hospital and St. Louis Children’s Hospital with the renowned Washington University School of Medicine, which consistently ranks among the top medical schools in the country.
****Preferred Qualifications****
**Role Purpose**
 This role is responsible for the creation, optimization and deployment of AI models for world applications. This role will prepare and preprocess data, evaluate and optimize AI model performance, deploy AI models into production environments, and integrate AI models with new and existing applications or solutions. AI Engineers need a strong foundation in various AI models, general programming and data cleaning/preparation.
****Responsibilities****
* Create, monitor, optimize, and deploy all types of AI models.
* Collect, clean, prepare, and store data associated with training, testing, and output of AI models.
* Integrate AI models with new and existing applications and reporting/analytic solutions.
* Stay current on AI technology and trends, make recommendations on how to apply AI to solutions.
* Understand business/functional requirements and convert them into AI applications/analytic solutions.
****Minimum Requirements****
**Education**
* Bachelor's Degree
* ARTIFICIAL INTELLIGENCE
****Experience****
**Preferred Requirements**
**Education**
* Bachelor's Degree
* ARTIFICIAL INTELLIGENCE
****Experience****
* 2\-5 years
**Licenses \&amp; Certifications**
* AI CERTIFICATION
****Benefits And Legal Statement****
**BJC Total Rewards**
 At BJC we’re committed to providing you and your family with benefits and resources to help you manage your physical, emotional, social and financial well\-being.
* Comprehensive medical, dental, vison, life insurance, and legal services available first day of the month after hire date
* Disability insurance\* paid for by BJC
* Annual 4% BJC Automatic Retirement Contribution
* 401(k) plan with BJC match
* Tuition Assistance available on first day
* BJC Institute for Learning and Development
* Health Care and Dependent Care Flexible Spending Accounts
* Paid Time Off benefit combines vacation, sick days, holidays and personal time
* Adoption assistance
****To Learn More, Go To Our** 
**Benefits Summary** 
**.****
* Not all benefits apply to all jobs
 The above information on this description has been designed to indicate the general nature and level of work performed by employees in this position. It is not designed to contain or be interpreted as an exhaustive list of all responsibilities, duties and qualifications required of employees assigned to this job. Equal Opportunity Employer</t>
        </is>
      </c>
    </row>
    <row r="22">
      <c r="A22" t="inlineStr">
        <is>
          <t>li-4372050051</t>
        </is>
      </c>
      <c r="B22" t="inlineStr">
        <is>
          <t>AI Engineer</t>
        </is>
      </c>
      <c r="C22" t="inlineStr">
        <is>
          <t>Tata Consultancy Services</t>
        </is>
      </c>
      <c r="D22" t="inlineStr">
        <is>
          <t>linkedin</t>
        </is>
      </c>
      <c r="E22" t="inlineStr"/>
      <c r="F22" t="inlineStr"/>
      <c r="G22" t="inlineStr">
        <is>
          <t>Richardson, TX</t>
        </is>
      </c>
      <c r="H22" t="inlineStr"/>
      <c r="I22" t="inlineStr">
        <is>
          <t>**Job Description**
 Expertise in LLMs, RAG, vector DBs, cloud architecture, NLP, data engineering, LangGraph, VectorDB, GCP.
 Solution Architecture \&amp; Technical Leadership
* Architect end to end GenAI\-driven platforms.
* Establish reference architectures using LLMs, RAG, embeddings, knowledge graphs.
* Design scalable LLM Ops workflows.
 Domain Modeling \&amp; Knowledge Engineering
* Model PBM benefit structures and ontologies.
* Governance, Compliance, Data Security \&amp; Risk Management
* Implement Responsible AI controls, PHI/PII masking and HIPAA\-aligned synthetic data generation.
 Cross Functional Collaboration
* Partner with PBM Business SMEs, QA teams, AI engineers, and IT teams.
**Generic Managerial Skills**
* Solution Architecture \&amp; Technical Leadership
* Architect end to end GenAI\-driven platforms.
* Establish reference architectures using LLMs, RAG, embeddings, knowledge graphs.
* Design scalable LLMOps workflows.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Range\-$95,000\-$120,000 a year</t>
        </is>
      </c>
    </row>
    <row r="23">
      <c r="A23" t="inlineStr">
        <is>
          <t>li-4365639153</t>
        </is>
      </c>
      <c r="B23" t="inlineStr">
        <is>
          <t>Applied Machine Learning Engineer, Circuit Design - New College Grad 2026</t>
        </is>
      </c>
      <c r="C23" t="inlineStr">
        <is>
          <t>NVIDIA</t>
        </is>
      </c>
      <c r="D23" t="inlineStr">
        <is>
          <t>linkedin</t>
        </is>
      </c>
      <c r="E23" t="inlineStr"/>
      <c r="F23" t="inlineStr"/>
      <c r="G23" t="inlineStr">
        <is>
          <t>Santa Clara, CA</t>
        </is>
      </c>
      <c r="H23" t="inlineStr"/>
      <c r="I23"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**What You'll Be Doing**
* Work within a multi\-functional team on various projects involving Pre\-silicon and Post Silicon custom circuit design and related data, Circuit/Layout Optimization and Spice correlation
* Work on projects with applications ranging from analysis of silicon data, manufacturing process variation analysis, VLSI circuit design and timing etc.
* Responsible for translating the requirements into a data science problem, architect and build solutions.
* In charge for testing and release of models that integrate with existing machine learning and visualization tools within the organization.
* Responsible for analyzing the datasets, raise and validate hypotheses, extract relevant features and build models on top of them.
* Optimize the models and algorithms until they reach the desired QOR.
**What We Need To See**
* MS or PhD in Electrical/Computer Engineering (or equivalent experience).
* Experience with VLSI, Circuit Design, CMOS Device Physics, Timing, ASIC, EDA is a strict requirement for this role.
* Shown ability in writing code in Python and C\+\+.
* Experience in Applied Math/ML/Software programming.
**Ways To Stand Out From The Crowd**
* Experience with ML/DL algorithms with frameworks such as TensorFlow, PyTorch, Spark is a plus.
* Working with multiple levels and teams across organizations (engineering/research, product, sales and marketing teams).
* Prior experience in CMOS layout drawing, including schematic\-to\-layout translation and DRC/LVS compliance, is a definite plus.
* Effective verbal/written communication, and technical presentation skills.
* Proven continuous learning and sharing findings across the team.
 NV IDIA is widely considered to be one of the technology world’s most desirable employers. We have some of the most forward\-thinking and hardworking people in the world working for us. If you're creative and autonomous, we want to hear from you!
 \# LI\-Hybrid
 Your base salary will be determined based on your location, experience, and the pay of employees in similar positions. The base salary range is 116,000 USD \- 189,750 USD for Level 2, and 136,000 USD \- 218,500 USD for Level 3\.
 You will also be eligible for equity and benefits .
 Applications for this job will be accepted at least until January 27,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JR2011517</t>
        </is>
      </c>
    </row>
    <row r="24">
      <c r="A24" t="inlineStr">
        <is>
          <t>li-4319438763</t>
        </is>
      </c>
      <c r="B24" t="inlineStr">
        <is>
          <t>AI/ML Engineer – Vice President (Seattle, WA)</t>
        </is>
      </c>
      <c r="C24" t="inlineStr">
        <is>
          <t>Goldman Sachs</t>
        </is>
      </c>
      <c r="D24" t="inlineStr">
        <is>
          <t>linkedin</t>
        </is>
      </c>
      <c r="E24" t="inlineStr"/>
      <c r="F24" t="inlineStr"/>
      <c r="G24" t="inlineStr">
        <is>
          <t>Seattle, WA</t>
        </is>
      </c>
      <c r="H24" t="inlineStr"/>
      <c r="I24"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centers around the world.
 We are committed to growing our distinctive Culture and holding to our core values which always place our client's interests first. These values are reflected in our Business Principles, which emphasize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7\+ years of experience as an applied data scientist / machine learning engineer.
**Essential Skills**
* 7\+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**Preferred**
* Proficiency building and operating on cloud infrastructure (ideally AWS), including containerized services (ECS/EKS), serverless (Lambda), data services (S3, DynamoDB, Redshift), orchestration (Step Functions), model serving (SageMaker), and infra\-as\-code (Terraform/CloudFormation).
**Salary Range**
 The expected base salary for this Seattle, Washington United States\-based position is $150,000\-$250,000\. In addition, you may be eligible for a discretionary bonus if you are an active employee as of fiscal year\-end.
**YOUR CAREER**
 Goldman Sachs is a meritocracy where you will be given all the tools to advance your career. At Goldman Sachs, you will have access to excellent training programs designed to improve multiple facets of your skill portfolio. Our in\-house training program, “Goldman Sachs University” offers a comprehensive series of courses that you will have access to as your career progresses. Goldman Sachs University has an impressive catalogue of courses which span technical, business and leadership skills.</t>
        </is>
      </c>
    </row>
    <row r="25">
      <c r="A25" t="inlineStr">
        <is>
          <t>li-4365615697</t>
        </is>
      </c>
      <c r="B25" t="inlineStr">
        <is>
          <t>Machine Learning Engineer Operations Engineer</t>
        </is>
      </c>
      <c r="C25" t="inlineStr">
        <is>
          <t>Motion Recruitment</t>
        </is>
      </c>
      <c r="D25" t="inlineStr">
        <is>
          <t>linkedin</t>
        </is>
      </c>
      <c r="E25" t="inlineStr"/>
      <c r="F25" t="inlineStr"/>
      <c r="G25" t="inlineStr">
        <is>
          <t>Chicago, IL</t>
        </is>
      </c>
      <c r="H25" t="inlineStr"/>
      <c r="I25" t="inlineStr">
        <is>
          <t>A premier growth and venture capital firm is seeking a Software Engineer, Machine Learning Operations (MLOps), to play a vital role in advancing their proprietary data and analytics platform. The firm partners with innovative companies across diverse sectors sets itself apart by developing in\-house technology that drives investment insights. You’’ collaborate closely with both data scientists and investment professionals to rethink how intelligence and operational efficiency are generated.
 You’ll develop robust, scalable machine learning systems, and focus will be on architecting, deploying, and overseeing infrastructure for model training, deployment, and continuous monitoring. Their tech stack includes Python, PyTorch, Kubernetes, GCP, Terraform, and BigQuery. This is an ideal position for hands\-on engineers passionate about building impactful solutions at scale, eager to work at the intersection of machine learning, data, and high\-stakes business decision\-making, within a collaborative, cutting\-edge environment.
 Must be local to the Chicago area as this is hybrid.
**Required Skills \&amp; Experience**
* 7\+ years of professional experience
* Experience building production level software in Python or Java
* Proven experience with model versioning and building reliable ML systems
* Hands\-on knowledge with Kubernetes and Terraform
* Bachelor’s degree in Computer Science or related field
**Desired Skills \&amp; Experience**
* Cloud computing and distributed systems
* Advanced degree in a quantitative field
**What You Will Be Doing**
 Daily Responsibilities
* 70% Hands On
* 30% Team Collaboration
**The Offer**
* Bonus eligible
**You Will Receive The Following Benefits**
* Medical, Dental, and Vision Insurance
* Vacation Time
* Stock Options
 Applicants must be currently authorized to work in the US on a full\-time basis now and in the future.
**Posted By:** 
 Rose Baldonado</t>
        </is>
      </c>
    </row>
    <row r="26">
      <c r="A26" t="inlineStr">
        <is>
          <t>li-4342382325</t>
        </is>
      </c>
      <c r="B26" t="inlineStr">
        <is>
          <t>Senior Machine Learning Engineer, AdTech</t>
        </is>
      </c>
      <c r="C26" t="inlineStr">
        <is>
          <t>Nexxen</t>
        </is>
      </c>
      <c r="D26" t="inlineStr">
        <is>
          <t>linkedin</t>
        </is>
      </c>
      <c r="E26" t="inlineStr"/>
      <c r="F26" t="inlineStr"/>
      <c r="G26" t="inlineStr">
        <is>
          <t>New York, NY</t>
        </is>
      </c>
      <c r="H26" t="inlineStr"/>
      <c r="I2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can be based in our local office
 **Locations** 
**.** 
 Our team follows a hybrid schedule,
 **working in the office three days** 
 a week and remotely for the rest, or is open to remote work for anyone with senior hands\-on adtech vendor experience.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a leading AdTech Vendor Company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7">
      <c r="A27" t="inlineStr">
        <is>
          <t>li-4333270332</t>
        </is>
      </c>
      <c r="B27" t="inlineStr">
        <is>
          <t>Senior AI/ML Engineer - AV Infra</t>
        </is>
      </c>
      <c r="C27" t="inlineStr">
        <is>
          <t>General Motors</t>
        </is>
      </c>
      <c r="D27" t="inlineStr">
        <is>
          <t>linkedin</t>
        </is>
      </c>
      <c r="E27" t="inlineStr"/>
      <c r="F27" t="inlineStr"/>
      <c r="G27" t="inlineStr">
        <is>
          <t>Austin, TX</t>
        </is>
      </c>
      <c r="H27" t="inlineStr"/>
      <c r="I27" t="inlineStr">
        <is>
          <t>**Job Description**
**Senior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Engineer** 
 ,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experience, with a strong background in large\-scale distributed systems preferred.
* 1\+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8">
      <c r="A28" t="inlineStr">
        <is>
          <t>li-4372991487</t>
        </is>
      </c>
      <c r="B28" t="inlineStr">
        <is>
          <t>Staff AI Engineer, Cloud Backend - Office of CTO</t>
        </is>
      </c>
      <c r="C28" t="inlineStr">
        <is>
          <t>Sonatus</t>
        </is>
      </c>
      <c r="D28" t="inlineStr">
        <is>
          <t>linkedin</t>
        </is>
      </c>
      <c r="E28" t="inlineStr"/>
      <c r="F28" t="inlineStr"/>
      <c r="G28" t="inlineStr">
        <is>
          <t>Sunnyvale, CA</t>
        </is>
      </c>
      <c r="H28" t="inlineStr"/>
      <c r="I28" t="inlineStr">
        <is>
          <t>Join a high\-performing team at Sonatus that's redefining what cars can do in the era of Software\-Defined Vehicles (SDV).
 At Sonatus, we're driving the transformation to AI\-enabled software\-defined vehicles. Traditional automotive software methods can't keep pace with consumer expectations shaped by the mobile industryâ€”where features evolve rapidly, update seamlessly, and improve continuously. That's why leading OEMs trust Sonatus to accelerate this shift. Our technology is already in production across more than 5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**Role Summary**
 We are seeking a highly motivated Staff AI Engineer, Cloud Backend for AI Applications to join our team and help us accelerate software innovations for next\-generation software\-defined vehicles. In this role, you will be responsible for designing and implementing large\-scale data processing pipelines and building the cloud infrastructure to support our AI applications. You'll use your deep expertise in cloud architecture and backend development to make critical decisions that span data processing, API design, and cloud service deployment. This is a key leadership position for a hands\-on engineer who will define our data governance, infrastructure as code, and production observability best practices.
**Roles And Responsibilities**
* Design and build the foundational, end\-to\-end cloud and backend platform for our Generative AI systems. You'll make critical decisions that span data processing, API design, and service deployment.
* Build and scale the data pipelines that are the lifeblood of our applications. This includes processing massive datasets and creating the real\-time data flows for our AI systems. You will design and implement large\-scale data processing pipelines that handle a diverse set of data collected from millions of vehicles.
* Deploy, scale, and optimize our cloud infrastructure. You will manage hardware resources, minimize inference latency, and build robust monitoring to ensure our AI system is always fast, accurate, and cost\-effective. This includes developing and deploying containerized applications using Docker and Kubernetes.
* Create a single, cohesive set of best practices for the entire application lifecycle. Your work will define how we handle data governance, infrastructure as code, and production observability in one seamless system.
* Design secure and scalable networking layers within cloud environments, including VPC design, private/public subnet configurations, NAT/Internet gateways, and load balancers.
* Implement and manage core infrastructure services such as DNS, routing, and service discovery to ensure reliable, low\-latency access to cloud services.
* Automate infrastructure deployment using Infrastructure as Code (Terraform, Pulumi, etc.), ensuring repeatability across cloud environments.
* Deliver production\-ready CI/CD pipelines for automated provisioning and deployment of containerized workloads.
**Requirements**
* A seasoned engineer with 8\+ years of experience building and scaling data\-intensive, cloud\-based services and applications.
* Deep expertise in deploying and managing cloud\-native workloads on various cloud environments.
* Strong understanding of cloud networking, identity, and security principles (e.g., IAM, private networking, TLS/SSL, ingress/egress).
* Proven track record of designing highly available and fault\-tolerant architectures across multiple regions/zones.
* A "systems thinker" with a demonstrated ability to architect end\-to\-end solutions, possessing a strong foundation in both Data Engineering and Cloud/Backend Software Development.
* Deep proficiency in Python and/or Go with an emphasis on Infrastructure as Code.
* Strong programming fundamentals, particularly in data structures \&amp; algorithms, and concurrency.
* Hands\-on experience with containerization/orchestration (Docker, Kubernetes).
* Experience building and optimizing highly available, scalable, distributed backend services leveraging open source technologies and tools such as Kafka, RabbitMQ, and ElasticSearch.
* Experience with developing data pipelines and database\-supported cloud services and applications.
* Ability to deeply analyze, break down, and solve complex problems.
* Good verbal and written communication skills, with the ability to explain complex ideas and solutions clearly, and to collaborate with cross\-functional teams effectively.
* MS or PhD in Computer Science, Math, Physics, or related fields.
**Benefits**
 Sonatus is a tight\-knit team aligned around a unified vision. You can expect a strong engineering\-oriented culture that focuses on building the best products and solutions for our customers. We embrace equality and diversity in all regards because respect is ingrained in our every fiber. Other benefits Sonatus offers include:
* Stock option plan
* Health care plan (Medical, Dental \&amp; Vision)
* Retirement plan (401k, IRA)
* Life Insurance (Basic, Voluntary \&amp; AD\&amp;D)
* Unlimited paid time off (Vacation, Sick \&amp; Public Holidays)
* Family leave (Maternity, Paternity)
* Flexible work arrangements
* Free food \&amp; snacks in office
 The posted salary range is a general guideline and represents a good faith estimate of what Sonatus ("Company") could reasonably expect to pay for a base salary for this position. The pay offered to a selected candidate will be determined based on factors such as (but not limited to) the scope and responsibilities of the position, the qualifications of the selected candidate, departmental budget availability, geographic location and external market pay for comparable jobs. The Company reserves the right to modify this range in the future, as needed, as market conditions change.
 Pay range for this role
 $176,000
 —
 $242,000 USD
***To all recruitment agencies** 
 Sonatus, Inc. ("Sonatus") does not accept unsolicited agency resumes. Please do not forward resumes to our careers alias or other Sonatus' employees. Sonatus is not responsible for any fees associated with unsolicited activities.*</t>
        </is>
      </c>
    </row>
    <row r="29">
      <c r="A29" t="inlineStr">
        <is>
          <t>li-4326862077</t>
        </is>
      </c>
      <c r="B29" t="inlineStr">
        <is>
          <t>Senior Machine Learning Engineer</t>
        </is>
      </c>
      <c r="C29" t="inlineStr">
        <is>
          <t>Microsoft</t>
        </is>
      </c>
      <c r="D29" t="inlineStr">
        <is>
          <t>linkedin</t>
        </is>
      </c>
      <c r="E29" t="inlineStr"/>
      <c r="F29" t="inlineStr"/>
      <c r="G29" t="inlineStr">
        <is>
          <t>Cambridge, MA</t>
        </is>
      </c>
      <c r="H29" t="inlineStr"/>
      <c r="I29" t="inlineStr">
        <is>
          <t>**Overview**
 We are seeking a Senior Machine Learning Engineer to drive the design and training of generative models in close collaboration with ML researchers, software engineers, and domain experts. This is a hands\-on technical role focused on advancing state\-of\-the\-art model capabilities across a variety of domains and modalities.
 You’ll have the opportunity to tackle everything from model training to data and evaluation pipelines. Your work will span the full spectrum of model development – training and optimizing models on the latest hardware, devising new ways to assess their capabilities, and evolving data and training workflows to maximize model utility.
 Microsoft Research New England is comprised of full\-time researchers, postdocs, data scientists, engineers, and program managers working in machine learning, statistics, healthcare, computational biology, theoretical computer science, algorithmic game theory, economics, among other disciplines. The lab is highly collaborative and interdisciplinary and is actively engaged with the local academic and tech communities.
 We are committed to building an inclusive, diverse, and pluralistic research environment. In keeping with this, Microsoft Research New England is a place where all are able to do their very best work.
**Responsibilities**
* Lead the training of large language and multimodal models, including developing training workflows as well as managing, optimizing, and debugging such runs.
* Develop data and evaluation pipelines designed to maximize the performance of trained models.
* Mentor and provide technical leadership across the team and org in your area(s) of expertise.
* Explore and advise on strategic direction and technical approaches for projects across the team.
* Collaborate with researchers, domain experts, and cross\-disciplinary teams to ensure our techniques translate the latest research into impactful solutions.
**Qualifications**
 Required Qualifications:
* Bachelors or Masters in Computer Science or related technical discipline and 3\+ years of technical engineering experience in ML\-related work OR a Doctorate in Computer Science or related technical discipline.
**Preferred Qualifications**
* Applied technical experience in one of: distributed training of deep learning models, data pipelines for model training, or evaluation workflows for assessment of model capabilities.
* Deep experience with PyTorch or Jax.
* Experience with designing, optimizing, and monitoring generative modeling training workflows.
* Familiarity with profiling training and/or inference code, identifying performance bottlenecks, and mitigating them.
* Comfort with one or more of: optimizing data mixes, midtraining, post\-training, model merging, or model distillation.
* Effective communication skills with the ability to present complex technical concepts to a broad audience
 \#Research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
      <c r="A30" t="inlineStr">
        <is>
          <t>li-4363416680</t>
        </is>
      </c>
      <c r="B30" t="inlineStr">
        <is>
          <t>Senior AI Engineer - NBA 2K</t>
        </is>
      </c>
      <c r="C30" t="inlineStr">
        <is>
          <t>Visual Concepts</t>
        </is>
      </c>
      <c r="D30" t="inlineStr">
        <is>
          <t>linkedin</t>
        </is>
      </c>
      <c r="E30" t="inlineStr"/>
      <c r="F30" t="inlineStr"/>
      <c r="G30" t="inlineStr"/>
      <c r="H30" t="inlineStr"/>
      <c r="I30" t="inlineStr">
        <is>
          <t>At Visual Concepts, we believe great games are made by diverse and empowered teams with a shared passion for play. As one of the world’s top game development studios, we have shipped over 100 multi\-sku titles to critical acclaim and commercial success. Our teams are independent and ambitious. Our studios in Novato, Irvine, Budapest, Shanghai, Austin, Boise, Seoul and Parksville, Canada are committed to artistry and ground breaking technology, offering top candidates the opportunity to learn and grow with some of the hardest working and most creative minds in the industry.
**What We Need** 
 We create NBA 2K and our teams push the boundaries of realism, scale, and player experience—and now we’re investing deeply in artificial intelligence to redefine how games are built.
 We are looking for an exceptional AI Engineer to help design and develop intelligent agents that will fundamentally change the way our games are made. This role is not about simply improving existing pipelines or automating isolated tasks. It’s about exploring new, AI\-driven approaches to game development that can unlock brand new workflows, capabilities, and creative possibilities.
 You’ll work at the intersection of AI research, systems engineering, and game development, helping shape a long\-term vision for how intelligent agents can augment and transform the work of developers across disciplines.
**What You Will Do** 
* Design and implement AI\-driven agents that assist, collaborate with, or autonomously perform complex development tasks across large\-scale game projects
* Create agents that can understand game engine context, assist in asset generation, debug complex systems, or simulate player behavior at scale
* Identify bottlenecks in traditional game dev (design, QA, coding, or art) and bridge the gap with AI\-driven solutions that turn weeks of manual work into hours of supervised generation
* Collaborate with gameplay engineers and technical artists to integrate these agents into our proprietary engine and toolsets
* Explore novel applications of modern AI techniques (e.g., LLMs, reinforcement learning, multi\-agent systems) to create new ways of building, iterating on, and shipping games
* Work closely with engineers, designers, artists, and technical leadership to identify high\-impact opportunities for AI\-powered transformation
* Prototype, evaluate, and iterate on experimental systems, balancing long\-term vision with practical integration into real production environments
* Help define internal platforms, tools, and architectures that enable AI agents to operate safely, effectively, and at scale within our development ecosystem
* Stay ahead of emerging research and industry advances, translating pioneering ideas into production\-ready solutions
**Who Will Be A Great Fit** 
* 5\+ years in Software Engineering, with at least 2\+ years focused specifically on AI/Machine Learning
* BS/MS in Computer Science, AI, Robotics, or a related field (or equivalent "in\-the\-trenches" experience)
* Strong background in AI, machine learning, or applied research, with experience building real\-world systems (not just models)
* Hands\-on experience with modern AI frameworks and techniques, such as large language models, agent frameworks, reinforcement learning, or hybrid symbolic/ML systems
* Excellent software engineering skills, with experience working in large, complex codebases
* Expert\-level proficiency in \*\*Python\*\* (for AI/Tools) and \*\*C\+\+\*\* (for Engine integration)
* Demonstrated success deploying agentic workflows or complex ML models into production environments
* Ability to think beyond incremental optimization and envision entirely new workflows enabled by intelligent systems
* Strong communication skills and the ability to collaborate across teams
* Passion for games, interactive systems, or creative technology is a major plus
 This is a role that can be remote and may be based anywhere in the United States. Below are the expected salary and wage ranges for applicants based in locations where the pay transparency law is in effect: California: $152,500 \- $200,00 per year. New York State (inclusive of New York City): $137,300 \- $180,000 per year. Washington: $152,500 \- $200,00 per year. New Jersey: $137,300 \- $180,000 per year. British Columbia: $135,000 \- $173,500 (CAD) per year.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To learn more about Visual Concepts and our studio locations, check out our website at www.vcentertainment.com</t>
        </is>
      </c>
    </row>
    <row r="31">
      <c r="A31" t="inlineStr">
        <is>
          <t>li-4373211034</t>
        </is>
      </c>
      <c r="B31" t="inlineStr">
        <is>
          <t>Principal ML Engineer, CoreAI</t>
        </is>
      </c>
      <c r="C31" t="inlineStr">
        <is>
          <t>Microsoft</t>
        </is>
      </c>
      <c r="D31" t="inlineStr">
        <is>
          <t>linkedin</t>
        </is>
      </c>
      <c r="E31" t="inlineStr"/>
      <c r="F31" t="inlineStr"/>
      <c r="G31" t="inlineStr">
        <is>
          <t>Redmond, WA</t>
        </is>
      </c>
      <c r="H31" t="inlineStr"/>
      <c r="I31" t="inlineStr">
        <is>
          <t>**Overview**
 You’ll help build core generative AI and multimodal capabilities that power customer\-facing AI services at global scale. In this role, you’ll combine strong software engineering with applied ML expertise to design, ship, and operate production systems—using techniques like context engineering, synthetic data generation, and rigorous evaluation/metrics to continuously improve quality. You’ll partner closely across product, research, and service engineering to deliver secure, performant improvements for enterprise customers.
 This position is in\-office, with a minimum of 3 days/week in office.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 Design, build, and operate production\-grade generative AI and multimodal systems, with end\-to\-end ownership from concept through deployment and service operations.
* Lead technical design for core GenAI capabilities (e.g., retrieval\-augmented generation, context and memory, orchestration) and make data\-driven tradeoffs across quality, latency, cost, and safety.
* Define and improve model and system quality using evaluation frameworks, experiment design, and production telemetry; ensure robust testing and regression coverage.
* Collaborate with security, privacy, and compliance partners to build solutions that meet enterprise requirements and align with Responsible AI standards and practices.
* Provide technical leadership across teams by setting direction, reviewing designs, unblocking execution, and mentoring engineers on architecture, coding standards, and ML engineering best practices.
* Partner with product and customers to understand scenarios, translate requirements into well\-designed APIs and developer experiences, and drive adoption through documentation and samples.
**Qualifications**
 Required Qualifications
* Bachelor's Degree in Computer Science or related technical field and 6\+ years technical engineering experience with coding in languages including, but not limited to, C, C\+\+, C\#, Java, JavaScript, Python or equivalent experience.
**Preferred Qualifications**
* Advanced degree in Computer Science, Machine Learning, or related field.
* Demonstrated technical leadership through influence (e.g., leading designs, setting architecture direction, mentoring engineers).
* Experience with prompt engineering, retrieval\-augmented generation (RAG), and memory/agent frameworks.
* Experience building and shipping generative AI systems (including multimodal scenarios).
* Familiarity with compliance and security standards in enterprise AI solutions.
* Track record of delivering enterprise\-facing AI products at scale.
* Experience building and operating ML/AI systems in cloud environments; familiarity with MLOps practices (Azure a plus).
* Experience partnering with cross\-functional stakeholders to define requirements and drive technical decisions.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li-4373208058</t>
        </is>
      </c>
      <c r="B32" t="inlineStr">
        <is>
          <t>Lead AI Engineer, Microsoft365</t>
        </is>
      </c>
      <c r="C32" t="inlineStr">
        <is>
          <t>Acrisure Trade Credit</t>
        </is>
      </c>
      <c r="D32" t="inlineStr">
        <is>
          <t>linkedin</t>
        </is>
      </c>
      <c r="E32" t="inlineStr"/>
      <c r="F32" t="inlineStr"/>
      <c r="G32" t="inlineStr"/>
      <c r="H32" t="inlineStr"/>
      <c r="I32"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33">
      <c r="A33" t="inlineStr">
        <is>
          <t>li-4373207105</t>
        </is>
      </c>
      <c r="B33" t="inlineStr">
        <is>
          <t>Lead AI Engineer, Microsoft365</t>
        </is>
      </c>
      <c r="C33" t="inlineStr">
        <is>
          <t>Acrisure Trade Credit</t>
        </is>
      </c>
      <c r="D33" t="inlineStr">
        <is>
          <t>linkedin</t>
        </is>
      </c>
      <c r="E33" t="inlineStr"/>
      <c r="F33" t="inlineStr"/>
      <c r="G33" t="inlineStr">
        <is>
          <t>Austin, TX</t>
        </is>
      </c>
      <c r="H33" t="inlineStr"/>
      <c r="I33"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34">
      <c r="A34" t="inlineStr">
        <is>
          <t>li-4372987797</t>
        </is>
      </c>
      <c r="B34" t="inlineStr">
        <is>
          <t>Lead AI Engineer, Microsoft365</t>
        </is>
      </c>
      <c r="C34" t="inlineStr">
        <is>
          <t>Acrisure Trade Credit</t>
        </is>
      </c>
      <c r="D34" t="inlineStr">
        <is>
          <t>linkedin</t>
        </is>
      </c>
      <c r="E34" t="inlineStr"/>
      <c r="F34" t="inlineStr"/>
      <c r="G34" t="inlineStr">
        <is>
          <t>Atlanta, GA</t>
        </is>
      </c>
      <c r="H34" t="inlineStr"/>
      <c r="I34"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35">
      <c r="A35" t="inlineStr">
        <is>
          <t>li-4372056656</t>
        </is>
      </c>
      <c r="B35" t="inlineStr">
        <is>
          <t>Senior/Staff AI Engineer</t>
        </is>
      </c>
      <c r="C35" t="inlineStr">
        <is>
          <t>RemoteHunter</t>
        </is>
      </c>
      <c r="D35" t="inlineStr">
        <is>
          <t>linkedin</t>
        </is>
      </c>
      <c r="E35" t="inlineStr"/>
      <c r="F35" t="inlineStr"/>
      <c r="G35" t="inlineStr"/>
      <c r="H35" t="inlineStr"/>
      <c r="I35" t="inlineStr">
        <is>
          <t>About the Opportunity:
 The organization is focused on enabling anyone, anywhere, to build a home using technology. Founded by experts in construction, real estate, design, and technology, the organization is transforming residential construction by streamlining the costly and inefficient homebuilding process. Technology powers every stage from start to finish, allowing homeowners to choose a location, select and personalize home plans, and complete purchases entirely online. The organization has raised $150M in capital from leading venture capitalists and is rapidly scaling operations in states including Texas, Colorado, and Florida.
 Responsibilities:
 • Define the vision for integrating AI/ML, especially LLMs, into the organization’s products and operations
 • Establish technical standards for experimentation, deployment, and evaluation of AI systems
 • Design and build scalable AI systems to handle production workloads and adapt to business growth
 • Deliver high\-quality, production\-grade code with focus on observability, maintainability, and reliability
 • Mentor engineers, review designs, and address complex AI technical challenges
 • Monitor AI industry trends and prioritize investments that deliver clear business impact
 Requirements:
 • 7\+ years of professional software engineering experience with emphasis on AI/ML systems
 • Experience shipping LLM\-powered production features including prompt engineering, RAG, evaluation frameworks, and agentic workflows
 • Proven leadership skills such as mentoring, technical direction, and problem solving for complex AI issues
 • Proficiency in Python and core ML/data libraries such as Pandas, Scikit\-learn, PyTorch/TensorFlow, and Spark
 • Ability to design systems balancing rapid experimentation with long\-term reliability and maintainability
 Benefits \&amp; Perks:
 No direct benefits or perks are specified in the provided description.
 Compensation:
 • L4 Senior ML Engineer ($143,500 \- $196,000\)
 • L5 Staff ML Engineer ($196,000 \- $227,000\)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li-4367373684</t>
        </is>
      </c>
      <c r="B36" t="inlineStr">
        <is>
          <t>Lead AI Engineer</t>
        </is>
      </c>
      <c r="C36" t="inlineStr">
        <is>
          <t>Elevance Health</t>
        </is>
      </c>
      <c r="D36" t="inlineStr">
        <is>
          <t>linkedin</t>
        </is>
      </c>
      <c r="E36" t="inlineStr"/>
      <c r="F36" t="inlineStr"/>
      <c r="G36" t="inlineStr">
        <is>
          <t>Mason, OH</t>
        </is>
      </c>
      <c r="H36" t="inlineStr"/>
      <c r="I36" t="inlineStr">
        <is>
          <t>Location: This role requires associates to be
 **in\-office 3 days per week** 
 ,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commuting distance from an office
 Please note that per our policy on hybrid/virtual work, candidates not within a reasonable commuting distance from the posting location(s) will not be considered for employment, unless an accommodation is granted as required by law.
*PLEASE NOTE: This position is not eligible for current or future visa sponsorship*
 The
 **Lead AI Engineer** 
 will drive the design, development, and deployment of AI solutions in healthcare. This role focuses on building production\-grade, compliant, and trustworthy AI systems that improve healthcare outcomes, operational efficiency, and decision\-making. You will lead AI initiatives end\-to\-end while working closely with clinical, product, data, and engineering teams in a highly regulated environment.
**How You Will Make An Impact**
* Lead the architecture and implementation of AI and Agentic AI solutions for healthcare use cases.
* Design scalable, secure, and compliant AI systems aligned with healthcare regulations.
* Establish standards for model governance, validation, monitoring, and explainability.
* May implement improvements in stability, performance, and scalability across major business\-critical systems.
* May implement processes to reduce barriers and roadblocks in projects, services, and processes in order to operate more efficiently.
* Build, train, and deploy ML and deep learning models using healthcare data (claims, EHR, clinical notes, imaging, etc.).
* Develop data pipelines for structured and unstructured healthcare data.
* Implement APIs and services to serve AI models in production environments.
* Apply and evaluate Generative AI and LLMs for healthcare use cases (clinical summarization, coding support, member engagement, operational automation).
* Develops and defines application scope and objectives and supervises the preparation of technical and/or functional specifications from with programs will be written.
* Performs technical design reviews and code reviews.
* Ensure AI solutions meet HIPAA, PHI, and data privacy requirements.
* Implement responsible AI practices including bias detection, fairness evaluation, and explainability.
* Collaborate with legal, compliance, and security teams on model governance.
* Partner with product managers, clinicians, data scientists, and business stakeholders to translate healthcare needs into AI solutions.
* Identify high\-impact healthcare AI use cases and guide prioritization.
* Communicate complex AI concepts clearly to clinical and non\-technical audiences.
* Owns the technical development environment and works on the Enterprise team.
* Leads multiple or large projects and facilitates large group JAD sessions for requirements, modeling in several disciplines.
* Mentor and guide AI engineers in best practices and healthcare\-specific considerations.
* Review code, models, and architectures.
* Contribute to hiring, onboarding, and building a high\-performing AI team.
**Minimum Requirements**
* Requires an BA/BS degree in Information Technology, Computer Science or related field of study and a minimum of 7 years related experience; multi\-platform, multi\-dimensional experience, and expert level experience with business and technical applications; or any combination of education and experience, which would provide an equivalent background.
**Preferred Skills, Capabilities And Experiences**
* 7\+ years of software engineering experience, with 4\+ years in AI/ML roles.
* Strong expertise in Python and ML frameworks (PyTorch, TensorFlow, scikit\-learn).
* Proven experience deploying AI/ML models into production healthcare environments.
* Solid understanding of:
* Machine learning and deep learning techniques.
* Model evaluation, validation, and monitoring.
* Data pipelines and feature engineering.
* Experience with cloud platforms (AWS, Azure), including secure data handling.
* Familiarity with MLOps practices (CI/CD, model versioning, drift detection).
* Strong understanding of data privacy and security principles.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37">
      <c r="A37" t="inlineStr">
        <is>
          <t>li-4372991729</t>
        </is>
      </c>
      <c r="B37" t="inlineStr">
        <is>
          <t>Lead AI Engineer, Microsoft365</t>
        </is>
      </c>
      <c r="C37" t="inlineStr">
        <is>
          <t>Acrisure Trade Credit</t>
        </is>
      </c>
      <c r="D37" t="inlineStr">
        <is>
          <t>linkedin</t>
        </is>
      </c>
      <c r="E37" t="inlineStr"/>
      <c r="F37" t="inlineStr"/>
      <c r="G37" t="inlineStr">
        <is>
          <t>Oklahoma City, OK</t>
        </is>
      </c>
      <c r="H37" t="inlineStr"/>
      <c r="I37" t="inlineStr">
        <is>
          <t>**About Acrisure**
 A global fintech leader, Acrisure empowers millions of ambitious businesses and individuals with the right solutions to grow boldly forward. Bringing cutting\-edge technology and top\-tier human support together, we connect clients with customized solutions across a range of insurance, reinsurance, payroll, benefits, cybersecurity, mortgage services – and more.
 In the last twelve years, Acrisure has grown in revenue from $38 million to almost $5 billion and employs over 19,000 colleagues in more than 20 countries. Acrisure was built on entrepreneurial spirit. Prioritizing leadership, accountability, and collaboration, we equip our teams to work at the highest levels possible.
**Job Summary**
 Acrisure is seeking a Lead Microsoft365 AI Engineer on our growing team. The Lead Microsoft365 AI Engineer is responsible for designing, delivering, and overseeing enterprise\-grade AI solutions built on Microsoft 365, Azure AI, and Copilot Studio. This role provides technical leadership, establishes standards, and drives innovation across collaboration, productivity, and automation platforms. The engineer partners with architecture, security, and business teams to ensure scalable, secure, and high‑impact AI capabilities that modernize colleague and client experiences.
**Responsibilities**
* Architect and lead development of AI, Copilot, and automation solutions across Microsoft 365 and Azure.
* Assist with the development of copilots, conversational agents, plugins, and workflow automations using Copilot Studio and Power Platform.
* Architect and lead the integration of Microsoft365 services with Azure OpenAI, Azure Functions, API Management, and internal business applications.
* Define and maintain AI engineering standards, reference architectures, and reusable components.
* Partner with security and compliance teams to ensure safe, governed, and responsible AI implementations.
* Oversee deployment, monitoring, lifecycle management, and optimization of AI and Copilot solutions.
* Provide subject\-matter expertise, mentorship, and leadership across AI and productivity engineering teams.
**Requirements**
* Deep expertise with Microsoft 365, Copilot Studio, Power Platform, and Microsoft Graph.
* Hands\-on experience with Azure AI services including Azure OpenAI and Cognitive Search.
* Relevant certifications such as Power Platform Solution Architect Expert (PL‑600\) and Azure AI Engineer Associate (AI‑102\).
* Strong software engineering skills with C\#, .NET, JavaScript/TypeScript, and PowerShell.
* Knowledge of identity, governance, security, and compliance across Microsoft cloud ecosystems.
* Experience designing conversational AI agents, prompt engineering, and grounding techniques.
* Ability to lead cross\-functional initiatives, communicate effectively, and translate complex needs into solutions.
**Education And Experience**
* Bachelor’s degree in Computer Science, Engineering, Information Systems, or related field (Master’s preferred).
* 7–10\+ years in engineering roles delivering cloud, AI, or Microsoft 365 solutions.
* 3\+ years hands‑on building conversational AI or Copilot solutions.
**Candidates should be comfortable with an on\-site presence to support collaboration, team leadership, and cross\-functional partnership.**
**Why Join Us**
 At Acrisure, we’re building more than a business, we’re building a community where people can grow, thrive, and make an impact. Our benefits are designed to support every dimension of your life, from your health and finances to your family and future.
 Making a lasting impact on the communities it serves, Acrisure has pledged more than $22 million through its partnerships with Corewell Health Helen DeVos Children's Hospital in Grand Rapids, Michigan, UPMC Children's Hospital in Pittsburgh, Pennsylvania and Blythedale Children's Hospital in Valhalla, New York.
**Employee Benefits**
 We also offer our employees a comprehensive suite of benefits and perks, including:
* Physical Wellness: Comprehensive medical insurance, dental insurance, and vision insurance; life and disability insurance; fertility benefits; wellness resources; and paid sick time.
* Mental Wellness: Generous paid time off and holidays; Employee Assistance Program (EAP); and a complimentary Calm app subscription.
* Financial Wellness: Immediate vesting in a 401(k) plan; Health Savings Account (HSA) and Flexible Spending Account (FSA) options; commuter benefits; and employee discount programs.
* Family Care: Paid maternity leave and paid paternity leave (including for adoptive parents); legal plan options; and pet insurance coverage.
* … and so much more!
*This list is not exhaustive of all available benefits. Eligibility and waiting periods may apply to certain offerings. Benefits may vary based on subsidiary entity and geographic location.*
**Acrisure is an Equal Opportunity Employer.** 
 We consider qualified applicants without regard to race, color, religion, sex, national origin, disability, or protected veteran status. Applicants may request reasonable accommodation by contacting
 *leaves@acrisure.com* 
 .
 Final candidates will be required to complete post\-offer verification processes related to the role and in accordance with applicable laws.
**California Residents:** 
 Learn more about our privacy practices for applicants by visiting the Acrisure California Applicant Privacy Policy.
**Recruitment Fraud:** 
 Please visit here to learn more about our Recruitment Fraud Notice.
**Welcome, your new opportunity awaits you.**</t>
        </is>
      </c>
    </row>
    <row r="38">
      <c r="A38" t="inlineStr">
        <is>
          <t>li-4326539217</t>
        </is>
      </c>
      <c r="B38" t="inlineStr">
        <is>
          <t>Senior Staff Machine Learning Engineer, (ML Underwriting)</t>
        </is>
      </c>
      <c r="C38" t="inlineStr">
        <is>
          <t>Affirm</t>
        </is>
      </c>
      <c r="D38" t="inlineStr">
        <is>
          <t>linkedin</t>
        </is>
      </c>
      <c r="E38" t="inlineStr"/>
      <c r="F38" t="inlineStr"/>
      <c r="G38" t="inlineStr">
        <is>
          <t>Madison, WI</t>
        </is>
      </c>
      <c r="H38" t="inlineStr"/>
      <c r="I38"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9">
      <c r="A39" t="inlineStr">
        <is>
          <t>li-4326721800</t>
        </is>
      </c>
      <c r="B39" t="inlineStr">
        <is>
          <t>Senior Staff Machine Learning Engineer, (ML Underwriting)</t>
        </is>
      </c>
      <c r="C39" t="inlineStr">
        <is>
          <t>Affirm</t>
        </is>
      </c>
      <c r="D39" t="inlineStr">
        <is>
          <t>linkedin</t>
        </is>
      </c>
      <c r="E39" t="inlineStr"/>
      <c r="F39" t="inlineStr"/>
      <c r="G39" t="inlineStr">
        <is>
          <t>St Louis, MO</t>
        </is>
      </c>
      <c r="H39" t="inlineStr"/>
      <c r="I39"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0">
      <c r="A40" t="inlineStr">
        <is>
          <t>li-4346438948</t>
        </is>
      </c>
      <c r="B40" t="inlineStr">
        <is>
          <t>Staff AI Engineer - Grafana Ops, AI/ML | USA | Remote</t>
        </is>
      </c>
      <c r="C40" t="inlineStr">
        <is>
          <t>Grafana Labs</t>
        </is>
      </c>
      <c r="D40" t="inlineStr">
        <is>
          <t>linkedin</t>
        </is>
      </c>
      <c r="E40" t="inlineStr"/>
      <c r="F40" t="inlineStr"/>
      <c r="G40" t="inlineStr"/>
      <c r="H40" t="inlineStr"/>
      <c r="I40"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from USA time zones only at this time.**
 Staff AI Engineer
**The Opportunity**
 At Grafana, we build observability tools that help users understand, respond to, and improve their systems – regardless of scale, complexity, or tech stack. The Grafana AI teams play a key role in this mission by helping users make sense of complex observability data through AI\-driven features. These capabilities reduce toil, lower the barrier of domain expertise, and surface meaningful signals from noisy environments.
 What makes our team different is
 *how* 
 we work: we operate with a high degree of autonomy and ownership, both as individuals and as a team. Engineers are empowered to make decisions, move quickly, and validate ideas early – while being supported by a deeply collaborative culture that values curiosity, feedback, and cross\-functional partnership.
 We’re looking for an AI Software Engineer with a strong software engineering background, a quick iteration mindset, and a passion for experimentation – balanced by a focus on shipping and scaling impactful features that deliver value to users. You’ll work closely with cross\-functional teams to develop, test, and ship AI\-powered features that contribute to improving infrastructure and observability quality through automation, while also expanding the capabilities of AI agents across the observability stack to assist users with incident response. As the team matures, there’s a broad opportunity to expand or redefine this role based on impact and initiative.
**What You’ll Be Doing**
* Build and deliver AI solutions: Take ownership of developing high\-performance AI features to help users detect, triage, and resolve incidents using observability data and tools.
* Rapid experimentation and iteration: Implement a highly iterative process where you quickly prototype, test, and validate with real users, including shipping and evolving LLM\- or agent\-powered workflows for incident lifecycle management and automated analysis tasks.
* Collaborate cross\-functionally: Work with data analysts, product managers, and designers to shape AI\-driven product features, including integration of agentic components with internal tools, alerting systems, runbooks, and developer workflows.
* Utilize AI tools effectively: Use AI and automation tools to enhance both product functionality and your own development workflows.
* Effective communication: You’ll be working in a highly dynamic and collaborative environment, so we need someone who can communicate effectively and contribute across teams.
* Ownership and impact: Take full ownership of the AI solutions you develop, ensuring they are not only innovative but also scalable, maintainable, and aligned with real user workflows.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Makes You a Great Fit**
* Strong engineering skills: Solid experience building production software systems (backend and / or full stack). You’re a self\-starter, capable of tackling complex engineering problems with minimal supervision.
* AI experience with a practical mindset: You’re familiar with AI technologies and frameworks, and you focus on delivering high\-quality solutions that work in the real world, not just in theory.
* Quick iteration and experimentation: You’re comfortable releasing prototypes, collecting feedback, and iterating with a pragmatic mindset.
* Proven initiative: You take ownership and drive projects forward, pushing boundaries to find the most impactful solutions. You can deal with ambiguity and are able to define scope where things are loosely defined.
* Collaborative attitude: You communicate effectively with peers, product managers, and designers. You’re open to feedback, and you bring a solutions\-oriented mindset to the table.
**Requirements**
* Experience with LLMs, prompt engineering, and building applications powered by GenAI.
* Proven track record of delivering software that made it into production and is actively used by users.
* Exposure to working in cloud\-native environments (e.g., AWS, GCP, Azure).
* Experience using observability tools to understand and troubleshoot system behavior.
**Bonus Points For**
* Experience building or working with agent frameworks or multi‑agent workflows.
* Experience with infrastructure / devops related tooling: Kubernetes, Docker, Terraform or similar for deployments.
* Familiarity with model fine\-tuning techniques.
* Experience building observability tooling.
**Compensation \&amp; Rewards**
 In the United States, the Base compensation range for this role is USD 174,986 \- USD 209,983\. Actual compensation may vary based on level, experience, and skillset as assessed in the interview process. Benefits include equity, bonus (if applicable) and other benefits listed here.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41">
      <c r="A41" t="inlineStr">
        <is>
          <t>li-4305064919</t>
        </is>
      </c>
      <c r="B41" t="inlineStr">
        <is>
          <t>Lead Applied Scientist</t>
        </is>
      </c>
      <c r="C41" t="inlineStr">
        <is>
          <t>AirOps</t>
        </is>
      </c>
      <c r="D41" t="inlineStr">
        <is>
          <t>linkedin</t>
        </is>
      </c>
      <c r="E41" t="inlineStr"/>
      <c r="F41" t="inlineStr"/>
      <c r="G41" t="inlineStr"/>
      <c r="H41" t="inlineStr"/>
      <c r="I41" t="inlineStr">
        <is>
          <t>**About AirOps**
 AirOps is the first end\-to\-end content engineering platform built for the AI era. In a world where discovery is shifting from traditional search to AI\-driven platforms, we help brands get found—and stay found. We are currently in a phase of hyper\-growth, having 5x’d our revenue in the last year by helping marketing teams at Ramp, Chime, Carta, and Rippling turn content quality into a durable competitive advantage.
 Our platform equips marketers to navigate the new discovery landscape, prioritize high\-impact opportunities, and create accurate, on\-brand content that earns citations from AI and trust from humans. Backed by Greylock, Unusual Ventures, Wing VC, and Founder Collective, we are building the intelligent systems that will empower the next generation of marketing leaders. AirOps is headquartered in San Francisco, New York and Montevideo.
**About The Role**
 As Lead Applied Scientist at AirOps, you'll shape how brands win in AI\-driven search environments through advanced machine learning and data science. This role combines technical depth with strategic thinking: you'll build production\-grade ML systems that directly impact how companies create and optimize content for AI agents and improve their search visibility. You'll work at the intersection of NLP, search algorithms, and large language models to create solutions that help content teams drive measurable business results.
 This is a hands\-on leadership position where you'll both architect systems and write code. You'll partner with product, engineering, and customer success teams to identify opportunities where ML can transform our platform's capabilities. Your work will directly influence how thousands of brands adapt to the rapidly changing search landscape where AI shapes discovery and engagement.
**Key Responsibilities**
**Technical Leadership:** 
 Design and deploy end\-to\-end machine learning systems including NLP models, search and recommendation algorithms, and LLM\-based applications.
**Search and Content Intelligence:** 
 Build ML systems that analyze AI search behavior, identify content opportunities, and predict performance across different AI\-driven platforms. Create algorithms that help brands understand and optimize for how AI agents discover and rank content.
**Cross\-functional Partnership:** 
 Collaborate with product managers to translate business requirements into technical solutions.
**Qualifications**
* 5\+ years building production machine learning systems with demonstrated business impact; strong background in NLP and search/recommendation systems required
* Deep expertise across ML approaches: classical models (XGBoost, random forests), modern deep learning architectures (transformers, graph neural networks), and reinforcement learning systems
* Proven ability to take models from research to production, including optimization for latency and cost at scale
* Experience with ML infrastructure and tooling: model serving frameworks, experiment tracking, feature stores, and monitoring systems
* Track record of technical leadership: influencing architecture decisions, improving team practices, and driving cross\-functional projects without direct authority
* Excellent communication skills with ability to explain complex technical concepts to non\-technical stakeholders and align ML initiatives with business outcomes
**Our Guiding Principles**
* Extreme Ownership
* Quality
* Curiosity and Play
* Make Our Customers Heroes
* Respectful Candor
**Benefits**
* Equity in a fast\-growing startup
* Competitive benefits package tailored to your location
* Flexible time off policy
* Parental Leave
* A fun\-loving and (just a bit) nerdy team that loves to move fast!</t>
        </is>
      </c>
    </row>
    <row r="42">
      <c r="A42" t="inlineStr">
        <is>
          <t>li-4355384375</t>
        </is>
      </c>
      <c r="B42" t="inlineStr">
        <is>
          <t>Applied AI Engineer</t>
        </is>
      </c>
      <c r="C42" t="inlineStr">
        <is>
          <t>Oscar Health</t>
        </is>
      </c>
      <c r="D42" t="inlineStr">
        <is>
          <t>linkedin</t>
        </is>
      </c>
      <c r="E42" t="inlineStr"/>
      <c r="F42" t="inlineStr"/>
      <c r="G42" t="inlineStr">
        <is>
          <t>New York, NY</t>
        </is>
      </c>
      <c r="H42" t="inlineStr"/>
      <c r="I42" t="inlineStr">
        <is>
          <t>Hi, we're Oscar. We're hiring an Applied AI Engineer to join our AI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Join Oscar’s AI team to build and launch transformative AI\-powered products that redefine the healthcare experience for millions. As an Applied AI Engineer, you’ll take end\-to\-end ownership of high\-impact projects—conceiving, prototyping, and deploying generative AI solutions that solve real\-world problems across the healthcare ecosystem.You’ll work alongside a world\-class team of engineers and data scientists, rapidly iterating on ideas and shipping production\-ready applications that drive measurable business and user outcomes. You’ll have the autonomy to identify opportunities, experiment with the latest AI models and techniques, and deliver solutions that streamline operations, improve patient experiences, and move the needle for Oscar and our members.
 You will report to the Sr. Director, AI.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$180,504 \- $236,911 per year. You are also eligible for employee benefits, participation in Oscar’s unlimited vacation program, company equity grants, and annual performance bonuses.
**Responsibilities**
* Lead the design, development, and deployment of AI\-driven products and features, from zero\-to\-one prototypes to robust production systems.
* Collaborate cross\-functionally with product, design, and business teams to deeply understand user needs and deliver solutions that move key metrics.
* Rapidly experiment with new models, techniques, and tools (including LLMs, RAG, and agentic workflows), iterating based on data and user feedback.
* Build and scale full\-stack applications and intelligent agents that automate complex healthcare workflows and deliver seamless user experiences.
* Stay on the cutting edge of the AI ecosystem, evaluating and integrating emerging technologies to keep Oscar at the forefront of healthcare innovation.
* Contribute to Oscar’s AI strategy and technical vision, helping shape the future of healthcare through technology.
* Other duties as assigned
**Qualifications**
* 7\+ years of professional experience in software engineering, data science, or a related field, with a track record of impactful accomplishments
* Strong Python programming skills
* Experience solving complex, ambiguous problems
* Experience designing and analyzing experiments or evaluations
* Experience or an interest in prototyping full\-stack applications
**Bonus Points**
* Experience with the healthcare industry. Familiarity with claims or clinical data.
* Degree in math, statistics, data science, or engineering.
* Our ideal candidate is a data scientist with an engineering background, an engineer with a data science background, or a founder\-type who combines product thinking, rapid prototyping, and hands\-on coding to deliver real\-world impact.
* Experience with NLP, neural networks, transformers, and modern AI frameworks.
* Knowledge of containerization and deployment tools (e.g., Docker, Kubernetes) or full\-stack development (e.g., React, Golang).
* Experimental mindset: comfort with testing hypotheses and iterating on failures.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43">
      <c r="A43" t="inlineStr">
        <is>
          <t>li-4337037609</t>
        </is>
      </c>
      <c r="B43" t="inlineStr">
        <is>
          <t>Applied Scientist II, Prime Video Personalization and Discovery Science</t>
        </is>
      </c>
      <c r="C43" t="inlineStr">
        <is>
          <t>Prime Video &amp; Amazon MGM Studios</t>
        </is>
      </c>
      <c r="D43" t="inlineStr">
        <is>
          <t>linkedin</t>
        </is>
      </c>
      <c r="E43" t="inlineStr"/>
      <c r="F43" t="inlineStr"/>
      <c r="G43" t="inlineStr">
        <is>
          <t>New York, United States</t>
        </is>
      </c>
      <c r="H43" t="inlineStr"/>
      <c r="I4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A3129475</t>
        </is>
      </c>
    </row>
    <row r="44">
      <c r="A44" t="inlineStr">
        <is>
          <t>li-4312542916</t>
        </is>
      </c>
      <c r="B44" t="inlineStr">
        <is>
          <t>Applied Scientist II, Prime Video Personalization and Discovery Science</t>
        </is>
      </c>
      <c r="C44" t="inlineStr">
        <is>
          <t>Prime Video &amp; Amazon MGM Studios</t>
        </is>
      </c>
      <c r="D44" t="inlineStr">
        <is>
          <t>linkedin</t>
        </is>
      </c>
      <c r="E44" t="inlineStr"/>
      <c r="F44" t="inlineStr"/>
      <c r="G44" t="inlineStr">
        <is>
          <t>New York, United States</t>
        </is>
      </c>
      <c r="H44" t="inlineStr"/>
      <c r="I44"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A3046662</t>
        </is>
      </c>
    </row>
    <row r="45">
      <c r="A45" t="inlineStr">
        <is>
          <t>li-4337602404</t>
        </is>
      </c>
      <c r="B45" t="inlineStr">
        <is>
          <t>Senior Applied Scientist, Sponsored Products and Brands</t>
        </is>
      </c>
      <c r="C45" t="inlineStr">
        <is>
          <t>Amazon</t>
        </is>
      </c>
      <c r="D45" t="inlineStr">
        <is>
          <t>linkedin</t>
        </is>
      </c>
      <c r="E45" t="inlineStr"/>
      <c r="F45" t="inlineStr"/>
      <c r="G45" t="inlineStr">
        <is>
          <t>Seattle, WA</t>
        </is>
      </c>
      <c r="H45" t="inlineStr"/>
      <c r="I45"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46">
      <c r="A46" t="inlineStr">
        <is>
          <t>li-4365620967</t>
        </is>
      </c>
      <c r="B46" t="inlineStr">
        <is>
          <t>Applied Scientist, Sales AI</t>
        </is>
      </c>
      <c r="C46" t="inlineStr">
        <is>
          <t>Amazon</t>
        </is>
      </c>
      <c r="D46" t="inlineStr">
        <is>
          <t>linkedin</t>
        </is>
      </c>
      <c r="E46" t="inlineStr"/>
      <c r="F46" t="inlineStr"/>
      <c r="G46" t="inlineStr">
        <is>
          <t>Sunnyvale, CA</t>
        </is>
      </c>
      <c r="H46" t="inlineStr"/>
      <c r="I46"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Generative AI and quantitative modeling (forecasting, recommender systems, reinforcement learning, causal inferencing or generative artificial intelligence) to build and refine models that can be implemented in production. You will contribute to chart new courses with our ad sales support technologies, and you have the communication skills necessary to explain complex technical approaches to a variety of stakeholders and customers. You will be part of a team of fellow scientists and engineers taking on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A3165830</t>
        </is>
      </c>
    </row>
    <row r="47">
      <c r="A47" t="inlineStr">
        <is>
          <t>li-4363887336</t>
        </is>
      </c>
      <c r="B47" t="inlineStr">
        <is>
          <t>Senior Applied Scientist</t>
        </is>
      </c>
      <c r="C47" t="inlineStr">
        <is>
          <t>Microsoft</t>
        </is>
      </c>
      <c r="D47" t="inlineStr">
        <is>
          <t>linkedin</t>
        </is>
      </c>
      <c r="E47" t="inlineStr"/>
      <c r="F47" t="inlineStr"/>
      <c r="G47" t="inlineStr">
        <is>
          <t>Redmond, WA</t>
        </is>
      </c>
      <c r="H47" t="inlineStr"/>
      <c r="I47" t="inlineStr">
        <is>
          <t>**Overview**
 The Field Service Scheduling team within Business \&amp; Industry Copilots (BIC) seeks a Senior Applied Scientist to help realize our vision of building a state\-of\-the\-art scheduling service that sets the standard for our industry.
 We are looking for someone who combines technical excellence with innovation and impact, and who will drive the development of advanced scheduling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candidate should have:
* Optimization experience with scheduling algorithms
* Stay abreast of state\-of\-the\-art approaches (including deep learning models) to address vehicle routing problems.
* You will be a member of the product team, designing experiments, creating benchmarks and identifying success metrics, and writing production code to implement the scheduling algorithm(s) with high quality.
* Collaborate closely with research organizations to bridge the gap between research and practice.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Travel: Occasional travel (0% to 25%) is expected in this role.
**Preferred Qualifications**
* Master’s or PhD focus in Artificial Intelligence (Planning and Scheduling), Operations Research
+ (OR) or a related field.
* Background in Multi\-agent Planning and Scheduling and/or Operations Research.
* Experience running your algorithms in a production environment and responding to customer inquiries.
* Experience in reinforcement learning.
* Experience in Genetic / heuristic scheduling algorithms.
* Proven experience in solving vehicle routing problems.
* Demonstrated analytical abilities to dissect complex problems and propose effective solutions.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li-4312551449</t>
        </is>
      </c>
      <c r="B48" t="inlineStr">
        <is>
          <t>Sr. Applied Scientist, Prime Video - Personalization and Discovery Science</t>
        </is>
      </c>
      <c r="C48" t="inlineStr">
        <is>
          <t>Prime Video &amp; Amazon MGM Studios</t>
        </is>
      </c>
      <c r="D48" t="inlineStr">
        <is>
          <t>linkedin</t>
        </is>
      </c>
      <c r="E48" t="inlineStr"/>
      <c r="F48" t="inlineStr"/>
      <c r="G48" t="inlineStr">
        <is>
          <t>Seattle, WA</t>
        </is>
      </c>
      <c r="H48" t="inlineStr"/>
      <c r="I4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A3084479</t>
        </is>
      </c>
    </row>
    <row r="49">
      <c r="A49" t="inlineStr">
        <is>
          <t>li-4372995882</t>
        </is>
      </c>
      <c r="B49" t="inlineStr">
        <is>
          <t>Principal Applied Scientist</t>
        </is>
      </c>
      <c r="C49" t="inlineStr">
        <is>
          <t>Microsoft</t>
        </is>
      </c>
      <c r="D49" t="inlineStr">
        <is>
          <t>linkedin</t>
        </is>
      </c>
      <c r="E49" t="inlineStr"/>
      <c r="F49" t="inlineStr"/>
      <c r="G49" t="inlineStr">
        <is>
          <t>Redmond, WA</t>
        </is>
      </c>
      <c r="H49" t="inlineStr"/>
      <c r="I49" t="inlineStr">
        <is>
          <t>**Overview**
 The Microsoft Content Product team is looking for a passionate ML scientist to join our Core Recommendation and Content Generation team. This opportunity truly is exciting as the project we're working on has the potential to define the future of content services for Microsoft. Imagine a scenario where billions of users around the world can discover content they care about and start new conversations with their friends, family, and colleagues \- this is what we're creating! Today, Windows has close to 1 billion monthly active users, and Outlook, Teams, Edge, and Bing also have hundreds of millions of users plus the partnership with third party, the presents a huge opportunity to engage users with content worldwide.
 Are you an experienced ML scientist who is seeking an opportunity to expand and apply your existing knowledge in LLM and NLP? Do you want to challenge yourself and pursue the latest ideas while changing the way millions of people do local search every day? Do you want to build scalable services using state of art deep learning that can truly help users using Windows/Bing in mobile and desktop? If so, this is a great opportunity with real customer impact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Participate in design, implementation, and execution across a variety of features, including directly building SOTA LLM models.
* Drive architectural changes into the product to expand our footprint and increase developer agility.
* Invest in others’ growth, mentor team members, and help build a highly capable team.
* Regularly communicate team progress internally and evangelize progress and opportunities to a wider audience including management and leadership.
* Drive innovations in AIGC applications, ranking and recommendation algorithms.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**Additional Or Preferred Qualifications**
 2\+ years experience presenting at conferences or other events in the outside research/industry community as an invited speaker.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At least 8\+ years of industry software development experience coding in C/C\+\+, C\#, Java and/or Python.
* Solid knowledge in deep learning computational graph frameworks, such as TensorFlow/Pytorch.
* Experience in LLM including fine tuning, evaluation for product scenarios
* Experience working through full product cycles from initial design to final product delivery.
* Experience developing and designing backgrounds in multi\-tiered distributed services.
* Experience with data structures, algorithms, asynchronous programming, and data processing
* Experience developing end to end ML/DL systems.
* Knowledge and experience in large scale data analytics, such as Spark.
* An undergraduate or graduate degree in computer science or related technical discipline.
* At least 6\+ years of industry software development experience coding in C/C\+\+, C\#, Java and/or Python.
* Experience applying LLM techniques or Recommendation system.
* Tech lead on critical project related to recommendation or AIGC scenarios.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li-4364563637</t>
        </is>
      </c>
      <c r="B50" t="inlineStr">
        <is>
          <t>Robotics AI Engineer (Entry-Level)</t>
        </is>
      </c>
      <c r="C50" t="inlineStr">
        <is>
          <t>Benda Infotech</t>
        </is>
      </c>
      <c r="D50" t="inlineStr">
        <is>
          <t>linkedin</t>
        </is>
      </c>
      <c r="E50" t="inlineStr"/>
      <c r="F50" t="inlineStr"/>
      <c r="G50" t="inlineStr">
        <is>
          <t>Chicago, IL</t>
        </is>
      </c>
      <c r="H50" t="inlineStr"/>
      <c r="I50" t="inlineStr">
        <is>
          <t>**Description**
 Benda Infotech is excited to announce an opportunity for an Entry\-Level Robotics AI Engineer to join our innovative team in Chicago. This full\-time, on\-site position is perfect for recent graduates or those looking to kickstart their careers in the rapidly evolving field of robotics and artificial intelligence.
 In this role, you will contribute to developing intelligent robotics systems that enhance automation and efficiency across various applications. You'll collaborate with experienced engineers and researchers on exciting projects that push the boundaries of technology. We offer a competitive salary range of $71,000 \- $94,000 annually, along with a supportive work environment that fosters professional growth and development.
**Responsibilities**
* Assist in the design and development of robotics AI systems
* Collaborate with senior engineers to implement algorithms for machine learning and perception
* Participate in testing and debugging of robotics systems
* Contribute to project documentation and reporting
* Support the integration of AI models into robotic platforms
* Engage in continuous learning and professional development opportunities
* Work collaboratively in a team environment to achieve project goals
* Stay updated with the latest trends and technologies in robotics and AI
**Requirements**
* Bachelor's degree in Computer Science, Robotics, Engineering, or a related field
* Familiarity with programming languages such as Python, C\+\+, or Java
* Understanding of machine learning concepts and algorithms
* Basic knowledge of robotics hardware and software systems
* Strong analytical and problem\-solving skills
* Ability to work effectively in a team\-oriented environment
* Excellent communication skills, both written and verbal
* Passion for technology and eagerness to learn and grow in the field</t>
        </is>
      </c>
    </row>
    <row r="51">
      <c r="A51" t="inlineStr">
        <is>
          <t>li-4373209308</t>
        </is>
      </c>
      <c r="B51" t="inlineStr">
        <is>
          <t>Machine Learning Engineer</t>
        </is>
      </c>
      <c r="C51" t="inlineStr">
        <is>
          <t>Hirenza</t>
        </is>
      </c>
      <c r="D51" t="inlineStr">
        <is>
          <t>linkedin</t>
        </is>
      </c>
      <c r="E51" t="inlineStr"/>
      <c r="F51" t="inlineStr"/>
      <c r="G51" t="inlineStr"/>
      <c r="H51" t="inlineStr"/>
      <c r="I51" t="inlineStr">
        <is>
          <t>**About The Company**
 Pony.ai is a leading autonomous driving technology company dedicated to developing safe, reliable, and scalable self\-driving solutions. Founded with the vision to revolutionize transportation, Pony.ai leverages cutting\-edge artificial intelligence, machine learning, and sensor technologies to create autonomous vehicles capable of navigating complex urban environments. The company's innovative approach combines rigorous safety standards with advanced technological development, positioning Pony.ai at the forefront of the autonomous vehicle industry. With a global presence and strategic partnerships, Pony.ai is committed to making mobility safer, more efficient, and accessible for all.
**About The Role**
 The Autonomous Systems Engineer will play a critical role in the development, testing, and deployment of Pony.ai’s autonomous driving systems. This position requires a highly skilled professional with a strong background in robotics, software engineering, or related fields. The successful candidate will work closely with cross\-functional teams to design, implement, and optimize algorithms that enable autonomous vehicles to perceive, interpret, and safely navigate their environment. This role offers an exciting opportunity to contribute to groundbreaking technology that is shaping the future of transportation. The ideal candidate will be passionate about innovation, safety, and the pursuit of excellence in autonomous driving solutions.
**Qualifications**
* Bachelor’s or Master’s degree in Robotics, Computer Science, Electrical Engineering, or a related field.
* Proven experience in autonomous systems development, sensor fusion, or related areas.
* Strong programming skills in C\+\+, Python, or similar languages.
* Experience with ROS, Linux, and embedded systems.
* Familiarity with machine learning frameworks and perception algorithms.
* Excellent problem\-solving skills and the ability to work effectively in a collaborative environment.
* Knowledge of automotive standards and safety protocols is a plus.
**Responsibilities**
* Design, develop, and optimize perception, localization, and planning algorithms for autonomous vehicles.
* Collaborate with hardware and software teams to integrate sensor data and improve system robustness.
* Conduct simulations and real\-world testing to validate system performance and safety.
* Participate in code reviews, documentation, and continuous improvement initiatives.
* Analyze system data to identify issues and implement effective solutions.
* Stay current with industry trends, emerging technologies, and regulatory requirements related to autonomous driving.
* Support the deployment and operational phases of autonomous vehicle fleets.
**Benefits**
 Pony.ai offers a comprehensive benefits package designed to support the well\-being and professional growth of its employees. Employees enjoy competitive salaries, health insurance coverage, and retirement plans. The company promotes a collaborative and innovative work environment, encouraging continuous learning and development through training programs and conferences. Employees have access to flexible work arrangements and wellness initiatives aimed at maintaining a healthy work\-life balance. Additionally, Pony.ai provides opportunities for career advancement, engaging in pioneering projects that have a tangible impact on the future of mobility.
 Equal Opportunity
 Pony.ai is an equal opportunity employer committed to fostering an inclusive environment for all employees. We do not discriminate based on race, color, religion, gender, sexual orientation, gender identity or expression, national origin, age, disability, or any other protected status. We believe diversity drives innovation and are dedicated to creating a workplace where everyone feels valued and empowered to contribute their best.</t>
        </is>
      </c>
    </row>
    <row r="52">
      <c r="A52" t="inlineStr">
        <is>
          <t>li-4361329433</t>
        </is>
      </c>
      <c r="B52" t="inlineStr">
        <is>
          <t>Machine Learning Engineer - Ranking &amp; Recommendations</t>
        </is>
      </c>
      <c r="C52" t="inlineStr">
        <is>
          <t>Uber</t>
        </is>
      </c>
      <c r="D52" t="inlineStr">
        <is>
          <t>linkedin</t>
        </is>
      </c>
      <c r="E52" t="inlineStr"/>
      <c r="F52" t="inlineStr"/>
      <c r="G52" t="inlineStr">
        <is>
          <t>New York, NY</t>
        </is>
      </c>
      <c r="H52" t="inlineStr"/>
      <c r="I52"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3">
      <c r="A53" t="inlineStr">
        <is>
          <t>li-4301708076</t>
        </is>
      </c>
      <c r="B53" t="inlineStr">
        <is>
          <t>ML Engineer - Platform</t>
        </is>
      </c>
      <c r="C53" t="inlineStr">
        <is>
          <t>Luma AI</t>
        </is>
      </c>
      <c r="D53" t="inlineStr">
        <is>
          <t>linkedin</t>
        </is>
      </c>
      <c r="E53" t="inlineStr"/>
      <c r="F53" t="inlineStr"/>
      <c r="G53" t="inlineStr">
        <is>
          <t>Palo Alto, CA</t>
        </is>
      </c>
      <c r="H53" t="inlineStr"/>
      <c r="I53" t="inlineStr">
        <is>
          <t>**About Luma AI**
 Luma's mission is to build multimodal AI to expand human imagination and capabilities. We believe that multimodality is critical for intelligence. To go beyond language models and build more aware, capable and useful systems, the next step function change will come from vision. So we are working on training and scaling up multimodal foundation models for systems that can see and understand, show and explain, and eventually interact with our world to effect change.
**Where You Come In**
 This is a rare opportunity to build the foundational infrastructure that powers our large\-scale multimodal models. We believe that reliable, high\-performance infrastructure is the single biggest differentiating factor between success and failure in achieving our mission. You will be a foundational member of the team, designing the critical systems that allow us to train and serve next\-generation AI to millions of users.
**What You'll Do**
 This is a 0\-to\-1 opportunity, not a maintenance role. You will have massive ownership to:
* Architect end\-to\-end model serving pipelines and integrate new model architectures from our research team into our core, high\-throughput inference engine.
* Build robust and sophisticated scheduling systems to manage jobs based on cluster availability and user priority, ensuring we optimally leverage thousands of expensive GPU resources.
* Design and implement dynamic, traffic\-based systems for hotswapping models on our GPU workers to maximize fleet efficiency and meet product SLOs.
* Own the end\-to\-end CI/CD pipelines, including creating a resilient artifact store to manage all model checkpoints across multiple versions and providers.
* Develop and maintain user\-friendly APIs and interaction patterns that empower our product and research teams to ship groundbreaking features at high velocity.
* Manage and optimize our complex inference workloads at scale, operating across multiple clusters and hardware providers.
**Who You Are**
 We are looking for a world\-class builder who has a proven history of creating and managing large\-scale, high\-performance systems. You are a non\-negotiable fit if you have:
* 5\+ years of professional engineering experience with deep, hands\-on proficiency in Python and complex distributed systems architecture.
* Extensive, practical experience building and managing systems at scale, specifically with queues, scheduling, traffic\-control, and fleet management.
* Deep expertise in our core infrastructure stack: Linux, Docker, and Kubernetes.
* Strong experience with Redis, S3\-compatible storage, and public cloud platforms (AWS).
**What Sets You Apart (Bonus Points)**
 You'll stand out as an exceptional candidate if you also bring:
* Experience with high\-performance, large\-scale ML systems (managing \&gt;100 GPUs).
* Deep familiarity with PyTorch and CUDA.
* Experience with modern networking stacks, including RDMA (RoCE, Infiniband, NVLink).
* Familiarity with FFmpeg and multimedia processing pipelines.</t>
        </is>
      </c>
    </row>
    <row r="54">
      <c r="A54" t="inlineStr">
        <is>
          <t>li-4341492874</t>
        </is>
      </c>
      <c r="B54" t="inlineStr">
        <is>
          <t>AI Engineer- Gen AI/SWE- Weights &amp; Biases</t>
        </is>
      </c>
      <c r="C54" t="inlineStr">
        <is>
          <t>Weights &amp; Biases</t>
        </is>
      </c>
      <c r="D54" t="inlineStr">
        <is>
          <t>linkedin</t>
        </is>
      </c>
      <c r="E54" t="inlineStr"/>
      <c r="F54" t="inlineStr"/>
      <c r="G54" t="inlineStr">
        <is>
          <t>Sunnyvale, CA</t>
        </is>
      </c>
      <c r="H54" t="inlineStr"/>
      <c r="I54"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5">
      <c r="A55" t="inlineStr">
        <is>
          <t>li-4346975115</t>
        </is>
      </c>
      <c r="B55" t="inlineStr">
        <is>
          <t>AI//ML Engineer (NLP &amp; Computer Vision)</t>
        </is>
      </c>
      <c r="C55" t="inlineStr">
        <is>
          <t>Motion Recruitment</t>
        </is>
      </c>
      <c r="D55" t="inlineStr">
        <is>
          <t>linkedin</t>
        </is>
      </c>
      <c r="E55" t="inlineStr"/>
      <c r="F55" t="inlineStr"/>
      <c r="G55" t="inlineStr">
        <is>
          <t>San Francisco, CA</t>
        </is>
      </c>
      <c r="H55" t="inlineStr"/>
      <c r="I55" t="inlineStr">
        <is>
          <t>This company is hiring a full\-time ML // AI Engineer to work on\-site in San Francisco, building production machine learning systems for large enterprise customers. The work sits at the intersection of applied ML, NLP, LLMs, and real\-world systems engineering, using Python to process unstructured signals like OCR output, application metadata, and behavioral telemetry at scale.
 This is a true zero\-to\-one role. You’ll design and ship models that turn noisy enterprise data into measurable insight, where accuracy, latency, and cost all matter. They’re looking for someone who’s comfortable with ambiguity, enjoys hard problems without a playbook, and wants real ownership. In return, you’ll get deep technical growth, direct exposure to founders and customers, and the chance to build systems that are actively used by Fortune 500 organizations.
**Required Skills \&amp; Experience**
* Strong Python skills and solid software engineering fundamentals
* Hands\-on experience building classification and NLP systems
* Expertise in prompt design and optimization for LLMs (few\-shot strategies, token efficiency, reasoning scaffolding)
* Experience designing evaluation frameworks, including ground truth creation, A/B testing, and accuracy analysis
* Production ML experience: deployment, monitoring, and performance tuning
* Comfort navigating ambiguity and unexplored technical terrain
**Desired Skills \&amp; Experience**
* Experience with hybrid ML and rule\-based architecture
* Background in OCR, document intelligence, or computer vision
* Proven approaches to cost control in LLM\-centric systems
* Experience with PyTorch or similar frameworks
* Familiarity with process mining or workflow analytics
* A track record of shipping ML systems that operate at scale under real constraints
* Personal projects that demonstrate technical depth and curiosity
**What You Will Be Doing**
 Tech Breakdown
* 50% NLP
* 50% LLM Orchestration
 Daily Responsibilities
* 50% Hands On
* 50% Team Collaboration
**The Offer**
**You Will Receive The Following Benefits**
* Medical, Dental, and Vision Insurance
* Vacation Time
* Equity
 Applicants must be currently authorized to work in the US on a full\-time basis now and in the future.
**Posted By:** 
 Charles Deuter</t>
        </is>
      </c>
    </row>
    <row r="56">
      <c r="A56" t="inlineStr">
        <is>
          <t>li-4326834928</t>
        </is>
      </c>
      <c r="B56" t="inlineStr">
        <is>
          <t>Sr. Automotive Machine learning engineer</t>
        </is>
      </c>
      <c r="C56" t="inlineStr">
        <is>
          <t>Qualcomm</t>
        </is>
      </c>
      <c r="D56" t="inlineStr">
        <is>
          <t>linkedin</t>
        </is>
      </c>
      <c r="E56" t="inlineStr"/>
      <c r="F56" t="inlineStr"/>
      <c r="G56" t="inlineStr">
        <is>
          <t>San Diego, CA</t>
        </is>
      </c>
      <c r="H56" t="inlineStr"/>
      <c r="I56" t="inlineStr">
        <is>
          <t>**Company**
 Qualcomm Technologies, Inc.
**Job Area**
 Engineering Group, Engineering Group \&gt; Machine Learning Engineering
**General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Design, implement, and maintain software components running on DSP/NSP processors to meet product goals for latency, throughput, power, robustness, and stability on automotive platforms.
* Translate architecture guidance into clear module designs, APIs/IDLs, and tests; author concise design docs that enable review and execution.
* Profile end\-to\-end compute paths (CPU↔NSP/DSP), identify bottlenecks using SDK profilers/debuggers, and land measurable performance and power improvements.
* Optimize memory usage and scheduling (e.g., tightly\-coupled memory, caching strategies, thread priorities) to achieve target KPIs for real\-world workloads.
* Contribute to SDKs, developer tools, samples, and documentation that streamline application development and partner integrations on our AI software stack.
* Collaborate with Platform drivers, virtualization, power/performance, and system teams to align resource provisioning, scheduling, and reliability with feature needs.
* Write high\-quality, production\-ready code with defensive techniques, fault handling, diagnostics, and long\-haul stability tests suitable for automotive deployments.
* Engage with automotive OEMs, Tier‑1s, and ISVs to triage, reproduce, root‑cause, and resolve integration issues in owned modules; deliver patches and guidance.
* Participate in code/design reviews, uphold coding standards and safety/quality practices, and contribute to continuous improvement of team processes.
* Provide data\-driven inputs (requirements, prototypes, benchmarks) that inform next\-generation DSP/NSP software architecture and tooling.
* Maintain clear change logs and documentation; ensure backward compatibility, versioning discipline, and handoffs across internal/external stakeholders.
* Support release readiness with test coverage, automation, and performance/stability sign\-offs for the features you own.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7">
      <c r="A57" t="inlineStr">
        <is>
          <t>li-4365421770</t>
        </is>
      </c>
      <c r="B57" t="inlineStr">
        <is>
          <t>Senior Machine Learning Engineer</t>
        </is>
      </c>
      <c r="C57" t="inlineStr">
        <is>
          <t>General Motors</t>
        </is>
      </c>
      <c r="D57" t="inlineStr">
        <is>
          <t>linkedin</t>
        </is>
      </c>
      <c r="E57" t="inlineStr"/>
      <c r="F57" t="inlineStr"/>
      <c r="G57" t="inlineStr">
        <is>
          <t>Washington, United States</t>
        </is>
      </c>
      <c r="H57" t="inlineStr"/>
      <c r="I57" t="inlineStr">
        <is>
          <t>**Job Description**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Senior ML Engineer, you will collaborate closely with machine learning engineers, research scientists, and other partners to develop state\-of\-the\-art AI solutions that enable the future of intelligent driving technologies across General Motors vehicles.
**What You'll Do:**
* Design and development of scalable, reliable, high\-performance ML framework to support model training at scale.
* Model training performance analysis and optimization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degree or higher in Computer Science or equivalent major OR equivalent relevant experience
* 3\+ years professional software engineering experience
* 2\+ years specialized experience in AI/ML infrastructure, e.g., enabling distributed training for scaling large ML models
* Strong programming skills in Python, with proficiency in frameworks such as,PyTorch (preferred),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5\+ years of professional software engineering experience.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 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\[Mountain View, Sunnyvale, Detroit, Warren, Milford], you are expected to report to that location three times a week, at minimum (up to HM's discretion).
 This role is based remotely, but if the selected candidate lives within a specific mile radius of a GM hub, they will be expected to report to the location three times a week {or other frequency dictated by your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58">
      <c r="A58" t="inlineStr">
        <is>
          <t>li-4333232747</t>
        </is>
      </c>
      <c r="B58" t="inlineStr">
        <is>
          <t>Senior ML Engineer - Perception</t>
        </is>
      </c>
      <c r="C58" t="inlineStr">
        <is>
          <t>General Motors</t>
        </is>
      </c>
      <c r="D58" t="inlineStr">
        <is>
          <t>linkedin</t>
        </is>
      </c>
      <c r="E58" t="inlineStr"/>
      <c r="F58" t="inlineStr"/>
      <c r="G58" t="inlineStr">
        <is>
          <t>Mountain View, CA</t>
        </is>
      </c>
      <c r="H58" t="inlineStr"/>
      <c r="I58"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Machine Learning Engineer for Perception within the Embodied AI organization, you will own the end\-to\-end pipeline for safety\-critical ML perception models, from initial research and large\-scale data curation to optimization and real\-time deployment on the vehicle's compute platform. Your primary mission is to enable the vehicle to accurately and reliably see, classify, and track everything in its environment—from rare road markings and complex intersections to vulnerable road users (VRUs).
**Responsibilities:**
* End\-to\-End Model Lifecycle: Own the design, training, validation, and deployment of deep learning models for core perception tasks such as:
* 3D Object Detection and Tracking (vehicles, pedestrians, cyclists).
* Real\-time map detection of the drivable world (lanes, road boundaries, traffic signs).
* Multi\-Modal Sensor Fusion (Camera, LiDAR, Radar).
* Production Pipeline: Build and scale the ML training infrastructure, including data mining and loading, multi\-stage training and evaluation, to streamline model development.
* Performance Optimization: Improve model performance through data iterations, parameter tunings, training strategy and architecture updates to produce reliable models that meet and the strict real\-time, low\-latency requirements on the vehicle's embedded hardware.
* Model Debugging: Conduct rigorous, data\-driven analysis to identify, debug, and resolve performance degradations and failures, specifically targeting long\-tail and adversarial scenarios (e.g., adverse weather, sensor noise, occlusions).
* Metric Definition: Define and implement robust model\-level metrics to aid model development.
* System Integration: Work closely with the Safety, Systems, and other engineering functions to integrate Perception outputs.
**Skills \&amp; Experience:**
* BS, MS or PhD in Computer Science, Machine Learning, Robotics, or a related quantitative field.
* 5\+ years of professional experience with a focus on Computer Vision, Deep Learning, and Perception in a production environment.
* Deep hands\-on experience with modern deep learning frameworks (e.g., PyTorch or TensorFlow) for training, experimentation, and debugging complex DNNs.
* Proven experience working with and fusing data from multiple sensor modalities (Camera, LiDAR, and/or Radar).
* Practical experience deploying and optimizing ML models for resource\-constrained, real\-time embedded systems.
* Demonstrated ability to drive model improvements through large\-scale data analysis, error logging, and data curation.
**Bonus:**
* Expertise with Transformer\-based models for 3D detection, tracking, and scene understanding.
* Technical leadership experience, including mentoring junior engineers and leading major feature development from concept to launch.
* Contributions to relevant academic publications (CVPR, ECCV, ICCV, IROS, NeurIPS etc.).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$158,000\.00 and $241,900\.00\.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9">
      <c r="A59" t="inlineStr">
        <is>
          <t>li-4373214562</t>
        </is>
      </c>
      <c r="B59" t="inlineStr">
        <is>
          <t>AI Engineer</t>
        </is>
      </c>
      <c r="C59" t="inlineStr">
        <is>
          <t>Impiricus</t>
        </is>
      </c>
      <c r="D59" t="inlineStr">
        <is>
          <t>linkedin</t>
        </is>
      </c>
      <c r="E59" t="inlineStr"/>
      <c r="F59" t="inlineStr"/>
      <c r="G59" t="inlineStr"/>
      <c r="H59" t="inlineStr"/>
      <c r="I59" t="inlineStr">
        <is>
          <t>**Job Title:** 
 AI Engineer
**Location:** 
 NYC, NY \| Atlanta, GA \| Remote, USA
**Exemption Status:** 
 Full\-time, exempt
**Reports to:** 
 VP, AI Engineering
**Who We Are** 
 Impiricus is the first and only AI\-powered HCP Engagement Engine. In 2025, Deloitte named Impiricus the \#1 fastest growing company in North America for their prestigious Fast 500 list. Founded by a practicing physician and a senior pharmaceutical executive, Impiricus was created to transform how life sciences companies support physicians. We ethically connect HCPs to pharma resources, reduce go\-to\-market costs and accelerate patient access to the treatments they need.
 With our unique access to the largest opted\-in network of HCPs, their insights, and clinical expertise, we are the leading provider of AI technology and real\-time channels that life science companies need to deliver clear, reliable, and evidence\-based resources directly into the hands of HCPs. Guided by a council of 2000\+ trusted HCP advisors, we ensure every interaction is clinically meaningful, ethically grounded and leads to better patient care.
**Job Summary:** 
 We’re seeking a highly technical and hands\-on
 **AI Engineer** 
 to join our growing team. This mid\-level role will focus on backend Python development, designing intelligent LLM interaction pipelines, and integrating generative AI solutions into our platform.
 You’ll work closely with both our in\-house engineering team and offshore developers, contributing directly to AI\-driven features while helping manage project deliverables and team coordination. This role is ideal for a builder who thrives in fast\-paced environments and wants to make a tangible impact by bringing real\-world AI applications to life.
 We’re looking for someone who is deeply technical, passionate about AI development, and eager to grow into a leadership role as the AI team scales.
**Responsibilities:** 
* Design, develop, and maintain backend systems in Python, integrating AI\-driven functionalities and APIs
* Implement prompt engineering, Retrieval\-Augmented Generation (RAGs), and basic generative AI solutions into platform workflows
* Collaborate on AI model deployment, fine\-tuning, and production integration
* Apply ML algorithms such as linear regression, logistic regression, tree\-based methods, and neural networks where applicable
* Ensure scalable, secure architecture leveraging AWS services (EC2, S3, Lambda, etc.)
* Contribute to architectural decisions, backend infrastructure, and system optimization
* Work cross\-functionally with product, data science, and engineering teams to align AI initiatives with business goals
* Mentor junior AI engineers as the team grows
* Stay current with emerging AI technologies and assess their applicability to product needs
* Business travel necessary, especially for Remote candidates
**Experience:** 
* Bachelor’s degree in Computer Science, Mathematics, Physics, or a related STEM field
* 2\+ years of backend software development experience, with a strong focus on generative AI technologies, including prompt engineering and API integrations
* Strong programming background in one or more of the these languages: Python, Golang, TypeScript
* Solid understanding of ML algorithms (regression models, tree\-based algorithms, neural networks)
* Proficiency with AWS infrastructure (EC2, S3, networking fundamentals)
* Strong foundation in general computer engineering and networking principles
* Python proficiency preferred
**Nice\-to\-Have Skills** 
* Experience with AI research projects (e.g., public health AI applications, LLM fine\-tuning)
* Golang proficiency
* Experience working in high\-growth tech companies or research labs
 The base salary range for this role is
 **$110,000 \- $135,000\.** 
 Where you land within the range will reflect your skills, experience, and location, while keeping team parity in mind and leaving room for future growth.
**Benefits** 
 Impiricus focuses on taking care of our teammates’ professional and personal growth and well\-being.
* **Healthcare** 
 : Medical, dental, and vision coverage for you and your dependents \+ on\-demand healthcare concierge
* **HSA, FSA \&amp; DCFSA** 
 : Pre\-tax savings options for healthcare and dependent care, with monthly employer contributions to HSA (if enrolled in a high\-deductible plan)
* **Coverage \&amp; Protection** 
 : 100% paid short\- and long\-term disability, plus life and AD\&amp;D insurance
* **Flexible Time Off** 
 : Take the time you need with a flexible vacation policy — recharge your batteries your way
* **Parental Leave** 
 : Paid parental leave to spend time with your newborn, adopted, or foster child (available after 6 months)
* **Your Work, Your Way** 
 : If you’re close to an office, we encourage spending some time in\-person to collaborate and connect. If not, remote is always an option.
* **Home Office Setup** 
 : We’ll ship you the gear you need to create a comfortable workspace at home.
* **401(k)** 
 : Save for your future with tax advantages (and company match!)
*Impiricus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Reasonable accommodations may be made to enable individuals with disabilities to perform the essential functions.*</t>
        </is>
      </c>
    </row>
    <row r="60">
      <c r="A60" t="inlineStr">
        <is>
          <t>li-4365590369</t>
        </is>
      </c>
      <c r="B60" t="inlineStr">
        <is>
          <t>AI Engineer</t>
        </is>
      </c>
      <c r="C60" t="inlineStr">
        <is>
          <t>Zoom</t>
        </is>
      </c>
      <c r="D60" t="inlineStr">
        <is>
          <t>linkedin</t>
        </is>
      </c>
      <c r="E60" t="inlineStr"/>
      <c r="F60" t="inlineStr"/>
      <c r="G60" t="inlineStr">
        <is>
          <t>San Jose, CA</t>
        </is>
      </c>
      <c r="H60" t="inlineStr"/>
      <c r="I60" t="inlineStr">
        <is>
          <t>**What You Can Expect**
 Join Zoom AI Vertical team, start from the Zoom enterprise\-level products; and drive innovation, development in AI\-integrated projects. You will collaborate closely with teams from GenAI, Meeting, Phone, Big data, and Cloud to build business features for Zoom products. The ideal candidate will majorly focus on AI product feature innovation/creation, AI capability improvement, agentic pipeline, applications, data process/analysis, and full cycle software development. You will play the critical role in shaping the future of Zoom AI products.
**About The Team**
 We are the AI/ML application engineering team dedicated to building cutting\-edge products and providing business platforms and tools for enterprise customers. We are seeking an experienced candidate for AI feature development, model/pipeline optimization, and maintenance of end\-to\-end systems that power AI\-driven. Our products have extensive developments based on the integrations with LLM, agent, ASR, and image processing, etc. These products are highly user\-facing, friendly and robust applications.
**Responsibilities**
* Collaborating with cross\-functional teams to define, design, implement and release new AI features and innovative applications.
* Demonstrating a high level AI product feature and architecture design. Breakdown the pipeline into engineering subtasks and implementation details.
* E2E development. AI capability evaluation. Prompt engineering. Agentic AI creation. Model tuning.
* Ensuring reliability and high quality by participating in code reviews, testing, and debugging.
* Building metrics, dashboards to measure the service performance and quality
* Documenting test report, code, algorithms, and technical processes for internal and external references.
* Driving task progress.
**What We’re Looking For**
* 6\+ years (or equivalent experience) of hands\-on skills in AI/ML and software engineering. Advance degree in Computer Science or related fields.
* Have background on AI product architecture/system design and implementation/integration.
* Demonstrate working knowledge of software development principles, design patterns, and scalable systems.
* Have solid experience with one or more of the following: AI agent, RAG, NLP, recommendation, cloud platform, data retrieve/analysis, DB/SQL, A/B test.
* Possess coding skills in Python, Java, or C/C\+\+, etc. Solid experience with LLM tuning, prompt engineering.
* Have comprehension of machine learning theories, algorithms, and frameworks.
* Possess familiarity with AI tools for daily development work.
**Minimum**
**Salary Range or On Target Earnings:**
 $177 100,00
**Maximum**
 $387 500,00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61">
      <c r="A61" t="inlineStr">
        <is>
          <t>li-4365650173</t>
        </is>
      </c>
      <c r="B61" t="inlineStr">
        <is>
          <t>Senior Machine Learning Engineer</t>
        </is>
      </c>
      <c r="C61" t="inlineStr">
        <is>
          <t>Paylocity</t>
        </is>
      </c>
      <c r="D61" t="inlineStr">
        <is>
          <t>linkedin</t>
        </is>
      </c>
      <c r="E61" t="inlineStr"/>
      <c r="F61" t="inlineStr"/>
      <c r="G61" t="inlineStr"/>
      <c r="H61" t="inlineStr"/>
      <c r="I61"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Want to develop the strategies and principles needed to deliver compelling software? Join our team and help us enhance our all\-in\-one software platform, elevate our one\-of\-a\-kind technology, and improve the employee experience.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Title: Senior Engineer Machine Learning**
**Position Overview**
 Paylocity is growing its Machine Learning Engineering organization! Our machine learning engineering team is responsible for developing infrastructure and tooling to help enable data driven decisions and insights at scale for millions of Paylocity users.
 As a Senior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5 years of machine learning engineering at software companies; or, advanced degree (master’s or PhD)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 opportunity employer.**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pay range for this position is $125,900 \- $233,900/yr; however, base pay offered may vary depending on job\-related knowledge, skills, and experience. This position is eligible for an annual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62">
      <c r="A62" t="inlineStr">
        <is>
          <t>li-4351034716</t>
        </is>
      </c>
      <c r="B62" t="inlineStr">
        <is>
          <t>Applied AI Engineer at Innovative AI simulation startup</t>
        </is>
      </c>
      <c r="C62" t="inlineStr">
        <is>
          <t>Jack &amp; Jill</t>
        </is>
      </c>
      <c r="D62" t="inlineStr">
        <is>
          <t>linkedin</t>
        </is>
      </c>
      <c r="E62" t="inlineStr"/>
      <c r="F62" t="inlineStr"/>
      <c r="G62" t="inlineStr">
        <is>
          <t>San Francisco, CA</t>
        </is>
      </c>
      <c r="H62" t="inlineStr"/>
      <c r="I62" t="inlineStr">
        <is>
          <t>This is a job that Jill, our AI Recruiter, is recruiting for on behalf of one of our customers.
 She will pick the best candidates from Jack's network.
 The next step is to speak to Jack.
 Applied AI Engineer
**Company Description:** 
 Innovative AI simulation startup
**Job Description:**
 Join a pioneering team at the forefront of AI world generation, building large\-scale systems for real\-time 3D environment and game creation. You'll work on distributed multi\-agent orchestration, data\-efficient training, and inference optimization, enabling new frontiers in interactive experiences. This role offers the chance to own core generation and simulation stacks, impacting how engaging virtual worlds are made and monetized.
**Location:** 
 San Francisco, USA
**Why this role is remarkable:**
* Work at the intersection of applied AI and large\-scale systems for world generation.
* Backed by top\-tier VCs, driving innovation in the rapidly evolving AI and gaming sectors.
* Opportunity to own significant parts of the core generation and simulation stack, shaping the future of interactive content.
**What you will do:**
* Develop and optimize world generation pipelines, focusing on data\-efficient training and inference.
* Design and implement distributed multi\-agent orchestration systems for coordinated world synthesis.
* Build reinforcement learning pipelines and agentic reasoning frameworks for adaptive game generation and emergent behavior.
**The ideal candidate:**
* Possesses strong software fundamentals and can navigate between production systems and research.
* Has experience building or training large multimodal or agentic AI systems.
* Familiar with distributed training, data curation, or large\-scale vision/3D pipelines.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63">
      <c r="A63" t="inlineStr">
        <is>
          <t>li-4349324777</t>
        </is>
      </c>
      <c r="B63" t="inlineStr">
        <is>
          <t>Machine Learning Engineer</t>
        </is>
      </c>
      <c r="C63" t="inlineStr">
        <is>
          <t>Motion Recruitment</t>
        </is>
      </c>
      <c r="D63" t="inlineStr">
        <is>
          <t>linkedin</t>
        </is>
      </c>
      <c r="E63" t="inlineStr"/>
      <c r="F63" t="inlineStr"/>
      <c r="G63" t="inlineStr">
        <is>
          <t>Boston, MA</t>
        </is>
      </c>
      <c r="H63" t="inlineStr"/>
      <c r="I63" t="inlineStr">
        <is>
          <t>**Job Overview**
 We’re hiring a full\-time Machine Learning Engineer to join an AI technology company in the financial services space. The client builds advanced AI solutions that help financial institutions make smarter, fairer lending decisions across underwriting, fraud detection, and lending intelligence. Their platform supports hundreds of production AI models and focuses on scalability, explainability, and real\-world impact.
 This role is ideal for engineers who enjoy bridging research and production, taking ownership of complex ML systems, and working closely with cross\-functional partners to turn cutting\-edge ideas into reliable, customer\-facing solutions.
 Hybrid or remote in Boston, MA.
**Your Role**
* Collaborate on end\-to\-end development of ML/AI\-powered systems, from ideation through production deployment
* Design and prototype experiments using modern ML and GenAI techniques to advance internal tooling and customer\-facing capabilities
* Partner cross\-functionally with product, data science, and go\-to\-market teams to align ML solutions with business needs
* Build internal frameworks and tooling that connect analytics platforms with operationalized models
* Stay current on emerging ML and GenAI trends and apply them to practical, high\-impact use cases
**Required Qualifications**
* 3\+ years of hands\-on, post\-graduation experience building and deploying production ML systems
* Strong Python expertise with the ability to build scalable, reliable services and tools
* Experience with ML and GenAI frameworks such as PyTorch, Hugging Face, LangChain, Scikit\-learn, and Pandas
* Solid understanding of core ML and LLM concepts including transformers, embeddings, retrieval, evaluation, and optimization
* Familiarity with modern software engineering practices including testing, CI/CD, version control, and code reviews
* Ability to write efficient, resource\-aware code across CPU/GPU, memory, and I/O constraints
* Experience with automation and tooling such as Airflow, GitHub Actions, or containerized workflows
* Quantitative degree in Computer Science, Engineering, Math, Physics, or a related field (advanced degrees welcome but not required)
**Preferred Qualifications**
* Contributions to open\-source projects in ML, GenAI, or developer tooling
* Public GitHub repositories or other visible examples of applied ML work
**What Excites You**
* Designing and deploying GenAI\-powered tools that help teams and customers work more effectively
* Building platforms that make ML development faster and more accessible
* Translating research ideas into production\-grade systems
* Continuously learning and experimenting with new ML approaches
* Solving real\-world problems with measurable impact
**Compensation \&amp; Benefits**
* Competitive compensation with annual bonus eligibility
* Comprehensive medical, dental, and vision coverage
* 401(k) with generous employer match
* Unlimited vacation and paid company holidays
* Family leave, wellness, phone, internet, and professional development allowances
**Posted By:** 
 Sarah Carroll</t>
        </is>
      </c>
    </row>
    <row r="64">
      <c r="A64" t="inlineStr">
        <is>
          <t>li-4196118958</t>
        </is>
      </c>
      <c r="B64" t="inlineStr">
        <is>
          <t>Applied AI Engineer, Enterprise GenAI</t>
        </is>
      </c>
      <c r="C64" t="inlineStr">
        <is>
          <t>Scale AI</t>
        </is>
      </c>
      <c r="D64" t="inlineStr">
        <is>
          <t>linkedin</t>
        </is>
      </c>
      <c r="E64" t="inlineStr"/>
      <c r="F64" t="inlineStr"/>
      <c r="G64" t="inlineStr"/>
      <c r="H64" t="inlineStr"/>
      <c r="I64" t="inlineStr">
        <is>
          <t>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 Own, plan, and optimize the AI behind our Enterprise customer’s deepest technical problems
* Leverage SGP to build the most advanced AI agents across the industry including multimodal functionality, tool\-calling, and more
* Have experience gathering business requirements and translating them into technical solutions
* Meet regularly with customer teams onsite and virtually, collaborating cross\-functionally with all teams responsible for their data and ML needs
* Push production code in multiple development environments, writing and debugging code directly in both our customer’s and Scale’s codebases.
* Be able and willing to multi\-task and learn new technologies quickly
**Ideally you'd have:**
* A love for solving deeply complex technical problems with ambiguity using state of the art research and AI to accomplish your client’s business goals
* Strong engineering background: a Bachelor’s degree in Computer Science, Mathematics, or another quantitative field or equivalent strong engineering background.
* Deep familiarity with a data\-driven approach when iterating on machine learning models and how changes in datasets can influence model results
* Experience working with cloud technology stack (eg. AWS or GCP) and developing machine learning models in a cloud environment
* Proficiency in Python to write, test and debug code using common libraries (ie numpy, pandas)
**Nice to haves:**
* Strong knowledge of software engineering best practices
* Have built applications taking advantage of Generative AI in real, production use cases
* Familiarity with state of the art LLMs and their strengths/weaknesses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$180,600—$225,750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5">
      <c r="A65" t="inlineStr">
        <is>
          <t>li-4373203149</t>
        </is>
      </c>
      <c r="B65" t="inlineStr">
        <is>
          <t>Staff Voice AI Engineer - Applied AI</t>
        </is>
      </c>
      <c r="C65" t="inlineStr">
        <is>
          <t>Uber</t>
        </is>
      </c>
      <c r="D65" t="inlineStr">
        <is>
          <t>linkedin</t>
        </is>
      </c>
      <c r="E65" t="inlineStr"/>
      <c r="F65" t="inlineStr"/>
      <c r="G65" t="inlineStr">
        <is>
          <t>Sunnyvale, CA</t>
        </is>
      </c>
      <c r="H65" t="inlineStr"/>
      <c r="I65" t="inlineStr">
        <is>
          <t>**About The Role**
 Applied AI at Uber builds intelligent systems that power next\-generation product experiences for riders, drivers, merchants, and couriers. As a Staff Voice AI Engineer, you will lead the design and deployment of large\-scale, real\-time Voice AI systems that enable natural, reliable, and intelligent voice interactions across Uber's ecosystem.
 You will operate as a full\-stack technical leader across speech modeling, LLM\-powered conversational intelligence, and low\-latency backend infrastructure \- owning Voice AI systems end\-to\-end, from model development and evaluation to highly available, distributed production services. This includes advancing capabilities in automatic speech recognition (ASR), text\-to\-speech (TTS), spoken language understanding, and LLM\-driven dialogue systems.
 You will partner closely with product, design, and infrastructure teams to translate customer pain points into seamless voice\-first experiences \- setting the foundation for how Voice AI is built, deployed, and operated across Uber's global platform.
**What You Will Do**
* Design and build end\-to\-end Voice AI solutions, from understanding customer pain points and defining product requirements to deploying LLM\-powered, real\-time voice interfaces in production.
* Benchmark and evaluate voice AI systems, including speech recognition, speech synthesis, and spoken language understanding, by designing evaluations, analyzing results, and identifying systematic weaknesses.
* Improve voice model performance through system prompt tuning, fine\-tuning voice\- and speech\-specific models, and optimizing architectures for low\-latency, real\-time voice interactions.
* Analyze voice request logs, prompt traces, and audio inputs to diagnose failure modes, improve transcription accuracy, conversational quality, and overall user experience.
* Build and maintain internal tools and platforms to automate Voice AI workflows, such as large\-scale transcription pipelines, real\-time audio processing services, and evaluation harnesses for voice quality.
* Own Voice AI systems in production end\-to\-end, including rollout strategies, monitoring, alerting, quality regression detection, and on\-call readiness.
* Collaborate closely with product, design, and research teams to translate user needs into Voice AI capabilities with measurable business and customer impact.
**Basic Qualifications:**
* 10\+ years of experience in software engineering, data science, or machine learning, including a track record of shipping production AI systems.
* Deep understanding of large language models, including fine\-tuning, prompt engineering, embeddings, and retrieval\-augmented generation (RAG).
* Strong backend and distributed systems expertise, with experience designing and operating highly available, scalable services in production.
* Deep experience with ML infrastructure, including model training pipelines, online serving systems, feature stores, experiment platforms, and evaluation frameworks.
* Hands\-on experience with distributed data processing systems (e.g., Spark, Flink, Ray) and workflow orchestration (e.g., Airflow or equivalent).
* Ability to analyze data, run experiments, and derive insights for model and product improvement.
* Excellent communication and collaboration skills across technical and non\-technical teams.
**Preferred Qualifications:**
* Experience building evaluation frameworks for Voice AI, including metrics and human/LLM\-assisted evaluations for speech recognition accuracy, latency, robustness, and naturalness of synthesized speech.
* Demonstrated expertise in machine learning fundamentals applied to voice, including model evaluation, training, and fine\-tuning of ASR, TTS, or speech\-language models.
* Proven experience deploying Voice AI systems to production, with an emphasis on low\-latency, high\-reliability, real\-time environments.
* Experience writing developer documentation, creating voice\-specific SDKs, or enabling internal teams to build on shared Voice AI platforms.
* Hands\-on work with large\-scale audio datasets, including data curation, labeling strategies, and optimization of voice processing pipelines at scale.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6">
      <c r="A66" t="inlineStr">
        <is>
          <t>li-4324758113</t>
        </is>
      </c>
      <c r="B66" t="inlineStr">
        <is>
          <t>Principal Machine Learning Engineer</t>
        </is>
      </c>
      <c r="C66" t="inlineStr">
        <is>
          <t>Cambridge Mobile Telematics</t>
        </is>
      </c>
      <c r="D66" t="inlineStr">
        <is>
          <t>linkedin</t>
        </is>
      </c>
      <c r="E66" t="inlineStr"/>
      <c r="F66" t="inlineStr"/>
      <c r="G66" t="inlineStr">
        <is>
          <t>Massachusetts, United States</t>
        </is>
      </c>
      <c r="H66" t="inlineStr"/>
      <c r="I66"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As a Principal Machine Learning Engineer at CMT, you will develop algorithms that represent physical phenomena associated with both vehicle and human movements when measured by cell phone sensors and IoT devices. You will solve challenging real\-world problems and assist in the development of innovative solutions driven by exploratory data analysis from complex and high\-dimensional datasets. Using knowledge of statistics, machine learning / deep learning, signal processing, physics, programming and data modeling, the Principal Machine Learning Engineer consults on Data Science projects, and works independently on developing new solutions to achieve CMT's objectives, and making valuable discoveries which lead to company\-wide prototype development and product improvements.
 CMT is looking for a collaborative, customer\-committed, and creative
 **Principal Machine Learning Engineer** 
 who wants to join us in making roads safer by making drivers better!
**Responsibilities:** 
* Use independent judgment and discretion to spearhead the creation of innovative and cutting\-edge algorithmic solutions, utilizing unconventional approaches to address complex challenges. These solutions should have a far\-reaching impact on the company, and involve the development of new features and products for customers using diverse data sources
* Lead and mentor a team of talented junior machine learning engineers, guiding them through every phase of solution development, from meticulous data pre\-processing and advanced modeling, to rigorous testing, seamless roll\-out, and continuous performance monitoring in live production environments
* Demonstrate exceptional communication skills to effectively convey and present complex data science concepts to stakeholders across the organization. Foster a collaborative environment by actively engaging with diverse teams and promoting cross\-functional cooperation
* Stay at the forefront of research and emerging trends in the field of data science. Evaluate and validate the potential impact of incorporating new ideas into the platform, products, and customer experiences, ensuring continuous enhancement and innovation
* Complete any additional tasks as they arise
**Qualifications:** 
* Bachelor's degree or equivalent years of experience and/or certification in Data Science, Computer Science, Electrical Engineering, Physics or Mathematics
* 7\+ years of experience in the Data Science field
* 3\+ years of experience developing commercial software with strong algorithmic, AI/machine learning, or signal processing components
* Deep understanding of data science principles, algorithms and practices, such as deep learning / machine learning, statistics and probability, signal processing, and sensor physics
* Must possess a thorough knowledge and practice of software development process in large scale, and proven coding skills using scripting languages e.g. Python, Pandas, NumPy, scikit\-learn, SQL
* Advanced knowledge of Big Data infrastructure, computation and storage as well as scalable AI/ML platforms \&amp; tools, e.g. Spark, Ray, TensorFlow, Keras, Torch, Caffe, etc.
* Strong visualization and data literacy skills, with demonstrated ability to summarize mathematical representations into simple data visualizations and statistical results
* Strong customer\-focus and presentation skills with the ability to obtain requirements and influence outcomes
**Nice to Haves:** 
* Master's or Ph.D. preferred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$177,000 to $221,300\.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 
*ore, visit www.cmtelematics.com and follow us on X @cmtelematics.*</t>
        </is>
      </c>
    </row>
    <row r="67">
      <c r="A67" t="inlineStr">
        <is>
          <t>li-4321373998</t>
        </is>
      </c>
      <c r="B67" t="inlineStr">
        <is>
          <t>Applied AI Engineer</t>
        </is>
      </c>
      <c r="C67" t="inlineStr">
        <is>
          <t>Wave Mobile Money</t>
        </is>
      </c>
      <c r="D67" t="inlineStr">
        <is>
          <t>linkedin</t>
        </is>
      </c>
      <c r="E67" t="inlineStr"/>
      <c r="F67" t="inlineStr"/>
      <c r="G67" t="inlineStr">
        <is>
          <t>Canada, NC</t>
        </is>
      </c>
      <c r="H67" t="inlineStr"/>
      <c r="I67" t="inlineStr">
        <is>
          <t>Our mission
 We're making Africa the first cashless continent.
 In 2017, over half the population in Sub\-Saharan Africa had no bank account. That's for good reason—the fees are too high, the closest branch can be miles away, and nobody takes cards. Without access to financial institutions, people are forced to keep their savings under the mattress. Small business owners rely on lenders who charge extortionate rates. Parents spend hours waiting in line to pay school fees in cash.
 We're solving this by building financial services that just work: no account fees, instantly available, and accepted everywhere. In places where electricity, water and roads don't always work, you can still send money with Wave. In 2017, we launched a mobile app in Senegal for cash deposit, withdrawal, and peer\-to\-peer and business payments. Now, we have millions of users across 9 countries and are growing fast.
 Our goal is to make Africa the first cashless continent and that's where you come in...
 How you'll help us achieve it
 Wave is now the largest financial institution in Senegal and Côte d’Ivoire, with millions of users, growing rapidly year on year. And, we’re still in the early days of our product roadmap and potential impact on people’s everyday lives.
 We're helping millions of customers across West Africa access financial services through mobile money, and great support is fundamental to that. We believe the future of customer support lies in machines handling boring repetitive tasks so humans can focus on high value interactions that require empathy and creativity.
 As an Applied AI Engineer on our Support Automation product team, you'll;
* Bridge research and production, building AI models and agent systems that ship into real products.
* Architect, evaluate, and optimize autonomous voice and digital agents powering 10M\+ customer interactions per month across West Africa.
* Build for the hardest edge cases: poor connectivity, low literacy, and languages with little training data.
* Experiment with, evaluate, and integrate the latest voice and text models.
* Own problems end\-to\-end, from problem discovery to running in production, working alongside product and engineering leaders who prioritize shipping real customer impact.
 If you're energized by ownership, thrive on deep technical challenges, and want to build infrastructure that serves millions in emerging markets, let's talk.
 Our stack (prior experience is a strong plus, but not required):
* backend: Python 3 (\+ mypy)
* API layer: GraphQL
* android frontend: Kotlin/Jetpack
* iOS frontend: Swift/SwiftUI
* web frontend: TypeScript/React
* database: Postgres/CockroachDB
* infrastructure: GCP/Terraform
* orchestration: Kubernetes
**Key details**
* This is a fully remote role. Candidates must be based in one of our talent hub countries (US, Canada, UK, Spain, Kenya and Ghana) or in one of our operating markets in Africa including Senegal, Côte d'Ivoire, or Burkina Faso.
* Wave provides a yearly $1,200 stipend to support coworking meetups with teammates.
* Remote team members are expected to travel to our operational markets (e.g. Senegal or Côte d'Ivoire) at least once a year. Exceptions apply, but we’ve found this key to understanding our users and product.
* Our salaries are competitive and are calculated using a transparent formula. For this role, depending on your level and location, we offer a salary up to $222,700, plus a generous equity package.
* Major benefits:
+ Subsidized health insurance for you and your dependents and retirement contributions (both vary from country to country).
+ 6 months of fully paid parental leave and subsidized fertility assistance.
+ Flexible vacation, with most folks taking between 21\-30 days exclusive of statutory holidays.
+ $10,000 annual charitable donation matching.
**Requirements**
* 5\+ years of experience in AI/ML engineering
* Strong Python and backend engineering skills
* Solid foundation in statistics and ML theory
* Proven hands\-on experience building with LLMs (prompt engineering, RAG, embeddings, fine\-tuning, agent orchestration etc.).
* Track record taking ML models from prototype to production and care deeply about reliability, performance, and scalability.
* Fluency with AI coding agents, with bonus points for deploying them as part of production systems
* Bonus points:
+ Research background in speech or LLMs
+ Proven Voice AI experience (ASR, TTS, latency optimization, real\-time streaming, voice agents)
+ Experience building customer support or conversational AI systems
+ You follow the latest research in speech and LLMs, and know how to translate papers into production wins
+ Familiarity with low\-resource language challenges
* Fluent in English (bilingual in French is a big bonus!)
**You might be a good fit if you**
* Are comfortable navigating ambiguity and can design agent systems end\-to\-end without detailed specs.
* Obsess over evaluation – you've built frameworks to catch hallucinations, measure groundedness, and know when to trust your system
* Balance research intuition with pragmatic engineering; you ship working systems, not just prototypes
**About Engineering At Wave**
**We care about the big picture.** 
 We don’t hire engineers to just ship tickets. We hire them to solve problems. That means caring deeply about outcomes, understanding context, and jumping in wherever something’s broken, even if it’s technically “not your area.” When we see problems, inefficiencies, or opportunities to make something better, we act. We dig into operational issues, clarify fuzzy product specs, or step into unfamiliar code to help unblock teammates.
**We move as fast as possible.** 
 Speed matters. It lets us try things quickly, get feedback early, and course\-correct while it’s cheap. So we write small PRs. We aim for MVPs. We leave TODOs and file follow\-ups. We don’t over\-perfect v1\. That said, we’re building a financial product. Some things—like money movement, correctness, or security—deserve more caution.
**We like boring technology.** 
 We favor tools that are reliable, well\-understood, and easy to debug. This keeps us focused on solving meaningful problems instead of wrestling with unpredictable infrastructure. If a new technology helps us move faster, build safer, or solve a real need, we’ll consider it. But we don’t adopt tools just because they’re new—we adopt them because they’re right.
 Simplicity is a strategy. It lets us focus our energy where it matters most: serving our users.
**Recommended (optional)**
 We’re currently receiving a high volume of submissions. To help us review genuine candidates faster, please send a JSON payload with your resume and/or any links as plain text via POST to this secure endpoint: https://api.wave.com/submit\_resume
 To authorize to this endpoint, you can use the following bearer token: wave\_ \+ (country code for any of our operating countries) \+ \_ \+ \[any characters of your choice].
 You are encouraged to use a coding agent to generate the JSON and the request. This is intentionally quick \- don’t overthink it.
 This task is optional and not required to apply. Please still submit your application through the normal form. We’ll store the JSON payload for up to 30 days for review, then it will be deleted.
 Our team
* We have a rapidly growing in\-country team in Senegal, Côte d'Ivoire, Mali, Burkina Faso, The Gambia, Uganda, Niger, Sierra Leone, and Cameroon plus remote team members spread across the world.
* We're deeply passionate about our mission of bringing radically affordable financial services to the people who need them most.
* We foster autonomy for our employees. You'll own your projects at every stage, from understanding the problem to monitoring your solution in production.
* We raised the largest Series A in Africa in 2021\. Our world\-class investors, include Founders Fund, Sequoia Heritage, Stripe, Ribbit Capital, Y Combinator, and Partech Africa.
* We are on Y Combinator's top companies by revenue.
 How to apply
 Fill out the form below, and upload a resume in English and a cover letter describing your interest in Wave and the role.
 We review applications frequently and recommend that you apply to the role that most closely aligns with your skills, experience and career goals.
 Wave is an equal\-opportunity employer. We celebrate diversity and are committed to creating an inclusive environment for all employees.</t>
        </is>
      </c>
    </row>
    <row r="68">
      <c r="A68" t="inlineStr">
        <is>
          <t>li-4312765282</t>
        </is>
      </c>
      <c r="B68" t="inlineStr">
        <is>
          <t>PhD University Grad Machine Learning Engineer 2026 (USA)</t>
        </is>
      </c>
      <c r="C68" t="inlineStr">
        <is>
          <t>Pinterest</t>
        </is>
      </c>
      <c r="D68" t="inlineStr">
        <is>
          <t>linkedin</t>
        </is>
      </c>
      <c r="E68" t="inlineStr"/>
      <c r="F68" t="inlineStr"/>
      <c r="G68" t="inlineStr">
        <is>
          <t>Palo Alto, CA</t>
        </is>
      </c>
      <c r="H68" t="inlineStr"/>
      <c r="I6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570 million users around the world and 300 billion ideas saved, Pinterest Machine Learning engineers help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**By applying to this role, you will be considered for multiple roles open across our various ML teams. Please only apply once within the USA or Canada as multiple applications may delay our recruitment process.**
**This is a general posting for multiple roles open across our various ML teams. You will have the opportunity to work on a very large scope of problems in recommender systems, search, ads, ranking, natural language processing, graph representation learning, personalization, etc.**
 As a Machine Learning Engineer at Pinterest, you’ll work on tackling new challenges in machine learning and artificial intelligence. As you kickstart your career at Pinterest, you’ll join our engineering teams as we maneuver through exponential growth and massive scale while building awesome products and features, creating visually rich experiences, spearheading the discovery problem, and pinpointing tomorrow’s engineering challenges.
**What You’ll Do**
* Contribute to cutting\-edge research in machine learning and artificial intelligence that can be applied to Pinterest problems
* Collect, analyze, and synthesize findings from data and build intelligent data\-driven model
* Write clean, efficient, and sustainable code
* Use machine learning, natural language processing, and graph analysis to solve modeling and ranking problems across discovery, ads and search
* Design, build, and test models to predict engagement for notifications (push, emails, in\-app notifications)
* Build content recommendation systems to power our push, email, and in\-app notifications
* Work on state\-of\-the\-art large\-scale applied machine learning projects
* Scope and independently solve moderately complex problems
**What We’re Looking For** 
* PhD in Computer Science, ML, NLP, Statistics, Information Sciences or related field required
* Machine Learning experience (ranking, computer vision, NLP, content recommendations, embedding, information retrieval etc)
* Proficiency in at least one systems language (Java, C\+\+, Python) or one ML framework (Tensorflow, Pytorch, MLFlow)
* Experience with big data technologies (e.g., Hadoop/Spark) and scalable realtime systems that process stream data
* Experience in research and in solving analytical problems
* Strong communicator and team player with the ability to find solutions for open\-ended problems.
* Preferred Qualifications:
+ Publications in machine learning, AI, data science, data analytics, statistics, or related technical fields
+ Interest in research and in applying ML to impactful real\-world problems on the Pinterest product
**In\-Office Requirement Statement**
* We let the type of work you do guide the collaboration style. That means we’re not always working in an office, but we continue to gather for key moments of collaboration and connection
* This role may require you to be located near an office for in\-person collaboration, and therefore may need to be located a commutable distance from one of our Pinterest offices.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$162,690—$214,060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69">
      <c r="A69" t="inlineStr">
        <is>
          <t>li-4263443866</t>
        </is>
      </c>
      <c r="B69" t="inlineStr">
        <is>
          <t>Lead AI/ML Engineer (P4368)</t>
        </is>
      </c>
      <c r="C69" t="inlineStr">
        <is>
          <t>84.51˚</t>
        </is>
      </c>
      <c r="D69" t="inlineStr">
        <is>
          <t>linkedin</t>
        </is>
      </c>
      <c r="E69" t="inlineStr"/>
      <c r="F69" t="inlineStr"/>
      <c r="G69" t="inlineStr">
        <is>
          <t>Chicago, IL</t>
        </is>
      </c>
      <c r="H69" t="inlineStr"/>
      <c r="I69"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AI/ML Engineer (AI Enablement) (P4368\)**
**Cincinnati / Chicago**
**Summary**
 The Lead AI/ML Engineer requires a unique mix of software engineering and AI skills necessary to create, deploy and maintain computationally efficient proprietary SLM, LLM, and embedding model implementations, serving infrastructure, and end\-to\-end solutions. This role has a specific focus on the models serving and operations within our foundation models team. A strong understanding of distributed systems, model serving architectures, GPU cluster management, and MLOps best practices that will scale across enterprise workloads and large\-scale model deployments is critical to success.
**Responsibilities**
* Lead large\-scale foundation model projects that can span months, focusing on model serving, inference optimization, and production deployment
* Foster a collaborative and innovative team environment, encouraging professional growth and development among junior team members in foundation model technologies
* Leverage known patterns, frameworks, and tools for automating \&amp; deploying foundation model serving solutions using Triton, vLLM, and other inference engines
* Develop new tools, processes and operational capabilities to monitor and analyze foundation model performance, latency, throughput, and resource utilization
* Work with researchers and ML engineers to optimize and scale foundation model serving using best practices in distributed systems, GPU orchestration, and MLOps
* Abstract foundation model serving solutions as robust APIs, microservices, or components that can be reused across the business with high availability and low latency
* Build, steward, and maintain production\-grade foundation model serving infrastructure (robust, reliable, maintainable, observable, scalable, performant) to manage and serve LLMs, SLMs, and embedding models at scale
* Research state\-of\-the\-art foundation model serving technologies, inference optimization techniques, and distributed GPU architectures to identify new opportunities for implementation across the enterprise
* Design and implement distributed GPU clusters for model training and inference workloads across GCP and Azure cloud environments
* Understand business requirements and trade\-off latency, cost, throughput, and model accuracy to maximize value and translate research into production\-ready serving solutions
* Reduce time to deployment, automate foundation model CI/CD pipelines, implement continuous monitoring of model serving metrics, and establish feedback loops for model performance
* Responsible for code reviews, infrastructure reviews, and production readiness assessments for foundation model deployments
* Apply appropriate documentation, version control, infrastructure as code practices, and other internal communication practices across channels
* Make time\-sensitive decisions and solve urgent production issues in foundation model serving environments without escalation
**Required**
**QUALIFICATIONS, SKILLS, AND EXPERIENCE**
* Bachelor's degree or higher in Machine Learning, Computer Science, Computer Engineering, Applied Statistics, or related field
* 5\+ years of experience developing cloud\-based software solutions with understanding of design for scalability, performance, and reliability in distributed systems
* 2\+ years hands\-on experience with foundation models (LLMs, SLMs, embedding models) in production environments; 2\+ years of experience in model serving and inference optimization preferred
* Deep knowledge of foundation model serving frameworks, particularly Triton Inference Server and vLLM
* Working experience with PyTorch models and optimization for inference (quantization, pruning, ONNX, TensorRT)
* Knowledge of distributed GPU computing, CUDA programming, and GPU memory optimization techniques
* Hands\-on experience with GCP and Azure cloud platforms, including GPU instances, managed services, and networking
* Experience with Databricks for large\-scale data processing and model training workflows
* Knowledge of vector databases and embedding model serving
* Strong experience with open\-source LLM fine\-tuning frameworks (LoRA, QLoRA, full fine\-tuning)
* Experience building large\-scale model serving solutions that have been successfully delivered to production with enterprise SLAs
* Excellent communication skills, particularly on technical topics related to distributed systems and model serving architectures
* Kubernetes \&amp; Docker experience with focus on GPU workloads and model serving deployments
* CI/CD Pipeline experience with focus on ML model deployment; GitHub Actions experience preferred
* Terraform experience for infrastructure as code, particularly for GPU clusters and cloud ML infrastructure
* Strong skills in Python, with experience in async programming and high\-performance computing
* API development experience with focus on high\-throughput, low\-latency model serving endpoints
* Experience with monitoring and observability tools for distributed systems (Prometheus, Grafana, DataDog, etc.)
* Knowledge of E2E Machine Learning pipeline and MLOps tools (model registry, experiment tracking, feature stores, model monitoring) in the context of foundation models
**Preferred**
* Experience with distributed training frameworks such as DeepSpeed, FSDP, FairScale
* Knowledge of model compression techniques and hardware acceleration
* Experience with multi\-cloud deployments and hybrid cloud architectures
* Familiarity with emerging foundation model architectures and serving optimizations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70">
      <c r="A70" t="inlineStr">
        <is>
          <t>li-4341812699</t>
        </is>
      </c>
      <c r="B70" t="inlineStr">
        <is>
          <t>AI &amp; Machine Learning Engineering Consultant - Manager - Consulting - Location OPEN</t>
        </is>
      </c>
      <c r="C70" t="inlineStr">
        <is>
          <t>EY</t>
        </is>
      </c>
      <c r="D70" t="inlineStr">
        <is>
          <t>linkedin</t>
        </is>
      </c>
      <c r="E70" t="inlineStr"/>
      <c r="F70" t="inlineStr"/>
      <c r="G70" t="inlineStr">
        <is>
          <t>Sacramento, CA</t>
        </is>
      </c>
      <c r="H70" t="inlineStr"/>
      <c r="I7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1">
      <c r="A71" t="inlineStr">
        <is>
          <t>li-4341892712</t>
        </is>
      </c>
      <c r="B71" t="inlineStr">
        <is>
          <t>AI &amp; Machine Learning Engineering Consultant - Manager - Consulting - Location OPEN</t>
        </is>
      </c>
      <c r="C71" t="inlineStr">
        <is>
          <t>EY</t>
        </is>
      </c>
      <c r="D71" t="inlineStr">
        <is>
          <t>linkedin</t>
        </is>
      </c>
      <c r="E71" t="inlineStr"/>
      <c r="F71" t="inlineStr"/>
      <c r="G71" t="inlineStr">
        <is>
          <t>Salt Lake City, UT</t>
        </is>
      </c>
      <c r="H71" t="inlineStr"/>
      <c r="I7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2">
      <c r="A72" t="inlineStr">
        <is>
          <t>li-4341962693</t>
        </is>
      </c>
      <c r="B72" t="inlineStr">
        <is>
          <t>AI &amp; Machine Learning Engineering Consultant - Manager - Consulting - Location OPEN</t>
        </is>
      </c>
      <c r="C72" t="inlineStr">
        <is>
          <t>EY</t>
        </is>
      </c>
      <c r="D72" t="inlineStr">
        <is>
          <t>linkedin</t>
        </is>
      </c>
      <c r="E72" t="inlineStr"/>
      <c r="F72" t="inlineStr"/>
      <c r="G72" t="inlineStr">
        <is>
          <t>Albany, NY</t>
        </is>
      </c>
      <c r="H72" t="inlineStr"/>
      <c r="I7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Manager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In this role, you will research, build, and implement scalable artificial intelligence systems that learn and make predictions tailored to business requirements across various environments, including cloud and on\-premises. You will enhance data pipelines and storage, ensuring data is clean, accurate, and optimized for XOps processes. Additionally, you will monitor and evaluate learning processes to continuously improve high\-performance models, collaborating with other data and analytics professionals to industrialize analysis into effective analytics solutions.
**Your Key Responsibilities**
 As a Manager in AI Native Engineering, you will play a pivotal role in delivering innovative solutions that drive business success.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**Your responsibilities will include:**
* Leading workstream delivery and ensuring the effective management of processes and projects.
* Continuously improving processes by identifying innovative solutions through research and analysis.
* Managing professional employees and supervising teams to deliver complex technical initiatives, with accountability for performance and results.
* Engaging actively with clients, participating in daily working sessions, and leading workstreams from planning through execution to closure.
* Identifying opportunities for additional services and managing engagement economics.
**Skills And Attributes For Success**
 To excel in this role, you will need a blend of technical expertise and strong interpersonal skills.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The following attributes will make a significant impact:
* Proven ability to develop solutions to complex problems and recommend changes to policies and procedures.
* Strong judgment in selecting methods and techniques for obtaining results.
* Experience in managing client relationships and delivering high\-quality service.
* Ability to lead teams effectively and manage change within the organization.
**To** 
**qualify for the role, you must have**
* A Bachelor’s degree required (4\-year degree).
* 6\-10 years of relevant experience of full\-time working experience in AI, Data Science, and/or Machine Learning
* 2\-4 years of experience directly managing technical teams
* Strong skills in Python
* Ability lead,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 Skills in Technical Design Optimization
* Strong relationship\-building skills
* Demonstrated client trust and value
* Digital fluency and emotional agility
* Commercial acumen and negotiation skills
* Proven ability to lead teams and manage change
**Ideally, you’ll also have**
* A deep understanding of and ability to teach concepts, tools, features, functions, and benefits of different approaches to apply them
* Master's degree Computer Science, Mathematics, Physical Sciences, or other quantitative field
* Experience working with diverse teams to deliver complex solutions
* Strong skills in languages beyond Python: R, JavaScript, Java, C\+\+, C
* Experience fine\-tuning Generative AI models
* Experience in managing complex projects with multiple stakeholders
* A strong understanding of industry trends and emerging technologies
* Skills in data visualization and storytelling with data
* Experience with image processing techniques and/or speech and audio processing and analysis
**What We Look For**
 We seek individuals who are not only technically proficient but also possess the ability to think critically and creatively. Top performers demonstrate a commitment to excellence, a collaborative spirit, and a passion for driving innovation in the field of AI and data science. Your ability to collaborate effectively and communicate with clarity will set you apart as a leader in our team.
 \#FY26NATAID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3">
      <c r="A73" t="inlineStr">
        <is>
          <t>li-4326653703</t>
        </is>
      </c>
      <c r="B73" t="inlineStr">
        <is>
          <t>Senior Staff Machine Learning Engineer, (ML Underwriting)</t>
        </is>
      </c>
      <c r="C73" t="inlineStr">
        <is>
          <t>Affirm</t>
        </is>
      </c>
      <c r="D73" t="inlineStr">
        <is>
          <t>linkedin</t>
        </is>
      </c>
      <c r="E73" t="inlineStr"/>
      <c r="F73" t="inlineStr"/>
      <c r="G73" t="inlineStr">
        <is>
          <t>Philadelphia, PA</t>
        </is>
      </c>
      <c r="H73" t="inlineStr"/>
      <c r="I73"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4">
      <c r="A74" t="inlineStr">
        <is>
          <t>li-4365577082</t>
        </is>
      </c>
      <c r="B74" t="inlineStr">
        <is>
          <t>Solution Architect/AI Engineer IV</t>
        </is>
      </c>
      <c r="C74" t="inlineStr">
        <is>
          <t>Premera Blue Cross</t>
        </is>
      </c>
      <c r="D74" t="inlineStr">
        <is>
          <t>linkedin</t>
        </is>
      </c>
      <c r="E74" t="inlineStr"/>
      <c r="F74" t="inlineStr"/>
      <c r="G74" t="inlineStr">
        <is>
          <t>Mountlake Terrace, WA</t>
        </is>
      </c>
      <c r="H74" t="inlineStr"/>
      <c r="I74"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
 **Solution Architect/AI Engineer IV** 
 , you will support the design, development, and implementation of sophisticated software and AI solutions. This position requires understanding of both software engineering principles and real\-world experience with AI implementation. In this role, you will operate in an agile team environment across different capability groups providing guidance on technical priorities, creating prototypes, and driving innovative solutions from concept to production.
**This is a hybrid role located on our campus in Mountlake Terrace, Washington.**
**What you’ll do:**
* Recommend and develop comprehensive systems and frameworks for AI applications and products, powering solutions for Digital Web experiences, strengths in managing additions for chatbot interfaces and backend services that support them, optimized for cost in consumption of tokens.
* Lead construction of prototypes and minimum viable products to validate AI solutions before committing substantial resources, expect to iterate fast and deliver such prototypes autonomously.
* Assist in designing and implementing the cloud architecture of large multi\-faceted AI systems.
* Develop specifications for low latency APIs and services necessary to deploy AI models and incorporate them into applications.
* Develop the code for monitoring models and AI systems that ensure consistent and reliable performance.
* Create and maintain thorough documentation that is consistent with team procedures, corporate policies, and expectations.
* Drive design reviews that align with our solution design process and actively participate in presenting and critical review of own and others designs.
* Guide other Solution Architects with industry best practices and methodologies, apply a similar approach when working with delivery teams, and provide critical input.
* Keep abreast of new tools and concepts constantly proving hypothesis in an experimentation environment.
* Advise team leadership on matters such as AI strategies with a focus on AI related technology strategies and roadmaps.
* Meet and collaborate with external stakeholders to conceptualize AI solutions that realize business value while ensuring AI governance adherence, AI best practices, data quality, reliability, and security.
**What you’ll bring:**
**Required Qualifications**
* Bachelor’s Degree in Computer Science, Information Systems, Statistics, Mathematics, or related field, or equivalent experience.
* Minimum of (12\) years of experience in software development and launching online customer products, with knowledge of the software development lifecycle and proficiency in multiple programming languages.
* At least (2\) years of industry experience in developing, deploying, and maintaining AI systems.
**Preferred Qualifications**
* Experience working with cloud solutions in a highly regulated environment. Experience in the healthcare industry is preferred.
* Experience working within agile\-like teams and environments, with exposure to API and service\-based technologies.
* Experience in successfully productionizing AI models, including constructing scalable data pipelines and establishing robust monitoring systems.
* Experience in using and creating automated test tools and a strong background in developing strategies for load testing AI experiences live in production.
* Knowledge of ethical AI practices include explainable AI, fairness, and bias mitigation.
**Knowledge, Skills, And Abilities**
* Expertise in implementing advanced techniques like Retrieval Augmented Generation, Tree of Thoughts, or Multimodal Chain of Thought in prompt engineering projects. Experience in leading prompt engineering teams and conducting code reviews.
* Proven experience debugging AI systems and enhancing performance through hyperparameter tuning and similar techniques.
* Knowledgeable about software design patterns, microservices, distributed computing, container orchestration, and other relevant architectures.
* Adept software engineering skills, as well as skills building secure, stable software systems at scale.
* Exceptional written and verbal communication skills, with the ability to articulate complex solutions to diverse stakeholders.
* Strong mentorship and leadership skills, with a commitment to knowledge sharing and professional development.
**Physical Requirements**
 The following have been identified as essential physical requirements of this job and must be performed with or without accommodation:
*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$150,300\.00 \- $270,500\.00
*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75">
      <c r="A75" t="inlineStr">
        <is>
          <t>li-4326539219</t>
        </is>
      </c>
      <c r="B75" t="inlineStr">
        <is>
          <t>Senior Staff Machine Learning Engineer, (ML Underwriting)</t>
        </is>
      </c>
      <c r="C75" t="inlineStr">
        <is>
          <t>Affirm</t>
        </is>
      </c>
      <c r="D75" t="inlineStr">
        <is>
          <t>linkedin</t>
        </is>
      </c>
      <c r="E75" t="inlineStr"/>
      <c r="F75" t="inlineStr"/>
      <c r="G75" t="inlineStr">
        <is>
          <t>Las Vegas, NV</t>
        </is>
      </c>
      <c r="H75" t="inlineStr"/>
      <c r="I75"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76">
      <c r="A76" t="inlineStr">
        <is>
          <t>li-4343472841</t>
        </is>
      </c>
      <c r="B76" t="inlineStr">
        <is>
          <t>Applied Scientist II</t>
        </is>
      </c>
      <c r="C76" t="inlineStr">
        <is>
          <t>Microsoft</t>
        </is>
      </c>
      <c r="D76" t="inlineStr">
        <is>
          <t>linkedin</t>
        </is>
      </c>
      <c r="E76">
        <f>HYPERLINK("https://www.linkedin.com/jobs/view/4343472841", "https://www.linkedin.com/jobs/view/4343472841")</f>
        <v/>
      </c>
      <c r="F76" t="inlineStr"/>
      <c r="G76" t="inlineStr">
        <is>
          <t>Redmond, WA</t>
        </is>
      </c>
      <c r="H76" t="inlineStr"/>
      <c r="I76"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li-4343312651</t>
        </is>
      </c>
      <c r="B77" t="inlineStr">
        <is>
          <t>Applied Scientist, AWS Agentic AI</t>
        </is>
      </c>
      <c r="C77" t="inlineStr">
        <is>
          <t>Amazon Web Services (AWS)</t>
        </is>
      </c>
      <c r="D77" t="inlineStr">
        <is>
          <t>linkedin</t>
        </is>
      </c>
      <c r="E77">
        <f>HYPERLINK("https://www.linkedin.com/jobs/view/4343312651", "https://www.linkedin.com/jobs/view/4343312651")</f>
        <v/>
      </c>
      <c r="F77" t="inlineStr"/>
      <c r="G77" t="inlineStr">
        <is>
          <t>Santa Clara, CA</t>
        </is>
      </c>
      <c r="H77" t="inlineStr"/>
      <c r="I77" t="inlineStr">
        <is>
          <t>**Description**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A3141517</t>
        </is>
      </c>
    </row>
    <row r="78">
      <c r="A78" t="inlineStr">
        <is>
          <t>li-4373229356</t>
        </is>
      </c>
      <c r="B78" t="inlineStr">
        <is>
          <t>Applied AI Engineer</t>
        </is>
      </c>
      <c r="C78" t="inlineStr">
        <is>
          <t>The Value Maximizer</t>
        </is>
      </c>
      <c r="D78" t="inlineStr">
        <is>
          <t>linkedin</t>
        </is>
      </c>
      <c r="E78">
        <f>HYPERLINK("https://www.linkedin.com/jobs/view/4373229356", "https://www.linkedin.com/jobs/view/4373229356")</f>
        <v/>
      </c>
      <c r="F78" t="inlineStr"/>
      <c r="G78" t="inlineStr">
        <is>
          <t>New York, NY</t>
        </is>
      </c>
      <c r="H78" t="inlineStr"/>
      <c r="I78" t="inlineStr">
        <is>
          <t>About the CompanySquad is using AI to accelerate how the world's best talent finds the right problems to solve.The bottleneck in recruiting isn't sourcing. It's data. Candidate data is poor and getting noisier (self\-reported, outdated, now AI\-inflated). But recruiters hold high\-quality, real\-time signal because they talk to candidates every day. That's why
 **companies spend \&gt;$800B/year on recruiting** 
 . The problem is this signal is fragmented and unusable at scale.Squad's first product aggregates signals from hundreds of recruiters and uses AI to instantly match their candidates to roles, giving companies unprecedented reach without the usual pain of managing external partners.We give recruiters a business\-in\-a\-box that lets them earn more while doing what they do best: building relationships and knowing their candidates deeply. In return, we get proprietary data. Our AI structures signal from real recruiter\-candidate context that doesn't exist on LinkedIn or resumes. Every submission, every rejection, every hire feeds a
 **self\-improving AI matchmaking engine** 
 .We believe the future of recruiting is human authenticity paired with AI efficiency. Great recruiters have a critical role to play, and Squad is built to empower them.
 Long\-term, Squad becomes the infrastructure layer for how talent meets opportunity.
 **Why you should join us** 
 Squad is a generational opportunity to rethink how recruiting works, and our path to doing so is significantly de\-risked. We have:
* Exponential growth: We have product\-market fit and are growing rapidly. Squad supports hundreds of candidates, recruiters, and employers every day. We've grown 10x in under a year with a 3\-person team
* AI\-first business model. Our approach is distinctly enabled by AI, and our business gets stronger as foundation models improve. We're building durability through cross\-sided network effects that compound over time. Every submission, rejection, and hire feeds a self\-improving matchmaking engine
* Real ownership. It's still ‘day 0'. You'll shape what Squad looks like and how far we get. Your input will define our vision, product, team, and execution. What you build now becomes the foundation for everything that follows
* Top tier investors: We've raised over $5M from FJ Labs (Airbnb, Uber, Dropbox), Link Ventures (Mercor, Liquid AI), Golden Ventures (Faire, Boardy), and angels
* Massive ceiling: The recruiting industry is \&gt;$800B and broken. We're building the infrastructure layer for how talent meets opportunity. The scope is as big as you want it to be
 Market demand is pulling us forward. We're looking for people who are excited about high ownership, high velocity, and high impact.There's an enormous amount to build \- and the scope only gets bigger. You will never be bored.If we succeed, every company finds the right people the moment they need them. Every person finds meaningful work without friction. And the pace of innovation changes forever.
**About the Role** 
 As the first engineer at Squad, you'll own one of the hardest challenges in tech: predicting which humans will thrive where.We've already solved the cold start problem. We have hundreds of users generating thousands of data points every day. The foundation is there. Now comes the fun part: endless room to build, and you'll shape what that looks like.You'll take full ownership of anything AI at Squad \- technical vision, execution, and the decisions that shape what this company becomes. This isn't a role where you inherit a roadmap. You'll collaborate directly with the founder to figure out what to build, how to build it, and who else we need on the team.Predicting human fit is one of the hardest recommendation problems out there \- sparse feedback, subjective preferences, high stakes. Most hiring AI trains on the same public data everyone else has. We have proprietary signal from both sides of the market that no one else sees. No one has built on a foundation like this before.
 Key ResponsibilitiesBuilding recommendation systems that predict candidate\-job fit \- and get smarter with every hire, rejection, and feedback loopDesigning AI agents that automate end\-to\-end recruiter and ops workflowsFine\-tuning models on proprietary hiring data no one else has access toEvaluation and simulation environments to measure and improve match qualityAnd much more which you'll define, across matching, automation, and infrastructure.
**Requirements**
* A
 4\+ years of engineering experience, with meaningful time spent shipping AI/LLM features in production
* B
 Experience driving AI projects end\-to\-end \- from model selection and data pipelines to deployment and real\-world iteration
* C
 Proficiency with modern AI/ML technologies (LLM APIs, embeddings, vector databases, fine\-tuning) and a strong foundation in full\-stack or backend web development</t>
        </is>
      </c>
    </row>
    <row r="79">
      <c r="A79" t="inlineStr">
        <is>
          <t>li-4341975745</t>
        </is>
      </c>
      <c r="B79" t="inlineStr">
        <is>
          <t>Machine Learning Engineer</t>
        </is>
      </c>
      <c r="C79" t="inlineStr">
        <is>
          <t>Electronic Arts (EA)</t>
        </is>
      </c>
      <c r="D79" t="inlineStr">
        <is>
          <t>linkedin</t>
        </is>
      </c>
      <c r="E79">
        <f>HYPERLINK("https://www.linkedin.com/jobs/view/4341975745", "https://www.linkedin.com/jobs/view/4341975745")</f>
        <v/>
      </c>
      <c r="F79">
        <f>HYPERLINK("https://jobs.ea.com/en_US/careers/JobDetail/Machine-Learning-Engineer/211193?source=LinkedIn&amp;urlHash=nMq3", "https://jobs.ea.com/en_US/careers/JobDetail/Machine-Learning-Engineer/211193?source=LinkedIn&amp;urlHash=nMq3")</f>
        <v/>
      </c>
      <c r="G79" t="inlineStr"/>
      <c r="H79" t="inlineStr"/>
      <c r="I79"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ATOM team builds the future of AI for testing games. As a Machine Learning Engineer reporting to the Director of AI, you will fulfill high\-impact applied research goals and help us bring EA's games to life. Your mission is to discover and evaluate AI methods that increase the velocity and quality of next\-generation interactive experiences. Our team impacts every title in EA's portfolio, and you will work with all types of AI technology to improve our titles.
**Responsibilities**
* Prototype, train, and ship AI tools that improve game testing efficiency, such as autonomous play\-testing agents, test\-case generation, anomaly/bug detection, and bug triaging.
* Translate ATOM's technology roadmap into experiments and deliverables, with support from lead and senior ML scientists
* Build reliable data pipelines from gameplay logs, video/frames, and telemetry; ensure data quality, labelling strategies, and reproducibility.
* Stay up\-to\-date on advancements in deep learning and GenAI through self\-study, internal workshops, and external conferences.
* This job is onsite of hybrid remote/in\-office (3 days/week).
**Qualifications**
* BSc degree in Computer Science, Engineering or Mathematics, or equivalent experience.
* 3\+ years of experience spanning across the entire ML lifecycle (frame, gather/curate data, model, evaluate, deploy, observe)
* Fluent in Python and major ML frameworks (e.g., PyTorch) and skill with software development practices.
* Experience training models at scale (multi\-GPU or distributed), strong understanding of ML fundamentals, MLOps, and best practices (e.g., reproducibility).
 Preferences
* Graduate degree in Computer Science, Engineering, Mathematics, or related discipline.
* Experience with: Reinforcement/Imitation Learning, Computer Vision (for video), Agents/LLMs, Uncertainty Quantification, Out\-of\-distribution detection.
* Experience with Distributed ML (e.g., DeepSeed).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\*$119,600 \- $167,300 CAD
* California (depending on location e.g. Los Angeles vs. San Francisco) \*$138,400 \- $211,700 USD
* Washington (depending on location e.g. Seattle vs. Spokane) \*$129,500 \- $171,800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0">
      <c r="A80" t="inlineStr">
        <is>
          <t>li-4341826190</t>
        </is>
      </c>
      <c r="B80" t="inlineStr">
        <is>
          <t>Machine Learning Engineer</t>
        </is>
      </c>
      <c r="C80" t="inlineStr">
        <is>
          <t>Electronic Arts (EA)</t>
        </is>
      </c>
      <c r="D80" t="inlineStr">
        <is>
          <t>linkedin</t>
        </is>
      </c>
      <c r="E80">
        <f>HYPERLINK("https://www.linkedin.com/jobs/view/4341826190", "https://www.linkedin.com/jobs/view/4341826190")</f>
        <v/>
      </c>
      <c r="F80" t="inlineStr"/>
      <c r="G80" t="inlineStr">
        <is>
          <t>Orlando, FL</t>
        </is>
      </c>
      <c r="H80" t="inlineStr"/>
      <c r="I8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ATOM team builds the future of AI for testing games. As a Machine Learning Engineer reporting to the Director of AI, you will fulfill high\-impact applied research goals and help us bring EA's games to life. Your mission is to discover and evaluate AI methods that increase the velocity and quality of next\-generation interactive experiences. Our team impacts every title in EA's portfolio, and you will work with all types of AI technology to improve our titles.
**Responsibilities**
* Prototype, train, and ship AI tools that improve game testing efficiency, such as autonomous play\-testing agents, test\-case generation, anomaly/bug detection, and bug triaging.
* Translate ATOM's technology roadmap into experiments and deliverables, with support from lead and senior ML scientists
* Build reliable data pipelines from gameplay logs, video/frames, and telemetry; ensure data quality, labelling strategies, and reproducibility.
* Stay up\-to\-date on advancements in deep learning and GenAI through self\-study, internal workshops, and external conferences.
* This job is onsite of hybrid remote/in\-office (3 days/week).
**Qualifications**
* BSc degree in Computer Science, Engineering or Mathematics, or equivalent experience.
* 3\+ years of experience spanning across the entire ML lifecycle (frame, gather/curate data, model, evaluate, deploy, observe)
* Fluent in Python and major ML frameworks (e.g., PyTorch) and skill with software development practices.
* Experience training models at scale (multi\-GPU or distributed), strong understanding of ML fundamentals, MLOps, and best practices (e.g., reproducibility).
 Preferences
* Graduate degree in Computer Science, Engineering, Mathematics, or related discipline.
* Experience with: Reinforcement/Imitation Learning, Computer Vision (for video), Agents/LLMs, Uncertainty Quantification, Out\-of\-distribution detection.
* Experience with Distributed ML (e.g., DeepSeed).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\*$119,600 \- $167,300 CAD
* California (depending on location e.g. Los Angeles vs. San Francisco) \*$138,400 \- $211,700 USD
* Washington (depending on location e.g. Seattle vs. Spokane) \*$129,500 \- $171,800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1">
      <c r="A81" t="inlineStr">
        <is>
          <t>li-4341975744</t>
        </is>
      </c>
      <c r="B81" t="inlineStr">
        <is>
          <t>Machine Learning Engineer</t>
        </is>
      </c>
      <c r="C81" t="inlineStr">
        <is>
          <t>Electronic Arts (EA)</t>
        </is>
      </c>
      <c r="D81" t="inlineStr">
        <is>
          <t>linkedin</t>
        </is>
      </c>
      <c r="E81">
        <f>HYPERLINK("https://www.linkedin.com/jobs/view/4341975744", "https://www.linkedin.com/jobs/view/4341975744")</f>
        <v/>
      </c>
      <c r="F81" t="inlineStr"/>
      <c r="G81" t="inlineStr">
        <is>
          <t>Kirkland, WA</t>
        </is>
      </c>
      <c r="H81" t="inlineStr"/>
      <c r="I81"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ATOM team builds the future of AI for testing games. As a Machine Learning Engineer reporting to the Director of AI, you will fulfill high\-impact applied research goals and help us bring EA's games to life. Your mission is to discover and evaluate AI methods that increase the velocity and quality of next\-generation interactive experiences. Our team impacts every title in EA's portfolio, and you will work with all types of AI technology to improve our titles.
**Responsibilities**
* Prototype, train, and ship AI tools that improve game testing efficiency, such as autonomous play\-testing agents, test\-case generation, anomaly/bug detection, and bug triaging.
* Translate ATOM's technology roadmap into experiments and deliverables, with support from lead and senior ML scientists
* Build reliable data pipelines from gameplay logs, video/frames, and telemetry; ensure data quality, labelling strategies, and reproducibility.
* Stay up\-to\-date on advancements in deep learning and GenAI through self\-study, internal workshops, and external conferences.
* This job is onsite of hybrid remote/in\-office (3 days/week).
**Qualifications**
* BSc degree in Computer Science, Engineering or Mathematics, or equivalent experience.
* 3\+ years of experience spanning across the entire ML lifecycle (frame, gather/curate data, model, evaluate, deploy, observe)
* Fluent in Python and major ML frameworks (e.g., PyTorch) and skill with software development practices.
* Experience training models at scale (multi\-GPU or distributed), strong understanding of ML fundamentals, MLOps, and best practices (e.g., reproducibility).
 Preferences
* Graduate degree in Computer Science, Engineering, Mathematics, or related discipline.
* Experience with: Reinforcement/Imitation Learning, Computer Vision (for video), Agents/LLMs, Uncertainty Quantification, Out\-of\-distribution detection.
* Experience with Distributed ML (e.g., DeepSeed).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\*$119,600 \- $167,300 CAD
* California (depending on location e.g. Los Angeles vs. San Francisco) \*$138,400 \- $211,700 USD
* Washington (depending on location e.g. Seattle vs. Spokane) \*$129,500 \- $171,800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82">
      <c r="A82" t="inlineStr">
        <is>
          <t>li-4373225707</t>
        </is>
      </c>
      <c r="B82" t="inlineStr">
        <is>
          <t>AI Engineer</t>
        </is>
      </c>
      <c r="C82" t="inlineStr">
        <is>
          <t>KMM Technologies, Inc.</t>
        </is>
      </c>
      <c r="D82" t="inlineStr">
        <is>
          <t>linkedin</t>
        </is>
      </c>
      <c r="E82">
        <f>HYPERLINK("https://www.linkedin.com/jobs/view/4373225707", "https://www.linkedin.com/jobs/view/4373225707")</f>
        <v/>
      </c>
      <c r="F82" t="inlineStr"/>
      <c r="G82" t="inlineStr">
        <is>
          <t>Reston, VA</t>
        </is>
      </c>
      <c r="H82" t="inlineStr"/>
      <c r="I82" t="inlineStr">
        <is>
          <t>**Title: AI Engineer**
**Location: Reston Town Center**
**Hybrid\- 3 days a week onsite**
**Description**
* Develop and optimize machine learning and deep learning models using frameworks like TensorFlow or PyTorch.
* Strong skills in programming languages such as Python, R, or Java, essential for developing AI applications.
* Build and maintain AI pipelines, from data processing to model deployment.
* Analyze complex datasets to uncover insights and improve model performance.
* Ability to analyze complex problems and develop effective AI\-driven solutions.
* Deploy AI solutions on cloud platforms such as AWS.
* Collaborate with technical and business teams to identify AI opportunities and deliver impactful solutions.
* Deep understanding of deploying AI applications within a CICD environment, specifically AWS.
**Preferred Qualifications**
* Experience with MLOps tools (e.g., MLflow, Kubeflow).
* Knowledge of big data technologies (Spark, Hadoop, Databricks).
* Background in NLP, computer vision, or other advanced AI techniques.
* Relevant certifications (Coursera, edX, AWS, Azure, Google Cloud).
**Required Qualifications**
* Strong programming skills in Python, R, or Java.
* Hands\-on experience with machine learning algorithms and frameworks.
* Familiarity with major cloud platforms for AI deployment.
* Strong analytical and problem solving skills.
* Solid foundation in mathematics and statistics.
 if interested please share profile to thulasiram@kmmtechnologies.com</t>
        </is>
      </c>
    </row>
    <row r="83">
      <c r="A83" t="inlineStr">
        <is>
          <t>li-4373216631</t>
        </is>
      </c>
      <c r="B83" t="inlineStr">
        <is>
          <t>AI/ML Engineer</t>
        </is>
      </c>
      <c r="C83" t="inlineStr">
        <is>
          <t>Wiraa</t>
        </is>
      </c>
      <c r="D83" t="inlineStr">
        <is>
          <t>linkedin</t>
        </is>
      </c>
      <c r="E83">
        <f>HYPERLINK("https://www.linkedin.com/jobs/view/4373216631", "https://www.linkedin.com/jobs/view/4373216631")</f>
        <v/>
      </c>
      <c r="F83" t="inlineStr"/>
      <c r="G83" t="inlineStr"/>
      <c r="H83" t="inlineStr"/>
      <c r="I83" t="inlineStr">
        <is>
          <t>**About The Company**
 Oddball is a forward\-thinking technology company committed to developing innovative solutions that make a meaningful impact in the federal space. We believe that the best products are created when organizations understand and value their work, fostering an environment of continuous learning and growth. Our mission is to bring high\-quality software to government agencies and improve the daily lives of millions by leveraging cutting\-edge technology. As a small company with a big vision, we value agility, collaboration, and a passion for making a difference through impactful software development.
**About The Role**
 We are seeking a highly skilled Applied AI / Machine Learning Engineer to join our dynamic team. In this role, you will be responsible for designing, building, and deploying practical AI\-powered solutions that address real\-world challenges. You will work at the intersection of experimentation, prototyping, and production deployment, applying modern machine learning and Generative AI techniques to develop scalable and reliable capabilities. This position offers an excellent opportunity for hands\-on engineers who enjoy shipping impactful features, learning rapidly, and balancing technical rigor with real\-world constraints. Collaboration with cross\-functional teams including engineers, designers, and product stakeholders will be essential as you translate ambiguous problems into effective AI\-driven solutions that meet business needs.
**Qualifications**
* Strong foundation in machine learning concepts, including model selection, training, validation, and evaluation
* Experience building and deploying machine learning models in real\-world applications
* Proficiency in Python and common ML libraries such as PyTorch, TensorFlow, and scikit\-learn
* Experience working with large language models, embeddings, and prompt\-driven systems
* Familiarity with data processing tools and workflows like Pandas, SQL, Spark, or similar
* Understanding of software engineering best practices including version control, testing, and code reviews
* Ability to analyze tradeoffs between accuracy, latency, cost, and maintainability
* Strong communication skills and ability to work effectively in cross\-functional teams
* Authorization to work in the United States
**Responsibilities**
* Design, develop, and deploy machine learning and AI\-powered features into production systems
* Apply supervised, unsupervised, and deep learning techniques to structured and unstructured data
* Build and evaluate models for tasks such as classification, ranking, prediction, NLP, or anomaly detection
* Develop and integrate Generative AI solutions, including LLM\-based workflows, retrieval\-augmented generation, and autonomous agents
* Translate business and user needs into machine learning problem statements, metrics, and experiments
* Implement data pipelines and feature engineering workflows to support model training and inference
* Evaluate model performance, bias, drift, and reliability; iterate based on results
* Collaborate with software engineers to integrate models into APIs, services, and user\-facing applications
* Contribute to architectural decisions related to model serving, scalability, and cost optimization
* Document methodologies, assumptions, and tradeoffs to ensure maintainability and knowledge sharing
**Benefits**
* Fully remote work environment
* Annual stipend to support professional development and well\-being
* Comprehensive benefits package including health, dental, and vision insurance
* Company\-matched 401(k) plan to support your financial future
* Flexible paid time off and paid holidays to promote work\-life balance
 Equal Opportunity
 Oddball is an Equal Opportunity Employer and values diversity in the workplace. We do not discriminate against applicants based on race, religion, color, disability, medical condition, genetic information, national origin, gender, sexual orientation, marital status, gender identity or expression, sex (including pregnancy and related medical conditions), age, veteran status, or other legally protected characteristics. We are committed to providing accommodations for individuals with disabilities throughout the application process.We ensure a fair and inclusive hiring process for all candidates.</t>
        </is>
      </c>
    </row>
    <row r="84">
      <c r="A84" t="inlineStr">
        <is>
          <t>li-4373218568</t>
        </is>
      </c>
      <c r="B84" t="inlineStr">
        <is>
          <t>Machine Learning Engineer</t>
        </is>
      </c>
      <c r="C84" t="inlineStr">
        <is>
          <t>Wiraa</t>
        </is>
      </c>
      <c r="D84" t="inlineStr">
        <is>
          <t>linkedin</t>
        </is>
      </c>
      <c r="E84">
        <f>HYPERLINK("https://www.linkedin.com/jobs/view/4373218568", "https://www.linkedin.com/jobs/view/4373218568")</f>
        <v/>
      </c>
      <c r="F84">
        <f>HYPERLINK("https://www.wiraa.com/job-description/us939D67A1B62F0077FB5A2654EE1C0933?source=Linkedin&amp;urlHash=lVvd", "https://www.wiraa.com/job-description/us939D67A1B62F0077FB5A2654EE1C0933?source=Linkedin&amp;urlHash=lVvd")</f>
        <v/>
      </c>
      <c r="G84" t="inlineStr"/>
      <c r="H84" t="inlineStr"/>
      <c r="I84" t="inlineStr">
        <is>
          <t>**About The Company**
 Whatnot is the leading live shopping platform operating across North America and Europe, revolutionizing the way people buy, sell, and discover their favorite items. As a dynamic and innovative company, Whatnot blends community engagement, entertainment, and e\-commerce into a seamless experience for users. With a diverse and remote co\-located team, the company fosters a culture of innovation, collaboration, and continuous growth. Its global hubs in the US, UK, Germany, Ireland, and Poland support its mission to build the future of online marketplaces. From fashion and beauty to electronics, collectibles, and live plants, Whatnot offers a wide range of products through engaging live auctions, making shopping fun and interactive for everyone.
**About The Role**
 We are seeking a highly skilled and motivated Machine Learning Engineer to join our Trust \&amp; Safety team. In this role, you will be responsible for designing, training, and deploying both traditional machine learning models and large language models (LLMs) aimed at detecting fraudulent behaviors across our platform. You will lead the development of end\-to\-end fraud detection systems, ensuring a balance between platform security and a smooth user experience. Your expertise will help build intelligent user graphs, model behavioral patterns, and identify collusion networks to prevent fraud effectively. You will develop scalable data pipelines and real\-time inference systems capable of handling high\-volume, low\-latency workloads.
 Additionally, you will analyze behavioral and adversarial data to uncover emerging fraud trends, continuously improving detection accuracy. Collaboration with cross\-functional teams such as Trust \&amp; Safety, Payments, and Infrastructure will be essential to develop features, labels, and evaluation pipelines. Your role will also involve implementing model monitoring, drift detection, and contributing to fraud risk orchestration by integrating rules, heuristics, and models for automated decision\-making. You will define key metrics and dashboards to assess system performance and stay ahead of evolving fraud tactics by translating insights into adaptive, production\-ready solutions. This position offers flexibility to work remotely or from one of our global office hubs, with a preference for candidates residing within commuting distance of our hubs in San Francisco, New York City, Los Angeles, or Seattle.
**Qualifications**
* Bachelor’s degree in Computer Science, Data Science, or a related field, or equivalent work experience
* 2–6 years of experience in machine learning, software engineering, or related domains such as risk, fraud, or trust \&amp; safety
* Proficiency in Python and machine learning libraries such as scikit\-learn, PyTorch, LightGBM
* Strong backend development skills and experience deploying ML models to production environments (batch or real\-time)
* Experience with data analysis and ETL processes using SQL, Spark, DBT
* Knowledge of fraud detection techniques including chargeback prediction, anomaly detection, and graph\-based modeling
* Familiarity with data orchestration frameworks like Dagster or Kubeflow and feature store design
* Ability to translate business risks into measurable ML solutions and collaborate effectively across teams
**Responsibilities**
* Design, train, and deploy traditional ML and LLM models to identify fraudulent activities
* Lead the architecture of fraud detection, prevention, and intervention systems
* Build and maintain intelligent user graphs to model behavioral patterns and detect collusion
* Develop scalable data pipelines and real\-time inference systems supporting high\-volume workloads
* Conduct behavioral and adversarial data analysis to identify fraud trends and improve detection methods
* Partner with cross\-functional teams to develop features, labels, and model evaluation pipelines
* Implement model monitoring, drift detection, and system reliability measures
* Contribute to fraud risk orchestration by integrating rules, heuristics, and models for automated decision\-making
* Define and track key metrics such as precision, recall, false\-positive rate, and latency to evaluate system performance
* Stay informed of emerging fraud tactics and continuously adapt detection systems accordingly
**Benefits**
* Generous holiday and time\-off policies to support work\-life balance
* Comprehensive health insurance options including medical, dental, and vision coverage
* Support for remote work with home office setup allowance
* Monthly stipends for cell phone and internet expenses
* Care benefits and wellness allowances to promote personal well\-being
* Annual childcare allowance and lifetime family planning benefits such as adoption or fertility expenses
* Retirement plans including 401(k) with employer matching in the US and pension schemes internationally
* Monthly allowance to explore and test the Whatnot platform (“dogfooding” budget)
* Paid parental leave of 16 weeks, with a gradual return to work, supporting new parents
* Opportunities for professional development and growth within a forward\-thinking company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characteristic.</t>
        </is>
      </c>
    </row>
    <row r="85">
      <c r="A85" t="inlineStr">
        <is>
          <t>li-4372085663</t>
        </is>
      </c>
      <c r="B85" t="inlineStr">
        <is>
          <t>Machine Learning Engineer</t>
        </is>
      </c>
      <c r="C85" t="inlineStr">
        <is>
          <t>Robert Half</t>
        </is>
      </c>
      <c r="D85" t="inlineStr">
        <is>
          <t>linkedin</t>
        </is>
      </c>
      <c r="E85">
        <f>HYPERLINK("https://www.linkedin.com/jobs/view/4372085663", "https://www.linkedin.com/jobs/view/4372085663")</f>
        <v/>
      </c>
      <c r="F85" t="inlineStr"/>
      <c r="G85" t="inlineStr"/>
      <c r="H85" t="inlineStr"/>
      <c r="I85" t="inlineStr">
        <is>
          <t>Robert Half Technology is partnering with a rapidly growing
 **data\-driven consumer insights and marketing technology organization** 
 supporting major enterprise brands, HQ in Los Angeles, Ca.
 This company leverages large\-scale data, machine learning, and AI to help clients better understand customer behavior, optimize marketing strategies, and drive measurable revenue growth. This is a highly visible role supporting a business that is scaling its applied AI and machine learning initiatives across multiple product lines.
**The Opportunity** 
 The Sr. Machine Learning Engineer will help drive AI initiatives by designing, building, and deploying scalable machine learning solutions that power business growth. You’ll partner with cross\-functional stakeholders and engineering teams globally to deliver production\-ready ML systems with measurable impact.
**What You’ll Be Doing** 
* Design and implement scalable ML solutions aligned with business priorities
* Build end\-to\-end ML pipelines (data exploration, feature engineering, training, tuning, deployment)
* Develop models using modern ML and deep learning frameworks (PyTorch, Scikit\-learn, XGBoost, HuggingFace, etc.)
* Support LLM/NLP solutions and applied AI workflows (LangChain, transformers, RAG concepts)
* Deploy models into production environments for batch and online inference
* Monitor model performance and continuously improve accuracy, speed, and scalability
* Work with cloud\-based systems and distributed computing frameworks
* Collaborate with global engineering teams across multiple time zones
* Mentor junior engineers and support best practices through code reviews and technical guidance
* Operate with a strong bias toward execution, quality, and business impact
**Must\-Have Qualifications** 
* Bachelor’s degree (or higher) in Computer Science, Engineering, or related discipline
* **5\+ years** 
 of experience in software engineering with a focus on Machine Learning
* Strong Python skills (production\-quality code)
* Strong SQL skills for data analysis and feature engineering
* Strong understanding of ML algorithms (DNNs, boosting trees, random forests, etc.)
* Experience with applied statistics (testing, experimentation, measurement)
* Experience with PyTorch
* Experience with cloud platforms (AWS, GCP, Databricks, or similar)
* Experience deploying models into scalable production environments
* Experience with distributed data processing and large datasets
* Experience with Docker and/or Kubernetes
* Familiarity with modern API design (RESTful services)
* Comfortable collaborating with international teams and occasionally working outside standard hours
**Nice\-to\-Haves** 
* Master’s degree or PhD in ML/AI or related field
* Experience with Ray for training/tuning/serving ML models
* Experience with recommender systems in production
* Exposure to Scala or Rust
* Experience with CI/CD pipelines and MLOps frameworks
* Bayesian statistics and causal inference
* Advanced experience with LangChain, HuggingFace, LLM workflows, and RAG
**Compensation \&amp; Benefits** 
* Competitive base salary (up to
 **$175K** 
 )
* Flexible PTO and paid holidays
* Comprehensive health benefits
* Additional long\-term incentives may be available depending on level
 If you're excited about building production ML systems and want to work on applied AI at scale, reach out directly for immediate consideration.</t>
        </is>
      </c>
    </row>
    <row r="86">
      <c r="A86" t="inlineStr">
        <is>
          <t>li-4372085465</t>
        </is>
      </c>
      <c r="B86" t="inlineStr">
        <is>
          <t>ML Engineer</t>
        </is>
      </c>
      <c r="C86" t="inlineStr">
        <is>
          <t>Millennium</t>
        </is>
      </c>
      <c r="D86" t="inlineStr">
        <is>
          <t>linkedin</t>
        </is>
      </c>
      <c r="E86">
        <f>HYPERLINK("https://www.linkedin.com/jobs/view/4372085465", "https://www.linkedin.com/jobs/view/4372085465")</f>
        <v/>
      </c>
      <c r="F86" t="inlineStr"/>
      <c r="G86" t="inlineStr">
        <is>
          <t>New York, NY</t>
        </is>
      </c>
      <c r="H86" t="inlineStr"/>
      <c r="I86" t="inlineStr">
        <is>
          <t>We are working on different areas where AI/ML can help portfolio managers, researchers, risk managers, and other functions. Some examples are: enabling traders/researchers to consume vast amounts of research and literature by organizing, summarizing information, sometimes in near real\-time; doing quantitative modeling to price instruments, modeling demand and supply of commodities and other fundamentals; modeling weather, optimizing algorithmic execution of trades; modeling and building simulations of risk.
 The AI/ML work spans usage of LLMs, deep learning, reinforcement learning and other ML techniques. The work also requires building AI/ML infrastructure for data wrangling, building feature stores, building frameworks for deployments, measurements, re\-training, etc.
 We are seeking a MLE who has experience with LLMs, deep learning, reinforcement learning as well as an interest and ability to keep up with advancements in AI/ML. The candidate will build workflows for weather modeling (training and inference), and work with internal teams to validate forecasts and integrate with user workflows.
**Requirements**
* MS degree (PhD preferred) in computer science, mathematics, computational science/engineering, or related technical field or equivalent experience
* 2\+ yrs of relevant experience
* Strong Python programming skills
* Familiarity with containers, numeric libraries, modular software design
* Deep knowledge of state\-of\-the\-art machine learning techniques and algorithms (graph networks, diffusion models, reinforcement learning etc.) with experience in using major deep learning frameworks (PyTorch, JAX, etc.)
* Experience with development and application of machine learning techniques to solve real world problems in geospatial/weather/energy domains
* Strong analytical skills with bias for action
* Good time\-management and organization skills to thrive in a fast paced, dynamic environment
* Solid written and oral communications skills. Good teamwork and interpersonal skills
**Ways To Stand Out**
* Experience using multi\-node systems with data\-parallel and model\-parallel programming, and experience with AI/ML model performance optimization
* Experience with simulating physical systems and/or generating large tensors, such as video generation
* Published papers in the field of AI in scientific computing, especially in weather, climate and energy applications
* Familiarity with common tooling in the weather/climate/geospatial ecosystem (xarray, zarr, geopandas)
* Stay up to date with the latest research and innovations in deep learning techniques</t>
        </is>
      </c>
    </row>
    <row r="87">
      <c r="A87" t="inlineStr">
        <is>
          <t>li-4373228173</t>
        </is>
      </c>
      <c r="B87" t="inlineStr">
        <is>
          <t>Senior Machine Learning Engineer</t>
        </is>
      </c>
      <c r="C87" t="inlineStr">
        <is>
          <t>Intuit</t>
        </is>
      </c>
      <c r="D87" t="inlineStr">
        <is>
          <t>linkedin</t>
        </is>
      </c>
      <c r="E87">
        <f>HYPERLINK("https://www.linkedin.com/jobs/view/4373228173", "https://www.linkedin.com/jobs/view/4373228173")</f>
        <v/>
      </c>
      <c r="F87">
        <f>HYPERLINK("https://dsp.prng.co/waEqbDb&amp;urlHash=c7MA", "https://dsp.prng.co/waEqbDb&amp;urlHash=c7MA")</f>
        <v/>
      </c>
      <c r="G87" t="inlineStr">
        <is>
          <t>Mountain View, CA</t>
        </is>
      </c>
      <c r="H87" t="inlineStr"/>
      <c r="I87" t="inlineStr">
        <is>
          <t>**Overview**
 N/A
**Responsibilities**
 N/A
**Qualifications**
 N/A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88">
      <c r="A88" t="inlineStr">
        <is>
          <t>li-4371487362</t>
        </is>
      </c>
      <c r="B88" t="inlineStr">
        <is>
          <t>Principal AI Engineer - AI/ML Engineer</t>
        </is>
      </c>
      <c r="C88" t="inlineStr">
        <is>
          <t>TekVizor</t>
        </is>
      </c>
      <c r="D88" t="inlineStr">
        <is>
          <t>linkedin</t>
        </is>
      </c>
      <c r="E88">
        <f>HYPERLINK("https://www.linkedin.com/jobs/view/4371487362", "https://www.linkedin.com/jobs/view/4371487362")</f>
        <v/>
      </c>
      <c r="F88" t="inlineStr"/>
      <c r="G88" t="inlineStr">
        <is>
          <t>Pennsylvania, United States</t>
        </is>
      </c>
      <c r="H88" t="inlineStr"/>
      <c r="I88" t="inlineStr">
        <is>
          <t>**Principal Lead AI Engineer – Agentic AI** 
 📍
 **Pittsburgh, PA (On‑site)** 
 🕒
 **Full\-Time** 
 🌍
 **U.S. Citizenship Required** 
 ✈️ Up to 10% Travel
 📈 Pre\-IPO
 We are seeking an experienced Lead
 **AI Engineer** 
 to join our Agentic AI team as we scale agentic capabilities. Our bespoke platform and suite of AI\-enabled applications accelerate the decision\-making process in real\-time, all in one place.
 We’re looking for someone who has
 **built real projects using LLMs** 
 that demonstrate the ability to make them interact with frontend interfaces agentically, through tool use, state modeling, workflows, and robust orchestration.
**What You’ll Do** 
* Design and build
 **multi\-agent systems** 
 ,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Partner with Product and Implementation teams to solve complex customer problems using agentic systems.
**Required Skills \&amp; Experience** 
* Bachelor’s, Master’s, or PhD in Computer Science, Computer Engineering, Data Science, or related field.
* **5\+ years** 
 building and deploying ML or LLM\-powered systems in production environments.
* Hands\-on experience designing autonomous multi\-agent workflows that include state/action models for AI\-driven interaction (agent\-controlled UI, tool invocation, deterministic flows).
* Experience integrating and working with
 **LLMs** 
 , with strong understanding of strengths, weaknesses, and operational constraints.
* Experience with agent frameworks such as
 **Claude Agent SDK** 
 or
 **OpenAI Agent SDK** 
 .
* Strong Python engineering skills.
* Experience productionizing ML/LLM systems.
* Experience developing
 **observability and feedback loops** 
 (telemetry, prompt evaluation, regression testing, reliability metrics).
* Ability to operate in highly ambiguous, fast\-moving environments.
* A passion for
 **coding agents** 
 and exploring new technologies.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 with occasional travel (up to 10%). You’ll be joining a high\-velocity team building the next generation of agentic AI system. If you thrive in ambiguity, love building real agentic systems, and want to shape how LLMs interact with software interfaces at scale, this role is for you!
 \#AIJobs \#AgenticAI \#LLMEngineering \#AIEngineer \#Hiring \#MachineLearning \#GenerativeAI \#TechJobs \#Pittsburgh</t>
        </is>
      </c>
    </row>
    <row r="89">
      <c r="A89" t="inlineStr">
        <is>
          <t>li-4373218775</t>
        </is>
      </c>
      <c r="B89" t="inlineStr">
        <is>
          <t>AI Engineer</t>
        </is>
      </c>
      <c r="C89" t="inlineStr">
        <is>
          <t>Hirenza</t>
        </is>
      </c>
      <c r="D89" t="inlineStr">
        <is>
          <t>linkedin</t>
        </is>
      </c>
      <c r="E89">
        <f>HYPERLINK("https://www.linkedin.com/jobs/view/4373218775", "https://www.linkedin.com/jobs/view/4373218775")</f>
        <v/>
      </c>
      <c r="F89">
        <f>HYPERLINK("https://www.hirecrap.com/job-description-usj/7092993446412459925?source=LinkedIn&amp;urlHash=56S8", "https://www.hirecrap.com/job-description-usj/7092993446412459925?source=LinkedIn&amp;urlHash=56S8")</f>
        <v/>
      </c>
      <c r="G89" t="inlineStr"/>
      <c r="H89" t="inlineStr"/>
      <c r="I89" t="inlineStr">
        <is>
          <t>**About The Company**
 Rethink Recruit is a leading talent acquisition firm dedicated to connecting innovative companies with top\-tier professionals across various industries. With a commitment to excellence and a client\-centric approach, we strive to deliver customized recruitment solutions that meet the unique needs of our clients. Our team of experienced recruiters leverages extensive industry knowledge and a vast network to identify and attract the best candidates, ensuring our clients gain a competitive edge in their respective markets. At Rethink Recruit, we believe in fostering long\-term relationships built on trust, transparency, and mutual success, making us a trusted partner for organizations seeking to build high\-performing teams.
**About The Role**
 The role at Rethink Recruit offers an exciting opportunity for a dynamic and detail\-oriented professional to join our team as a Recruitment Specialist. In this position, you will be responsible for managing the end\-to\-end recruitment process, including sourcing, screening, interviewing, and onboarding candidates across diverse sectors. Your primary focus will be to understand client requirements thoroughly and deliver tailored talent solutions that align with their strategic objectives. The role demands excellent communication skills, a proactive approach, and the ability to build strong relationships with both clients and candidates. As a key member of our team, you will contribute to maintaining our reputation for delivering high\-quality recruitment services and fostering long\-term partnerships.
**Qualifications**
 To succeed in this role, candidates should possess a bachelor’s degree in Human Resources, Business Administration, or a related field. Prior experience of at least 2 years in recruitment or talent acquisition is preferred, with a proven track record of successfully filling roles across various industries. Strong interpersonal and communication skills are essential, along with the ability to manage multiple priorities efficiently. Familiarity with applicant tracking systems (ATS) and other recruitment tools is highly desirable. A proactive attitude, excellent problem\-solving abilities, and a keen eye for detail are critical to ensuring the delivery of exceptional recruitment services.
**Responsibilities**
 The key responsibilities of this role include developing and executing effective sourcing strategies to attract qualified candidates through various channels such as job boards, social media, and professional networks. You will be responsible for screening resumes, conducting interviews, and assessing candidates' skills and cultural fit. Collaborating closely with clients to understand their hiring needs and providing consultative support throughout the recruitment process is vital. Managing candidate pipelines and maintaining accurate records in our ATS will ensure a smooth workflow. Additionally, you will be expected to negotiate offers, facilitate onboarding, and maintain ongoing communication with both clients and candidates to ensure a positive experience. Monitoring industry trends and continuously improving recruitment processes to enhance efficiency and effectiveness are also part of your responsibilities.
**Benefits**
 Rethink Recruit offers a comprehensive benefits package designed to support our employees' professional and personal growth. This includes competitive salary packages, performance\-based incentives, and opportunities for career advancement within the organization. We provide ongoing training and development programs to enhance your skills and industry knowledge. Our health and wellness benefits include medical insurance, dental coverage, and access to wellness programs. Additionally, we promote a collaborative and inclusive workplace culture that values diversity, innovation, and continuous improvement. Flexible working arrangements and a supportive environment ensure our employees can achieve a healthy work\-life balance while contributing meaningfully to our collective success.
 Equal Opportunity
 Rethink Recruit is an equal opportunity employer. We are committed to creating an inclusive environment where all employees and applicants are treated with respect and fairness. We do not discriminate based on race, ethnicity, gender, age, sexual orientation, disability, religion, or any other protected characteristic. Our hiring practices are designed to promote diversity and inclusion, ensuring that everyone has an equal chance to succeed and grow within our organization. We believe that a diverse workforce fosters innovation and drives our continued success.</t>
        </is>
      </c>
    </row>
    <row r="90">
      <c r="A90" t="inlineStr">
        <is>
          <t>li-4358410293</t>
        </is>
      </c>
      <c r="B90" t="inlineStr">
        <is>
          <t>Sr. Machine Learning Engineer, GAI Search Platform</t>
        </is>
      </c>
      <c r="C90" t="inlineStr">
        <is>
          <t>Moveworks</t>
        </is>
      </c>
      <c r="D90" t="inlineStr">
        <is>
          <t>linkedin</t>
        </is>
      </c>
      <c r="E90">
        <f>HYPERLINK("https://www.linkedin.com/jobs/view/4358410293", "https://www.linkedin.com/jobs/view/4358410293")</f>
        <v/>
      </c>
      <c r="F90" t="inlineStr"/>
      <c r="G90" t="inlineStr">
        <is>
          <t>Mountain View, CA</t>
        </is>
      </c>
      <c r="H90" t="inlineStr"/>
      <c r="I90"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91">
      <c r="A91" t="inlineStr">
        <is>
          <t>li-4373220876</t>
        </is>
      </c>
      <c r="B91" t="inlineStr">
        <is>
          <t>Azure AI/ML Engineer</t>
        </is>
      </c>
      <c r="C91" t="inlineStr">
        <is>
          <t>Inherent Technologies</t>
        </is>
      </c>
      <c r="D91" t="inlineStr">
        <is>
          <t>linkedin</t>
        </is>
      </c>
      <c r="E91">
        <f>HYPERLINK("https://www.linkedin.com/jobs/view/4373220876", "https://www.linkedin.com/jobs/view/4373220876")</f>
        <v/>
      </c>
      <c r="F91" t="inlineStr"/>
      <c r="G91" t="inlineStr">
        <is>
          <t>Bellevue, WA</t>
        </is>
      </c>
      <c r="H91" t="inlineStr"/>
      <c r="I91" t="inlineStr">
        <is>
          <t>AI, 4\.5,Java,LLM,Python,Vector,Semantic Kernel, AI Foundry ,LLMs (Azure OpenAI, OpenAI, Anthropic,MicroServices,Azure DevOps,Docker,Kubernetes
 Role Descriptions: 8 years of Strong proficiency in Python\| C\| or Java Hands\-on experience in building RAG\-based systems and implement RAG pipelines using embeddings\| vector search\| and LLMsSolid experience with Vector Databases and embedding\-based search e.g. Azure AI SearchPractical experience with Semantic Kernel\| AI Foundry\| Lang Chain\| LlamaIndex\| or similar frameworks\| Azure ServicesExperience working with LLMs (Azure OpenAI\| OpenAI\| Anthropic\| or equivalent)Strong understanding of REST APIs\| microservices\| and cloud\-native architecturesExperience in developing secure\| scalable APIs and services to support AI\-driven applicationsEnsure best practices around security\| data privacy\| observability\| and cost optimizationExperience in building multi\-agent and tool\-using workflows using Semantic Kernel\| AI Foundry\| or similar orchestration frameworksCollaborate with product\| data science\| and platform teams to translate business requirements into AI solutionsExperience deploying applications on cloud platforms (Azure preferred)Familiarity with CICD\| containerization (Docker)\| and orchestration (Kubernetes is a plus)
 Essential Skills: AI 4\.5 Java LLM Python Vector Semantic Kernel AI FoundryLLMs (Azure OpenAI OpenAI Anthropic MicroServices Azure DevOps Docker Kubernetes
**Keyword**
 Desirable Skills:
 Skills: Digital : Python\~Digital : Docker\~Core Java\~4\.5
 Experience Required: 8\-10</t>
        </is>
      </c>
    </row>
    <row r="92">
      <c r="A92" t="inlineStr">
        <is>
          <t>li-4373218934</t>
        </is>
      </c>
      <c r="B92" t="inlineStr">
        <is>
          <t>AI Engineer</t>
        </is>
      </c>
      <c r="C92" t="inlineStr">
        <is>
          <t>IT Minds LLC</t>
        </is>
      </c>
      <c r="D92" t="inlineStr">
        <is>
          <t>linkedin</t>
        </is>
      </c>
      <c r="E92">
        <f>HYPERLINK("https://www.linkedin.com/jobs/view/4373218934", "https://www.linkedin.com/jobs/view/4373218934")</f>
        <v/>
      </c>
      <c r="F92" t="inlineStr"/>
      <c r="G92" t="inlineStr">
        <is>
          <t>La Vista, NE</t>
        </is>
      </c>
      <c r="H92" t="inlineStr"/>
      <c r="I92" t="inlineStr">
        <is>
          <t>**Job Title:** 
 AI Engineer
**Duration:** 
 6 Months
**Location:** 
 5 days Onsite at LaVista, NE or Lenexa, KS
 Our customer is seeking an AI Engineer to design, develop, and operate intelligent AI systems supporting complex enterprise workflows. This role focuses heavily on backend engineering (approximately 70%) with additional contributions to frontend and user interface development (approximately 30%). The engineer will work closely with product managers and software teams to deliver scalable, secure, and AI\-enabled capabilities into production environments.
 This position involves building AI\-driven services, multi\-step workflows, and system integrations, particularly leveraging modern architectures such as large\-language\-model systems, agent\-based workflows, and retrieval augmented generation (RAG). The role requires strong experience delivering backend services in cloud environments and familiarity with modern AI tooling.
**Responsibilities**
 Design, develop, and deploy AI\-enabled services and agent based workflows
 Build and maintain API\-driven backend services supporting AI powered applications
 Contribute to frontend components and user interfaces supporting AI workflows
 Implement multi\-step AI workflows with tool usage, data retrieval, and external system integrations
 Integrate AI systems with enterprise data platforms and business systems
 Develop and maintain observability, logging, and monitoring for AI services
 Collaborate with cross\-functional teams to translate business needs into technical solutions
 Ensure solutions meet security, compliance, and governance requirements
 Participate in architectural reviews and contribute to platform standards and best practices
**Qualifications Required**
 Bachelor's degree in Computer Science, Engineering, or related field (or equivalent experience)
 3\+ years of professional software engineering experience
 Experience building and operating backend APIs and services
 Hands on experience with MCPs and AI workflows
 Experience designing and operating containerized services (Docker, sandboxing)
 Hands\-on experience with Retrieval\-Augmented Generation (RAG) systems
 Proficiency with SQL and relational database design
 Experience deploying and operating cloud\-native applications in production environments
**Preferred**
 Experience designing or operating agent\-based AI systems in enterprise environments
 Experience with PostgreSQL
 Prompt engineering experience
 Familiarity with Claude Agent SDK, Anthropic tools, or similar agent frameworks
 Experience with AI observability/tracing tools (e.g., LangFuse)
 Experience using Node.js ORMs such as Prisma or Drizzle
 Experience building APIs with Express, Fastify, or similar frameworks
 Experience contributing to frontend/UI development for AI applications
 Familiarity with React and modern frontend practices
 Experience using Shadcn UI or similar component libraries
 Knowledge of DevOps practices and CI/CD pipelines
**Tools and Technologies**
 Programming: C\#, Python, Node.js (JavaScript/TypeScript), RESTful APIs
 AI Systems: LLMs, MCPs, agent\-based workflows, RAG systems
 Data: SQL, relational modeling, PostgreSQL, Azure SQL
 Cloud \&amp; Execution: Azure Container Apps, Docker, containerized services, Vercel Sandboxes or similar
 Orchestration: Azure Functions Durable Task Scheduler, Vercel Workflows, or equivalents
 Developer Tooling: Cursor IDE or similar AI\-assisted IDEs; Git\-based workflows
**Best Regards,**
**Satya Satish J** 
**\|** 
**Technical Recruiter** 
**\|** 
**IT Minds LLC** 
**\|**</t>
        </is>
      </c>
    </row>
    <row r="93">
      <c r="A93" t="inlineStr">
        <is>
          <t>li-4373222788</t>
        </is>
      </c>
      <c r="B93" t="inlineStr">
        <is>
          <t>AI Engineer</t>
        </is>
      </c>
      <c r="C93" t="inlineStr">
        <is>
          <t>Best Job Tool</t>
        </is>
      </c>
      <c r="D93" t="inlineStr">
        <is>
          <t>linkedin</t>
        </is>
      </c>
      <c r="E93">
        <f>HYPERLINK("https://www.linkedin.com/jobs/view/4373222788", "https://www.linkedin.com/jobs/view/4373222788")</f>
        <v/>
      </c>
      <c r="F93">
        <f>HYPERLINK("https://www.bestjobtool.com/job-description/3070499983?src=LinkedIn&amp;urlHash=r7OK", "https://www.bestjobtool.com/job-description/3070499983?src=LinkedIn&amp;urlHash=r7OK")</f>
        <v/>
      </c>
      <c r="G93" t="inlineStr"/>
      <c r="H93" t="inlineStr"/>
      <c r="I93" t="inlineStr">
        <is>
          <t>**About The Company**
 Slab Inc. is a leading technology company dedicated to innovation and excellence in the field of artificial intelligence and machine learning. Our mission is to develop transformative solutions that empower industries to achieve greater efficiency, productivity, and intelligence through cutting\-edge AI technologies. With a global presence and a diverse team of experts, Slab Inc. is committed to pushing the boundaries of what is possible with AI, driving digital transformation across various sectors including manufacturing, healthcare, finance, and more. We foster a collaborative and inclusive environment that encourages creativity, continuous learning, and professional growth, ensuring our employees are at the forefront of technological advancements.
**About The Role**
 We are seeking a passionate and talented AI Engineer to join our dynamic team at Slab Inc. In this role, you will be responsible for developing and deploying advanced industrial AI solutions that set new standards in manufacturing processes. You will work closely with our team of applied scientists, software engineers, and product managers to translate state\-of\-the\-art AI research into scalable, reliable software products. Your expertise will contribute to optimizing manufacturing operations by designing efficient machine learning pipelines, deploying models into production environments, and ensuring their seamless integration with existing systems. This position offers an exciting opportunity to work on impactful projects with global manufacturing clients, utilizing vast amounts of real\-world data to drive innovation and operational excellence.
**Qualifications**
* Bachelor’s degree in Computer Science, Electrical Engineering, Machine Learning, or a related technical field. An advanced degree (MS or Ph.D.) is a plus.
* Proficiency in one or more modern programming languages such as Python, C\+\+, or Java, with a solid understanding of algorithms and data structures.
* Strong expertise in Python data science libraries (NumPy, Pandas) and machine learning/deep learning frameworks (scikit\-learn, PyTorch, TensorFlow) for end\-to\-end model development.
* At least 3 years of experience building production\-ready machine learning infrastructure, including data pipelines, training workflows, inference systems, and deployment automation.
* Comprehensive understanding of software engineering best practices, including version control (Git), unit testing, code reviews, and CI/CD pipelines. Familiarity with containerization tools such as Docker and orchestration platforms like Kubernetes is preferred.
* Experience developing scalable, high\-performance software applications and services, with a focus on reliability and system optimization.
* Strong problem\-solving skills, attention to detail, and the ability to collaborate effectively with cross\-functional teams.
**Responsibilities**
* Collaborate with AI scientists to understand model requirements and design scalable, efficient machine learning pipelines that support manufacturing use cases.
* Build and maintain robust infrastructure for data processing, model training, evaluation, and deployment, ensuring high performance and reliability.
* Take ownership of the entire machine learning system lifecycle, from research prototypes to production\-grade implementations.
* Optimize models for training and inference, focusing on reducing latency and resource consumption to meet operational constraints.
* Develop monitoring, observability, and CI/CD tooling to support continuous deployment and maintenance of ML models in staging and production environments.
* Implement best practices for software quality, including thorough testing, documentation, and adherence to coding standards.
* Coordinate with product and engineering teams to gather requirements, facilitate system integration, and ensure AI solutions align with business needs.
**Benefits**
 At Slab Inc., we believe in supporting our employees both professionally and personally. We offer a comprehensive benefits package that includes competitive salaries, health insurance, and retirement plans. Employees have access to ongoing learning and development opportunities, including training programs, conferences, and workshops. We promote a healthy work\-life balance through flexible working hours and remote work options. Our collaborative environment fosters innovation and creativity, encouraging employees to contribute ideas and grow within the organization. Additionally, team members enjoy various wellness programs, employee recognition initiatives, and opportunities for career advancement within a global organization.
 Equal Opportunity
 Slab Inc. is an equal opportunity employer committed to fostering an inclusive environment for all employees. We celebrate diversity and are dedicated to ensuring equal employment opportunities regardless of race, color, religion, gender, sexual orientation, gender identity or expression, age, national origin, disability, or any other protected status. We believe that diverse teams drive innovation and excellence, and we are committed to creating a workplace where everyone feels valued, respected, and empowered to contribute their best.</t>
        </is>
      </c>
    </row>
    <row r="94">
      <c r="A94" t="inlineStr">
        <is>
          <t>li-4319497455</t>
        </is>
      </c>
      <c r="B94" t="inlineStr">
        <is>
          <t>Principal AI/ML Engineer - AdTech</t>
        </is>
      </c>
      <c r="C94" t="inlineStr">
        <is>
          <t>Zeta Global</t>
        </is>
      </c>
      <c r="D94" t="inlineStr">
        <is>
          <t>linkedin</t>
        </is>
      </c>
      <c r="E94">
        <f>HYPERLINK("https://www.linkedin.com/jobs/view/4319497455", "https://www.linkedin.com/jobs/view/4319497455")</f>
        <v/>
      </c>
      <c r="F94" t="inlineStr"/>
      <c r="G94" t="inlineStr">
        <is>
          <t>New York, United States</t>
        </is>
      </c>
      <c r="H94" t="inlineStr"/>
      <c r="I94"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**Role Description**
 As a Principal AI/ML Engineer in our AdTech team, you will be a key individual contributor driving the development of advanced machine learning models and AI\-driven features for our advertising platform. You will design, build, and deploy ML solutions for campaign optimization, user personalization, and creative content generation, operating at large scale and low latency to handle billions of ad events per day. This role requires deep expertise in machine learning techniques
 *and* 
 the programmatic advertising ecosystem (e.g., real\-time bidding and digital marketing data). You will work closely with engineering, product, and data science teams to ensure our ML systems are highly performant, scalable, and reliable. You will also spearhead innovation by leveraging large language models (LLMs) and intelligent agent architectures to create new capabilities that automate and enhance advertising campaigns.
**Key Responsibilities**
* Machine Learning Leadership: Lead the design and implementation of scalable, high\-performance, and resilient ML solutions for AdTech use cases. You will set technical direction for integrating AI/ML into our Demand\-Side Platform and broader ad tech stack.
* ML System Design: Architect and evolve the end\-to\-end machine learning pipeline – from data ingestion and training to real\-time inference, for our real\-time bidding, targeting, and optimization algorithms. Ensure that models seamlessly integrate with our ad serving architecture and handle low\-latency, high\-throughput requirements.
* Technical Strategy: Define the technical roadmap and vision for AI/ML in our platform, evaluating new tools and techniques (including the latest in deep learning and LLMs) and making strategic build\-vs\-buy decisions. Continuously assess emerging technologies to keep our AdTech capabilities on the cutting edge.
* AI \&amp; Agentic Applications: Develop intelligent systems using AI agents and agentic workflows to automate and optimize end\-to\-end campaign processes. Leverage LLMs and generative AI to enable autonomous campaign management tasks such as audience segmentation, dynamic bid adjustments, and creative asset generation.
* Cross\-Functional Collaboration: Partner with engineering, product, and data science teams to translate marketing objectives into ML\-driven solutions. Work closely with stakeholders to deliver innovative features – including those powered by Large Language Models (LLMs), that enhance our advertising products.
* Performance \&amp; Reliability: Ensure system robustness and stability for ML services in a high\-concurrency, low\-latency environment. Optimize algorithms and infrastructure for speed and scalability, and implement monitoring to maintain model performance and uptime in production.
* Mentorship \&amp; Best Practices: Provide technical guidance and mentorship to other engineers and data scientists, fostering a culture of excellence in engineering and ML best practices. Review code and models, share knowledge, and champion continuous improvement across teams.
**Required Qualifications**
* 10\+ years of experience in software engineering or data science, with at least 3\-5 years in a principal engineer or lead ML role (preferably in the AdTech/MarTech industry).
* Proven experience designing and building high\-throughput, low\-latency distributed systems or data pipelines for large\-scale applications.
* Deep expertise in the programmatic advertising ecosystem, including Demand\-Side Platforms (DSPs), real\-time bidding (RTB), Supply\-Side Platforms (SSPs), and ad exchanges.
* Proficiency in programming languages such as Java, Go, and Python for building both data\-intensive backend services and ML tools.
* Hands\-on experience with machine learning frameworks and libraries, especially PyTorch or TensorFlow, for developing and training models.
* Strong experience with big data and streaming frameworks (e.g., Apache Spark, Kafka, Hadoop) for processing and analyzing large datasets.
* Expertise with cloud platforms (preferably AWS) and related services for scalable ML model deployment and data storage.
* Experience with various data stores, including both SQL and NoSQL databases (e.g., MySQL/PostgreSQL, Cassandra, DynamoDB, Redis).
* Familiarity with containerization and orchestration technologies (Docker, Kubernetes) for deploying and managing services at scale.
* Excellent communication, presentation, and interpersonal skills, with ability to convey complex ML concepts to technical and non\-technical stakeholders.
**Preferred Qualifications**
* Experience with Large Language Models (LLMs) and generative AI applied to advertising, for example, using AI to generate ad copy, optimize creative content, or personalize messaging.
* Experience designing and implementing agentic workflows that enable autonomous decision\-making and real\-time optimization in marketing campaigns.
* Experience with machine learning model serving and optimization for real\-time inference applications (latency\-critical environments).
* Familiarity with modern data lake and table formats (e.g., Apache Iceberg, Apache Hudi) for managing large\-scale analytical datasets.
* Knowledge of microservices architecture and event\-driven design patterns in distributed systems.
* A track record of contributions to open\-source projects or speaking at industry conferences, demonstrating thought leadership in AI/ML.
**Benefits \&amp; Perks**
* Unlimited PTO
* Excellent medical, dental, and vision coverage
* Employee Equity
* Employee Discounts, Virtual Wellness Classes, and Pet Insurance And more!!
**SALARY RANGE**
 The salary range for this role is $300,000 \- $400,000,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95">
      <c r="A95" t="inlineStr">
        <is>
          <t>li-4373220977</t>
        </is>
      </c>
      <c r="B95" t="inlineStr">
        <is>
          <t>ML Engineer</t>
        </is>
      </c>
      <c r="C95" t="inlineStr">
        <is>
          <t>Haystack</t>
        </is>
      </c>
      <c r="D95" t="inlineStr">
        <is>
          <t>linkedin</t>
        </is>
      </c>
      <c r="E95">
        <f>HYPERLINK("https://www.linkedin.com/jobs/view/4373220977", "https://www.linkedin.com/jobs/view/4373220977")</f>
        <v/>
      </c>
      <c r="F95">
        <f>HYPERLINK("https://us.haystackapp.io/roles/698e37b6f831cd7fa4e1bb91?src=linkedin&amp;urlHash=l9ov", "https://us.haystackapp.io/roles/698e37b6f831cd7fa4e1bb91?src=linkedin&amp;urlHash=l9ov")</f>
        <v/>
      </c>
      <c r="G95" t="inlineStr"/>
      <c r="H95" t="inlineStr"/>
      <c r="I95" t="inlineStr">
        <is>
          <t>**Machine Learning Engineer \- Modeling \| United States \| Remote**
 We're working with Pryon on this exciting opportunity. They are a team of AI, technology, and language experts building an industry\-leading knowledge management and Retrieval\-Augmented Generation (RAG) platform, transforming unstructured data into meaningful experiences with unmatched accuracy and speed.
**The Role**
* Solve fundamental problems in machine learning, natural language understanding, and human\-computer interaction for practical commercial use cases.
* Develop and improve deep learning models for Natural Language Processing, Computer Vision, or Speech Recognition.
* Partner with the AI Engineering team to transition mature technology to production.
* Design and implement new features and improve existing ones in our system.
* Participate in experimentation and model development.
**What You'll Need**
* Master's degree or higher in Computer Science, Data Science, or a related technical field, with 3\+ years of relevant experience.
* Expertise in building/refining/innovating deep learning models and strong proficiency in PyTorch/Hugging Face.
* Strong foundation in Computer Science, data structures, algorithms, and software design (Python, C\+\+, or Java).
* Experience building and improving LLM applications for processing semi\-structured and structured data, including NL2SQL and graph RAG.
* Demonstrated ability to drive R\&amp;D efforts and work in cloud\-based development environments like AWS, Azure, or Google.
**What's On Offer**
* Competitive salary range of $160,000 \- $175,000 per year.
* Remote\-first organization with 100% company\-paid health, dental, and vision benefits for you and your dependents.
* Comprehensive benefits package including Life Insurance, Short\-term and Long\-term Disability, and 401k.
* Unlimited PTO to ensure a healthy work\-life balance.
**Apply via Haystack today!**</t>
        </is>
      </c>
    </row>
    <row r="96">
      <c r="A96" t="inlineStr">
        <is>
          <t>li-4324758113</t>
        </is>
      </c>
      <c r="B96" t="inlineStr">
        <is>
          <t>Principal Machine Learning Engineer</t>
        </is>
      </c>
      <c r="C96" t="inlineStr">
        <is>
          <t>Cambridge Mobile Telematics</t>
        </is>
      </c>
      <c r="D96" t="inlineStr">
        <is>
          <t>linkedin</t>
        </is>
      </c>
      <c r="E96">
        <f>HYPERLINK("https://www.linkedin.com/jobs/view/4324758113", "https://www.linkedin.com/jobs/view/4324758113")</f>
        <v/>
      </c>
      <c r="F96" t="inlineStr"/>
      <c r="G96" t="inlineStr">
        <is>
          <t>Massachusetts, United States</t>
        </is>
      </c>
      <c r="H96" t="inlineStr"/>
      <c r="I96"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As a Principal Machine Learning Engineer at CMT, you will develop algorithms that represent physical phenomena associated with both vehicle and human movements when measured by cell phone sensors and IoT devices. You will solve challenging real\-world problems and assist in the development of innovative solutions driven by exploratory data analysis from complex and high\-dimensional datasets. Using knowledge of statistics, machine learning / deep learning, signal processing, physics, programming and data modeling, the Principal Machine Learning Engineer consults on Data Science projects, and works independently on developing new solutions to achieve CMT's objectives, and making valuable discoveries which lead to company\-wide prototype development and product improvements.
 CMT is looking for a collaborative, customer\-committed, and creative
 **Principal Machine Learning Engineer** 
 who wants to join us in making roads safer by making drivers better!
**Responsibilities:** 
* Use independent judgment and discretion to spearhead the creation of innovative and cutting\-edge algorithmic solutions, utilizing unconventional approaches to address complex challenges. These solutions should have a far\-reaching impact on the company, and involve the development of new features and products for customers using diverse data sources
* Lead and mentor a team of talented junior machine learning engineers, guiding them through every phase of solution development, from meticulous data pre\-processing and advanced modeling, to rigorous testing, seamless roll\-out, and continuous performance monitoring in live production environments
* Demonstrate exceptional communication skills to effectively convey and present complex data science concepts to stakeholders across the organization. Foster a collaborative environment by actively engaging with diverse teams and promoting cross\-functional cooperation
* Stay at the forefront of research and emerging trends in the field of data science. Evaluate and validate the potential impact of incorporating new ideas into the platform, products, and customer experiences, ensuring continuous enhancement and innovation
* Complete any additional tasks as they arise
**Qualifications:** 
* Bachelor's degree or equivalent years of experience and/or certification in Data Science, Computer Science, Electrical Engineering, Physics or Mathematics
* 7\+ years of experience in the Data Science field
* 3\+ years of experience developing commercial software with strong algorithmic, AI/machine learning, or signal processing components
* Deep understanding of data science principles, algorithms and practices, such as deep learning / machine learning, statistics and probability, signal processing, and sensor physics
* Must possess a thorough knowledge and practice of software development process in large scale, and proven coding skills using scripting languages e.g. Python, Pandas, NumPy, scikit\-learn, SQL
* Advanced knowledge of Big Data infrastructure, computation and storage as well as scalable AI/ML platforms \&amp; tools, e.g. Spark, Ray, TensorFlow, Keras, Torch, Caffe, etc.
* Strong visualization and data literacy skills, with demonstrated ability to summarize mathematical representations into simple data visualizations and statistical results
* Strong customer\-focus and presentation skills with the ability to obtain requirements and influence outcomes
**Nice to Haves:** 
* Master's or Ph.D. preferred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$177,000 to $221,300\.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 
*ore, visit www.cmtelematics.com and follow us on X @cmtelematics.*</t>
        </is>
      </c>
    </row>
    <row r="97">
      <c r="A97" t="inlineStr">
        <is>
          <t>li-4371504604</t>
        </is>
      </c>
      <c r="B97" t="inlineStr">
        <is>
          <t>Machine Learning Engineer</t>
        </is>
      </c>
      <c r="C97" t="inlineStr">
        <is>
          <t>Jobs via Dice</t>
        </is>
      </c>
      <c r="D97" t="inlineStr">
        <is>
          <t>linkedin</t>
        </is>
      </c>
      <c r="E97">
        <f>HYPERLINK("https://www.linkedin.com/jobs/view/4371504604", "https://www.linkedin.com/jobs/view/4371504604")</f>
        <v/>
      </c>
      <c r="F97">
        <f>HYPERLINK("https://click.appcast.io/t/URnG2IlFKtECHDFMjHzx85ZdQLk7Sbwuybx0-gDD0Ig=&amp;urlHash=tCh2", "https://click.appcast.io/t/URnG2IlFKtECHDFMjHzx85ZdQLk7Sbwuybx0-gDD0Ig=&amp;urlHash=tCh2")</f>
        <v/>
      </c>
      <c r="G97" t="inlineStr">
        <is>
          <t>Almont, CO</t>
        </is>
      </c>
      <c r="H97" t="inlineStr"/>
      <c r="I97" t="inlineStr">
        <is>
          <t>**Description:**
*Remote*
 We're seeking a hands\-on Machine Learning Engineer to help design, build, and deploy next\-generation generative AI solutions. In this role, you'll work with large language models, cloud\-based AI platforms, and modern data systems to turn unstructured data into intelligent, production\-ready applications. You'll collaborate closely with cross\-functional teams while owning key components across model development, integration, and deployment in real\-world environments.
*Due to client requirements, applicants must be willing and able to work on a w2 basis. For our w2 consultants, we offer a great benefits package that includes Medical, Dental, and Vision benefits, 401k with company matching, and life insurance.*
 Rate: $40\.00 to $48\.00/hr. w2
**Responsibilities:**
* Design, build, and maintain LLM agents and tools using Python, TensorFlow, and modern ML libraries.
* Leverage cloud platforms such as AWS, Google Cloud Platform, or Azure and associated AI/ML services for model training, fine\-tuning, and deployment.
* Implement and optimize retrieval augmented generation pipelines using vector and graph databases.
* Develop data processing workflows to clean, preprocess, and transform unstructured data including text and images.
* Deploy generative AI models such as Gemini, Claude, or GPT variants into production environments.
* Collaborate within a structured engineering environment to meet defined technical leveling and quality standards.
**Experience Requirements:**
* Minimum 2 years of experience with a Bachelor's in a STEM field or 1 year with a Master's, with a foundation in machine learning and software development.
* Hands\-on use of AWS, Google Cloud Platform, or Azure AI/ML services for training, fine\-tuning, and deployment.
* Proficiency in Python and TensorFlow, plus common ML libraries for building LLM\-based systems.
* Practical experience with generative AI models such as Gemini, Claude, or GPT variants.
* Experience with vector databases such as Milvus or Postgres, as well as graph databases and knowledge representation techniques, including RAG.
* Demonstrated capability to process and transform unstructured data across text, images, and other media.
**Education Requirements:**
* Bachelor's degree in a STEM field with at least 2 years of relevant experience, or Master's degree in a STEM field with at least 1 year of relevant experience.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98">
      <c r="A98" t="inlineStr">
        <is>
          <t>li-4373213795</t>
        </is>
      </c>
      <c r="B98" t="inlineStr">
        <is>
          <t>Machine Learning Engineer</t>
        </is>
      </c>
      <c r="C98" t="inlineStr">
        <is>
          <t>Capital One</t>
        </is>
      </c>
      <c r="D98" t="inlineStr">
        <is>
          <t>linkedin</t>
        </is>
      </c>
      <c r="E98">
        <f>HYPERLINK("https://www.linkedin.com/jobs/view/4373213795", "https://www.linkedin.com/jobs/view/4373213795")</f>
        <v/>
      </c>
      <c r="F98">
        <f>HYPERLINK("https://dsp.prng.co/bIW88Tb&amp;urlHash=_2LF", "https://dsp.prng.co/bIW88Tb&amp;urlHash=_2LF")</f>
        <v/>
      </c>
      <c r="G98" t="inlineStr">
        <is>
          <t>Richmond, VA</t>
        </is>
      </c>
      <c r="H98" t="inlineStr"/>
      <c r="I98"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li-4338220613</t>
        </is>
      </c>
      <c r="B99" t="inlineStr">
        <is>
          <t>Senior Staff Machine Learning Engineer, AI Engineering Tools</t>
        </is>
      </c>
      <c r="C99" t="inlineStr">
        <is>
          <t>Block</t>
        </is>
      </c>
      <c r="D99" t="inlineStr">
        <is>
          <t>linkedin</t>
        </is>
      </c>
      <c r="E99">
        <f>HYPERLINK("https://www.linkedin.com/jobs/view/4338220613", "https://www.linkedin.com/jobs/view/4338220613")</f>
        <v/>
      </c>
      <c r="F99">
        <f>HYPERLINK("http://block.xyz/careers/jobs/4982919008?gh_jid=4982919008&amp;gh_src=1c20782e8us&amp;urlHash=sROh", "http://block.xyz/careers/jobs/4982919008?gh_jid=4982919008&amp;gh_src=1c20782e8us&amp;urlHash=sROh")</f>
        <v/>
      </c>
      <c r="G99" t="inlineStr"/>
      <c r="H99" t="inlineStr"/>
      <c r="I9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AI Engineering Tools team accelerates engineering velocity by integrating AI throughout the software development lifecycle. We're redefining how engineers build software by making development faster, more creative, and more reliable through intelligent, AI\-driven tooling. Our mission is to help every engineer at Block leverage AI effectively, safely, and efficiently.
 We're looking for an experienced software engineer to help advance the next generation of AI\-assisted development at Block. In this role, you'll work across AI infrastructure and developer tooling to build and optimize coding agents that empower engineers company\-wide. You'll collaborate with platform and product teams to refine user experiences, introduce new capabilities, and improve the performance of coding agents.
 This is a unique opportunity to shape how AI transforms engineering itself. You'll work on projects that continuously improve AI coding agents across all Block repositories, enhancing their ability to understand context, complete tasks, and assist with real\-world development workflows.
 You Will
* Design and build AI\-driven developer tools that integrate seamlessly into the software development lifecycle (e.g., intelligent code assistance, inline reviews, or automated refactoring systems).
* Partner with vendors and internal teams to evaluate, integrate, and optimize AI engineering tools.
* Collaborate with engineering leaders across Block to identify opportunities for AI integration that improve developer velocity and code quality.
* Mentor engineers, contribute to design and code reviews, and help establish best practices for building reliable AI systems at scale.
 You Have
* 12\+ years of experience building and shipping production systems.
* Strong software engineering background, with fluency in designing scalable backend systems.
* Deep understanding of LLMs, prompt engineering, and applied ML workflows from experimentation and evaluation to deployment and monitoring.
* Experience integrating third\-party AI models (e.g., OpenAI, Anthropic, or custom fine\-tuned models) into real\-world tools or services.
* A pragmatic approach to experimentation and iteration, balancing innovation with reliability and security.
* Strong communication and cross\-functional collaboration skills, especially with engineers, product managers, and leadership.
* Familiarity with developer ecosystems, IDEs, or productivity platforms is a plus (e.g., VS Code, Cursor, GitHub Copilot, etc.).
 You’ll help define how thousands of engineers across Block leverage AI to write better code, faster. Your work will shape the foundation for the next generation of developer productivity — one where AI is a trusted collaborator that elevates creativity, accelerates delivery, and improves software quality at scale.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$276,800—$415,200 USD
**Zone B**
 $276,800—$415,200 USD
**Zone C**
 $276,800—$415,200 USD
**Zone D**
 $276,800—$415,200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00">
      <c r="A100" t="inlineStr">
        <is>
          <t>li-4371556072</t>
        </is>
      </c>
      <c r="B100" t="inlineStr">
        <is>
          <t>AI Engineer</t>
        </is>
      </c>
      <c r="C100" t="inlineStr">
        <is>
          <t>Jobs via Dice</t>
        </is>
      </c>
      <c r="D100" t="inlineStr">
        <is>
          <t>linkedin</t>
        </is>
      </c>
      <c r="E100">
        <f>HYPERLINK("https://www.linkedin.com/jobs/view/4371556072", "https://www.linkedin.com/jobs/view/4371556072")</f>
        <v/>
      </c>
      <c r="F100" t="inlineStr"/>
      <c r="G100" t="inlineStr">
        <is>
          <t>Richardson, TX</t>
        </is>
      </c>
      <c r="H100" t="inlineStr"/>
      <c r="I100" t="inlineStr">
        <is>
          <t>I
 **nfosys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Bachelor s degree or foreign equivalent required from an accredited institution. Will also consider three years of progressive experience in the specialty in lieu of every year of education.
 Candidate must be located within commuting distance of
 **Bridgewater, NJ**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
**Preferred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t>
        </is>
      </c>
    </row>
    <row r="101">
      <c r="A101" t="inlineStr">
        <is>
          <t>li-4371556082</t>
        </is>
      </c>
      <c r="B101" t="inlineStr">
        <is>
          <t>AI Engineer</t>
        </is>
      </c>
      <c r="C101" t="inlineStr">
        <is>
          <t>Jobs via Dice</t>
        </is>
      </c>
      <c r="D101" t="inlineStr">
        <is>
          <t>linkedin</t>
        </is>
      </c>
      <c r="E101">
        <f>HYPERLINK("https://www.linkedin.com/jobs/view/4371556082", "https://www.linkedin.com/jobs/view/4371556082")</f>
        <v/>
      </c>
      <c r="F101" t="inlineStr"/>
      <c r="G101" t="inlineStr">
        <is>
          <t>Richardson, TX</t>
        </is>
      </c>
      <c r="H101" t="inlineStr"/>
      <c r="I101"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Bachelor s degree or foreign equivalent required from an accredited institution. Will also consider three years of progressive experience in the specialty in lieu of every year of education.
 Candidate must be located within commuting distance of Richardson, TX or Raleigh, NC or Hartford, CT or Indianapolis, IN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
**Preferred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t>
        </is>
      </c>
    </row>
    <row r="102">
      <c r="A102" t="inlineStr">
        <is>
          <t>li-4373222658</t>
        </is>
      </c>
      <c r="B102" t="inlineStr">
        <is>
          <t>Lead AI Engineer</t>
        </is>
      </c>
      <c r="C102" t="inlineStr">
        <is>
          <t>Capital One</t>
        </is>
      </c>
      <c r="D102" t="inlineStr">
        <is>
          <t>linkedin</t>
        </is>
      </c>
      <c r="E102">
        <f>HYPERLINK("https://www.linkedin.com/jobs/view/4373222658", "https://www.linkedin.com/jobs/view/4373222658")</f>
        <v/>
      </c>
      <c r="F102" t="inlineStr"/>
      <c r="G102" t="inlineStr">
        <is>
          <t>McLean, VA</t>
        </is>
      </c>
      <c r="H102" t="inlineStr"/>
      <c r="I10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li-4371185591</t>
        </is>
      </c>
      <c r="B103" t="inlineStr">
        <is>
          <t>URGENT Backend AI Engineer-Legal Tech!</t>
        </is>
      </c>
      <c r="C103" t="inlineStr">
        <is>
          <t>Jobs via Dice</t>
        </is>
      </c>
      <c r="D103" t="inlineStr">
        <is>
          <t>linkedin</t>
        </is>
      </c>
      <c r="E103">
        <f>HYPERLINK("https://www.linkedin.com/jobs/view/4371185591", "https://www.linkedin.com/jobs/view/4371185591")</f>
        <v/>
      </c>
      <c r="F103">
        <f>HYPERLINK("https://click.appcast.io/t/J3zP7CthB9nSmHHz9bWYGhFmT3V4wz0n8bSI2hiZlSs=&amp;urlHash=AaLt", "https://click.appcast.io/t/J3zP7CthB9nSmHHz9bWYGhFmT3V4wz0n8bSI2hiZlSs=&amp;urlHash=AaLt")</f>
        <v/>
      </c>
      <c r="G103" t="inlineStr">
        <is>
          <t>Manhattan Beach, CA</t>
        </is>
      </c>
      <c r="H103" t="inlineStr"/>
      <c r="I103" t="inlineStr">
        <is>
          <t>**URGENT Backend AI Engineer Opportunity\-Tech Startup!**
 This Jobot Job is hosted by: Audrey Block
 Are you a fit? Easy Apply now by clicking the "Apply Now" button and sending us your resume.
 Salary: $120,000 \- $160,000 per year
**A bit about us:**
 We are hiring a backend engineer due to growth ASAP! We are a tech startup based in Los Angeles that is growing at a rapid rate. Please apply if you fit the criteria and let's chat!
**Why join us?**
 Strong funding
 HUGE Opportunity for growth
 Base salary \+ Potential Equity
 Team events
 Lunch, gym membership, Fun Fridays
 Flexible schedule
**Job Details**
 Job Details:
 We are seeking an energetic and passionate Backend AI Engineer to join our team. This is a permanent, urgent position for a mid level engineer who thrives in a fast\-paced, innovative environment. This role is integral to our team, and we need someone who can hit the ground running!
 Responsibilities:
* Collaborate with our team to define, design, and ship new features.
* Apply your deep understanding of algorithms and data structures to solve complex problems.
* Use your knowledge of software architecture to develop scalable backend systems.
* Participate in code reviews to maintain high\-quality code.
* Stay informed about AI trends and advancements and apply them into operations and activities.
* Debug and resolve technical issues.
* Contribute to the entire app lifecycle, focusing on coding and debugging.
* Prioritize and manage multiple tasks across different projects.
 Qualifications:
* A minimum of 6 months of experience as a Backend AI Engineer or similar role.
* Experience in a startup environment is a must, and/or strong experience building.
* Strong experience with AI, machine learning, deep learning, data mining, and/or statistical analysis tools.
* Proficient understanding of backend programming languages and frameworks such as Rust and Python
* Knowledge of coding best practices and system design.
* Hands\-on experience with databases, system design, and creating serverless applications.
* Outstanding analytical, problem\-solving, and organizational abilities.
* Attention to detail and ability to multitask.
* Excellent communication and teamwork skills.
* A degree in Computer Science, Engineering, or a related field is preferred.
 This is an exciting opportunity to join a strong team and make a significant impact on our product. If you are a self\-starter who is passionate about AI and technology,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4">
      <c r="A104" t="inlineStr">
        <is>
          <t>li-4372076536</t>
        </is>
      </c>
      <c r="B104" t="inlineStr">
        <is>
          <t>Producibility &amp; Design for Manufacturing with AI Engineer</t>
        </is>
      </c>
      <c r="C104" t="inlineStr">
        <is>
          <t>Energy Job Search</t>
        </is>
      </c>
      <c r="D104" t="inlineStr">
        <is>
          <t>linkedin</t>
        </is>
      </c>
      <c r="E104">
        <f>HYPERLINK("https://www.linkedin.com/jobs/view/4372076536", "https://www.linkedin.com/jobs/view/4372076536")</f>
        <v/>
      </c>
      <c r="F104">
        <f>HYPERLINK("https://energyjobsearch.com/jobs/other-jobs/1290546?medium=job_slots_linkedin&amp;urlHash=FJMV", "https://energyjobsearch.com/jobs/other-jobs/1290546?medium=job_slots_linkedin&amp;urlHash=FJMV")</f>
        <v/>
      </c>
      <c r="G104" t="inlineStr">
        <is>
          <t>Cincinnati, OH</t>
        </is>
      </c>
      <c r="H104" t="inlineStr"/>
      <c r="I104" t="inlineStr">
        <is>
          <t>**Job Description Summary**
 Are you ready to see your future take flight? At GE Aerospace, we are advancing aviation technologies for today and tomorrow. Your work will contribute to the production of advanced jet engines, components, and integrated systems that power commercial and military aircraft. You'll be part of a team that embraces your drive, your curiosity, and your unique ideas and perspectives. Most importantly, you'll share in our pride and purpose that affects the lives of millions around the world!
 This role is focused on providing manufacturing support and guidance to the Future of Flight Mechanical Design team to ensure the manufacturability of new designs for GE Aerospace's next generation of products. In this role you will be embedded with the design engineering team to ensure the design intent and tolerances offer a balance of performance and producibility. You will apply engineering concepts to design and drafting to eliminate future manufacturing issues. We are seeking a manufacturing engineer with the ability to lead and influence through a changing product mix to meet functional, business, and broad company objectives. In addition, this role will be responsible for implementing an AI model to improve the way the AME Design for Manufacturability team executes its mission. You will not operate pre\-built tools; rather, you will architect, build, and validate the core data models, pipelines, and logic that underpin our enterprise systems and drive SQDC performance.
**Job Description**
**Roles and Responsibilities**
 The Advanced Lead Producibility \&amp; Manufacturing with AI Engineer will be accountable for functional, manufacturing, and broad company objectives. In this role you will contribute to technology roadmaps in design boards, drive FLIGHT DECK culture, manage complex manufacturing issues within functional area(s) of expertise, and be involved in both short and long\-term planning to ensure the on\-time delivery of new technologies.
* Deliver an AI based solution to support or augment the day\-to\-day work of the AME Design for Manufacturing engineering team.
* Provide technical direction to a large design team for the RISE program, a revolutionary new engine concept with significant business impact, using sound engineering principles and adhering to business standards, practices, procedures, and product/program requirements.
* Provide manufacturing consultation on manufacturing practices and standards, including initial development needs and cost predictions to aid in key strategic decisions.
* Participate in cross\-functional team meetings including design engineering, quality, materials and manufacturing with a goal of defining requirements and standards for new designs.
* Assist design engineers and manufacturing engineers in aligning drawing requirements with manufacturing best practices and standard work.
* Work collaboratively with Design and Systems Engineering teams, GRC, production and global sites to formulate technical solutions that align with long term business objectives.
* Participate as a presenter or reviewer in technical, program and design reviews, while communicating with the customer or program manager to assure a quality product will be able to be delivered.
* Remain current in the state of the art within own technical specialty for new products introduction activity, performance improvements, cost reductions and problem resolutions.
* Serve as a recognized expert in defining the state of the art in own technical specialty to anticipate, develop and apply technology to current and future business opportunities.
* Partner with Design Boards, Manufacturing pyramids and TRL owners to industrialize design and technologies.
* Develop standard work for the implementation of new technologies and processes related to manufacturing of components.
* Assure proper documentation of technical data generated for the assigned projects and/or tasks consistent with engineering policies and procedures.
* Foster a culture of innovation, collaboration, and a FLIGHT DECK mentality within the manufacturing organization.
**Key Outcomes (First 90 Days and 6 Months)**
* 90 Days: Work with the AME Design for Manufacturing engineering team to define areas where AI can be impactful in supporting or augmenting our work while developing a business case justifying the use of AI in those areas, lead producibility reviews on priority components; deliver recommendations tied to process capability and inspection strategy,
* 6 Months: Identify the correct solution and start implementation of said AI solution to support or augment the way the AME Design for Manufacturing engineering team works, influence drawing/model changes that reduce predicted scrap/rework, and support MRL/industrialization plans for new processes and hardware.
**What You'll Do Day\-to\-Day**
* Tune and optimize complex algorithms within the GE Aerospace infrastructure
* Lead producibility reviews and provide redlines on drawings/models to align tolerances with process capability and inspection strategies.
* Define datum schemes and fixturing concepts; identify key characteristics and special processes; quantify SQDC impact of alternatives.
* Run trade studies to inform make/buy, process selection, and cost/risk decisions early in design.
* Translate capability data into actionable drawing changes and inspection plans; support FAI/PPAP or equivalent.
* Develop and deploy standard work for new processes; contribute to technology maturation and industrialization plans with TRL/MRL owners.
* Collaborate with internal factories and suppliers to close the loop between design intent and actual process capability.
**Required Qualifications**
* Bachelor's or advanced degree in Manufacturing , Engineering, Computer Science, or a related technical discipline from an accredited College/University with a minimum of 3 years of relevant Manufacturing and / or Engineering experience OR a high school diploma / GED with at least 8 years of relevant Manufacturing and / or Engineering experience
 Relevant experience refers to precision manufacturing or NPI producibility in regulated or high\-precision industries (aerospace, medical devices, defense/space) including demonstrated working experience in GD\&amp;T (ASME Y14\.5\), tolerance stack\-up, and drawing/product definition and hands\-on exposure to one or more processes: CNC machining, turning, grinding, EDM, additive, casting/forging, coatings, heat treat, and/or advanced metrology/inspection
* Legal authorization to work in the U.S. is required. We will not sponsor individuals for employment visas, now or in the future, for this job opening.
**Desired Characteristics**
* Experience in development hardware ownership and manufacturing of high\-precision, turbomachinery components.
* Strong aptitude in mechanical design, ability to review drawings, understand Geometric Dimensioning \&amp; Tolerancing and Product Definition, including reading and interpreting drawings.
* Experience with Aerospace manufacturing specifications
* Experience with software development
* Deep understanding of Machine Learning and Deep Learning
* Strong programming skills in Python and SQL
* Demonstrated skill and hands\-on experience of implementing GenAI solutions (including fine\-tuning, prompt engineering, and leveraging pre\-trained models)
* Working experience with GE Aerospace quality system
* Strong influencing skills, including guiding others without a direct reporting relationship.
* Ability to execute with new and unclear requirements \&amp; goals
* Ability to work in a matrix organization
* Ability to effectively manage changing and conflicting priorities and resolve appropriately
* Ability to analyze problems, identify root causes and provide efficient solutions
* Strong interpersonal and leadership skills. Ability to train and motivate others
* Transparent: shares critical information, speaks with candor, contributes constructively
* Problem solver: analytical\-minded, challenges existing processes, critical thinker
* Strong oral and written communication skills
* Familiarity with the GE Aerospace quality system and ability to leverage FLIGHT DECK, GE Aerospace's proprietary LEAN operating model.
 Learn more about the RISE program here!
 Whether we are manufacturing components for our engines, driving innovation in fuel and noise reduction, or unlocking new opportunities to grow and deliver more productivity, our GE Aerospace teams are dedicated and making a global impact. Join us and help move the aerospace industry forward.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05">
      <c r="A105" t="inlineStr">
        <is>
          <t>li-4365677639</t>
        </is>
      </c>
      <c r="B105" t="inlineStr">
        <is>
          <t>Lead AI Engineer (FM Hosting, LLM Inference)</t>
        </is>
      </c>
      <c r="C105" t="inlineStr">
        <is>
          <t>Capital One</t>
        </is>
      </c>
      <c r="D105" t="inlineStr">
        <is>
          <t>linkedin</t>
        </is>
      </c>
      <c r="E105">
        <f>HYPERLINK("https://www.linkedin.com/jobs/view/4365677639", "https://www.linkedin.com/jobs/view/4365677639")</f>
        <v/>
      </c>
      <c r="F105">
        <f>HYPERLINK("https://dsp.prng.co/5WrJW8b&amp;urlHash=N38W", "https://dsp.prng.co/5WrJW8b&amp;urlHash=N38W")</f>
        <v/>
      </c>
      <c r="G105" t="inlineStr">
        <is>
          <t>San Jose, CA</t>
        </is>
      </c>
      <c r="H105" t="inlineStr"/>
      <c r="I10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6">
      <c r="A106" t="inlineStr">
        <is>
          <t>li-4365690239</t>
        </is>
      </c>
      <c r="B106" t="inlineStr">
        <is>
          <t>Lead AI Engineer (FM Hosting, LLM Inference)</t>
        </is>
      </c>
      <c r="C106" t="inlineStr">
        <is>
          <t>Capital One</t>
        </is>
      </c>
      <c r="D106" t="inlineStr">
        <is>
          <t>linkedin</t>
        </is>
      </c>
      <c r="E106">
        <f>HYPERLINK("https://www.linkedin.com/jobs/view/4365690239", "https://www.linkedin.com/jobs/view/4365690239")</f>
        <v/>
      </c>
      <c r="F106" t="inlineStr"/>
      <c r="G106" t="inlineStr">
        <is>
          <t>San Francisco, CA</t>
        </is>
      </c>
      <c r="H106" t="inlineStr"/>
      <c r="I10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7">
      <c r="A107" t="inlineStr">
        <is>
          <t>li-4373216741</t>
        </is>
      </c>
      <c r="B107" t="inlineStr">
        <is>
          <t>Senior Lead AI Engineer (AI Foundations, LLM Core and Agentic AI)</t>
        </is>
      </c>
      <c r="C107" t="inlineStr">
        <is>
          <t>Capital One</t>
        </is>
      </c>
      <c r="D107" t="inlineStr">
        <is>
          <t>linkedin</t>
        </is>
      </c>
      <c r="E107">
        <f>HYPERLINK("https://www.linkedin.com/jobs/view/4373216741", "https://www.linkedin.com/jobs/view/4373216741")</f>
        <v/>
      </c>
      <c r="F107" t="inlineStr"/>
      <c r="G107" t="inlineStr">
        <is>
          <t>San Jose, CA</t>
        </is>
      </c>
      <c r="H107" t="inlineStr"/>
      <c r="I10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li-4373225484</t>
        </is>
      </c>
      <c r="B108" t="inlineStr">
        <is>
          <t>Senior Lead AI Engineer (AI Foundations, LLM Core and Agentic AI)</t>
        </is>
      </c>
      <c r="C108" t="inlineStr">
        <is>
          <t>Capital One</t>
        </is>
      </c>
      <c r="D108" t="inlineStr">
        <is>
          <t>linkedin</t>
        </is>
      </c>
      <c r="E108">
        <f>HYPERLINK("https://www.linkedin.com/jobs/view/4373225484", "https://www.linkedin.com/jobs/view/4373225484")</f>
        <v/>
      </c>
      <c r="F108" t="inlineStr"/>
      <c r="G108" t="inlineStr">
        <is>
          <t>San Francisco, CA</t>
        </is>
      </c>
      <c r="H108" t="inlineStr"/>
      <c r="I10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2026-02-14T21:07:41Z</dcterms:created>
  <dcterms:modified xsi:type="dcterms:W3CDTF">2026-02-14T21:07:41Z</dcterms:modified>
</cp:coreProperties>
</file>