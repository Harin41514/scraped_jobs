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SS"/>
    <numFmt numFmtId="166" formatCode="yyyy-mm-dd"/>
    <numFmt numFmtId="167"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6"/>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in-5e723502fdd88932</t>
        </is>
      </c>
      <c r="B2" t="inlineStr">
        <is>
          <t>Fraud Prevention Data Scientist Lead</t>
        </is>
      </c>
      <c r="C2" t="inlineStr">
        <is>
          <t>JPMorganChase</t>
        </is>
      </c>
      <c r="D2" t="inlineStr">
        <is>
          <t>indeed</t>
        </is>
      </c>
      <c r="E2" t="inlineStr"/>
      <c r="F2" t="inlineStr"/>
      <c r="G2" t="inlineStr">
        <is>
          <t>Seattle, WA, US</t>
        </is>
      </c>
      <c r="H2" s="2" t="n">
        <v>46066</v>
      </c>
      <c r="I2" t="inlineStr">
        <is>
          <t>**JOB DESCRIPTION**  
The Corporate \&amp; Investment Bank is a global leader across investment banking, wholesale payments, markets and securities services. The world’s most important corporations, governments and institutions entrust us with their business in more than 100 countries.
As a Data Science leader within the Payments Organization, you will draw on your expertise in business and technology to spearhead solutions that power our strategic goals. Your role is one of trusted advisor and dynamic leader; big\-picture visionary and experienced technologist. You'll be working closely with other senior leaders across the firm to understand and influence strategic decisions.
As a Trust \&amp; Safety employee within the Payments Organization, you will be at the forefront of Fraud Prevention in the business domains of Fraud Prevention (for both Card and ACH/ Wire channels), Sanctions, Onboarding Risk and other similar problems. Fraud is a temporal problem \- you will perform deep dives and guide your team members to maintain a laser focus on the emerging threats and influence the development of the appropriate solutions (ML/ rules) to address the problem. You will develop the right metrics to measure business performance on an ongoing basis. You will closely work with machine learning scientists, SDEs and Product managers to build the fraud prevention solution.
**Job Responsibilities**
* Collaborate with business, operations and other technology colleagues to understand company needs and devise technical solutions
* Develop the roadmap of projects while partnering with various stakeholders for product delivery
* Research and analyze data sets using a variety of statistical techniques
* Develop solutions and work with partner teams to implement the solutions in production
* Communicate results and ideas to key decision makers
* Hire and Develop of the team and provide mentoring and coaching
**Required Qualifications, Capabilities and Skills:**
* BS/BA degree with 6\+ years of experience
* Expert knowledge of digital Fraud Prevention, as well as the ability to understand the relationship between strategic goals and technology solutions
* Expertise in deep diving into the Fraud vectors and working with colleagues to build out solutions to address fraud problems.
* Proven skills in data analysis, business process and application, and communication
* Expertise in working in partnership with colleagues throughout the firm and in leading collaborative teams to achieve common goals
**Preferred qualifications, capabilities and skills :**
* Ability to independently research and propose alternatives with some guidance as to problem relevance
* Experience with consumer finance products or domains like working capital, fraud prevention etc.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J.P. Morgan’s Commercial \&amp; Investment Bank is a global leader across banking, markets, securities services and payments. Corporations, governments and institutions throughout the world entrust us with their business in more than 100 countries. The Commercial \&amp; Investment Bank provides strategic advice, raises capital, manages risk and extends liquidity in markets around the world.</t>
        </is>
      </c>
    </row>
    <row r="3">
      <c r="A3" t="inlineStr">
        <is>
          <t>in-3a6288c915c206c6</t>
        </is>
      </c>
      <c r="B3" t="inlineStr">
        <is>
          <t>Applied Scientist II, Prime Video - Personalization and Discovery Science, Personalization and Discovery Science</t>
        </is>
      </c>
      <c r="C3" t="inlineStr">
        <is>
          <t>Amazon.com</t>
        </is>
      </c>
      <c r="D3" t="inlineStr">
        <is>
          <t>indeed</t>
        </is>
      </c>
      <c r="E3" t="inlineStr"/>
      <c r="F3" t="inlineStr"/>
      <c r="G3" t="inlineStr">
        <is>
          <t>Sunnyvale, CA, US</t>
        </is>
      </c>
      <c r="H3" s="2" t="n">
        <v>45930</v>
      </c>
      <c r="I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
      <c r="A4" t="inlineStr">
        <is>
          <t>in-80ffd79cbc6e8403</t>
        </is>
      </c>
      <c r="B4" t="inlineStr">
        <is>
          <t>Applied Scientist II, Prime Video - Personalization and Discovery Science, Personalization and Discovery Science</t>
        </is>
      </c>
      <c r="C4" t="inlineStr">
        <is>
          <t>Amazon.com</t>
        </is>
      </c>
      <c r="D4" t="inlineStr">
        <is>
          <t>indeed</t>
        </is>
      </c>
      <c r="E4" t="inlineStr"/>
      <c r="F4" t="inlineStr"/>
      <c r="G4" t="inlineStr">
        <is>
          <t>Seattle, WA, US</t>
        </is>
      </c>
      <c r="H4" s="2" t="n">
        <v>45930</v>
      </c>
      <c r="I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
      <c r="A5" t="inlineStr">
        <is>
          <t>in-4f89452dda145626</t>
        </is>
      </c>
      <c r="B5" t="inlineStr">
        <is>
          <t>Applied Scientist II, Prime Video - Personalization and Discovery Science, Personalization and Discovery Science</t>
        </is>
      </c>
      <c r="C5" t="inlineStr">
        <is>
          <t>Amazon.com</t>
        </is>
      </c>
      <c r="D5" t="inlineStr">
        <is>
          <t>indeed</t>
        </is>
      </c>
      <c r="E5" t="inlineStr"/>
      <c r="F5" t="inlineStr"/>
      <c r="G5" t="inlineStr">
        <is>
          <t>New York, NY, US</t>
        </is>
      </c>
      <c r="H5" s="2" t="n">
        <v>45930</v>
      </c>
      <c r="I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
      <c r="A6" t="inlineStr">
        <is>
          <t>in-cfa1e37677d4f62c</t>
        </is>
      </c>
      <c r="B6" t="inlineStr">
        <is>
          <t>Applied Scientist II, Prime Video - Personalization and Discovery Science</t>
        </is>
      </c>
      <c r="C6" t="inlineStr">
        <is>
          <t>Amazon.com</t>
        </is>
      </c>
      <c r="D6" t="inlineStr">
        <is>
          <t>indeed</t>
        </is>
      </c>
      <c r="E6" t="inlineStr"/>
      <c r="F6" t="inlineStr"/>
      <c r="G6" t="inlineStr">
        <is>
          <t>Seattle, WA, US</t>
        </is>
      </c>
      <c r="H6" s="2" t="n">
        <v>45881</v>
      </c>
      <c r="I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
      <c r="A7" t="inlineStr">
        <is>
          <t>in-94b9ec5297d2640d</t>
        </is>
      </c>
      <c r="B7" t="inlineStr">
        <is>
          <t>Sr. Applied Scientist, Prime Video - Personalization and Discovery Science</t>
        </is>
      </c>
      <c r="C7" t="inlineStr">
        <is>
          <t>Amazon.com</t>
        </is>
      </c>
      <c r="D7" t="inlineStr">
        <is>
          <t>indeed</t>
        </is>
      </c>
      <c r="E7" t="inlineStr"/>
      <c r="F7" t="inlineStr"/>
      <c r="G7" t="inlineStr">
        <is>
          <t>New York, NY, US</t>
        </is>
      </c>
      <c r="H7" s="2" t="n">
        <v>45881</v>
      </c>
      <c r="I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
      <c r="A8" t="inlineStr">
        <is>
          <t>in-9f8ef45e2692c728</t>
        </is>
      </c>
      <c r="B8" t="inlineStr">
        <is>
          <t>Sr. Applied Scientist, Prime Video - Personalization and Discovery Science</t>
        </is>
      </c>
      <c r="C8" t="inlineStr">
        <is>
          <t>Amazon.com</t>
        </is>
      </c>
      <c r="D8" t="inlineStr">
        <is>
          <t>indeed</t>
        </is>
      </c>
      <c r="E8" t="inlineStr"/>
      <c r="F8" t="inlineStr"/>
      <c r="G8" t="inlineStr">
        <is>
          <t>Seattle, WA, US</t>
        </is>
      </c>
      <c r="H8" s="2" t="n">
        <v>45881</v>
      </c>
      <c r="I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
      <c r="A9" t="inlineStr">
        <is>
          <t>in-b5eac7f869345477</t>
        </is>
      </c>
      <c r="B9" t="inlineStr">
        <is>
          <t>Applied Scientist II, Prime Video - Personalization and Discovery Science</t>
        </is>
      </c>
      <c r="C9" t="inlineStr">
        <is>
          <t>Amazon.com</t>
        </is>
      </c>
      <c r="D9" t="inlineStr">
        <is>
          <t>indeed</t>
        </is>
      </c>
      <c r="E9" t="inlineStr"/>
      <c r="F9" t="inlineStr"/>
      <c r="G9" t="inlineStr">
        <is>
          <t>New York, NY, US</t>
        </is>
      </c>
      <c r="H9" s="2" t="n">
        <v>45881</v>
      </c>
      <c r="I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
      <c r="A10" t="inlineStr">
        <is>
          <t>in-bb6b454091db7ece</t>
        </is>
      </c>
      <c r="B10" t="inlineStr">
        <is>
          <t>Applied Scientist II, Prime Video - Personalization and Discovery Science</t>
        </is>
      </c>
      <c r="C10" t="inlineStr">
        <is>
          <t>Amazon.com</t>
        </is>
      </c>
      <c r="D10" t="inlineStr">
        <is>
          <t>indeed</t>
        </is>
      </c>
      <c r="E10" t="inlineStr"/>
      <c r="F10" t="inlineStr"/>
      <c r="G10" t="inlineStr">
        <is>
          <t>Sunnyvale, CA, US</t>
        </is>
      </c>
      <c r="H10" s="2" t="n">
        <v>45881</v>
      </c>
      <c r="I1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
      <c r="A11" t="inlineStr">
        <is>
          <t>in-90a198663abffe6a</t>
        </is>
      </c>
      <c r="B11" t="inlineStr">
        <is>
          <t>Sr. Applied Scientist, Prime Video - Personalization and Discovery Science</t>
        </is>
      </c>
      <c r="C11" t="inlineStr">
        <is>
          <t>Amazon.com</t>
        </is>
      </c>
      <c r="D11" t="inlineStr">
        <is>
          <t>indeed</t>
        </is>
      </c>
      <c r="E11" t="inlineStr"/>
      <c r="F11" t="inlineStr"/>
      <c r="G11" t="inlineStr">
        <is>
          <t>Sunnyvale, CA, US</t>
        </is>
      </c>
      <c r="H11" s="2" t="n">
        <v>45881</v>
      </c>
      <c r="I1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
      <c r="A12" t="inlineStr">
        <is>
          <t>in-2f976385a0eae961</t>
        </is>
      </c>
      <c r="B12" t="inlineStr">
        <is>
          <t>Data Scientist, AWS Infrastructure Services Science</t>
        </is>
      </c>
      <c r="C12" t="inlineStr">
        <is>
          <t>Amazon.com</t>
        </is>
      </c>
      <c r="D12" t="inlineStr">
        <is>
          <t>indeed</t>
        </is>
      </c>
      <c r="E12" t="inlineStr"/>
      <c r="F12" t="inlineStr"/>
      <c r="G12" t="inlineStr">
        <is>
          <t>Seattle, WA, US</t>
        </is>
      </c>
      <c r="H12" s="2" t="n">
        <v>46065</v>
      </c>
      <c r="I12"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\- 108,300\.00 \- 160,000\.00 USD annually  
USA, WA, Seattle \- 108,300\.00 \- 160,000\.00 USD annually</t>
        </is>
      </c>
    </row>
    <row r="13">
      <c r="A13" t="inlineStr">
        <is>
          <t>in-f515f09c3387ab6f</t>
        </is>
      </c>
      <c r="B13" t="inlineStr">
        <is>
          <t>Data Scientist, AWS Infrastructure Services Science</t>
        </is>
      </c>
      <c r="C13" t="inlineStr">
        <is>
          <t>Amazon.com</t>
        </is>
      </c>
      <c r="D13" t="inlineStr">
        <is>
          <t>indeed</t>
        </is>
      </c>
      <c r="E13" t="inlineStr"/>
      <c r="F13" t="inlineStr"/>
      <c r="G13" t="inlineStr">
        <is>
          <t>Herndon, VA, US</t>
        </is>
      </c>
      <c r="H13" s="2" t="n">
        <v>46065</v>
      </c>
      <c r="I13"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\- 108,300\.00 \- 160,000\.00 USD annually  
USA, WA, Seattle \- 108,300\.00 \- 160,000\.00 USD annually</t>
        </is>
      </c>
    </row>
    <row r="14">
      <c r="A14" t="inlineStr">
        <is>
          <t>in-4828f62ad9eea2f4</t>
        </is>
      </c>
      <c r="B14" t="inlineStr">
        <is>
          <t>Staff Data Scientist - Payments</t>
        </is>
      </c>
      <c r="C14" t="inlineStr">
        <is>
          <t>PayPal</t>
        </is>
      </c>
      <c r="D14" t="inlineStr">
        <is>
          <t>indeed</t>
        </is>
      </c>
      <c r="E14" t="inlineStr"/>
      <c r="F14" t="inlineStr"/>
      <c r="G14" t="inlineStr">
        <is>
          <t>San Jose, CA, US</t>
        </is>
      </c>
      <c r="H14" s="2" t="n">
        <v>46066</v>
      </c>
      <c r="I14" t="inlineStr">
        <is>
          <t>**The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Summary:**
This job will design and implement advanced data science models to support business needs. You will work with stakeholders to understand requirements and deliver solutions. Your role involves driving best practices in data science, ensuring data quality, and mentoring junior scientists.**Job Description:**
**Essential Responsibilities:**
* Lead and manage data science projects, ensuring timely delivery and alignment with business goals.
* Develop and maintain data models, algorithms, and reporting systems to support data analysis and decision\-making.
* Analyze complex datasets to identify trends, patterns, and insights that drive strategic initiatives.
* Collaborate with cross\-functional teams to understand data needs and provide actionable insights.
* Ensure data quality and integrity through regular audits and validation processes.
* Mentor and guide junior data scientists, fostering a culture of continuous learning and improvement.
**Expected Qualifications:**
* 5\+ years relevant experience and a Bachelor’s degree OR Any equivalent combination of education and experience.
**Additional Responsibilities \&amp; Preferred Qualifications****:**
* Partner with **Product, Engineering, and Finance** to translate complex business problems into scalable data science solutions.
* Build **causal inference and forecasting models** to measure marketing and product impact, guiding investment and prioritization decisions.
* Design and operationalize **experimentation frameworks** to improve product performance and user engagement.
* Develop and maintain reusable data pipelines, embeddings, and feature librariesto accelerate model development.
* Communicate insights and recommendations clearly to leadership, influencing strategic direction across teams.
* Proven expertise in **causal inference**, **experimentation**, and **model\-driven decision\-making.**
* Proficiency in **Python, SQ**L, and s**tatistical****modeling****frameworks** (e.g., XGBoost, regression, time series, DML).
* Experience in cloud environments (**AWS, GCP**) and analytics tools (**Tableau,****PySpark**).
* Strong stakeholder management and ability to communicate insights to non\-technical audiences.
* Experience leading **experimentation and measurement strategies** in large\-scale tech environments.
* Experience in setting up **Agentic workflows** for automating data requests and root cause analysis
* Background in **product analytics and marketing measurement.**
* Demonstrated impact in **cross\-functional collaboration** with product, engineering, and business stakeholders.
* Experience mentoring data scientists and driving adoption of data\-driven decision\-making practices.
**Subsidiary:**
PayPal**Travel Percent:**
0* 
The base pay for this role will depend on where you work and the relevant experience and expertise you bring. The expected range of pay for this role by location is:**Primary Location \| Pay Range:**
San Jose, California \| ($176,500\.00 \- $262,350\.00 Annually)**Additional Location(s) \| Pay Range:**
No other locations are assigned to this requisition currently.
Additional compensation for this role may include an annual performance bonus, equity, or other incentive compensation, as applicable. This role is also eligible for a range of benefits which may include, medical, dental, vision, life and disability insurance, parental and family leave, 401(k) savings plan, paid time off, and other benefits. For more information visit https://www.paypalbenefits.com.
PayPal does not charge candidates any fees for courses, applications, resume reviews, interviews, background checks, or onboarding. Any such request is a red flag and likely part of a scam.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benefits to help you thrive in every stage of life. We champion your financial, physical, and mental health by offering valuable benefits and resources to help you care for the whole you.
We have great benefits including a flexible work environment, employee shares options, health and life insurance and more. To learn more about our benefits please visit https://www.paypalbenefits.com.
**Who We Are:**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t>
        </is>
      </c>
    </row>
    <row r="15">
      <c r="A15" t="inlineStr">
        <is>
          <t>in-fc56740d8bc0a330</t>
        </is>
      </c>
      <c r="B15" t="inlineStr">
        <is>
          <t>Data Scientist</t>
        </is>
      </c>
      <c r="C15" t="inlineStr">
        <is>
          <t>Tata Consultancy Services (TCS)</t>
        </is>
      </c>
      <c r="D15" t="inlineStr">
        <is>
          <t>indeed</t>
        </is>
      </c>
      <c r="E15" t="inlineStr"/>
      <c r="F15" t="inlineStr"/>
      <c r="G15" t="inlineStr">
        <is>
          <t>Allen, TX, US</t>
        </is>
      </c>
      <c r="H15" s="2" t="n">
        <v>46066</v>
      </c>
      <c r="I15" t="inlineStr">
        <is>
          <t>Must Have Technical/Functional Skills
* Minimum of 1 years of statistical modeling / data analysis industry experience including data manipulation experience preferably using Python, Tableau, and SQL
* Advanced degree in Data Science, Mathematics, Statistics, or related field
* Have the knowledge and experience to build robust predictive models and intimately know the statistical requirements and limitations of training and test data.
* Be able to perform statistical analysis in a Linux or cloud computing (e.g. AWS) environments and manipulate various modeling tools with python notebook, shell scripting, Linux command line, or SAS
* Expert analytical skills to evaluate, understand, and interpret data from both an internal and client perspective
* Use best coding practices and strong fluency in at least one programming language: SAS, Shell scripting, Python, C\+\+, SQL, or other languages
* Strong knowledge of Linux and Microsoft office products
* Demonstrated ability to communicate ideas and analysis results effectively both verbally and in writing to both a technical and non\-technical audience
* Excellent problem solving, analytics, organization, communication, interpersonal and presentation skills
* Financial services industry experience preferred
 Roles \&amp; Responsibilities
* Minimum of 1 years of statistical modeling / data analysis industry experience including data manipulation experience preferably using Python, Tableau, and SQL
* Advanced degree in Data Science, Mathematics, Statistics, or related field
* Have the knowledge and experience to build robust predictive models and intimately know the statistical requirements and limitations of training and test data.
* Be able to perform statistical analysis in a Linux or cloud computing (e.g. AWS) environments and manipulate various modeling tools with python notebook, shell scripting, Linux command line, or SAS
* Expert analytical skills to evaluate, understand, and interpret data from both an internal and client perspective
* Use best coding practices and strong fluency in at least one programming language: SAS, Shell scripting, Python, C\+\+, SQL, or other languages
* Strong knowledge of Linux and Microsoft office products
* Demonstrated ability to communicate ideas and analysis results effectively both verbally and in writing to both a technical and non\-technical audience
* Excellent problem solving, analytics, organization, communication, interpersonal and presentation skills
* Financial services industry experience preferred
Education
Bachelor’s or Master’s Degree  
Salary Range: $100,000 \- $130,000 a year  
\#LI\-JH1
**Location**
Allen, TX
**Job Function**
TECHNOLOGY
**Role**
Data Scientist
**Job Id**
396842
**Desired Skills**
Data scientist
**Salary Range**
$110,000\-$130,000 a year
Desired Candidate Profile
**Qualifications** : BACHELOR OF COMPUTER SCIENCE</t>
        </is>
      </c>
    </row>
    <row r="16">
      <c r="A16" t="inlineStr">
        <is>
          <t>in-358667a2d4aa188b</t>
        </is>
      </c>
      <c r="B16" t="inlineStr">
        <is>
          <t>Data Scientist / Statistician II</t>
        </is>
      </c>
      <c r="C16" t="inlineStr">
        <is>
          <t>Ardent Eagle Solutions</t>
        </is>
      </c>
      <c r="D16" t="inlineStr">
        <is>
          <t>indeed</t>
        </is>
      </c>
      <c r="E16" t="inlineStr"/>
      <c r="F16" t="inlineStr"/>
      <c r="G16" t="inlineStr">
        <is>
          <t>Washington, DC, US</t>
        </is>
      </c>
      <c r="H16" s="2" t="n">
        <v>46065</v>
      </c>
      <c r="I16" t="inlineStr">
        <is>
          <t>Overview:
The Data Scientist/Statistician II provides advanced quantitative analysis and data management expertise to support organizational decision\-making and data governance initiatives. This role performs complex data analysis, leads data mapping and ETL efforts, and develops visualizations to communicate insights effectively. The position identifies data quality issues and supports implementation of corrective strategies to enhance data integrity and operational performance.
Background:
Ardent Eagle Solutions is a mission\-focused government contracting firm providing professional, administrative, and technical support services to federal agencies. The company delivers steady, reliable execution across diverse programs, supporting clients in achieving operational excellence while maintaining compliance, integrity, and accountability.  
Ardent Eagle Solutions is committed to building high\-performing teams, fostering a culture of professionalism and collaboration, and delivering responsive support aligned with customer mission requirements. Through disciplined processes and a people\-centered approach, AES partners with government agencies to provide scalable, compliant, and results\-driven solutions.
Responsibilities:
* Perform advanced analysis of data entering, exiting, and residing within the organization.
* Identify, quantify, and assess data quality and integrity issues.
* Assist in developing and implementing remediation plans to resolve data deficiencies.
* Lead or support data mapping and extract, transform, and load (ETL) processes.
* Develop and maintain dashboards and data visualizations using tools such as Tableau.
* Support routine data governance and management processes.
* Respond to complex ad hoc data requests and analytical inquiries.
* Conduct data validation, testing, and quality assurance activities.
* Collaborate with stakeholders to clarify data definitions, reporting needs, and analytical objectives.
* Communicate analytical findings through reports, visualizations, and presentations.
* Ensure compliance with organizational data governance standards and policies.
Qualifications:
* Approximately eight (8\) years of experience in data science, statistical analysis, or related quantitative field.
* Demonstrated proficiency in ETL processes and data mapping.
* Experience using data visualization tools such as Tableau.
* Strong understanding of statistical methodologies and analytical techniques.
* Experience supporting data governance and quality assurance processes.
* Strong analytical and problem\-solving skills.
* Ability to interpret complex quantitative findings and communicate insights effectively.
* Proficiency with data analysis software and database tools.
* Ability to manage multiple analytical initiatives simultaneously.
Education:
* Master’s Degree (MS/MA) in Mathematics, Statistics, Operations Research, Economics, Data Science, or related quantitative discipline required.
* Relevant industry certifications preferred.
Benefits and EEO:
**At Ardent Eagle Solutions, we offer a comprehensive benefits package to our employees and their families:*** Medical/Dental/Vision Coverage
* Matching 401(k) Plan
* Continuing Education Assistance
* Paid Time Off
*This job description is intended to describe the general scope of work and level of work that is needed to perform while on task with Ardent Eagle Solutions. Other duties may be assigned.* *Selected candidates may undergo a government security investigation and must fulfill eligibility criteria for accessing classified information. US citizenship may be a prerequisite for certain roles.* **Ardent Eagle Solutions is an Equal Opportunity Employer. All qualified applicants will receive consideration without regard to disability or protected veteran status.** **Proposal Notice:**  
**This position is contingent upon contract award. Candidates applying to this role should be aware that it is part of a proposal effort, and selection timelines may be longer than typical hiring processes.****\#research**</t>
        </is>
      </c>
    </row>
    <row r="17">
      <c r="A17" t="inlineStr">
        <is>
          <t>in-f31c1eae32e6108e</t>
        </is>
      </c>
      <c r="B17" t="inlineStr">
        <is>
          <t>Data Scientist / Statistician I</t>
        </is>
      </c>
      <c r="C17" t="inlineStr">
        <is>
          <t>Ardent Eagle Solutions</t>
        </is>
      </c>
      <c r="D17" t="inlineStr">
        <is>
          <t>indeed</t>
        </is>
      </c>
      <c r="E17" t="inlineStr"/>
      <c r="F17" t="inlineStr"/>
      <c r="G17" t="inlineStr">
        <is>
          <t>Washington, DC, US</t>
        </is>
      </c>
      <c r="H17" s="2" t="n">
        <v>46065</v>
      </c>
      <c r="I17" t="inlineStr">
        <is>
          <t>Overview:
The Data Scientist/Statistician I performs quantitative data analysis and data management activities to support organizational decision\-making. This role analyzes data flows, identifies data quality issues, and assists in developing corrective plans. The position supports extract, transform, and load (ETL) activities and provides analytical support for routine and ad hoc data requests.
Background:
Ardent Eagle Solutions is a mission\-focused government contracting firm providing professional, administrative, and technical support services to federal agencies. The company delivers steady, reliable execution across diverse programs, supporting clients in achieving operational excellence while maintaining compliance, integrity, and accountability.  
Ardent Eagle Solutions is committed to building high\-performing teams, fostering a culture of professionalism and collaboration, and delivering responsive support aligned with customer mission requirements. Through disciplined processes and a people\-centered approach, AES partners with government agencies to provide scalable, compliant, and results\-driven solutions.
Responsibilities:
* Analyze data entering, exiting, and residing within the organization to support operational and strategic needs.
* Identify and quantify data quality issues and inconsistencies.
* Assist in developing and implementing plans to resolve identified data issues.
* Perform data mapping and support extract, transform, and load (ETL) processes.
* Support routine data management and governance activities.
* Respond to ad hoc user data requests and provide analytical outputs.
* Conduct data validation and testing activities to ensure accuracy and integrity.
* Collaborate with stakeholders to clarify data requirements and definitions.
* Support development of reports, dashboards, and analytical summaries.
* Ensure compliance with data governance policies and standards.
Qualifications:
* Approximately two (2\) years of experience in data analysis, statistical analysis, or related quantitative role.
* Experience performing ETL or data mapping activities.
* Familiarity with statistical methods and data validation techniques.
* Proficiency in data analysis tools and spreadsheet or database applications.
* Strong analytical and problem\-solving skills.
* Ability to interpret and communicate quantitative findings clearly.
* Experience supporting routine data management processes.
* Ability to manage multiple analytical requests in a structured environment.
Education:
* Bachelor’s Degree (BS/BA) in Mathematics, Statistics, Operations Research, Economics, Data Science, or related quantitative discipline required;  
**OR** equivalent combination of education and relevant experience.
* Relevant industry certifications preferred.
Benefits and EEO:
**At Ardent Eagle Solutions, we offer a comprehensive benefits package to our employees and their families:*** Medical/Dental/Vision Coverage
* Matching 401(k) Plan
* Continuing Education Assistance
* Paid Time Off
*This job description is intended to describe the general scope of work and level of work that is needed to perform while on task with Ardent Eagle Solutions. Other duties may be assigned.* *Selected candidates may undergo a government security investigation and must fulfill eligibility criteria for accessing classified information. US citizenship may be a prerequisite for certain roles.* **Ardent Eagle Solutions is an Equal Opportunity Employer. All qualified applicants will receive consideration without regard to disability or protected veteran status.** **Proposal Notice:**  
**This position is contingent upon contract award. Candidates applying to this role should be aware that it is part of a proposal effort, and selection timelines may be longer than typical hiring processes.****\#research**</t>
        </is>
      </c>
    </row>
    <row r="18">
      <c r="A18" t="inlineStr">
        <is>
          <t>in-b08e962a2688e29e</t>
        </is>
      </c>
      <c r="B18" t="inlineStr">
        <is>
          <t>Data Scientist II - AI for RF/Remote Sensing</t>
        </is>
      </c>
      <c r="C18" t="inlineStr">
        <is>
          <t>Pacific Northwest National Laboratory</t>
        </is>
      </c>
      <c r="D18" t="inlineStr">
        <is>
          <t>indeed</t>
        </is>
      </c>
      <c r="E18" t="inlineStr"/>
      <c r="F18" t="inlineStr"/>
      <c r="G18" t="inlineStr">
        <is>
          <t>Richland, WA, US</t>
        </is>
      </c>
      <c r="H18" s="2" t="n">
        <v>46065</v>
      </c>
      <c r="I18" t="inlineStr">
        <is>
          <t>Overview:
At PNNL, our core capabilities are divided among major departments that we refer to as Directorates within the Lab, focused on a specific area of scientific research or other function, with its own leadership team and dedicated budget.  
Our Science \&amp; Technology directorates include National Security, Earth and Biological Sciences, Physical and Computational Sciences, and Energy and Environment. In addition, we have an Environmental Molecular Sciences Laboratory, a Department of Energy, Office of Science user facility housed on the PNNL campus.  
The National Security Directorate (NSD) drives science\-based, mission\-focused solutions to take on complex, real\-world threats to our nation and the world.  
The AI and Data Analytics Division, part of the National Security Directorate, combines profound domain expertise and creative integration of advanced hardware and software to deliver computational solutions that address complex data and analytic challenges. Working in multidisciplinary teams, we connect foundational research to engineering to operations, providing the tools to innovate quickly and field results faster. Our strengths are integrated across the data analytics lifecycle, from data acquisition and management to analysis and decision support. **Read more about AIDA:** https://www.pnnl.gov/ai\-and\-data\-analytics  
Rockstar Rewards:
Employees and their families are offered medical insurance, dental insurance, vision insurance, robust telehealth care options, several mental health benefits, free wellness coaching, health savings account, flexible spending accounts, basic life insurance, disability insurance\*, employee assistance program, business travel insurance, tuition assistance, relocation, backup childcare, legal benefits, supplemental parental bonding leave, surrogacy and adoption assistance, and fertility support. Employees are automatically enrolled in our company\-funded pension plan\* and may enroll in our 401 (k) savings plan with company match\*. Employees may accrue up to 120 vacation hours per year and may receive ten paid holidays per year.
* Research Associates excluded.
\*\*All benefits are dependent upon eligibility.
Click Here For Rockstar Rewards
Responsibilities:
We are seeking a Data Scientist – AI for Radio Frequency (RF)/Remote Sensing Researcher. This role bridges foundational research and practical implementation to address cutting\-edge challenges in modern communication, remote sensing, and signal processing. Help shape the future of national security and scientific discovery by applying AI/ML to some of the most challenging problems in communications, remote sensing, and signal processing. In this role, you’ll combine knowledge of RF and sensor physics with hands\-on expertise in developing and deploying advanced AI/ML models. You will work at the intersection of advanced research and operational implementation to deliver mission\-ready solutions.  
Key Responsibilities:* Conduct research and implement AI/ML algorithms for RF signal processing, including but not limited to intelligent spectrum awareness, opportunistic sensing, and adaptive communication systems.
* Apply machine learning and deep learning techniques to improve the analysis, interpretation, and management of RF signals in noisy, dynamic, or contested environments.
* Develop and integrate AI/ML models into RF communication and remote sensing workflows in collaboration with multidisciplinary teams.
* Implement and iterate on novel AI/ML methods to directly address National Security problems.
* Prototype and demonstrate edge implementations of RF AI/ML models on hardware.
* Reproduce and adapt state\-of\-the\-art models, training methods, and digital signal processing components from academic literature with senior technical guidance but minimal examples and/or author code access.
* Maintain awareness of emerging technologies in AI, machine learning, remote sensing, and RF technologies to identify opportunities for technical innovation.
**This position is based in either Richland, WA or Seattle, WA and requires an onsite presence.**  
Qualifications:
Minimum Qualifications:* BS/BA and 2 years of relevant experience \-OR\-
* MS/MA \-OR\-
* PhD
Preferred Qualifications:* Degree in computer science, engineering, physics, mathematics, or a related field.
* Foundation in the physics and engineering principles of radio frequency (RF) and remote sensing, coupled with practical experience applying these concepts in AI/ML workflows.
* Experience in AI/ML/DL in applied science/research for national security missions.
* Experience in complex\-valued machine learning.
* Familiarity with the current AI/ML research landscape, particularly methods and applications relevant to RF signal processing and remote sensing.
* Experience implementing machine learning and artificial intelligence techniques for communications, signal processing, time series, RF applications.
* Experience developing, training, and testing machine learning models in frameworks like PyTorch.
* Proficiency in Python development and common associated libraries (e.g., pandas, numpy, scipy).
* Demonstrated communication and cross\-functional collaboration skills.
* Possession of an active DOE Q clearance.
* Possession of an active TS/SCI clearance.
Hazardous Working Conditions/Environment:
Not applicable.
Additional Information:
This position requires the ability to obtain and maintain a federal security clearance.
A security clearance background investigation includes review of your employment, education, financial, and criminal history, as well as interviews with you and your personal references, neighbors, and co\-workers to determine trustworthiness, reliability, and loyalty to the United States. The investigation also examines your foreign connections, drug and alcohol use, foreign influence, and overall conduct.
Requirements:
* U.S. Citizenship
* Background Investigation: Applicants selected will be subject to a federal background investigation and must meet eligibility requirements for access to classified matter in accordance with 10 CFR 710, Appendix B.
* Drug Testing: All Security Clearance positions are Testing Designated Positions, which means that the applicant selected for hire is subject to pre\-employment drug testing, and post\-employment random drug testing. In addition, applicants must be able to demonstrate non\-use of illegal drugs, including marijuana, for the 12 consecutive months preceding completion of the requisite Questionnaire for National Security Positions (QNSP).
Note: Applicants will be considered ineligible for security clearance processing by the U.S. Department of Energy if non\-use of illegal drugs, including marijuana, for 12 months cannot be demonstrated.
Testing Designated Position (TDP):
This position is a Testing Designated Position (TDP). The candidate selected for this position will be subject to pre\-employment and random drug testing for illegal drugs, including marijuana, consistent with the Controlled Substances Act and the PNNL Workplace Substance Abuse Program.
About PNNL:
Pacific Northwest National Laboratory (PNNL) is a world\-class research institution powered by a highly educated, diverse workforce committed to the values of Integrity, Creativity, Collaboration, Impact, and Courage. Every year, scores of dynamic, driven people come to PNNL to work with renowned researchers on meaningful science, innovations and outcomes for the U.S. Department of Energy and other sponsors; here is your chance to be one of them!  
At PNNL, you will find an exciting research environment and excellent benefits including health insurance, and flexible work schedules. PNNL is located in eastern Washington State—the dry side of Washington known for its stellar outdoor recreation and affordable cost of living. The Lab’s campus is only a 45\-minute flight (or \~3 hour drive) from Seattle or Portland, and is serviced by the convenient PSC airport, connected to 8 major hubs.
Commitment to Excellence and Equal Employment Opportunity:
Our laboratory is committed to fostering a work environment where all individuals are treated with fairness and respect while solving critical challenges in fundamental sciences, national security, and energy resiliency. We are an Equal Employment Opportunity employer.  
Pacific Northwest National Laboratory (PNNL) is an Equal Opportunity Employer. PNNL considers all applicants for employment without regard to race, religion, color, sex, national origin, age, disability, genetic information (including family medical history), protected veteran status, and any other status or characteristic protected by federal, state, and/or local laws.  
We are committed to providing reasonable accommodations for individuals with disabilities and disabled veterans in our job application procedures and in employment. If you need assistance or an accommodation due to a disability, contact us at careers@pnnl.gov.
Drug Free Workplace:
PNNL is committed to a drug\-free workplace supported by Workplace Substance Abuse Program (WSAP) and complies with federal laws prohibiting the possession and use of illegal drugs.  
If you are offered employment at PNNL, you must pass a drug test prior to commencing employment. PNNL complies with federal law regarding illegal drug use. Under federal law, marijuana remains an illegal drug. If you test positive for any illegal controlled substance, including marijuana, your offer of employment will be withdrawn.
HSPD\-12 PIV Credential Requirement:
As a national laboratory, PNNL is responsible for adhering to the Homeland Security Presidential Directive 12 (HSPD\-12\) and Department of Energy (DOE) Order 473\.1A, which require new employees to obtain and maintain a HSPD\-12 Personal Identify Verification (PIV) Credential. To obtain this credential, new employees must successfully complete the applicable tier of federal background investigation post hire and receive a favorable federal adjudication. The tier of federal background investigation will be determined by job duties and national security or public trust responsibilities associated with the job. All tiers of investigation include a declaration of illegal drug activities, including use, supply, possession, or manufacture within the last 1 to 7 years (depending on the applicable tier of investigation). Illegal drug activities include marijuana and cannabis derivatives, which are still considered illegal under federal law, regardless of state laws.  
For foreign national candidates:
If you have not resided in the U.S. for three consecutive years, you are not eligible for the PIV credential and instead will need to obtain a favorable Local Site Specific Only (LSSO) Federal risk determination to maintain employment. Once you meet the three\-year residency requirement thereafter, you will be required to obtain a PIV credential to maintain employment. The tier of federal background investigation required to obtain the PIV credential will be determined by job duties at the time you become eligible for the PIV credential.</t>
        </is>
      </c>
    </row>
    <row r="19">
      <c r="A19" t="inlineStr">
        <is>
          <t>in-763be1eeed70d9c5</t>
        </is>
      </c>
      <c r="B19" t="inlineStr">
        <is>
          <t>Innovation Data Scientist</t>
        </is>
      </c>
      <c r="C19" t="inlineStr">
        <is>
          <t>Kirkland &amp; Ellis</t>
        </is>
      </c>
      <c r="D19" t="inlineStr">
        <is>
          <t>indeed</t>
        </is>
      </c>
      <c r="E19" t="inlineStr"/>
      <c r="F19" t="inlineStr"/>
      <c r="G19" t="inlineStr">
        <is>
          <t>San Francisco, CA, US</t>
        </is>
      </c>
      <c r="H19" s="2" t="n">
        <v>46065</v>
      </c>
      <c r="I19" t="inlineStr">
        <is>
          <t>**About Kirkland \&amp; Ellis**
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22 offices worldwide. Our dedicated professionals share our lawyers’ commitment to excellence and show up each day to do meaningful work that helps drive global business, investment and innovation forward.
**What You’ll Do**
Are you energized by applying advanced analytics and artificial intelligence (AI) to transform how a leading law firm delivers client service and drives business performance? As an Innovation Data Scientist within Innovation Engineering at Kirkland \&amp; Ellis, you’ll design and deploy intelligent, data\-driven solutions that enhance quality, speed, and decision\-making across legal work and firm operations.  
Partnering closely with attorneys, innovation leaders, and enterprise teams, you’ll translate complex legal and business challenges into secure, scalable AI and machine learning (ML) solutions. From experimentation and measurement to deployment and monitoring, you’ll lead the full solution lifecycle—curating and governing datasets, defining success metrics for accuracy and safety, and building production\-ready models and applications, including large language model (LLM)–powered and classical ML solutions.  
Reporting to the Director of Innovation Engineering, you’ll play a key role in shaping and scaling the firm’s data science program—automating routine work, surfacing actionable insights, and unlocking new capabilities that elevate both client outcomes and firm performance.  
* Translate Legal Workflows into AI Solutions – Lead discovery sessions with attorneys and practice stakeholders to convert end\-to\-end legal processes into clear data and LLM requirements, measurable success criteria, and evaluation plans aligned to business value.
* Design and Prototype Intelligent Applications – Build and evaluate AI/ML techniques, including retrieval\-augmented generation (RAG) pipelines, vector database integrations, and orchestration frameworks to assess feasibility, performance, and scalability.
* Deliver High\-Impact Legal Use Cases – Develop solutions for contract analysis, due diligence review, document summarization, large\-scale agreement comparisons, and other practice\-driven needs.
* Establish Evaluation \&amp; Governance Frameworks – Define and operationalize production\-ready evaluation standards, measuring accuracy, robustness, bias and fairness, hallucinations, and business\-aligned performance thresholds with ongoing monitoring.
* Develop Reusable Assets \&amp; Libraries – Create internal libraries, documentation, and repeatable development patterns that enable efficient and scalable AI solution delivery.
* Collaborate Across Technical \&amp; Legal Teams – Partner with embedded data science teams and business stakeholders to align priorities, co\-develop solutions, and ensure successful adoption across practice groups.
* Communicate Insights with Clarity – Present evaluation results, trade\-offs, risks, and expected impact in clear, accessible language to non\-technical stakeholders, including attorneys and business leaders.
* Advance Innovation Strategy – Evaluate emerging tools, open\-source libraries, and vendor platforms to inform technology strategy, contribute to internal thought leadership, and support firmwide AI enablement initiatives.
* Mentor \&amp; Enable Growth – Support and guide data scientists and engineers, fostering knowledge sharing and strengthening the firm’s AI capabilities.
**What You’ll Bring**
* Education – bachelor’s degree in computer science, statistics, mathematics, engineering, or a related quantitative field; advanced degree preferred.
* Experience – 7\+ years of experience delivering AI/ML solutions in professional services, financial services, legal, or technical environments, with substantial cross\-functional collaboration involving legal and business stakeholders.
* Technical Expertise – Strong Python skills for data analysis, statistical modeling, and AI/ML prototyping (e.g., pandas, PyTorch, TensorFlow); advanced SQL proficiency; experience building data pipelines and preparing structured and unstructured datasets.
* AI \&amp; LLM Application Knowledge – Hands\-on experience with AI platforms and tools (e.g., OpenAI, Microsoft Azure OpenAI, Hugging Face, LangFlow, LangChain), vector databases, retrieval methods for unstructured data, and knowledge\-graph\-backed applications.
* Production AI Evaluation – Demonstrated experience defining and implementing evaluation frameworks for enterprise AI solutions, including monitoring for accuracy, robustness, hallucinations, bias, and fairness.
* Visualization \&amp; Communication – Familiarity with data visualization tools (e.g., Plotly, Tableau, Microsoft Power BI) and the ability to translate complex findings into clear, actionable insights.
* Legal \&amp; Industry Insight – Familiarity with legal use cases such as due diligence, contract review, or legal research; experience in a law firm or Microsoft Azure environment preferred.
* Leadership \&amp; Collaboration – Proven ability to mentor peers, collaborate across multidisciplinary teams, and drive adoption of AI solutions at scale.
If you’re excited to build secure, scalable AI solutions that transform legal service delivery and empower smarter business decisions, we invite you to help shape the future of innovation at Kirkland \&amp; Ellis.  
**Compensation**
The base salary range below represents the low and high end of the salary range for this position in each of the below locations. This range may differ based on your geographic location and cost of living considerations. At Kirkland \&amp; Ellis, we consider compensation more than just a base salary. We offer an exceptional range of flexible benefits including comprehensive healthcare, paid time off, and retirement. We also offer personal support and tailored learning and development opportunities all designed to help you realize your full potential both in life and at work.
Compensation Range:
Chicago: $158,000 \- $187,000
New York: $158,000 \- $208,000
**How to Apply**
Thank you for your interest in Kirkland \&amp; Ellis LLP. To complete an application and submit your resume, please click "Apply Now."
*Don't meet every job requirement? That's okay! If you're excited about this role but your experience doesn't perfectly fit every qualification, we encourage you to apply anyway. You may be just the right person for this role or others at Kirkland.*
**Equal Employment Opportunity**
All employment decisions, including the recruiting, hiring, placement, training availability, promotion, compensation, evaluation, disciplinary actions, and termination of employment (if necessary) are made without regard to the employee’s race, color, creed, religion, sex, pregnancy or childbirth, personal appearance, family responsibilities, sexual orientation or preference, gender identity, political affiliation, source of income, place of residence, national or ethnic origin, ancestry, age, marital status, military veteran status, unfavorable discharge from military service, physical or mental disability, or on any other basis prohibited by applicable law. \#LI\-Hybrid \#LI\-LC1</t>
        </is>
      </c>
    </row>
    <row r="20">
      <c r="A20" t="inlineStr">
        <is>
          <t>in-7e60912ad0d8a312</t>
        </is>
      </c>
      <c r="B20" t="inlineStr">
        <is>
          <t>Innovation Data Scientist</t>
        </is>
      </c>
      <c r="C20" t="inlineStr">
        <is>
          <t>Kirkland &amp; Ellis</t>
        </is>
      </c>
      <c r="D20" t="inlineStr">
        <is>
          <t>indeed</t>
        </is>
      </c>
      <c r="E20" t="inlineStr"/>
      <c r="F20" t="inlineStr"/>
      <c r="G20" t="inlineStr">
        <is>
          <t>Houston, TX, US</t>
        </is>
      </c>
      <c r="H20" s="2" t="n">
        <v>46065</v>
      </c>
      <c r="I20" t="inlineStr">
        <is>
          <t>**About Kirkland \&amp; Ellis**
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22 offices worldwide. Our dedicated professionals share our lawyers’ commitment to excellence and show up each day to do meaningful work that helps drive global business, investment and innovation forward.
**What You’ll Do**
Are you energized by applying advanced analytics and artificial intelligence (AI) to transform how a leading law firm delivers client service and drives business performance? As an Innovation Data Scientist within Innovation Engineering at Kirkland \&amp; Ellis, you’ll design and deploy intelligent, data\-driven solutions that enhance quality, speed, and decision\-making across legal work and firm operations.  
Partnering closely with attorneys, innovation leaders, and enterprise teams, you’ll translate complex legal and business challenges into secure, scalable AI and machine learning (ML) solutions. From experimentation and measurement to deployment and monitoring, you’ll lead the full solution lifecycle—curating and governing datasets, defining success metrics for accuracy and safety, and building production\-ready models and applications, including large language model (LLM)–powered and classical ML solutions.  
Reporting to the Director of Innovation Engineering, you’ll play a key role in shaping and scaling the firm’s data science program—automating routine work, surfacing actionable insights, and unlocking new capabilities that elevate both client outcomes and firm performance.  
* Translate Legal Workflows into AI Solutions – Lead discovery sessions with attorneys and practice stakeholders to convert end\-to\-end legal processes into clear data and LLM requirements, measurable success criteria, and evaluation plans aligned to business value.
* Design and Prototype Intelligent Applications – Build and evaluate AI/ML techniques, including retrieval\-augmented generation (RAG) pipelines, vector database integrations, and orchestration frameworks to assess feasibility, performance, and scalability.
* Deliver High\-Impact Legal Use Cases – Develop solutions for contract analysis, due diligence review, document summarization, large\-scale agreement comparisons, and other practice\-driven needs.
* Establish Evaluation \&amp; Governance Frameworks – Define and operationalize production\-ready evaluation standards, measuring accuracy, robustness, bias and fairness, hallucinations, and business\-aligned performance thresholds with ongoing monitoring.
* Develop Reusable Assets \&amp; Libraries – Create internal libraries, documentation, and repeatable development patterns that enable efficient and scalable AI solution delivery.
* Collaborate Across Technical \&amp; Legal Teams – Partner with embedded data science teams and business stakeholders to align priorities, co\-develop solutions, and ensure successful adoption across practice groups.
* Communicate Insights with Clarity – Present evaluation results, trade\-offs, risks, and expected impact in clear, accessible language to non\-technical stakeholders, including attorneys and business leaders.
* Advance Innovation Strategy – Evaluate emerging tools, open\-source libraries, and vendor platforms to inform technology strategy, contribute to internal thought leadership, and support firmwide AI enablement initiatives.
* Mentor \&amp; Enable Growth – Support and guide data scientists and engineers, fostering knowledge sharing and strengthening the firm’s AI capabilities.
**What You’ll Bring**
* Education – bachelor’s degree in computer science, statistics, mathematics, engineering, or a related quantitative field; advanced degree preferred.
* Experience – 7\+ years of experience delivering AI/ML solutions in professional services, financial services, legal, or technical environments, with substantial cross\-functional collaboration involving legal and business stakeholders.
* Technical Expertise – Strong Python skills for data analysis, statistical modeling, and AI/ML prototyping (e.g., pandas, PyTorch, TensorFlow); advanced SQL proficiency; experience building data pipelines and preparing structured and unstructured datasets.
* AI \&amp; LLM Application Knowledge – Hands\-on experience with AI platforms and tools (e.g., OpenAI, Microsoft Azure OpenAI, Hugging Face, LangFlow, LangChain), vector databases, retrieval methods for unstructured data, and knowledge\-graph\-backed applications.
* Production AI Evaluation – Demonstrated experience defining and implementing evaluation frameworks for enterprise AI solutions, including monitoring for accuracy, robustness, hallucinations, bias, and fairness.
* Visualization \&amp; Communication – Familiarity with data visualization tools (e.g., Plotly, Tableau, Microsoft Power BI) and the ability to translate complex findings into clear, actionable insights.
* Legal \&amp; Industry Insight – Familiarity with legal use cases such as due diligence, contract review, or legal research; experience in a law firm or Microsoft Azure environment preferred.
* Leadership \&amp; Collaboration – Proven ability to mentor peers, collaborate across multidisciplinary teams, and drive adoption of AI solutions at scale.
If you’re excited to build secure, scalable AI solutions that transform legal service delivery and empower smarter business decisions, we invite you to help shape the future of innovation at Kirkland \&amp; Ellis.  
**Compensation**
The base salary range below represents the low and high end of the salary range for this position in each of the below locations. This range may differ based on your geographic location and cost of living considerations. At Kirkland \&amp; Ellis, we consider compensation more than just a base salary. We offer an exceptional range of flexible benefits including comprehensive healthcare, paid time off, and retirement. We also offer personal support and tailored learning and development opportunities all designed to help you realize your full potential both in life and at work.
Compensation Range:
Chicago: $158,000 \- $187,000
New York: $158,000 \- $208,000
**How to Apply**
Thank you for your interest in Kirkland \&amp; Ellis LLP. To complete an application and submit your resume, please click "Apply Now."
*Don't meet every job requirement? That's okay! If you're excited about this role but your experience doesn't perfectly fit every qualification, we encourage you to apply anyway. You may be just the right person for this role or others at Kirkland.*
**Equal Employment Opportunity**
All employment decisions, including the recruiting, hiring, placement, training availability, promotion, compensation, evaluation, disciplinary actions, and termination of employment (if necessary) are made without regard to the employee’s race, color, creed, religion, sex, pregnancy or childbirth, personal appearance, family responsibilities, sexual orientation or preference, gender identity, political affiliation, source of income, place of residence, national or ethnic origin, ancestry, age, marital status, military veteran status, unfavorable discharge from military service, physical or mental disability, or on any other basis prohibited by applicable law. \#LI\-Hybrid \#LI\-LC1</t>
        </is>
      </c>
    </row>
    <row r="21">
      <c r="A21" t="inlineStr">
        <is>
          <t>in-4d03865814dd229c</t>
        </is>
      </c>
      <c r="B21" t="inlineStr">
        <is>
          <t>Innovation Data Scientist</t>
        </is>
      </c>
      <c r="C21" t="inlineStr">
        <is>
          <t>Kirkland &amp; Ellis</t>
        </is>
      </c>
      <c r="D21" t="inlineStr">
        <is>
          <t>indeed</t>
        </is>
      </c>
      <c r="E21" t="inlineStr"/>
      <c r="F21" t="inlineStr"/>
      <c r="G21" t="inlineStr">
        <is>
          <t>Chicago, IL, US</t>
        </is>
      </c>
      <c r="H21" s="2" t="n">
        <v>46065</v>
      </c>
      <c r="I21" t="inlineStr">
        <is>
          <t>**About Kirkland \&amp; Ellis**
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22 offices worldwide. Our dedicated professionals share our lawyers’ commitment to excellence and show up each day to do meaningful work that helps drive global business, investment and innovation forward.
**What You’ll Do**
Are you energized by applying advanced analytics and artificial intelligence (AI) to transform how a leading law firm delivers client service and drives business performance? As an Innovation Data Scientist within Innovation Engineering at Kirkland \&amp; Ellis, you’ll design and deploy intelligent, data\-driven solutions that enhance quality, speed, and decision\-making across legal work and firm operations.  
Partnering closely with attorneys, innovation leaders, and enterprise teams, you’ll translate complex legal and business challenges into secure, scalable AI and machine learning (ML) solutions. From experimentation and measurement to deployment and monitoring, you’ll lead the full solution lifecycle—curating and governing datasets, defining success metrics for accuracy and safety, and building production\-ready models and applications, including large language model (LLM)–powered and classical ML solutions.  
Reporting to the Director of Innovation Engineering, you’ll play a key role in shaping and scaling the firm’s data science program—automating routine work, surfacing actionable insights, and unlocking new capabilities that elevate both client outcomes and firm performance.  
* Translate Legal Workflows into AI Solutions – Lead discovery sessions with attorneys and practice stakeholders to convert end\-to\-end legal processes into clear data and LLM requirements, measurable success criteria, and evaluation plans aligned to business value.
* Design and Prototype Intelligent Applications – Build and evaluate AI/ML techniques, including retrieval\-augmented generation (RAG) pipelines, vector database integrations, and orchestration frameworks to assess feasibility, performance, and scalability.
* Deliver High\-Impact Legal Use Cases – Develop solutions for contract analysis, due diligence review, document summarization, large\-scale agreement comparisons, and other practice\-driven needs.
* Establish Evaluation \&amp; Governance Frameworks – Define and operationalize production\-ready evaluation standards, measuring accuracy, robustness, bias and fairness, hallucinations, and business\-aligned performance thresholds with ongoing monitoring.
* Develop Reusable Assets \&amp; Libraries – Create internal libraries, documentation, and repeatable development patterns that enable efficient and scalable AI solution delivery.
* Collaborate Across Technical \&amp; Legal Teams – Partner with embedded data science teams and business stakeholders to align priorities, co\-develop solutions, and ensure successful adoption across practice groups.
* Communicate Insights with Clarity – Present evaluation results, trade\-offs, risks, and expected impact in clear, accessible language to non\-technical stakeholders, including attorneys and business leaders.
* Advance Innovation Strategy – Evaluate emerging tools, open\-source libraries, and vendor platforms to inform technology strategy, contribute to internal thought leadership, and support firmwide AI enablement initiatives.
* Mentor \&amp; Enable Growth – Support and guide data scientists and engineers, fostering knowledge sharing and strengthening the firm’s AI capabilities.
**What You’ll Bring**
* Education – bachelor’s degree in computer science, statistics, mathematics, engineering, or a related quantitative field; advanced degree preferred.
* Experience – 7\+ years of experience delivering AI/ML solutions in professional services, financial services, legal, or technical environments, with substantial cross\-functional collaboration involving legal and business stakeholders.
* Technical Expertise – Strong Python skills for data analysis, statistical modeling, and AI/ML prototyping (e.g., pandas, PyTorch, TensorFlow); advanced SQL proficiency; experience building data pipelines and preparing structured and unstructured datasets.
* AI \&amp; LLM Application Knowledge – Hands\-on experience with AI platforms and tools (e.g., OpenAI, Microsoft Azure OpenAI, Hugging Face, LangFlow, LangChain), vector databases, retrieval methods for unstructured data, and knowledge\-graph\-backed applications.
* Production AI Evaluation – Demonstrated experience defining and implementing evaluation frameworks for enterprise AI solutions, including monitoring for accuracy, robustness, hallucinations, bias, and fairness.
* Visualization \&amp; Communication – Familiarity with data visualization tools (e.g., Plotly, Tableau, Microsoft Power BI) and the ability to translate complex findings into clear, actionable insights.
* Legal \&amp; Industry Insight – Familiarity with legal use cases such as due diligence, contract review, or legal research; experience in a law firm or Microsoft Azure environment preferred.
* Leadership \&amp; Collaboration – Proven ability to mentor peers, collaborate across multidisciplinary teams, and drive adoption of AI solutions at scale.
If you’re excited to build secure, scalable AI solutions that transform legal service delivery and empower smarter business decisions, we invite you to help shape the future of innovation at Kirkland \&amp; Ellis.  
**Compensation**
The base salary range below represents the low and high end of the salary range for this position in each of the below locations. This range may differ based on your geographic location and cost of living considerations. At Kirkland \&amp; Ellis, we consider compensation more than just a base salary. We offer an exceptional range of flexible benefits including comprehensive healthcare, paid time off, and retirement. We also offer personal support and tailored learning and development opportunities all designed to help you realize your full potential both in life and at work.
Compensation Range:
Chicago: $158,000 \- $187,000
New York: $158,000 \- $208,000
**How to Apply**
Thank you for your interest in Kirkland \&amp; Ellis LLP. To complete an application and submit your resume, please click "Apply Now."
*Don't meet every job requirement? That's okay! If you're excited about this role but your experience doesn't perfectly fit every qualification, we encourage you to apply anyway. You may be just the right person for this role or others at Kirkland.*
**Equal Employment Opportunity**
All employment decisions, including the recruiting, hiring, placement, training availability, promotion, compensation, evaluation, disciplinary actions, and termination of employment (if necessary) are made without regard to the employee’s race, color, creed, religion, sex, pregnancy or childbirth, personal appearance, family responsibilities, sexual orientation or preference, gender identity, political affiliation, source of income, place of residence, national or ethnic origin, ancestry, age, marital status, military veteran status, unfavorable discharge from military service, physical or mental disability, or on any other basis prohibited by applicable law. \#LI\-Hybrid \#LI\-LC1</t>
        </is>
      </c>
    </row>
    <row r="22">
      <c r="A22" t="inlineStr">
        <is>
          <t>in-7534ed55604760de</t>
        </is>
      </c>
      <c r="B22" t="inlineStr">
        <is>
          <t>Innovation Data Scientist</t>
        </is>
      </c>
      <c r="C22" t="inlineStr">
        <is>
          <t>Kirkland &amp; Ellis</t>
        </is>
      </c>
      <c r="D22" t="inlineStr">
        <is>
          <t>indeed</t>
        </is>
      </c>
      <c r="E22" t="inlineStr"/>
      <c r="F22" t="inlineStr"/>
      <c r="G22" t="inlineStr">
        <is>
          <t>New York, NY, US</t>
        </is>
      </c>
      <c r="H22" s="2" t="n">
        <v>46065</v>
      </c>
      <c r="I22" t="inlineStr">
        <is>
          <t>**About Kirkland \&amp; Ellis**
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22 offices worldwide. Our dedicated professionals share our lawyers’ commitment to excellence and show up each day to do meaningful work that helps drive global business, investment and innovation forward.
**What You’ll Do**
Are you energized by applying advanced analytics and artificial intelligence (AI) to transform how a leading law firm delivers client service and drives business performance? As an Innovation Data Scientist within Innovation Engineering at Kirkland \&amp; Ellis, you’ll design and deploy intelligent, data\-driven solutions that enhance quality, speed, and decision\-making across legal work and firm operations.  
Partnering closely with attorneys, innovation leaders, and enterprise teams, you’ll translate complex legal and business challenges into secure, scalable AI and machine learning (ML) solutions. From experimentation and measurement to deployment and monitoring, you’ll lead the full solution lifecycle—curating and governing datasets, defining success metrics for accuracy and safety, and building production\-ready models and applications, including large language model (LLM)–powered and classical ML solutions.  
Reporting to the Director of Innovation Engineering, you’ll play a key role in shaping and scaling the firm’s data science program—automating routine work, surfacing actionable insights, and unlocking new capabilities that elevate both client outcomes and firm performance.  
* Translate Legal Workflows into AI Solutions – Lead discovery sessions with attorneys and practice stakeholders to convert end\-to\-end legal processes into clear data and LLM requirements, measurable success criteria, and evaluation plans aligned to business value.
* Design and Prototype Intelligent Applications – Build and evaluate AI/ML techniques, including retrieval\-augmented generation (RAG) pipelines, vector database integrations, and orchestration frameworks to assess feasibility, performance, and scalability.
* Deliver High\-Impact Legal Use Cases – Develop solutions for contract analysis, due diligence review, document summarization, large\-scale agreement comparisons, and other practice\-driven needs.
* Establish Evaluation \&amp; Governance Frameworks – Define and operationalize production\-ready evaluation standards, measuring accuracy, robustness, bias and fairness, hallucinations, and business\-aligned performance thresholds with ongoing monitoring.
* Develop Reusable Assets \&amp; Libraries – Create internal libraries, documentation, and repeatable development patterns that enable efficient and scalable AI solution delivery.
* Collaborate Across Technical \&amp; Legal Teams – Partner with embedded data science teams and business stakeholders to align priorities, co\-develop solutions, and ensure successful adoption across practice groups.
* Communicate Insights with Clarity – Present evaluation results, trade\-offs, risks, and expected impact in clear, accessible language to non\-technical stakeholders, including attorneys and business leaders.
* Advance Innovation Strategy – Evaluate emerging tools, open\-source libraries, and vendor platforms to inform technology strategy, contribute to internal thought leadership, and support firmwide AI enablement initiatives.
* Mentor \&amp; Enable Growth – Support and guide data scientists and engineers, fostering knowledge sharing and strengthening the firm’s AI capabilities.
**What You’ll Bring**
* Education – bachelor’s degree in computer science, statistics, mathematics, engineering, or a related quantitative field; advanced degree preferred.
* Experience – 7\+ years of experience delivering AI/ML solutions in professional services, financial services, legal, or technical environments, with substantial cross\-functional collaboration involving legal and business stakeholders.
* Technical Expertise – Strong Python skills for data analysis, statistical modeling, and AI/ML prototyping (e.g., pandas, PyTorch, TensorFlow); advanced SQL proficiency; experience building data pipelines and preparing structured and unstructured datasets.
* AI \&amp; LLM Application Knowledge – Hands\-on experience with AI platforms and tools (e.g., OpenAI, Microsoft Azure OpenAI, Hugging Face, LangFlow, LangChain), vector databases, retrieval methods for unstructured data, and knowledge\-graph\-backed applications.
* Production AI Evaluation – Demonstrated experience defining and implementing evaluation frameworks for enterprise AI solutions, including monitoring for accuracy, robustness, hallucinations, bias, and fairness.
* Visualization \&amp; Communication – Familiarity with data visualization tools (e.g., Plotly, Tableau, Microsoft Power BI) and the ability to translate complex findings into clear, actionable insights.
* Legal \&amp; Industry Insight – Familiarity with legal use cases such as due diligence, contract review, or legal research; experience in a law firm or Microsoft Azure environment preferred.
* Leadership \&amp; Collaboration – Proven ability to mentor peers, collaborate across multidisciplinary teams, and drive adoption of AI solutions at scale.
If you’re excited to build secure, scalable AI solutions that transform legal service delivery and empower smarter business decisions, we invite you to help shape the future of innovation at Kirkland \&amp; Ellis.  
**Compensation**
The base salary range below represents the low and high end of the salary range for this position in each of the below locations. This range may differ based on your geographic location and cost of living considerations. At Kirkland \&amp; Ellis, we consider compensation more than just a base salary. We offer an exceptional range of flexible benefits including comprehensive healthcare, paid time off, and retirement. We also offer personal support and tailored learning and development opportunities all designed to help you realize your full potential both in life and at work.
Compensation Range:
Chicago: $158,000 \- $187,000
New York: $158,000 \- $208,000
**How to Apply**
Thank you for your interest in Kirkland \&amp; Ellis LLP. To complete an application and submit your resume, please click "Apply Now."
*Don't meet every job requirement? That's okay! If you're excited about this role but your experience doesn't perfectly fit every qualification, we encourage you to apply anyway. You may be just the right person for this role or others at Kirkland.*
**Equal Employment Opportunity**
All employment decisions, including the recruiting, hiring, placement, training availability, promotion, compensation, evaluation, disciplinary actions, and termination of employment (if necessary) are made without regard to the employee’s race, color, creed, religion, sex, pregnancy or childbirth, personal appearance, family responsibilities, sexual orientation or preference, gender identity, political affiliation, source of income, place of residence, national or ethnic origin, ancestry, age, marital status, military veteran status, unfavorable discharge from military service, physical or mental disability, or on any other basis prohibited by applicable law. \#LI\-Hybrid \#LI\-LC1</t>
        </is>
      </c>
    </row>
    <row r="23">
      <c r="A23" t="inlineStr">
        <is>
          <t>in-a432b3355ff117e5</t>
        </is>
      </c>
      <c r="B23" t="inlineStr">
        <is>
          <t>Mid-Level Engineering Data Scientist</t>
        </is>
      </c>
      <c r="C23" t="inlineStr">
        <is>
          <t>Boeing</t>
        </is>
      </c>
      <c r="D23" t="inlineStr">
        <is>
          <t>indeed</t>
        </is>
      </c>
      <c r="E23" t="inlineStr"/>
      <c r="F23" t="inlineStr"/>
      <c r="G23" t="inlineStr">
        <is>
          <t>Oklahoma City, OK, US</t>
        </is>
      </c>
      <c r="H23" s="2" t="n">
        <v>46065</v>
      </c>
      <c r="I23" t="inlineStr">
        <is>
          <t>At Boeing, we innovate and collaborate to make the world a better place. We’re committed to fostering an environment for every teammate that’s welcoming, respectful and inclusive, with great opportunity for professional growth. Find your future with us.
We are Boeing Global Services (BGS) Engineering team creating and implementing innovative technologies that make the impossible possible and enabling the future of aerospace. We provide engineering design and support, including aftermarket modifications, and are innovating to make product and services safety even stronger. Join us and put your passion, determination, and skill to work building the future! \#TheFutureIsBuiltHere \#ChangeTheWorld
Join an exciting and growing team in performing complex analysis of aviation data. As modern aircraft produce increasing amounts of data in operations and maintenance, analytics are used to turn that data into insights to improve performance, enable smarter services, increase productivity, and make flying safer. The Boeing Company is currently seeking a **Mid\-Level Engineering Data Scientist** to join the Boeing Global Services (BGS) Government Services Analytics team located in **Hazelwood, MO, Plano, TX, Ridley Park, PA, or Oklahoma City, OK.** In this position you will work with an industry\-leading team of data scientists, support US and international customers, and collaborate with engineering teams to create innovative health management solutions for government aircraft platforms.
As a mid\-level data scientist, you will play a crucial role in creating new analytics models that provide aftermarket services for our military customers. Your primary responsibility will be analyzing data and applying machine learning and AI techniques to empower users with valuable insights to improve aircraft health management. This role requires a resourceful, self\-driven, outcome\-oriented individual with the ability to collaborate respectfully and communicate effectively.
The ideal candidate will have knowledge and work history in machine learning, natural language processing (NLP), and retrieval augmented generation (RAG), and a successful track record of deploying machine learning models in a production environment.
**This position is onsite. The selected candidate will be required to perform work onsite at one of the listed location options.**
 **Position Responsibilities:**
* Apply advanced statistical techniques and predictive modeling to develop *predictive maintenance* strategies and optimize aircraft performance.
* Utilize *natural language processing*, data cleansing, and preprocessing techniques to ensure data quality and integrity for accurate analysis and modeling.
* Apply modern *RAG* techniques to generate domain\-specific insights from complex customer data, enhancing decision\-making and user experience.
* *Collaborate* with cross\-functional teams to identify and define data requirements.
* Implement and *deploy* machine learning models into production systems, working closely with software engineering teams to integrate into customer environments.
* Collaborate with *subject matter experts* to understand engineering domain knowledge and incorporate it into data analysis and modeling efforts.
* Ensure *data security* and compliance with relevant regulations throughout the data analysis lifecycle.
* *Communicate* findings, insights, and recommendations to technical and non\-technical stakeholders through clear and concise reports, presentations, and visualizations.
**To be considered for this position you will be required to complete a technical assessment as part of the selection process.**
**Basic Qualifications (Required Skills/Experience):**
* Bachelor of Science degree in Engineering, Engineering Technology (including Manufacturing Technology), Computer Science, Data Science, Mathematics, Physics, Chemistry or non\-US equivalent qualifications directly related to the work statement
* 2\+ years of professional experience in data science, artificial intelligence, or machine learning
* 2\+ years of experience in Python for data science applications
**Preferred Qualifications (Desired Skills/Experience):**
* Advanced degree (Master's or Doctorate) in Data Science, Engineering, Computer Science, Mathematics, or another similar technical background
* 5\+ years of related work experience or an equivalent combination of education and experience
* 2\+ years of experience in natural language processing
* 2\+ years of experience in SQL
* Proficient with data visualization tools, such as Tableau.
* Proficient in deep learning frameworks such as PyTorch and TensorFlow
* Experience with generative AI models, including LLMs and RAG, for building knowledge\-driven solutions.
* Engineering domain knowledge relating to aircraft maintenance, design, or testing
* Experience working in an agile software development team
**Relocation:**
This position offers relocation assistance.
**Drug Free Workplace:**
Boeing is a Drug Free Workplace where post offer applicants and employees are subject to testing for marijuana, cocaine, opioids, amphetamines, PCP, and alcohol when criteria is met as outlined in our policies.
**Total Rewards and Pay Transparency:**
At Boeing, we strive to deliver a Total Rewards package that will attract, engage and retain the top talent. Elements of the Total Rewards package include competitive base pay and variable compensation opportunities.
The Boeing Company also provides eligible employees with an opportunity to enroll in a variety of benefit programs, generally including health insurance, flexible spending accounts, health savings accounts, retirement savings plans, life and disability insurance programs, and a number of programs that provide for both paid and unpaid time away from work.
The specific programs and options available to any given employee may vary depending on eligibility factors such as geographic location, date of hire, and the applicability of collective bargaining agreements.
Pay is based upon candidate experience and qualifications, as well as market and business considerations.
Summary pay range: $95,200 \- $147,200
Applications for this position will be accepted until **Feb. 28, 2026**
 **Education**
Bachelor's Degree or Equivalent Required
**Relocation**
This position offers relocation based on candidate eligibility.
**Security Clearance**
This position requires the ability to obtain a U.S. Security Clearance for which the U.S. Government requires U.S. Citizenship. An interim and/or final U.S. Secret Clearance Post\-Start is required.
**Visa Sponsorship**
Employer will not sponsor applicants for employment visa status.
**Shift**
This position is for 1st shift
 **Equal Opportunity Employer:**
Boeing is an Equal Opportunity Employer. Employment decisions are made without regard to race, color, religion, national origin, gender, sexual orientation, gender identity, age, physical or mental disability, genetic factors, military/veteran status or other characteristics protected by law.</t>
        </is>
      </c>
    </row>
    <row r="24">
      <c r="A24" t="inlineStr">
        <is>
          <t>in-47fd96e4f903c924</t>
        </is>
      </c>
      <c r="B24" t="inlineStr">
        <is>
          <t>Sr. Applied Scientist, Sponsored Products Off-Search Sourcing</t>
        </is>
      </c>
      <c r="C24" t="inlineStr">
        <is>
          <t>Amazon.com</t>
        </is>
      </c>
      <c r="D24" t="inlineStr">
        <is>
          <t>indeed</t>
        </is>
      </c>
      <c r="E24" t="inlineStr"/>
      <c r="F24" t="inlineStr"/>
      <c r="G24" t="inlineStr">
        <is>
          <t>Seattle, WA, US</t>
        </is>
      </c>
      <c r="H24" s="2" t="n">
        <v>46049</v>
      </c>
      <c r="I24" t="inlineStr">
        <is>
          <t>**DESCRIPTION**
---------------
The Sponsored Products and Brands (SPB) team at Amazon Ads is re\-imagining the advertising landscape through state\-of\-the\-art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  
Curious about our advertising solutions? Discover more about Sponsored Products and Sponsored Brands to see how we’re helping businesses grow on Amazon.com and beyond!  
Key job responsibilities  
This role will be pivotal in redesigning how ads contribute to a personalized, relevant, and inspirational shopping experience, with the customer value proposition at the forefront. Key responsibilities include, but are not limited to:  
* Contribute to the design and development of GenAI, deep learning, multi\-objective optimization and/or reinforcement learning empowered solutions to transform ad retrieval, auctions, whole\-page relevance, and/or bespoke shopping experiences.
* Collaborate cross\-functionally with other scientists, engineers, and product managers to bring scalable, production\-ready science solutions to life.
* Stay abreast of industry trends in GenAI, LLMs, and related disciplines, bringing fresh and innovative concepts, ideas, and prototypes to the organization.
* Contribute to the enhancement of team’s scientific and technical rigor by identifying and implementing best\-in\-class algorithms, methodologies, and infrastructure that enable rapid experimentation and scaling.
* Mentor and grow junior scientists and engineers, cultivating a high\-performing, collaborative, and intellectually curious team.
A day in the life  
As an Applied Scientist on the Sponsored Products and Brands Off\-Search team, you will contribute to the development in Generative AI (GenAI) and Large Language Models (LLMs) to revolutionize our advertising flow, backend optimization, and frontend shopping experiences. This is a rare opportunity to redefine how ads are retrieved, allocated, and/or experienced—elevating them into personalized, contextually aware, and inspiring components of the customer journey. You will have the opportunity to fundamentally transform areas such as ad retrieval, ad allocation, whole\-page relevance, and differentiated recommendations through the lens of GenAI. By building novel generative models grounded in both Amazon’s rich data and the world’s collective knowledge, your work will shape how customers engage with ads, discover products, and make purchasing decisions. If you are passionate about applying frontier AI to real\-world problems with massive scale and impact, this is your opportunity to define the next chapter of advertising science.  
About the team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  
Curious about our advertising solutions? Discover more about Sponsored Products and Sponsored Brands to see how we’re helping businesses grow on Amazon.com and beyond!**BASIC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\- 192,200\.00 \- 260,000\.00 USD annually  
USA, NY, New York \- 183,800\.00 \- 248,700\.00 USD annually  
USA, WA, Seattle \- 167,100\.00 \- 226,100\.00 USD annually</t>
        </is>
      </c>
    </row>
    <row r="25">
      <c r="A25" t="inlineStr">
        <is>
          <t>in-443a46f4e6ccd144</t>
        </is>
      </c>
      <c r="B25" t="inlineStr">
        <is>
          <t>Sr. Applied Scientist, Sponsored Products Off-Search Sourcing</t>
        </is>
      </c>
      <c r="C25" t="inlineStr">
        <is>
          <t>Amazon.com</t>
        </is>
      </c>
      <c r="D25" t="inlineStr">
        <is>
          <t>indeed</t>
        </is>
      </c>
      <c r="E25" t="inlineStr"/>
      <c r="F25" t="inlineStr"/>
      <c r="G25" t="inlineStr">
        <is>
          <t>Palo Alto, CA, US</t>
        </is>
      </c>
      <c r="H25" s="2" t="n">
        <v>46049</v>
      </c>
      <c r="I25" t="inlineStr">
        <is>
          <t>**DESCRIPTION**
---------------
The Sponsored Products and Brands (SPB) team at Amazon Ads is re\-imagining the advertising landscape through state\-of\-the\-art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  
Curious about our advertising solutions? Discover more about Sponsored Products and Sponsored Brands to see how we’re helping businesses grow on Amazon.com and beyond!  
Key job responsibilities  
This role will be pivotal in redesigning how ads contribute to a personalized, relevant, and inspirational shopping experience, with the customer value proposition at the forefront. Key responsibilities include, but are not limited to:  
* Contribute to the design and development of GenAI, deep learning, multi\-objective optimization and/or reinforcement learning empowered solutions to transform ad retrieval, auctions, whole\-page relevance, and/or bespoke shopping experiences.
* Collaborate cross\-functionally with other scientists, engineers, and product managers to bring scalable, production\-ready science solutions to life.
* Stay abreast of industry trends in GenAI, LLMs, and related disciplines, bringing fresh and innovative concepts, ideas, and prototypes to the organization.
* Contribute to the enhancement of team’s scientific and technical rigor by identifying and implementing best\-in\-class algorithms, methodologies, and infrastructure that enable rapid experimentation and scaling.
* Mentor and grow junior scientists and engineers, cultivating a high\-performing, collaborative, and intellectually curious team.
A day in the life  
As an Applied Scientist on the Sponsored Products and Brands Off\-Search team, you will contribute to the development in Generative AI (GenAI) and Large Language Models (LLMs) to revolutionize our advertising flow, backend optimization, and frontend shopping experiences. This is a rare opportunity to redefine how ads are retrieved, allocated, and/or experienced—elevating them into personalized, contextually aware, and inspiring components of the customer journey. You will have the opportunity to fundamentally transform areas such as ad retrieval, ad allocation, whole\-page relevance, and differentiated recommendations through the lens of GenAI. By building novel generative models grounded in both Amazon’s rich data and the world’s collective knowledge, your work will shape how customers engage with ads, discover products, and make purchasing decisions. If you are passionate about applying frontier AI to real\-world problems with massive scale and impact, this is your opportunity to define the next chapter of advertising science.  
About the team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  
Curious about our advertising solutions? Discover more about Sponsored Products and Sponsored Brands to see how we’re helping businesses grow on Amazon.com and beyond!**BASIC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\- 192,200\.00 \- 260,000\.00 USD annually  
USA, NY, New York \- 183,800\.00 \- 248,700\.00 USD annually  
USA, WA, Seattle \- 167,100\.00 \- 226,100\.00 USD annually</t>
        </is>
      </c>
    </row>
    <row r="26">
      <c r="A26" t="inlineStr">
        <is>
          <t>in-d9aad945003788f3</t>
        </is>
      </c>
      <c r="B26" t="inlineStr">
        <is>
          <t>Sr. Applied Scientist, Sponsored Products Off-Search Sourcing</t>
        </is>
      </c>
      <c r="C26" t="inlineStr">
        <is>
          <t>Amazon.com</t>
        </is>
      </c>
      <c r="D26" t="inlineStr">
        <is>
          <t>indeed</t>
        </is>
      </c>
      <c r="E26" t="inlineStr"/>
      <c r="F26" t="inlineStr"/>
      <c r="G26" t="inlineStr">
        <is>
          <t>New York, NY, US</t>
        </is>
      </c>
      <c r="H26" s="2" t="n">
        <v>46049</v>
      </c>
      <c r="I26" t="inlineStr">
        <is>
          <t>**DESCRIPTION**
---------------
The Sponsored Products and Brands (SPB) team at Amazon Ads is re\-imagining the advertising landscape through state\-of\-the\-art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  
Curious about our advertising solutions? Discover more about Sponsored Products and Sponsored Brands to see how we’re helping businesses grow on Amazon.com and beyond!  
Key job responsibilities  
This role will be pivotal in redesigning how ads contribute to a personalized, relevant, and inspirational shopping experience, with the customer value proposition at the forefront. Key responsibilities include, but are not limited to:  
* Contribute to the design and development of GenAI, deep learning, multi\-objective optimization and/or reinforcement learning empowered solutions to transform ad retrieval, auctions, whole\-page relevance, and/or bespoke shopping experiences.
* Collaborate cross\-functionally with other scientists, engineers, and product managers to bring scalable, production\-ready science solutions to life.
* Stay abreast of industry trends in GenAI, LLMs, and related disciplines, bringing fresh and innovative concepts, ideas, and prototypes to the organization.
* Contribute to the enhancement of team’s scientific and technical rigor by identifying and implementing best\-in\-class algorithms, methodologies, and infrastructure that enable rapid experimentation and scaling.
* Mentor and grow junior scientists and engineers, cultivating a high\-performing, collaborative, and intellectually curious team.
A day in the life  
As an Applied Scientist on the Sponsored Products and Brands Off\-Search team, you will contribute to the development in Generative AI (GenAI) and Large Language Models (LLMs) to revolutionize our advertising flow, backend optimization, and frontend shopping experiences. This is a rare opportunity to redefine how ads are retrieved, allocated, and/or experienced—elevating them into personalized, contextually aware, and inspiring components of the customer journey. You will have the opportunity to fundamentally transform areas such as ad retrieval, ad allocation, whole\-page relevance, and differentiated recommendations through the lens of GenAI. By building novel generative models grounded in both Amazon’s rich data and the world’s collective knowledge, your work will shape how customers engage with ads, discover products, and make purchasing decisions. If you are passionate about applying frontier AI to real\-world problems with massive scale and impact, this is your opportunity to define the next chapter of advertising science.  
About the team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  
Curious about our advertising solutions? Discover more about Sponsored Products and Sponsored Brands to see how we’re helping businesses grow on Amazon.com and beyond!**BASIC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\- 192,200\.00 \- 260,000\.00 USD annually  
USA, NY, New York \- 183,800\.00 \- 248,700\.00 USD annually  
USA, WA, Seattle \- 167,100\.00 \- 226,100\.00 USD annually</t>
        </is>
      </c>
    </row>
    <row r="27">
      <c r="A27" t="inlineStr">
        <is>
          <t>in-c407f4aed3984f5a</t>
        </is>
      </c>
      <c r="B27" t="inlineStr">
        <is>
          <t>Applied Scientist II, Prime Video Personalization and Discovery Science</t>
        </is>
      </c>
      <c r="C27" t="inlineStr">
        <is>
          <t>Amazon.com</t>
        </is>
      </c>
      <c r="D27" t="inlineStr">
        <is>
          <t>indeed</t>
        </is>
      </c>
      <c r="E27" t="inlineStr"/>
      <c r="F27" t="inlineStr"/>
      <c r="G27" t="inlineStr">
        <is>
          <t>New York, NY, US</t>
        </is>
      </c>
      <c r="H27" s="2" t="n">
        <v>46047</v>
      </c>
      <c r="I2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28">
      <c r="A28" t="inlineStr">
        <is>
          <t>in-61397baece7cba93</t>
        </is>
      </c>
      <c r="B28" t="inlineStr">
        <is>
          <t>Applied Scientist II, Prime Video Personalization and Discovery Science</t>
        </is>
      </c>
      <c r="C28" t="inlineStr">
        <is>
          <t>Amazon.com</t>
        </is>
      </c>
      <c r="D28" t="inlineStr">
        <is>
          <t>indeed</t>
        </is>
      </c>
      <c r="E28" t="inlineStr"/>
      <c r="F28" t="inlineStr"/>
      <c r="G28" t="inlineStr">
        <is>
          <t>Sunnyvale, CA, US</t>
        </is>
      </c>
      <c r="H28" s="2" t="n">
        <v>46047</v>
      </c>
      <c r="I2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29">
      <c r="A29" t="inlineStr">
        <is>
          <t>in-c39d755b717c8d62</t>
        </is>
      </c>
      <c r="B29" t="inlineStr">
        <is>
          <t>Applied Scientist II, Prime Video Personalization and Discovery Science</t>
        </is>
      </c>
      <c r="C29" t="inlineStr">
        <is>
          <t>Amazon.com</t>
        </is>
      </c>
      <c r="D29" t="inlineStr">
        <is>
          <t>indeed</t>
        </is>
      </c>
      <c r="E29" t="inlineStr"/>
      <c r="F29" t="inlineStr"/>
      <c r="G29" t="inlineStr">
        <is>
          <t>Seattle, WA, US</t>
        </is>
      </c>
      <c r="H29" s="2" t="n">
        <v>46047</v>
      </c>
      <c r="I2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30">
      <c r="A30" t="inlineStr">
        <is>
          <t>in-9a556f30a5e7f1c7</t>
        </is>
      </c>
      <c r="B30" t="inlineStr">
        <is>
          <t>Sr. Applied Scientist, Amazon Connect</t>
        </is>
      </c>
      <c r="C30" t="inlineStr">
        <is>
          <t>Amazon Web Services</t>
        </is>
      </c>
      <c r="D30" t="inlineStr">
        <is>
          <t>indeed</t>
        </is>
      </c>
      <c r="E30" t="inlineStr"/>
      <c r="F30" t="inlineStr"/>
      <c r="G30" t="inlineStr">
        <is>
          <t>New York, NY, US</t>
        </is>
      </c>
      <c r="H30" s="2" t="n">
        <v>46047</v>
      </c>
      <c r="I30"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Senior Applied Scientist will lead the scientific agenda for AI systems at the product level. The role requires identifying and solving ill\-defined problems where no textbook solutions exist, balancing rapid innovation with reliability and compliance. You should be comfortable making decisions with incomplete information and driving solutions in ambiguous problem spaces. You'll work closely with senior technical leaders within the team and across AWS, influencing across multiple teams. We're looking for scientists who can maintain high standards while moving quickly, prioritizing both rapid experimentation and responsible AI development to deliver measurable customer impact.  
Key job responsibilities  
* Lead the design, implementation, and delivery of scientifically\-complex production solutions that address medium\-to\-large business problems
* Drive your team's scientific agenda and propose new initiatives aligned with customer needs and business problems
* Invent new methodologies or paradigms when existing approaches are insufficient
* Influence across multiple teams to build consensus on technical direction and scientific approaches
* Deliver significant portions of critical\-path code that meets high quality standards (efficient, reproducible, testable, maintainable)
* Actively mentor and develop other scientists, fostering a culture of scientific excellence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in engineering, technology, computer science, machine learning, robotics, operations research, statistics, mathematics or equivalent quantitative field
* 5\+ years of building machine learning models or developing algorithms for business application experience
* Experience programming in Java, C\+\+, Python or related language
* Experience in patents or publications at top\-tier peer\-reviewed conferences or journals
* Experience collaborating and influencing multiple teams across multiple organizations
* Experience leading, mentoring and growing teams of scientists (teams of five or more scientists)
**PREFERRED QUALIFICATIONS**
----------------------------
* Experience with modeling tools such as R, scikit\-learn, Spark MLLib, MxNet, Tensorflow, numpy, scipy etc.
* Experience with large scale distributed systems such as Hadoop, Spark etc.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31">
      <c r="A31" t="inlineStr">
        <is>
          <t>in-2b04696484c4efbd</t>
        </is>
      </c>
      <c r="B31" t="inlineStr">
        <is>
          <t>Applied Scientist, Amazon Connect</t>
        </is>
      </c>
      <c r="C31" t="inlineStr">
        <is>
          <t>Amazon Web Services</t>
        </is>
      </c>
      <c r="D31" t="inlineStr">
        <is>
          <t>indeed</t>
        </is>
      </c>
      <c r="E31" t="inlineStr"/>
      <c r="F31" t="inlineStr"/>
      <c r="G31" t="inlineStr">
        <is>
          <t>New York, NY, US</t>
        </is>
      </c>
      <c r="H31" s="2" t="n">
        <v>46047</v>
      </c>
      <c r="I31"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II will contribute to the development of AI systems. The role requires extending existing scientific techniques and inventing new ones to address specific customer needs at a project level.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at the project level
* Deliver components into production that meet high quality standards (efficient, reproducible, testable code)
* Produce research reports demonstrating correctness, scholarship, and scientific rigor
* Work with product and science teams to deliver impactful AI features
* Contribute to operational excellence in the team's deliverables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or Master's degree and 4\+ years of CS, CE, ML or related field experience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with large scale machine learning systems such as profiling and debugging and understanding of system performance and scalability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32">
      <c r="A32" t="inlineStr">
        <is>
          <t>in-9f2b5e395c2b3dad</t>
        </is>
      </c>
      <c r="B32" t="inlineStr">
        <is>
          <t>Applied Scientist, Amazon Connect</t>
        </is>
      </c>
      <c r="C32" t="inlineStr">
        <is>
          <t>Amazon Web Services</t>
        </is>
      </c>
      <c r="D32" t="inlineStr">
        <is>
          <t>indeed</t>
        </is>
      </c>
      <c r="E32" t="inlineStr"/>
      <c r="F32" t="inlineStr"/>
      <c r="G32" t="inlineStr">
        <is>
          <t>Seattle, WA, US</t>
        </is>
      </c>
      <c r="H32" s="2" t="n">
        <v>46047</v>
      </c>
      <c r="I32"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II will contribute to the development of AI systems. The role requires extending existing scientific techniques and inventing new ones to address specific customer needs at a project level.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at the project level
* Deliver components into production that meet high quality standards (efficient, reproducible, testable code)
* Produce research reports demonstrating correctness, scholarship, and scientific rigor
* Work with product and science teams to deliver impactful AI features
* Contribute to operational excellence in the team's deliverables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or Master's degree and 4\+ years of CS, CE, ML or related field experience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with large scale machine learning systems such as profiling and debugging and understanding of system performance and scalability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33">
      <c r="A33" t="inlineStr">
        <is>
          <t>in-f22f56165c6c36f4</t>
        </is>
      </c>
      <c r="B33" t="inlineStr">
        <is>
          <t>Sr. Applied Scientist, Amazon Connect</t>
        </is>
      </c>
      <c r="C33" t="inlineStr">
        <is>
          <t>Amazon Web Services</t>
        </is>
      </c>
      <c r="D33" t="inlineStr">
        <is>
          <t>indeed</t>
        </is>
      </c>
      <c r="E33" t="inlineStr"/>
      <c r="F33" t="inlineStr"/>
      <c r="G33" t="inlineStr">
        <is>
          <t>Seattle, WA, US</t>
        </is>
      </c>
      <c r="H33" s="2" t="n">
        <v>46047</v>
      </c>
      <c r="I33"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Senior Applied Scientist will lead the scientific agenda for AI systems at the product level. The role requires identifying and solving ill\-defined problems where no textbook solutions exist, balancing rapid innovation with reliability and compliance. You should be comfortable making decisions with incomplete information and driving solutions in ambiguous problem spaces. You'll work closely with senior technical leaders within the team and across AWS, influencing across multiple teams. We're looking for scientists who can maintain high standards while moving quickly, prioritizing both rapid experimentation and responsible AI development to deliver measurable customer impact.  
Key job responsibilities  
* Lead the design, implementation, and delivery of scientifically\-complex production solutions that address medium\-to\-large business problems
* Drive your team's scientific agenda and propose new initiatives aligned with customer needs and business problems
* Invent new methodologies or paradigms when existing approaches are insufficient
* Influence across multiple teams to build consensus on technical direction and scientific approaches
* Deliver significant portions of critical\-path code that meets high quality standards (efficient, reproducible, testable, maintainable)
* Actively mentor and develop other scientists, fostering a culture of scientific excellence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in engineering, technology, computer science, machine learning, robotics, operations research, statistics, mathematics or equivalent quantitative field
* 5\+ years of building machine learning models or developing algorithms for business application experience
* Experience programming in Java, C\+\+, Python or related language
* Experience in patents or publications at top\-tier peer\-reviewed conferences or journals
* Experience collaborating and influencing multiple teams across multiple organizations
* Experience leading, mentoring and growing teams of scientists (teams of five or more scientists)
**PREFERRED QUALIFICATIONS**
----------------------------
* Experience with modeling tools such as R, scikit\-learn, Spark MLLib, MxNet, Tensorflow, numpy, scipy etc.
* Experience with large scale distributed systems such as Hadoop, Spark etc.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34">
      <c r="A34" t="inlineStr">
        <is>
          <t>in-dff8057871861b0a</t>
        </is>
      </c>
      <c r="B34" t="inlineStr">
        <is>
          <t>Applied Scientist, Safety ML</t>
        </is>
      </c>
      <c r="C34" t="inlineStr">
        <is>
          <t>Amazon.com</t>
        </is>
      </c>
      <c r="D34" t="inlineStr">
        <is>
          <t>indeed</t>
        </is>
      </c>
      <c r="E34" t="inlineStr"/>
      <c r="F34" t="inlineStr"/>
      <c r="G34" t="inlineStr">
        <is>
          <t>Seattle, WA, US</t>
        </is>
      </c>
      <c r="H34" s="2" t="n">
        <v>46037</v>
      </c>
      <c r="I3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35">
      <c r="A35" t="inlineStr">
        <is>
          <t>in-15d8e7e760261a6f</t>
        </is>
      </c>
      <c r="B35" t="inlineStr">
        <is>
          <t>Applied Scientist, Safety ML</t>
        </is>
      </c>
      <c r="C35" t="inlineStr">
        <is>
          <t>Amazon.com</t>
        </is>
      </c>
      <c r="D35" t="inlineStr">
        <is>
          <t>indeed</t>
        </is>
      </c>
      <c r="E35" t="inlineStr"/>
      <c r="F35" t="inlineStr"/>
      <c r="G35" t="inlineStr">
        <is>
          <t>San Francisco, CA, US</t>
        </is>
      </c>
      <c r="H35" s="2" t="n">
        <v>46037</v>
      </c>
      <c r="I3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36">
      <c r="A36" t="inlineStr">
        <is>
          <t>in-251d9b2c6795683f</t>
        </is>
      </c>
      <c r="B36" t="inlineStr">
        <is>
          <t>Applied Scientist, LLM Code Agents, Kiro Science</t>
        </is>
      </c>
      <c r="C36" t="inlineStr">
        <is>
          <t>Amazon.com</t>
        </is>
      </c>
      <c r="D36" t="inlineStr">
        <is>
          <t>indeed</t>
        </is>
      </c>
      <c r="E36" t="inlineStr"/>
      <c r="F36" t="inlineStr"/>
      <c r="G36" t="inlineStr">
        <is>
          <t>Seattle, WA, US</t>
        </is>
      </c>
      <c r="H36" s="2" t="n">
        <v>46035</v>
      </c>
      <c r="I36"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37">
      <c r="A37" t="inlineStr">
        <is>
          <t>in-d250b2ae73cc158d</t>
        </is>
      </c>
      <c r="B37" t="inlineStr">
        <is>
          <t>Applied Scientist, LLM Code Agents, Kiro Science</t>
        </is>
      </c>
      <c r="C37" t="inlineStr">
        <is>
          <t>Amazon.com</t>
        </is>
      </c>
      <c r="D37" t="inlineStr">
        <is>
          <t>indeed</t>
        </is>
      </c>
      <c r="E37" t="inlineStr"/>
      <c r="F37" t="inlineStr"/>
      <c r="G37" t="inlineStr">
        <is>
          <t>Santa Clara, CA, US</t>
        </is>
      </c>
      <c r="H37" s="2" t="n">
        <v>46035</v>
      </c>
      <c r="I37"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38">
      <c r="A38" t="inlineStr">
        <is>
          <t>in-f6f8edaffb8206d9</t>
        </is>
      </c>
      <c r="B38" t="inlineStr">
        <is>
          <t>Senior Data Scientist, Amazon Stores Finance Science, Amazon Stores Finance Science</t>
        </is>
      </c>
      <c r="C38" t="inlineStr">
        <is>
          <t>Amazon.com</t>
        </is>
      </c>
      <c r="D38" t="inlineStr">
        <is>
          <t>indeed</t>
        </is>
      </c>
      <c r="E38" t="inlineStr"/>
      <c r="F38" t="inlineStr"/>
      <c r="G38" t="inlineStr">
        <is>
          <t>Bellevue, WA, US</t>
        </is>
      </c>
      <c r="H38" s="2" t="n">
        <v>46034</v>
      </c>
      <c r="I38" t="inlineStr">
        <is>
          <t>**DESCRIPTION**
---------------
WW Amazon Stores Finance Science (ASFS) works to leverage science and economics to drive improved financial results, foster data backed decisions, and embed science within Finance. ASFS is focused on developing products that empower controllership, improve business decisions and financial planning by understanding financial drivers, and innovate science capabilities for efficiency and scale.  
We are looking for a data scientist to lead high visibility initiatives for forecasting Amazon Stores' financials. You will develop new science\-based forecasting methodologies and build scalable models to improve financial decision making and planning for senior leadership up to VP and SVP level. You will build new ML and statistical models from the ground up that aim to transform financial planning for Amazon Stores.  
We prize creative problem solvers with the ability to draw on an expansive methodological toolkit to transform financial decision\-making with science. The ideal candidate combines data\-science acumen with strong business judgment. You have versatile modeling skills and are comfortable owning and extracting insights from data. You are excited to learn from and alongside seasoned scientists, engineers, and business leaders. You are an excellent communicator and effectively translate technical findings into business action.  
Key job responsibilities  
Demonstrating thorough technical knowledge, effective exploratory data analysis, and model building using industry standard ML models  
Working with technical and non\-technical stakeholders across every step of science project life cycle  
Collaborating with finance, product, data engineering, and software engineering teams to create production implementations for large\-scale ML models  
Innovating by adapting new modeling techniques and procedures  
Presenting research results to our internal research community
**BASIC QUALIFICATIONS**
------------------------
* 5\+ years of data querying languages (e.g. SQL), scripting languages (e.g. Python) or statistical/mathematical software (e.g. R, SAS, Matlab, etc.) experience
* 4\+ years of data scientist experience
* Experience with statistical models e.g. multinomial logistic regression
* Bachelor's degree in a quantitative field such as statistics, mathematics, data science, business analytics, economics, finance, engineering, or computer science
* Experience managing data pipelines
**PREFERRED QUALIFICATIONS**
----------------------------
* Experience as a leader and mentor on a data science team
* Knowledge of AWS tech stack (e.g., AWS Redshift, S3, EC2, Glue)
* Master's degree
* Experience in forecasting analyses
* Experience working with Data \&amp; AI related technologies, including, but not limited to, AI/ML, GenAI, Analytics, Database, and/or Storage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\- 183,000\.00 \- 247,600\.00 USD annually  
USA, WA, Bellevue \- 159,200\.00 \- 215,300\.00 USD annually  
USA, WA, Seattle \- 159,200\.00 \- 215,300\.00 USD annually</t>
        </is>
      </c>
    </row>
    <row r="39">
      <c r="A39" t="inlineStr">
        <is>
          <t>in-1c5420992e89e9be</t>
        </is>
      </c>
      <c r="B39" t="inlineStr">
        <is>
          <t>Senior Data Scientist, Amazon Stores Finance Science, Amazon Stores Finance Science</t>
        </is>
      </c>
      <c r="C39" t="inlineStr">
        <is>
          <t>Amazon.com</t>
        </is>
      </c>
      <c r="D39" t="inlineStr">
        <is>
          <t>indeed</t>
        </is>
      </c>
      <c r="E39" t="inlineStr"/>
      <c r="F39" t="inlineStr"/>
      <c r="G39" t="inlineStr">
        <is>
          <t>Seattle, WA, US</t>
        </is>
      </c>
      <c r="H39" s="2" t="n">
        <v>46034</v>
      </c>
      <c r="I39" t="inlineStr">
        <is>
          <t>**DESCRIPTION**
---------------
WW Amazon Stores Finance Science (ASFS) works to leverage science and economics to drive improved financial results, foster data backed decisions, and embed science within Finance. ASFS is focused on developing products that empower controllership, improve business decisions and financial planning by understanding financial drivers, and innovate science capabilities for efficiency and scale.  
We are looking for a data scientist to lead high visibility initiatives for forecasting Amazon Stores' financials. You will develop new science\-based forecasting methodologies and build scalable models to improve financial decision making and planning for senior leadership up to VP and SVP level. You will build new ML and statistical models from the ground up that aim to transform financial planning for Amazon Stores.  
We prize creative problem solvers with the ability to draw on an expansive methodological toolkit to transform financial decision\-making with science. The ideal candidate combines data\-science acumen with strong business judgment. You have versatile modeling skills and are comfortable owning and extracting insights from data. You are excited to learn from and alongside seasoned scientists, engineers, and business leaders. You are an excellent communicator and effectively translate technical findings into business action.  
Key job responsibilities  
Demonstrating thorough technical knowledge, effective exploratory data analysis, and model building using industry standard ML models  
Working with technical and non\-technical stakeholders across every step of science project life cycle  
Collaborating with finance, product, data engineering, and software engineering teams to create production implementations for large\-scale ML models  
Innovating by adapting new modeling techniques and procedures  
Presenting research results to our internal research community
**BASIC QUALIFICATIONS**
------------------------
* 5\+ years of data querying languages (e.g. SQL), scripting languages (e.g. Python) or statistical/mathematical software (e.g. R, SAS, Matlab, etc.) experience
* 4\+ years of data scientist experience
* Experience with statistical models e.g. multinomial logistic regression
* Bachelor's degree in a quantitative field such as statistics, mathematics, data science, business analytics, economics, finance, engineering, or computer science
* Experience managing data pipelines
**PREFERRED QUALIFICATIONS**
----------------------------
* Experience as a leader and mentor on a data science team
* Knowledge of AWS tech stack (e.g., AWS Redshift, S3, EC2, Glue)
* Master's degree
* Experience in forecasting analyses
* Experience working with Data \&amp; AI related technologies, including, but not limited to, AI/ML, GenAI, Analytics, Database, and/or Storage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\- 183,000\.00 \- 247,600\.00 USD annually  
USA, WA, Bellevue \- 159,200\.00 \- 215,300\.00 USD annually  
USA, WA, Seattle \- 159,200\.00 \- 215,300\.00 USD annually</t>
        </is>
      </c>
    </row>
    <row r="40">
      <c r="A40" t="inlineStr">
        <is>
          <t>in-371385e848e637d5</t>
        </is>
      </c>
      <c r="B40" t="inlineStr">
        <is>
          <t>Senior Data Scientist, Amazon Stores Finance Science, Amazon Stores Finance Science</t>
        </is>
      </c>
      <c r="C40" t="inlineStr">
        <is>
          <t>Amazon.com</t>
        </is>
      </c>
      <c r="D40" t="inlineStr">
        <is>
          <t>indeed</t>
        </is>
      </c>
      <c r="E40" t="inlineStr"/>
      <c r="F40" t="inlineStr"/>
      <c r="G40" t="inlineStr">
        <is>
          <t>Sunnyvale, CA, US</t>
        </is>
      </c>
      <c r="H40" s="2" t="n">
        <v>46034</v>
      </c>
      <c r="I40" t="inlineStr">
        <is>
          <t>**DESCRIPTION**
---------------
WW Amazon Stores Finance Science (ASFS) works to leverage science and economics to drive improved financial results, foster data backed decisions, and embed science within Finance. ASFS is focused on developing products that empower controllership, improve business decisions and financial planning by understanding financial drivers, and innovate science capabilities for efficiency and scale.  
We are looking for a data scientist to lead high visibility initiatives for forecasting Amazon Stores' financials. You will develop new science\-based forecasting methodologies and build scalable models to improve financial decision making and planning for senior leadership up to VP and SVP level. You will build new ML and statistical models from the ground up that aim to transform financial planning for Amazon Stores.  
We prize creative problem solvers with the ability to draw on an expansive methodological toolkit to transform financial decision\-making with science. The ideal candidate combines data\-science acumen with strong business judgment. You have versatile modeling skills and are comfortable owning and extracting insights from data. You are excited to learn from and alongside seasoned scientists, engineers, and business leaders. You are an excellent communicator and effectively translate technical findings into business action.  
Key job responsibilities  
Demonstrating thorough technical knowledge, effective exploratory data analysis, and model building using industry standard ML models  
Working with technical and non\-technical stakeholders across every step of science project life cycle  
Collaborating with finance, product, data engineering, and software engineering teams to create production implementations for large\-scale ML models  
Innovating by adapting new modeling techniques and procedures  
Presenting research results to our internal research community
**BASIC QUALIFICATIONS**
------------------------
* 5\+ years of data querying languages (e.g. SQL), scripting languages (e.g. Python) or statistical/mathematical software (e.g. R, SAS, Matlab, etc.) experience
* 4\+ years of data scientist experience
* Experience with statistical models e.g. multinomial logistic regression
* Bachelor's degree in a quantitative field such as statistics, mathematics, data science, business analytics, economics, finance, engineering, or computer science
* Experience managing data pipelines
**PREFERRED QUALIFICATIONS**
----------------------------
* Experience as a leader and mentor on a data science team
* Knowledge of AWS tech stack (e.g., AWS Redshift, S3, EC2, Glue)
* Master's degree
* Experience in forecasting analyses
* Experience working with Data \&amp; AI related technologies, including, but not limited to, AI/ML, GenAI, Analytics, Database, and/or Storage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\- 183,000\.00 \- 247,600\.00 USD annually  
USA, WA, Bellevue \- 159,200\.00 \- 215,300\.00 USD annually  
USA, WA, Seattle \- 159,200\.00 \- 215,300\.00 USD annually</t>
        </is>
      </c>
    </row>
    <row r="41">
      <c r="A41" t="inlineStr">
        <is>
          <t>in-dc935499afbff801</t>
        </is>
      </c>
      <c r="B41" t="inlineStr">
        <is>
          <t>Applied Scientist II, Prime Video Personalization and Discovery Science</t>
        </is>
      </c>
      <c r="C41" t="inlineStr">
        <is>
          <t>Amazon.com</t>
        </is>
      </c>
      <c r="D41" t="inlineStr">
        <is>
          <t>indeed</t>
        </is>
      </c>
      <c r="E41" t="inlineStr"/>
      <c r="F41" t="inlineStr"/>
      <c r="G41" t="inlineStr">
        <is>
          <t>Sunnyvale, CA, US</t>
        </is>
      </c>
      <c r="H41" s="2" t="n">
        <v>46034</v>
      </c>
      <c r="I4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42">
      <c r="A42" t="inlineStr">
        <is>
          <t>in-526a828beab87685</t>
        </is>
      </c>
      <c r="B42" t="inlineStr">
        <is>
          <t>Applied Scientist II, Prime Video Personalization and Discovery Science</t>
        </is>
      </c>
      <c r="C42" t="inlineStr">
        <is>
          <t>Amazon.com</t>
        </is>
      </c>
      <c r="D42" t="inlineStr">
        <is>
          <t>indeed</t>
        </is>
      </c>
      <c r="E42" t="inlineStr"/>
      <c r="F42" t="inlineStr"/>
      <c r="G42" t="inlineStr">
        <is>
          <t>Seattle, WA, US</t>
        </is>
      </c>
      <c r="H42" s="2" t="n">
        <v>46034</v>
      </c>
      <c r="I4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43">
      <c r="A43" t="inlineStr">
        <is>
          <t>in-709093b5a51780a5</t>
        </is>
      </c>
      <c r="B43" t="inlineStr">
        <is>
          <t>Applied Scientist, Alexa Smart Home</t>
        </is>
      </c>
      <c r="C43" t="inlineStr">
        <is>
          <t>Amazon.com</t>
        </is>
      </c>
      <c r="D43" t="inlineStr">
        <is>
          <t>indeed</t>
        </is>
      </c>
      <c r="E43" t="inlineStr"/>
      <c r="F43" t="inlineStr"/>
      <c r="G43" t="inlineStr">
        <is>
          <t>Sunnyvale, CA, US</t>
        </is>
      </c>
      <c r="H43" s="2" t="n">
        <v>46033</v>
      </c>
      <c r="I43"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44">
      <c r="A44" t="inlineStr">
        <is>
          <t>in-cb79cfa551d5d9fa</t>
        </is>
      </c>
      <c r="B44" t="inlineStr">
        <is>
          <t>Applied Scientist, Alexa Smart Home</t>
        </is>
      </c>
      <c r="C44" t="inlineStr">
        <is>
          <t>Amazon.com</t>
        </is>
      </c>
      <c r="D44" t="inlineStr">
        <is>
          <t>indeed</t>
        </is>
      </c>
      <c r="E44" t="inlineStr"/>
      <c r="F44" t="inlineStr"/>
      <c r="G44" t="inlineStr">
        <is>
          <t>Seattle, WA, US</t>
        </is>
      </c>
      <c r="H44" s="2" t="n">
        <v>46033</v>
      </c>
      <c r="I44"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45">
      <c r="A45" t="inlineStr">
        <is>
          <t>in-ce9d774642899d53</t>
        </is>
      </c>
      <c r="B45" t="inlineStr">
        <is>
          <t>Sr Applied Scientist, AWS Proactive Security</t>
        </is>
      </c>
      <c r="C45" t="inlineStr">
        <is>
          <t>Amazon.com</t>
        </is>
      </c>
      <c r="D45" t="inlineStr">
        <is>
          <t>indeed</t>
        </is>
      </c>
      <c r="E45" t="inlineStr"/>
      <c r="F45" t="inlineStr"/>
      <c r="G45" t="inlineStr">
        <is>
          <t>Sunnyvale, CA, US</t>
        </is>
      </c>
      <c r="H45" s="2" t="n">
        <v>46030</v>
      </c>
      <c r="I45"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46">
      <c r="A46" t="inlineStr">
        <is>
          <t>in-767dd4758f2246cd</t>
        </is>
      </c>
      <c r="B46" t="inlineStr">
        <is>
          <t>Sr Applied Scientist, AWS Proactive Security</t>
        </is>
      </c>
      <c r="C46" t="inlineStr">
        <is>
          <t>Amazon.com</t>
        </is>
      </c>
      <c r="D46" t="inlineStr">
        <is>
          <t>indeed</t>
        </is>
      </c>
      <c r="E46" t="inlineStr"/>
      <c r="F46" t="inlineStr"/>
      <c r="G46" t="inlineStr">
        <is>
          <t>Herndon, VA, US</t>
        </is>
      </c>
      <c r="H46" s="2" t="n">
        <v>46030</v>
      </c>
      <c r="I46"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47">
      <c r="A47" t="inlineStr">
        <is>
          <t>in-7404a1343b0f6ed6</t>
        </is>
      </c>
      <c r="B47" t="inlineStr">
        <is>
          <t>Sr Applied Scientist, AWS Proactive Security</t>
        </is>
      </c>
      <c r="C47" t="inlineStr">
        <is>
          <t>Amazon.com</t>
        </is>
      </c>
      <c r="D47" t="inlineStr">
        <is>
          <t>indeed</t>
        </is>
      </c>
      <c r="E47" t="inlineStr"/>
      <c r="F47" t="inlineStr"/>
      <c r="G47" t="inlineStr">
        <is>
          <t>Arlington, VA, US</t>
        </is>
      </c>
      <c r="H47" s="2" t="n">
        <v>46030</v>
      </c>
      <c r="I47"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48">
      <c r="A48" t="inlineStr">
        <is>
          <t>in-179a1910fd4aa810</t>
        </is>
      </c>
      <c r="B48" t="inlineStr">
        <is>
          <t>Applied Scientist, AWS Applied AI Solutions</t>
        </is>
      </c>
      <c r="C48" t="inlineStr">
        <is>
          <t>Amazon Web Services</t>
        </is>
      </c>
      <c r="D48" t="inlineStr">
        <is>
          <t>indeed</t>
        </is>
      </c>
      <c r="E48" t="inlineStr"/>
      <c r="F48" t="inlineStr"/>
      <c r="G48" t="inlineStr">
        <is>
          <t>Seattle, WA, US</t>
        </is>
      </c>
      <c r="H48" s="2" t="n">
        <v>46030</v>
      </c>
      <c r="I48" t="inlineStr">
        <is>
          <t>**DESCRIPTION**
---------------
As part of the AWS Applied AI Solutions organization, we have a mission to build delightful AI solutions that improve human capabilities and business outcomes. We will accomplish this by accelerating our customers' businesses through delivery of intuitive and differentiated AI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will contribute to the development of Agentic AI solutions leveraging Gen AI. The role requires extending existing scientific techniques and inventing new ones to address specific customer needs.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 Deliver components into production that meet high quality standards (efficient, reproducible, testable code)
* Produce science outputs demonstrating correctness, scholarship, and scientific rigor
* Work with product, engineering, and science teams to deliver impactful AI features
* Contribute to operational excellence in the team's deliverables
About the team  
AWS Solutions  
As part of the AWS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49">
      <c r="A49" t="inlineStr">
        <is>
          <t>in-11cf6afee0dced50</t>
        </is>
      </c>
      <c r="B49" t="inlineStr">
        <is>
          <t>Applied Scientist, AWS Applied AI Solutions</t>
        </is>
      </c>
      <c r="C49" t="inlineStr">
        <is>
          <t>Amazon Web Services</t>
        </is>
      </c>
      <c r="D49" t="inlineStr">
        <is>
          <t>indeed</t>
        </is>
      </c>
      <c r="E49" t="inlineStr"/>
      <c r="F49" t="inlineStr"/>
      <c r="G49" t="inlineStr">
        <is>
          <t>New York, NY, US</t>
        </is>
      </c>
      <c r="H49" s="2" t="n">
        <v>46030</v>
      </c>
      <c r="I49" t="inlineStr">
        <is>
          <t>**DESCRIPTION**
---------------
As part of the AWS Applied AI Solutions organization, we have a mission to build delightful AI solutions that improve human capabilities and business outcomes. We will accomplish this by accelerating our customers' businesses through delivery of intuitive and differentiated AI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will contribute to the development of Agentic AI solutions leveraging Gen AI. The role requires extending existing scientific techniques and inventing new ones to address specific customer needs.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 Deliver components into production that meet high quality standards (efficient, reproducible, testable code)
* Produce science outputs demonstrating correctness, scholarship, and scientific rigor
* Work with product, engineering, and science teams to deliver impactful AI features
* Contribute to operational excellence in the team's deliverables
About the team  
AWS Solutions  
As part of the AWS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0">
      <c r="A50" t="inlineStr">
        <is>
          <t>in-d1f4ed16977b4721</t>
        </is>
      </c>
      <c r="B50" t="inlineStr">
        <is>
          <t>Applied Scientist, Last Mile Delivery Automation</t>
        </is>
      </c>
      <c r="C50" t="inlineStr">
        <is>
          <t>Amazon.com</t>
        </is>
      </c>
      <c r="D50" t="inlineStr">
        <is>
          <t>indeed</t>
        </is>
      </c>
      <c r="E50" t="inlineStr"/>
      <c r="F50" t="inlineStr"/>
      <c r="G50" t="inlineStr">
        <is>
          <t>Santa Clara, CA, US</t>
        </is>
      </c>
      <c r="H50" s="2" t="n">
        <v>46026</v>
      </c>
      <c r="I50" t="inlineStr">
        <is>
          <t>**DESCRIPTION**
---------------
As an Applied Scientist for Last Mile Delivery Automation, you will be at the forefront of developing AI and ML solutions that power our delivery solutions. This role combines deep expertise in machine learning, computer vision, and robotics to solve complex challenges in real\-world perception, navigation, and path planning. You will work closely with applied scientists, software developers, and product teams to research, design, and implement sophisticated algorithms that enable safe and efficient operations. This position requires a unique blend of theoretical knowledge and practical implementation skills, with a focus on transforming research concepts into production\-ready solutions that can operate reliably in diverse real\-world environments.  
Key job responsibilities  
* Design and develop advanced machine learning models and algorithms for perception, navigation and planning.
* Lead research initiatives in areas such as computer vision, sensor fusion, behavioral prediction, and path planning
* Transform research concepts into production\-ready solutions that meet strict safety and performance requirements
* Develop novel approaches to solve complex technical challenges in perception, navigation and planning
* Create and implement metrics and evaluation frameworks to measure model performance
* Collaborate with engineering teams to integrate ML solutions into production stack
* Publish research findings and represent Amazon at technical conferences
About the team  
The Applied Science team within Amazon's Last Mile Delivery Automation organization focuses on developing machine learning solutions for autonomous systems. We work at the intersection of computer vision, deep learning, robotics, and control systems to create robust and scalable algorithms that enable safe autonomous operation. Our team combines expertise from diverse scientific backgrounds to tackle fundamental challenges in perception, prediction, and decision\-making.
**BASIC QUALIFICATIONS**
------------------------
* 3\+ years of building models for business application experience
* PhD, or Master's degree and 4\+ years of CS, CE, ML or related field experience
* Experience in patents or publications at top\-tier peer\-reviewed conferences or journals
* Experience in building machine learning models for business application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1">
      <c r="A51" t="inlineStr">
        <is>
          <t>in-ff986194756f07ae</t>
        </is>
      </c>
      <c r="B51" t="inlineStr">
        <is>
          <t>Applied Scientist, Last Mile Delivery Automation</t>
        </is>
      </c>
      <c r="C51" t="inlineStr">
        <is>
          <t>Amazon.com</t>
        </is>
      </c>
      <c r="D51" t="inlineStr">
        <is>
          <t>indeed</t>
        </is>
      </c>
      <c r="E51" t="inlineStr"/>
      <c r="F51" t="inlineStr"/>
      <c r="G51" t="inlineStr">
        <is>
          <t>Bellevue, WA, US</t>
        </is>
      </c>
      <c r="H51" s="2" t="n">
        <v>46026</v>
      </c>
      <c r="I51" t="inlineStr">
        <is>
          <t>**DESCRIPTION**
---------------
As an Applied Scientist for Last Mile Delivery Automation, you will be at the forefront of developing AI and ML solutions that power our delivery solutions. This role combines deep expertise in machine learning, computer vision, and robotics to solve complex challenges in real\-world perception, navigation, and path planning. You will work closely with applied scientists, software developers, and product teams to research, design, and implement sophisticated algorithms that enable safe and efficient operations. This position requires a unique blend of theoretical knowledge and practical implementation skills, with a focus on transforming research concepts into production\-ready solutions that can operate reliably in diverse real\-world environments.  
Key job responsibilities  
* Design and develop advanced machine learning models and algorithms for perception, navigation and planning.
* Lead research initiatives in areas such as computer vision, sensor fusion, behavioral prediction, and path planning
* Transform research concepts into production\-ready solutions that meet strict safety and performance requirements
* Develop novel approaches to solve complex technical challenges in perception, navigation and planning
* Create and implement metrics and evaluation frameworks to measure model performance
* Collaborate with engineering teams to integrate ML solutions into production stack
* Publish research findings and represent Amazon at technical conferences
About the team  
The Applied Science team within Amazon's Last Mile Delivery Automation organization focuses on developing machine learning solutions for autonomous systems. We work at the intersection of computer vision, deep learning, robotics, and control systems to create robust and scalable algorithms that enable safe autonomous operation. Our team combines expertise from diverse scientific backgrounds to tackle fundamental challenges in perception, prediction, and decision\-making.
**BASIC QUALIFICATIONS**
------------------------
* 3\+ years of building models for business application experience
* PhD, or Master's degree and 4\+ years of CS, CE, ML or related field experience
* Experience in patents or publications at top\-tier peer\-reviewed conferences or journals
* Experience in building machine learning models for business application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2">
      <c r="A52" t="inlineStr">
        <is>
          <t>in-5d495cd818f20308</t>
        </is>
      </c>
      <c r="B52" t="inlineStr">
        <is>
          <t>Senior Applied Scientist, Sponsored Products and Brands, Off-Search</t>
        </is>
      </c>
      <c r="C52" t="inlineStr">
        <is>
          <t>Amazon.com</t>
        </is>
      </c>
      <c r="D52" t="inlineStr">
        <is>
          <t>indeed</t>
        </is>
      </c>
      <c r="E52" t="inlineStr"/>
      <c r="F52" t="inlineStr"/>
      <c r="G52" t="inlineStr">
        <is>
          <t>Palo Alto, CA, US</t>
        </is>
      </c>
      <c r="H52" s="2" t="n">
        <v>46017</v>
      </c>
      <c r="I52" t="inlineStr">
        <is>
          <t>**DESCRIPTION**
---------------
The Sponsored Products and Brands (SPB) team at Amazon Ads is transforming advertising through generative AI technologies. We help millions of customers discover products and engage with brands across Amazon.com and beyond. Our team combines human creativity with artificial intelligence to reinvent the entire advertising lifecycle—from ad creation and optimization to performance analysis and customer insights.  
We develop responsible AI technologies that balance advertiser needs, enhance shopping experiences, and strengthen the marketplace. Our team values innovation and tackles complex challenges that push the boundaries of what's possible with AI.  
Join us in shaping the future of advertising.  
Key job responsibilities  
This role will redesign how ads create personalized, relevant shopping experiences with customer value at the forefront. Key responsibilities include:  
* Design and develop solutions using GenAI, deep learning, multi\-objective optimization and/or reinforcement learning to transform ad retrieval, auctions, whole\-page relevance, and shopping experiences.
* Partner with scientists, engineers, and product managers to build scalable, production\-ready science solutions.
* Apply industry advances in GenAI, Large Language Models (LLMs), and related fields to create innovative prototypes and concepts.
* Improve the team's scientific and technical capabilities by implementing algorithms, methodologies, and infrastructure that enable rapid experimentation and scaling.
* Mentor junior scientists and engineers to build a high\-performing, collaborative team.
A day in the life  
As an Applied Scientist on the Sponsored Products and Brands Off\-Search team, you will contribute to the development in Generative AI (GenAI) and Large Language Models (LLMs) to revolutionize our advertising flow, backend optimization, and frontend shopping experiences. This is a rare opportunity to redefine how ads are retrieved, allocated, and/or experienced—elevating them into personalized, contextually aware, and inspiring components of the customer journey. You will have the opportunity to fundamentally transform areas such as ad retrieval, ad allocation, whole\-page relevance, and differentiated recommendations through the lens of GenAI. By building novel generative models grounded in both Amazon’s rich data and the world’s collective knowledge, your work will shape how customers engage with ads, discover products, and make purchasing decisions. If you are passionate about applying frontier AI to real\-world problems with massive scale and impact, this is your opportunity to define the next chapter of advertising science.  
About the team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value.**BASIC QUALIFICATIONS**
------------------------
* 3\+ years of building machine learning models for business application experience
* PhD, or Master's degree and 6\+ years of applied research experience
* Experience programming in Java, C\+\+, Python or related language
* Strong foundation in GenAI, large language models, machine learning, deep learning, probabilistic modeling, and/or optimization.
**PREFERRED QUALIFICATIONS**
----------------------------
* Demonstrated expertise in Generative AI technologies, including foundation models, LLMs, and model customization for specific business applications
* Hands\-on experience building ads ranking, retrieval, recommendation, or personalization systems that operate at web scale
* Technical proficiency in advanced AI approaches such as multi\-modal modeling, few\-shot learning, retrieval\-augmented generation (RAG), or reinforcement learning from human feedback (RLHF)
* Track record of designing and implementing online experimentation frameworks, including A/B testing methodologies and performance metrics for advertising or e\-commerce
* Proven ability to translate complex technical concepts into clear explanations for diverse audiences, from engineers to executives
* Deep knowledge of computational advertising fundamentals, including auction mechanisms, advertising economics, and advertiser success metrics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3">
      <c r="A53" t="inlineStr">
        <is>
          <t>in-e6aecd806d3049ed</t>
        </is>
      </c>
      <c r="B53" t="inlineStr">
        <is>
          <t>Senior Applied Scientist, Sponsored Products and Brands, Off-Search</t>
        </is>
      </c>
      <c r="C53" t="inlineStr">
        <is>
          <t>Amazon.com</t>
        </is>
      </c>
      <c r="D53" t="inlineStr">
        <is>
          <t>indeed</t>
        </is>
      </c>
      <c r="E53" t="inlineStr"/>
      <c r="F53" t="inlineStr"/>
      <c r="G53" t="inlineStr">
        <is>
          <t>New York, NY, US</t>
        </is>
      </c>
      <c r="H53" s="2" t="n">
        <v>46017</v>
      </c>
      <c r="I53" t="inlineStr">
        <is>
          <t>**DESCRIPTION**
---------------
The Sponsored Products and Brands (SPB) team at Amazon Ads is transforming advertising through generative AI technologies. We help millions of customers discover products and engage with brands across Amazon.com and beyond. Our team combines human creativity with artificial intelligence to reinvent the entire advertising lifecycle—from ad creation and optimization to performance analysis and customer insights.  
We develop responsible AI technologies that balance advertiser needs, enhance shopping experiences, and strengthen the marketplace. Our team values innovation and tackles complex challenges that push the boundaries of what's possible with AI.  
Join us in shaping the future of advertising.  
Key job responsibilities  
This role will redesign how ads create personalized, relevant shopping experiences with customer value at the forefront. Key responsibilities include:  
* Design and develop solutions using GenAI, deep learning, multi\-objective optimization and/or reinforcement learning to transform ad retrieval, auctions, whole\-page relevance, and shopping experiences.
* Partner with scientists, engineers, and product managers to build scalable, production\-ready science solutions.
* Apply industry advances in GenAI, Large Language Models (LLMs), and related fields to create innovative prototypes and concepts.
* Improve the team's scientific and technical capabilities by implementing algorithms, methodologies, and infrastructure that enable rapid experimentation and scaling.
* Mentor junior scientists and engineers to build a high\-performing, collaborative team.
A day in the life  
As an Applied Scientist on the Sponsored Products and Brands Off\-Search team, you will contribute to the development in Generative AI (GenAI) and Large Language Models (LLMs) to revolutionize our advertising flow, backend optimization, and frontend shopping experiences. This is a rare opportunity to redefine how ads are retrieved, allocated, and/or experienced—elevating them into personalized, contextually aware, and inspiring components of the customer journey. You will have the opportunity to fundamentally transform areas such as ad retrieval, ad allocation, whole\-page relevance, and differentiated recommendations through the lens of GenAI. By building novel generative models grounded in both Amazon’s rich data and the world’s collective knowledge, your work will shape how customers engage with ads, discover products, and make purchasing decisions. If you are passionate about applying frontier AI to real\-world problems with massive scale and impact, this is your opportunity to define the next chapter of advertising science.  
About the team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value.**BASIC QUALIFICATIONS**
------------------------
* 3\+ years of building machine learning models for business application experience
* PhD, or Master's degree and 6\+ years of applied research experience
* Experience programming in Java, C\+\+, Python or related language
* Strong foundation in GenAI, large language models, machine learning, deep learning, probabilistic modeling, and/or optimization.
**PREFERRED QUALIFICATIONS**
----------------------------
* Demonstrated expertise in Generative AI technologies, including foundation models, LLMs, and model customization for specific business applications
* Hands\-on experience building ads ranking, retrieval, recommendation, or personalization systems that operate at web scale
* Technical proficiency in advanced AI approaches such as multi\-modal modeling, few\-shot learning, retrieval\-augmented generation (RAG), or reinforcement learning from human feedback (RLHF)
* Track record of designing and implementing online experimentation frameworks, including A/B testing methodologies and performance metrics for advertising or e\-commerce
* Proven ability to translate complex technical concepts into clear explanations for diverse audiences, from engineers to executives
* Deep knowledge of computational advertising fundamentals, including auction mechanisms, advertising economics, and advertiser success metrics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4">
      <c r="A54" t="inlineStr">
        <is>
          <t>in-5acb16ee1a355a34</t>
        </is>
      </c>
      <c r="B54" t="inlineStr">
        <is>
          <t>Senior Applied Scientist, Sponsored Products and Brands, Off-Search</t>
        </is>
      </c>
      <c r="C54" t="inlineStr">
        <is>
          <t>Amazon.com</t>
        </is>
      </c>
      <c r="D54" t="inlineStr">
        <is>
          <t>indeed</t>
        </is>
      </c>
      <c r="E54" t="inlineStr"/>
      <c r="F54" t="inlineStr"/>
      <c r="G54" t="inlineStr">
        <is>
          <t>Seattle, WA, US</t>
        </is>
      </c>
      <c r="H54" s="2" t="n">
        <v>46017</v>
      </c>
      <c r="I54" t="inlineStr">
        <is>
          <t>**DESCRIPTION**
---------------
The Sponsored Products and Brands (SPB) team at Amazon Ads is transforming advertising through generative AI technologies. We help millions of customers discover products and engage with brands across Amazon.com and beyond. Our team combines human creativity with artificial intelligence to reinvent the entire advertising lifecycle—from ad creation and optimization to performance analysis and customer insights.  
We develop responsible AI technologies that balance advertiser needs, enhance shopping experiences, and strengthen the marketplace. Our team values innovation and tackles complex challenges that push the boundaries of what's possible with AI.  
Join us in shaping the future of advertising.  
Key job responsibilities  
This role will redesign how ads create personalized, relevant shopping experiences with customer value at the forefront. Key responsibilities include:  
* Design and develop solutions using GenAI, deep learning, multi\-objective optimization and/or reinforcement learning to transform ad retrieval, auctions, whole\-page relevance, and shopping experiences.
* Partner with scientists, engineers, and product managers to build scalable, production\-ready science solutions.
* Apply industry advances in GenAI, Large Language Models (LLMs), and related fields to create innovative prototypes and concepts.
* Improve the team's scientific and technical capabilities by implementing algorithms, methodologies, and infrastructure that enable rapid experimentation and scaling.
* Mentor junior scientists and engineers to build a high\-performing, collaborative team.
A day in the life  
As an Applied Scientist on the Sponsored Products and Brands Off\-Search team, you will contribute to the development in Generative AI (GenAI) and Large Language Models (LLMs) to revolutionize our advertising flow, backend optimization, and frontend shopping experiences. This is a rare opportunity to redefine how ads are retrieved, allocated, and/or experienced—elevating them into personalized, contextually aware, and inspiring components of the customer journey. You will have the opportunity to fundamentally transform areas such as ad retrieval, ad allocation, whole\-page relevance, and differentiated recommendations through the lens of GenAI. By building novel generative models grounded in both Amazon’s rich data and the world’s collective knowledge, your work will shape how customers engage with ads, discover products, and make purchasing decisions. If you are passionate about applying frontier AI to real\-world problems with massive scale and impact, this is your opportunity to define the next chapter of advertising science.  
About the team  
The Off\-Search team within Sponsored Products and Brands (SPB) is focused on building delightful ad experiences across various surfaces beyond Search on Amazon—such as product detail pages, the homepage, and store\-in\-store pages—to drive monetization. Our vision is to deliver highly personalized, context\-aware advertising that adapts to individual shopper preferences, scales across diverse page types, remains relevant to seasonal and event\-driven moments, and integrates seamlessly with organic recommendations such as new arrivals, basket\-building content, and fast\-delivery options. To execute this vision, we work in close partnership with Amazon Stores stakeholders to lead the expansion and growth of advertising across Amazon\-owned and \-operated pages beyond Search. We operate full stack—from backend ads\-retail edge services, ads retrieval, and ad auctions to shopper\-facing experiences—all designed to deliver meaningful value.**BASIC QUALIFICATIONS**
------------------------
* 3\+ years of building machine learning models for business application experience
* PhD, or Master's degree and 6\+ years of applied research experience
* Experience programming in Java, C\+\+, Python or related language
* Strong foundation in GenAI, large language models, machine learning, deep learning, probabilistic modeling, and/or optimization.
**PREFERRED QUALIFICATIONS**
----------------------------
* Demonstrated expertise in Generative AI technologies, including foundation models, LLMs, and model customization for specific business applications
* Hands\-on experience building ads ranking, retrieval, recommendation, or personalization systems that operate at web scale
* Technical proficiency in advanced AI approaches such as multi\-modal modeling, few\-shot learning, retrieval\-augmented generation (RAG), or reinforcement learning from human feedback (RLHF)
* Track record of designing and implementing online experimentation frameworks, including A/B testing methodologies and performance metrics for advertising or e\-commerce
* Proven ability to translate complex technical concepts into clear explanations for diverse audiences, from engineers to executives
* Deep knowledge of computational advertising fundamentals, including auction mechanisms, advertising economics, and advertiser success metrics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5">
      <c r="A55" t="inlineStr">
        <is>
          <t>in-fd46d71563a57515</t>
        </is>
      </c>
      <c r="B55" t="inlineStr">
        <is>
          <t>Applied Scientist II, Prime Video - Personalization and Discovery Science</t>
        </is>
      </c>
      <c r="C55" t="inlineStr">
        <is>
          <t>Amazon.com</t>
        </is>
      </c>
      <c r="D55" t="inlineStr">
        <is>
          <t>indeed</t>
        </is>
      </c>
      <c r="E55" t="inlineStr"/>
      <c r="F55" t="inlineStr"/>
      <c r="G55" t="inlineStr">
        <is>
          <t>Sunnyvale, CA, US</t>
        </is>
      </c>
      <c r="H55" s="2" t="n">
        <v>46012</v>
      </c>
      <c r="I5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56">
      <c r="A56" t="inlineStr">
        <is>
          <t>in-9a52803b8ad99389</t>
        </is>
      </c>
      <c r="B56" t="inlineStr">
        <is>
          <t>Applied Scientist II, Prime Video - Personalization and Discovery Science</t>
        </is>
      </c>
      <c r="C56" t="inlineStr">
        <is>
          <t>Amazon.com</t>
        </is>
      </c>
      <c r="D56" t="inlineStr">
        <is>
          <t>indeed</t>
        </is>
      </c>
      <c r="E56" t="inlineStr"/>
      <c r="F56" t="inlineStr"/>
      <c r="G56" t="inlineStr">
        <is>
          <t>Seattle, WA, US</t>
        </is>
      </c>
      <c r="H56" s="2" t="n">
        <v>46012</v>
      </c>
      <c r="I5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57">
      <c r="A57" t="inlineStr">
        <is>
          <t>in-dd3ea918f2266382</t>
        </is>
      </c>
      <c r="B57" t="inlineStr">
        <is>
          <t>Principal Applied Scientist, Kiro Science</t>
        </is>
      </c>
      <c r="C57" t="inlineStr">
        <is>
          <t>Amazon Web Services</t>
        </is>
      </c>
      <c r="D57" t="inlineStr">
        <is>
          <t>indeed</t>
        </is>
      </c>
      <c r="E57" t="inlineStr"/>
      <c r="F57" t="inlineStr"/>
      <c r="G57" t="inlineStr">
        <is>
          <t>New York, NY, US</t>
        </is>
      </c>
      <c r="H57" s="2" t="n">
        <v>45999</v>
      </c>
      <c r="I57"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58">
      <c r="A58" t="inlineStr">
        <is>
          <t>in-c76bbad883bab510</t>
        </is>
      </c>
      <c r="B58" t="inlineStr">
        <is>
          <t>Principal Applied Scientist, Kiro Science</t>
        </is>
      </c>
      <c r="C58" t="inlineStr">
        <is>
          <t>Amazon Web Services</t>
        </is>
      </c>
      <c r="D58" t="inlineStr">
        <is>
          <t>indeed</t>
        </is>
      </c>
      <c r="E58" t="inlineStr"/>
      <c r="F58" t="inlineStr"/>
      <c r="G58" t="inlineStr">
        <is>
          <t>Santa Clara, CA, US</t>
        </is>
      </c>
      <c r="H58" s="2" t="n">
        <v>45999</v>
      </c>
      <c r="I58"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59">
      <c r="A59" t="inlineStr">
        <is>
          <t>in-4a807f4a7e043180</t>
        </is>
      </c>
      <c r="B59" t="inlineStr">
        <is>
          <t>Sr. Applied Scientist, Amazon Ads</t>
        </is>
      </c>
      <c r="C59" t="inlineStr">
        <is>
          <t>Amazon.com</t>
        </is>
      </c>
      <c r="D59" t="inlineStr">
        <is>
          <t>indeed</t>
        </is>
      </c>
      <c r="E59" t="inlineStr"/>
      <c r="F59" t="inlineStr"/>
      <c r="G59" t="inlineStr">
        <is>
          <t>Boulder, CO, US</t>
        </is>
      </c>
      <c r="H59" s="2" t="n">
        <v>45998</v>
      </c>
      <c r="I59"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0">
      <c r="A60" t="inlineStr">
        <is>
          <t>in-213da2bd35c8065b</t>
        </is>
      </c>
      <c r="B60" t="inlineStr">
        <is>
          <t>Sr. Applied Scientist, Amazon Ads</t>
        </is>
      </c>
      <c r="C60" t="inlineStr">
        <is>
          <t>Amazon.com</t>
        </is>
      </c>
      <c r="D60" t="inlineStr">
        <is>
          <t>indeed</t>
        </is>
      </c>
      <c r="E60" t="inlineStr"/>
      <c r="F60" t="inlineStr"/>
      <c r="G60" t="inlineStr">
        <is>
          <t>Palo Alto, CA, US</t>
        </is>
      </c>
      <c r="H60" s="2" t="n">
        <v>45998</v>
      </c>
      <c r="I60"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1">
      <c r="A61" t="inlineStr">
        <is>
          <t>in-aaf39ec9f2b87ee4</t>
        </is>
      </c>
      <c r="B61" t="inlineStr">
        <is>
          <t>Sr. Applied Scientist, Amazon Ads</t>
        </is>
      </c>
      <c r="C61" t="inlineStr">
        <is>
          <t>Amazon.com</t>
        </is>
      </c>
      <c r="D61" t="inlineStr">
        <is>
          <t>indeed</t>
        </is>
      </c>
      <c r="E61" t="inlineStr"/>
      <c r="F61" t="inlineStr"/>
      <c r="G61" t="inlineStr">
        <is>
          <t>Corvallis, OR, US</t>
        </is>
      </c>
      <c r="H61" s="2" t="n">
        <v>45998</v>
      </c>
      <c r="I61"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2">
      <c r="A62" t="inlineStr">
        <is>
          <t>in-86e7ddb081a38fe6</t>
        </is>
      </c>
      <c r="B62" t="inlineStr">
        <is>
          <t>Sr. Applied Scientist, Amazon Ads</t>
        </is>
      </c>
      <c r="C62" t="inlineStr">
        <is>
          <t>Amazon.com</t>
        </is>
      </c>
      <c r="D62" t="inlineStr">
        <is>
          <t>indeed</t>
        </is>
      </c>
      <c r="E62" t="inlineStr"/>
      <c r="F62" t="inlineStr"/>
      <c r="G62" t="inlineStr">
        <is>
          <t>Brooklyn, NY, US</t>
        </is>
      </c>
      <c r="H62" s="2" t="n">
        <v>45998</v>
      </c>
      <c r="I62"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3">
      <c r="A63" t="inlineStr">
        <is>
          <t>in-c5a69845cf3a3365</t>
        </is>
      </c>
      <c r="B63" t="inlineStr">
        <is>
          <t>Sr. Applied Scientist, Amazon Ads</t>
        </is>
      </c>
      <c r="C63" t="inlineStr">
        <is>
          <t>Amazon.com</t>
        </is>
      </c>
      <c r="D63" t="inlineStr">
        <is>
          <t>indeed</t>
        </is>
      </c>
      <c r="E63" t="inlineStr"/>
      <c r="F63" t="inlineStr"/>
      <c r="G63" t="inlineStr">
        <is>
          <t>Tukwila, WA, US</t>
        </is>
      </c>
      <c r="H63" s="2" t="n">
        <v>45998</v>
      </c>
      <c r="I63"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4">
      <c r="A64" t="inlineStr">
        <is>
          <t>in-4cab0862670dbcae</t>
        </is>
      </c>
      <c r="B64" t="inlineStr">
        <is>
          <t>Sr. Applied Scientist, Amazon Ads</t>
        </is>
      </c>
      <c r="C64" t="inlineStr">
        <is>
          <t>Amazon.com</t>
        </is>
      </c>
      <c r="D64" t="inlineStr">
        <is>
          <t>indeed</t>
        </is>
      </c>
      <c r="E64" t="inlineStr"/>
      <c r="F64" t="inlineStr"/>
      <c r="G64" t="inlineStr">
        <is>
          <t>New York, NY, US</t>
        </is>
      </c>
      <c r="H64" s="2" t="n">
        <v>45998</v>
      </c>
      <c r="I64"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5">
      <c r="A65" t="inlineStr">
        <is>
          <t>in-0c86fdc54489c5b0</t>
        </is>
      </c>
      <c r="B65" t="inlineStr">
        <is>
          <t>Sr. Applied Scientist, Amazon Ads</t>
        </is>
      </c>
      <c r="C65" t="inlineStr">
        <is>
          <t>Amazon.com</t>
        </is>
      </c>
      <c r="D65" t="inlineStr">
        <is>
          <t>indeed</t>
        </is>
      </c>
      <c r="E65" t="inlineStr"/>
      <c r="F65" t="inlineStr"/>
      <c r="G65" t="inlineStr">
        <is>
          <t>Sunnyvale, CA, US</t>
        </is>
      </c>
      <c r="H65" s="2" t="n">
        <v>45998</v>
      </c>
      <c r="I65"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6">
      <c r="A66" t="inlineStr">
        <is>
          <t>in-1ec9053dccf5cb8b</t>
        </is>
      </c>
      <c r="B66" t="inlineStr">
        <is>
          <t>Sr. Applied Scientist, Amazon Ads</t>
        </is>
      </c>
      <c r="C66" t="inlineStr">
        <is>
          <t>Amazon.com</t>
        </is>
      </c>
      <c r="D66" t="inlineStr">
        <is>
          <t>indeed</t>
        </is>
      </c>
      <c r="E66" t="inlineStr"/>
      <c r="F66" t="inlineStr"/>
      <c r="G66" t="inlineStr">
        <is>
          <t>Santa Monica, CA, US</t>
        </is>
      </c>
      <c r="H66" s="2" t="n">
        <v>45998</v>
      </c>
      <c r="I66"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7">
      <c r="A67" t="inlineStr">
        <is>
          <t>in-e29b6ab40073e5e9</t>
        </is>
      </c>
      <c r="B67" t="inlineStr">
        <is>
          <t>Sr. Applied Scientist, Amazon Ads</t>
        </is>
      </c>
      <c r="C67" t="inlineStr">
        <is>
          <t>Amazon.com</t>
        </is>
      </c>
      <c r="D67" t="inlineStr">
        <is>
          <t>indeed</t>
        </is>
      </c>
      <c r="E67" t="inlineStr"/>
      <c r="F67" t="inlineStr"/>
      <c r="G67" t="inlineStr">
        <is>
          <t>Boston, MA, US</t>
        </is>
      </c>
      <c r="H67" s="2" t="n">
        <v>45998</v>
      </c>
      <c r="I67"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8">
      <c r="A68" t="inlineStr">
        <is>
          <t>in-f3fa7ae58db73384</t>
        </is>
      </c>
      <c r="B68" t="inlineStr">
        <is>
          <t>Sr. Applied Scientist, Amazon Ads</t>
        </is>
      </c>
      <c r="C68" t="inlineStr">
        <is>
          <t>Amazon.com</t>
        </is>
      </c>
      <c r="D68" t="inlineStr">
        <is>
          <t>indeed</t>
        </is>
      </c>
      <c r="E68" t="inlineStr"/>
      <c r="F68" t="inlineStr"/>
      <c r="G68" t="inlineStr">
        <is>
          <t>Seattle, WA, US</t>
        </is>
      </c>
      <c r="H68" s="2" t="n">
        <v>45998</v>
      </c>
      <c r="I68"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9">
      <c r="A69" t="inlineStr">
        <is>
          <t>in-463fde4fce335e89</t>
        </is>
      </c>
      <c r="B69" t="inlineStr">
        <is>
          <t>Principal Applied Scientist, Sponsored Products and Brands</t>
        </is>
      </c>
      <c r="C69" t="inlineStr">
        <is>
          <t>Amazon.com</t>
        </is>
      </c>
      <c r="D69" t="inlineStr">
        <is>
          <t>indeed</t>
        </is>
      </c>
      <c r="E69" t="inlineStr"/>
      <c r="F69" t="inlineStr"/>
      <c r="G69" t="inlineStr">
        <is>
          <t>Seattle, WA, US</t>
        </is>
      </c>
      <c r="H69" s="2" t="n">
        <v>45979</v>
      </c>
      <c r="I69"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0">
      <c r="A70" t="inlineStr">
        <is>
          <t>in-46560e61294f68bf</t>
        </is>
      </c>
      <c r="B70" t="inlineStr">
        <is>
          <t>Principal Applied Scientist, Sponsored Products and Brands</t>
        </is>
      </c>
      <c r="C70" t="inlineStr">
        <is>
          <t>Amazon.com</t>
        </is>
      </c>
      <c r="D70" t="inlineStr">
        <is>
          <t>indeed</t>
        </is>
      </c>
      <c r="E70" t="inlineStr"/>
      <c r="F70" t="inlineStr"/>
      <c r="G70" t="inlineStr">
        <is>
          <t>New York, NY, US</t>
        </is>
      </c>
      <c r="H70" s="2" t="n">
        <v>45979</v>
      </c>
      <c r="I70"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1">
      <c r="A71" t="inlineStr">
        <is>
          <t>in-b161c1b62310cb04</t>
        </is>
      </c>
      <c r="B71" t="inlineStr">
        <is>
          <t>Applied Scientist, Personalization, DTx Science</t>
        </is>
      </c>
      <c r="C71" t="inlineStr">
        <is>
          <t>Amazon.com</t>
        </is>
      </c>
      <c r="D71" t="inlineStr">
        <is>
          <t>indeed</t>
        </is>
      </c>
      <c r="E71" t="inlineStr"/>
      <c r="F71" t="inlineStr"/>
      <c r="G71" t="inlineStr">
        <is>
          <t>Seattle, WA, US</t>
        </is>
      </c>
      <c r="H71" s="2" t="n">
        <v>45979</v>
      </c>
      <c r="I71" t="inlineStr">
        <is>
          <t>**DESCRIPTION**
---------------
Amazon Advertising is one of Amazon's fastest growing and most profitable businesses, responsible for defining and delivering a collection of advertising products that drive discovery and sales. Our products and solutions are strategically important to enable our Retail and Marketplace businesses to drive long\-term growth. We deliver billions of ad impressions and millions of clicks and break fresh ground in product and technical innovations every day!  
Our team owns personalization, guidance and experimentation science and is placed centrally in the organization which owns the Amazon Advertising Console from UX design to components and services. We leverage a breadth of state\-of\-the\-art techniques such as deep learning, reinforcement learning, LLMs, long term causal modeling as well as sophisticated A/B testing to develop personalized experiences with directly quantifiable business and advertiser success outcomes. We are looking for an accomplished machine learning expert to lead the Applied Science strategy for our recommendation creation and recommendation personalziation program.
In this role, you will work closely with business leaders, stakeholders and cross\-functional teams to drive program success through ML\-driven solutions. You will shape the applied science roadmap, promote a culture of data\-driven decision\-making, and deliver significant business impact for millions of advertisers worldwide and the company using advanced data techniques and applied science methodologies.  
Key job responsibilities  
As an Applied Scientist on this team, you will  
* Serve as the technical leader in Machine Learning, driving collaboration between scientists and engineers, guiding efforts within the team and collaborating with other teams.
* Conduct hands\-on analysis and modeling of large\-scale data to generate insights that boost ads revenue while maintaining a positive advertiser and shopper experience.
* Lead end\-to\-end Machine Learning projects that involve high levels of ambiguity, scale, and complexity.
* Build, experiment, optimize, and deploy machine learning models, collaborating with software engineers to bring your models into production.
* Run A/B experiments, gather data, and perform statistical analysis to validate your models.
* Develop scalable and automated processes for large\-scale data analysis, model development, validation, and serving.
* Explore and research innovative machine learning approaches to push the boundaries of what’s possible.
**BASIC QUALIFICATIONS**
------------------------
* 3\+ years of building models for business application experience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72">
      <c r="A72" t="inlineStr">
        <is>
          <t>in-1c8f19e1579b8b35</t>
        </is>
      </c>
      <c r="B72" t="inlineStr">
        <is>
          <t>Applied Scientist, Personalization, DTx Science</t>
        </is>
      </c>
      <c r="C72" t="inlineStr">
        <is>
          <t>Amazon.com</t>
        </is>
      </c>
      <c r="D72" t="inlineStr">
        <is>
          <t>indeed</t>
        </is>
      </c>
      <c r="E72" t="inlineStr"/>
      <c r="F72" t="inlineStr"/>
      <c r="G72" t="inlineStr">
        <is>
          <t>New York, NY, US</t>
        </is>
      </c>
      <c r="H72" s="2" t="n">
        <v>45979</v>
      </c>
      <c r="I72" t="inlineStr">
        <is>
          <t>**DESCRIPTION**
---------------
Amazon Advertising is one of Amazon's fastest growing and most profitable businesses, responsible for defining and delivering a collection of advertising products that drive discovery and sales. Our products and solutions are strategically important to enable our Retail and Marketplace businesses to drive long\-term growth. We deliver billions of ad impressions and millions of clicks and break fresh ground in product and technical innovations every day!  
Our team owns personalization, guidance and experimentation science and is placed centrally in the organization which owns the Amazon Advertising Console from UX design to components and services. We leverage a breadth of state\-of\-the\-art techniques such as deep learning, reinforcement learning, LLMs, long term causal modeling as well as sophisticated A/B testing to develop personalized experiences with directly quantifiable business and advertiser success outcomes. We are looking for an accomplished machine learning expert to lead the Applied Science strategy for our recommendation creation and recommendation personalziation program.
In this role, you will work closely with business leaders, stakeholders and cross\-functional teams to drive program success through ML\-driven solutions. You will shape the applied science roadmap, promote a culture of data\-driven decision\-making, and deliver significant business impact for millions of advertisers worldwide and the company using advanced data techniques and applied science methodologies.  
Key job responsibilities  
As an Applied Scientist on this team, you will  
* Serve as the technical leader in Machine Learning, driving collaboration between scientists and engineers, guiding efforts within the team and collaborating with other teams.
* Conduct hands\-on analysis and modeling of large\-scale data to generate insights that boost ads revenue while maintaining a positive advertiser and shopper experience.
* Lead end\-to\-end Machine Learning projects that involve high levels of ambiguity, scale, and complexity.
* Build, experiment, optimize, and deploy machine learning models, collaborating with software engineers to bring your models into production.
* Run A/B experiments, gather data, and perform statistical analysis to validate your models.
* Develop scalable and automated processes for large\-scale data analysis, model development, validation, and serving.
* Explore and research innovative machine learning approaches to push the boundaries of what’s possible.
**BASIC QUALIFICATIONS**
------------------------
* 3\+ years of building models for business application experience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73">
      <c r="A73" t="inlineStr">
        <is>
          <t>in-4834fe2ad7f488d2</t>
        </is>
      </c>
      <c r="B73" t="inlineStr">
        <is>
          <t>Senior Applied Scientist, Sponsored Products and Brands</t>
        </is>
      </c>
      <c r="C73" t="inlineStr">
        <is>
          <t>Amazon.com</t>
        </is>
      </c>
      <c r="D73" t="inlineStr">
        <is>
          <t>indeed</t>
        </is>
      </c>
      <c r="E73" t="inlineStr"/>
      <c r="F73" t="inlineStr"/>
      <c r="G73" t="inlineStr">
        <is>
          <t>New York, NY, US</t>
        </is>
      </c>
      <c r="H73" s="2" t="n">
        <v>45979</v>
      </c>
      <c r="I73"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74">
      <c r="A74" t="inlineStr">
        <is>
          <t>in-e6443f2a7c6c7589</t>
        </is>
      </c>
      <c r="B74" t="inlineStr">
        <is>
          <t>Senior Applied Scientist, Sponsored Products and Brands</t>
        </is>
      </c>
      <c r="C74" t="inlineStr">
        <is>
          <t>Amazon.com</t>
        </is>
      </c>
      <c r="D74" t="inlineStr">
        <is>
          <t>indeed</t>
        </is>
      </c>
      <c r="E74" t="inlineStr"/>
      <c r="F74" t="inlineStr"/>
      <c r="G74" t="inlineStr">
        <is>
          <t>Seattle, WA, US</t>
        </is>
      </c>
      <c r="H74" s="2" t="n">
        <v>45979</v>
      </c>
      <c r="I74"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75">
      <c r="A75" t="inlineStr">
        <is>
          <t>in-ab23c7342c320f63</t>
        </is>
      </c>
      <c r="B75" t="inlineStr">
        <is>
          <t>Applied Scientist II, Prime Video Personalization and Discovery Science</t>
        </is>
      </c>
      <c r="C75" t="inlineStr">
        <is>
          <t>Amazon.com</t>
        </is>
      </c>
      <c r="D75" t="inlineStr">
        <is>
          <t>indeed</t>
        </is>
      </c>
      <c r="E75" t="inlineStr"/>
      <c r="F75" t="inlineStr"/>
      <c r="G75" t="inlineStr">
        <is>
          <t>New York, NY, US</t>
        </is>
      </c>
      <c r="H75" s="2" t="n">
        <v>45978</v>
      </c>
      <c r="I7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76">
      <c r="A76" t="inlineStr">
        <is>
          <t>in-132edf8b7760b24c</t>
        </is>
      </c>
      <c r="B76" t="inlineStr">
        <is>
          <t>Applied Scientist II, Prime Video Personalization and Discovery Science</t>
        </is>
      </c>
      <c r="C76" t="inlineStr">
        <is>
          <t>Amazon.com</t>
        </is>
      </c>
      <c r="D76" t="inlineStr">
        <is>
          <t>indeed</t>
        </is>
      </c>
      <c r="E76" t="inlineStr"/>
      <c r="F76" t="inlineStr"/>
      <c r="G76" t="inlineStr">
        <is>
          <t>Seattle, WA, US</t>
        </is>
      </c>
      <c r="H76" s="2" t="n">
        <v>45978</v>
      </c>
      <c r="I7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77">
      <c r="A77" t="inlineStr">
        <is>
          <t>in-735f4e72f8d8f016</t>
        </is>
      </c>
      <c r="B77" t="inlineStr">
        <is>
          <t>Applied Scientist II, Prime Video Personalization and Discovery Science</t>
        </is>
      </c>
      <c r="C77" t="inlineStr">
        <is>
          <t>Amazon.com</t>
        </is>
      </c>
      <c r="D77" t="inlineStr">
        <is>
          <t>indeed</t>
        </is>
      </c>
      <c r="E77" t="inlineStr"/>
      <c r="F77" t="inlineStr"/>
      <c r="G77" t="inlineStr">
        <is>
          <t>Sunnyvale, CA, US</t>
        </is>
      </c>
      <c r="H77" s="2" t="n">
        <v>45978</v>
      </c>
      <c r="I7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78">
      <c r="A78" t="inlineStr">
        <is>
          <t>in-412f7c630e14ece4</t>
        </is>
      </c>
      <c r="B78" t="inlineStr">
        <is>
          <t>Sr. Applied Scientist, Sponsored Products</t>
        </is>
      </c>
      <c r="C78" t="inlineStr">
        <is>
          <t>Amazon.com</t>
        </is>
      </c>
      <c r="D78" t="inlineStr">
        <is>
          <t>indeed</t>
        </is>
      </c>
      <c r="E78" t="inlineStr"/>
      <c r="F78" t="inlineStr"/>
      <c r="G78" t="inlineStr">
        <is>
          <t>Arlington, VA, US</t>
        </is>
      </c>
      <c r="H78" s="2" t="n">
        <v>45976</v>
      </c>
      <c r="I78"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79">
      <c r="A79" t="inlineStr">
        <is>
          <t>in-6b5fd1b428eedb10</t>
        </is>
      </c>
      <c r="B79" t="inlineStr">
        <is>
          <t>Sr. Applied Scientist, Sponsored Products</t>
        </is>
      </c>
      <c r="C79" t="inlineStr">
        <is>
          <t>Amazon.com</t>
        </is>
      </c>
      <c r="D79" t="inlineStr">
        <is>
          <t>indeed</t>
        </is>
      </c>
      <c r="E79" t="inlineStr"/>
      <c r="F79" t="inlineStr"/>
      <c r="G79" t="inlineStr">
        <is>
          <t>New York, NY, US</t>
        </is>
      </c>
      <c r="H79" s="2" t="n">
        <v>45976</v>
      </c>
      <c r="I79"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80">
      <c r="A80" t="inlineStr">
        <is>
          <t>in-c34fc1964d4a35c9</t>
        </is>
      </c>
      <c r="B80" t="inlineStr">
        <is>
          <t>Sr. Applied Scientist, Sponsored Products</t>
        </is>
      </c>
      <c r="C80" t="inlineStr">
        <is>
          <t>Amazon.com</t>
        </is>
      </c>
      <c r="D80" t="inlineStr">
        <is>
          <t>indeed</t>
        </is>
      </c>
      <c r="E80" t="inlineStr"/>
      <c r="F80" t="inlineStr"/>
      <c r="G80" t="inlineStr">
        <is>
          <t>Seattle, WA, US</t>
        </is>
      </c>
      <c r="H80" s="2" t="n">
        <v>45976</v>
      </c>
      <c r="I80"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81">
      <c r="A81" t="inlineStr">
        <is>
          <t>in-e215adc7dd15426c</t>
        </is>
      </c>
      <c r="B81" t="inlineStr">
        <is>
          <t>Applied Scientist, AWS Agentic AI</t>
        </is>
      </c>
      <c r="C81" t="inlineStr">
        <is>
          <t>Amazon Web Services</t>
        </is>
      </c>
      <c r="D81" t="inlineStr">
        <is>
          <t>indeed</t>
        </is>
      </c>
      <c r="E81" t="inlineStr"/>
      <c r="F81" t="inlineStr"/>
      <c r="G81" t="inlineStr">
        <is>
          <t>New York, NY, US</t>
        </is>
      </c>
      <c r="H81" s="2" t="n">
        <v>45962</v>
      </c>
      <c r="I81"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2">
      <c r="A82" t="inlineStr">
        <is>
          <t>in-ebada4f631630cf7</t>
        </is>
      </c>
      <c r="B82" t="inlineStr">
        <is>
          <t>Applied Scientist, AWS Agentic AI</t>
        </is>
      </c>
      <c r="C82" t="inlineStr">
        <is>
          <t>Amazon Web Services</t>
        </is>
      </c>
      <c r="D82" t="inlineStr">
        <is>
          <t>indeed</t>
        </is>
      </c>
      <c r="E82" t="inlineStr"/>
      <c r="F82" t="inlineStr"/>
      <c r="G82" t="inlineStr">
        <is>
          <t>Seattle, WA, US</t>
        </is>
      </c>
      <c r="H82" s="2" t="n">
        <v>45962</v>
      </c>
      <c r="I82"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3">
      <c r="A83" t="inlineStr">
        <is>
          <t>in-34ecc2e0ffec7186</t>
        </is>
      </c>
      <c r="B83" t="inlineStr">
        <is>
          <t>Applied Scientist, AWS Agentic AI</t>
        </is>
      </c>
      <c r="C83" t="inlineStr">
        <is>
          <t>Amazon Web Services</t>
        </is>
      </c>
      <c r="D83" t="inlineStr">
        <is>
          <t>indeed</t>
        </is>
      </c>
      <c r="E83" t="inlineStr"/>
      <c r="F83" t="inlineStr"/>
      <c r="G83" t="inlineStr">
        <is>
          <t>Santa Clara, CA, US</t>
        </is>
      </c>
      <c r="H83" s="2" t="n">
        <v>45962</v>
      </c>
      <c r="I83"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4">
      <c r="A84" t="inlineStr">
        <is>
          <t>in-adb921faeb6c7991</t>
        </is>
      </c>
      <c r="B84" t="inlineStr">
        <is>
          <t>Applied Scientist, AI Automation, Prime Video</t>
        </is>
      </c>
      <c r="C84" t="inlineStr">
        <is>
          <t>Amazon.com</t>
        </is>
      </c>
      <c r="D84" t="inlineStr">
        <is>
          <t>indeed</t>
        </is>
      </c>
      <c r="E84" t="inlineStr"/>
      <c r="F84" t="inlineStr"/>
      <c r="G84" t="inlineStr">
        <is>
          <t>Culver City, CA, US</t>
        </is>
      </c>
      <c r="H84" s="2" t="n">
        <v>45949</v>
      </c>
      <c r="I8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forming a new organization within Prime Video to redefine our operational landscape through the power of artificial intelligence. As a Applied Scientist within this initiative, you will be a technical leader helping to design and build the intelligent systems that power our vision. You will tackle complex and ambiguous problems, designing and delivering scalable and resilient agentic AI and ML solutions from the ground up. You will not only write high\-quality, maintainable software and models, but also mentor other scientists, influence our technical strategy, and drive engineering best practices across the team. Your work will directly contribute to making Prime Video's operations more efficient and will set the technical foundation for years to come.  
Key job responsibilities  
* Lead the design and architecture of highly scalable, available, and resilient services for our AI automation platform.
* Write high\-quality, maintainable, and robust code to solve complex business problems, building flexible systems without over\-engineering.
* Act as a technical leader and mentor for other engineers on the team, assisting with career growth and encouraging excellence.
* Work through ambiguous requirements, cut through complexity, and translate business needs into scalable technical solutions.
* Take ownership of the full software development lifecycle, including design, testing, deployment, and operations.
* Work closely with product managers, scientists, and other engineers to build and launch new features and systems.
About the team  
This role offers a unique opportunity to shape the future of one of Amazon's most exciting businesses through the application of AI technologies. If you're passionate about leveraging AI to drive real\-world impact at massive scale, we want to hear from you.**BASIC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5">
      <c r="A85" t="inlineStr">
        <is>
          <t>in-290ea9654d1d45c9</t>
        </is>
      </c>
      <c r="B85" t="inlineStr">
        <is>
          <t>Applied Scientist, AI Automation, Prime Video</t>
        </is>
      </c>
      <c r="C85" t="inlineStr">
        <is>
          <t>Amazon.com</t>
        </is>
      </c>
      <c r="D85" t="inlineStr">
        <is>
          <t>indeed</t>
        </is>
      </c>
      <c r="E85" t="inlineStr"/>
      <c r="F85" t="inlineStr"/>
      <c r="G85" t="inlineStr">
        <is>
          <t>Seattle, WA, US</t>
        </is>
      </c>
      <c r="H85" s="2" t="n">
        <v>45949</v>
      </c>
      <c r="I8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forming a new organization within Prime Video to redefine our operational landscape through the power of artificial intelligence. As a Applied Scientist within this initiative, you will be a technical leader helping to design and build the intelligent systems that power our vision. You will tackle complex and ambiguous problems, designing and delivering scalable and resilient agentic AI and ML solutions from the ground up. You will not only write high\-quality, maintainable software and models, but also mentor other scientists, influence our technical strategy, and drive engineering best practices across the team. Your work will directly contribute to making Prime Video's operations more efficient and will set the technical foundation for years to come.  
Key job responsibilities  
* Lead the design and architecture of highly scalable, available, and resilient services for our AI automation platform.
* Write high\-quality, maintainable, and robust code to solve complex business problems, building flexible systems without over\-engineering.
* Act as a technical leader and mentor for other engineers on the team, assisting with career growth and encouraging excellence.
* Work through ambiguous requirements, cut through complexity, and translate business needs into scalable technical solutions.
* Take ownership of the full software development lifecycle, including design, testing, deployment, and operations.
* Work closely with product managers, scientists, and other engineers to build and launch new features and systems.
About the team  
This role offers a unique opportunity to shape the future of one of Amazon's most exciting businesses through the application of AI technologies. If you're passionate about leveraging AI to drive real\-world impact at massive scale, we want to hear from you.**BASIC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6">
      <c r="A86" t="inlineStr">
        <is>
          <t>in-be1f8b36ab15230c</t>
        </is>
      </c>
      <c r="B86" t="inlineStr">
        <is>
          <t>Principal Applied Scientist, Advertiser Growth, Amazon Sponsored Products &amp; Brands</t>
        </is>
      </c>
      <c r="C86" t="inlineStr">
        <is>
          <t>Amazon.com</t>
        </is>
      </c>
      <c r="D86" t="inlineStr">
        <is>
          <t>indeed</t>
        </is>
      </c>
      <c r="E86" t="inlineStr"/>
      <c r="F86" t="inlineStr"/>
      <c r="G86" t="inlineStr">
        <is>
          <t>New York, NY, US</t>
        </is>
      </c>
      <c r="H86" s="2" t="n">
        <v>45942</v>
      </c>
      <c r="I86"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7">
      <c r="A87" t="inlineStr">
        <is>
          <t>in-b02b97a8468e2a37</t>
        </is>
      </c>
      <c r="B87" t="inlineStr">
        <is>
          <t>Principal Applied Scientist, Advertiser Growth, Amazon Sponsored Products &amp; Brands</t>
        </is>
      </c>
      <c r="C87" t="inlineStr">
        <is>
          <t>Amazon.com</t>
        </is>
      </c>
      <c r="D87" t="inlineStr">
        <is>
          <t>indeed</t>
        </is>
      </c>
      <c r="E87" t="inlineStr"/>
      <c r="F87" t="inlineStr"/>
      <c r="G87" t="inlineStr">
        <is>
          <t>Palo Alto, CA, US</t>
        </is>
      </c>
      <c r="H87" s="2" t="n">
        <v>45942</v>
      </c>
      <c r="I87"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8">
      <c r="A88" t="inlineStr">
        <is>
          <t>in-09e15f1909561524</t>
        </is>
      </c>
      <c r="B88" t="inlineStr">
        <is>
          <t>Principal Applied Scientist, Advertiser Growth, Amazon Sponsored Products &amp; Brands</t>
        </is>
      </c>
      <c r="C88" t="inlineStr">
        <is>
          <t>Amazon.com</t>
        </is>
      </c>
      <c r="D88" t="inlineStr">
        <is>
          <t>indeed</t>
        </is>
      </c>
      <c r="E88" t="inlineStr"/>
      <c r="F88" t="inlineStr"/>
      <c r="G88" t="inlineStr">
        <is>
          <t>Seattle, WA, US</t>
        </is>
      </c>
      <c r="H88" s="2" t="n">
        <v>45942</v>
      </c>
      <c r="I88"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9">
      <c r="A89" t="inlineStr">
        <is>
          <t>in-7d58417849e74501</t>
        </is>
      </c>
      <c r="B89" t="inlineStr">
        <is>
          <t>Applied Scientist</t>
        </is>
      </c>
      <c r="C89" t="inlineStr">
        <is>
          <t>Amazon.com</t>
        </is>
      </c>
      <c r="D89" t="inlineStr">
        <is>
          <t>indeed</t>
        </is>
      </c>
      <c r="E89" t="inlineStr"/>
      <c r="F89" t="inlineStr"/>
      <c r="G89" t="inlineStr">
        <is>
          <t>New York, NY, US</t>
        </is>
      </c>
      <c r="H89" s="2" t="n">
        <v>45939</v>
      </c>
      <c r="I89"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0">
      <c r="A90" t="inlineStr">
        <is>
          <t>in-f513cda0889d2dc4</t>
        </is>
      </c>
      <c r="B90" t="inlineStr">
        <is>
          <t>Sr. Applied Scientist, SPB Advertiser Guidance</t>
        </is>
      </c>
      <c r="C90" t="inlineStr">
        <is>
          <t>Amazon.com</t>
        </is>
      </c>
      <c r="D90" t="inlineStr">
        <is>
          <t>indeed</t>
        </is>
      </c>
      <c r="E90" t="inlineStr"/>
      <c r="F90" t="inlineStr"/>
      <c r="G90" t="inlineStr">
        <is>
          <t>New York, NY, US</t>
        </is>
      </c>
      <c r="H90" s="2" t="n">
        <v>45939</v>
      </c>
      <c r="I90"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1">
      <c r="A91" t="inlineStr">
        <is>
          <t>in-8ba0175d129b368a</t>
        </is>
      </c>
      <c r="B91" t="inlineStr">
        <is>
          <t>Applied Scientist</t>
        </is>
      </c>
      <c r="C91" t="inlineStr">
        <is>
          <t>Amazon.com</t>
        </is>
      </c>
      <c r="D91" t="inlineStr">
        <is>
          <t>indeed</t>
        </is>
      </c>
      <c r="E91" t="inlineStr"/>
      <c r="F91" t="inlineStr"/>
      <c r="G91" t="inlineStr">
        <is>
          <t>Seattle, WA, US</t>
        </is>
      </c>
      <c r="H91" s="2" t="n">
        <v>45939</v>
      </c>
      <c r="I91"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2">
      <c r="A92" t="inlineStr">
        <is>
          <t>in-ce0bcdf9286d4937</t>
        </is>
      </c>
      <c r="B92" t="inlineStr">
        <is>
          <t>Sr. Applied Scientist, SPB Advertiser Guidance</t>
        </is>
      </c>
      <c r="C92" t="inlineStr">
        <is>
          <t>Amazon.com</t>
        </is>
      </c>
      <c r="D92" t="inlineStr">
        <is>
          <t>indeed</t>
        </is>
      </c>
      <c r="E92" t="inlineStr"/>
      <c r="F92" t="inlineStr"/>
      <c r="G92" t="inlineStr">
        <is>
          <t>Palo Alto, CA, US</t>
        </is>
      </c>
      <c r="H92" s="2" t="n">
        <v>45939</v>
      </c>
      <c r="I92"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3">
      <c r="A93" t="inlineStr">
        <is>
          <t>in-33ad8f9a645ece2a</t>
        </is>
      </c>
      <c r="B93" t="inlineStr">
        <is>
          <t>Applied Scientist</t>
        </is>
      </c>
      <c r="C93" t="inlineStr">
        <is>
          <t>Amazon.com</t>
        </is>
      </c>
      <c r="D93" t="inlineStr">
        <is>
          <t>indeed</t>
        </is>
      </c>
      <c r="E93" t="inlineStr"/>
      <c r="F93" t="inlineStr"/>
      <c r="G93" t="inlineStr">
        <is>
          <t>Palo Alto, CA, US</t>
        </is>
      </c>
      <c r="H93" s="2" t="n">
        <v>45939</v>
      </c>
      <c r="I93"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4">
      <c r="A94" t="inlineStr">
        <is>
          <t>in-b692a4b0dd23ee9a</t>
        </is>
      </c>
      <c r="B94" t="inlineStr">
        <is>
          <t>Sr. Applied Scientist, SPB Advertiser Guidance</t>
        </is>
      </c>
      <c r="C94" t="inlineStr">
        <is>
          <t>Amazon.com</t>
        </is>
      </c>
      <c r="D94" t="inlineStr">
        <is>
          <t>indeed</t>
        </is>
      </c>
      <c r="E94" t="inlineStr"/>
      <c r="F94" t="inlineStr"/>
      <c r="G94" t="inlineStr">
        <is>
          <t>Seattle, WA, US</t>
        </is>
      </c>
      <c r="H94" s="2" t="n">
        <v>45939</v>
      </c>
      <c r="I94"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5">
      <c r="A95" t="inlineStr">
        <is>
          <t>in-4783d6e840cfda51</t>
        </is>
      </c>
      <c r="B95" t="inlineStr">
        <is>
          <t>Applied Scientist, Workplace Health &amp; Safety</t>
        </is>
      </c>
      <c r="C95" t="inlineStr">
        <is>
          <t>Amazon.com</t>
        </is>
      </c>
      <c r="D95" t="inlineStr">
        <is>
          <t>indeed</t>
        </is>
      </c>
      <c r="E95" t="inlineStr"/>
      <c r="F95" t="inlineStr"/>
      <c r="G95" t="inlineStr">
        <is>
          <t>Bellevue, WA, US</t>
        </is>
      </c>
      <c r="H95" s="2" t="n">
        <v>45917</v>
      </c>
      <c r="I95"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6">
      <c r="A96" t="inlineStr">
        <is>
          <t>in-9405225d347b0c0e</t>
        </is>
      </c>
      <c r="B96" t="inlineStr">
        <is>
          <t>Applied Scientist, Workplace Health &amp; Safety</t>
        </is>
      </c>
      <c r="C96" t="inlineStr">
        <is>
          <t>Amazon.com</t>
        </is>
      </c>
      <c r="D96" t="inlineStr">
        <is>
          <t>indeed</t>
        </is>
      </c>
      <c r="E96" t="inlineStr"/>
      <c r="F96" t="inlineStr"/>
      <c r="G96" t="inlineStr">
        <is>
          <t>Nashville, TN, US</t>
        </is>
      </c>
      <c r="H96" s="2" t="n">
        <v>45917</v>
      </c>
      <c r="I96"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7">
      <c r="A97" t="inlineStr">
        <is>
          <t>in-f4da4e89efb78692</t>
        </is>
      </c>
      <c r="B97" t="inlineStr">
        <is>
          <t>Sr. Applied Scientist, Prime Video - Personalization and Discovery Science</t>
        </is>
      </c>
      <c r="C97" t="inlineStr">
        <is>
          <t>Amazon.com</t>
        </is>
      </c>
      <c r="D97" t="inlineStr">
        <is>
          <t>indeed</t>
        </is>
      </c>
      <c r="E97" t="inlineStr"/>
      <c r="F97" t="inlineStr"/>
      <c r="G97" t="inlineStr">
        <is>
          <t>Seattle, WA, US</t>
        </is>
      </c>
      <c r="H97" s="2" t="n">
        <v>45896</v>
      </c>
      <c r="I9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98">
      <c r="A98" t="inlineStr">
        <is>
          <t>in-d60d08eb2fafd8e1</t>
        </is>
      </c>
      <c r="B98" t="inlineStr">
        <is>
          <t>Sr. Applied Scientist, Prime Video - Personalization and Discovery Science</t>
        </is>
      </c>
      <c r="C98" t="inlineStr">
        <is>
          <t>Amazon.com</t>
        </is>
      </c>
      <c r="D98" t="inlineStr">
        <is>
          <t>indeed</t>
        </is>
      </c>
      <c r="E98" t="inlineStr"/>
      <c r="F98" t="inlineStr"/>
      <c r="G98" t="inlineStr">
        <is>
          <t>New York, NY, US</t>
        </is>
      </c>
      <c r="H98" s="2" t="n">
        <v>45896</v>
      </c>
      <c r="I9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99">
      <c r="A99" t="inlineStr">
        <is>
          <t>in-5d339dc1383d9adf</t>
        </is>
      </c>
      <c r="B99" t="inlineStr">
        <is>
          <t>Sr. Applied Scientist, Prime Video - Personalization and Discovery Science</t>
        </is>
      </c>
      <c r="C99" t="inlineStr">
        <is>
          <t>Amazon.com</t>
        </is>
      </c>
      <c r="D99" t="inlineStr">
        <is>
          <t>indeed</t>
        </is>
      </c>
      <c r="E99" t="inlineStr"/>
      <c r="F99" t="inlineStr"/>
      <c r="G99" t="inlineStr">
        <is>
          <t>Sunnyvale, CA, US</t>
        </is>
      </c>
      <c r="H99" s="2" t="n">
        <v>45896</v>
      </c>
      <c r="I9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100">
      <c r="A100" t="inlineStr">
        <is>
          <t>in-c00fa51bf5cc1c96</t>
        </is>
      </c>
      <c r="B100" t="inlineStr">
        <is>
          <t>Applied Scientist II, Prime Video , Personalization and Discovery Science</t>
        </is>
      </c>
      <c r="C100" t="inlineStr">
        <is>
          <t>Amazon.com</t>
        </is>
      </c>
      <c r="D100" t="inlineStr">
        <is>
          <t>indeed</t>
        </is>
      </c>
      <c r="E100" t="inlineStr"/>
      <c r="F100" t="inlineStr"/>
      <c r="G100" t="inlineStr">
        <is>
          <t>Seattle, WA, US</t>
        </is>
      </c>
      <c r="H100" s="2" t="n">
        <v>45886</v>
      </c>
      <c r="I10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City \- 172,400\.00 \- 223,400\.00 USD annually  
USA, OR, Corvallis \- 142,800\.00 \- 193,200\.00 USD annually  
USA, WA, SEATTLE \- 142,800\.00 \- 193,200\.00 USD annually  
USA, WA, Seattle \- 142,800\.00 \- 193,200\.00 USD annually</t>
        </is>
      </c>
    </row>
    <row r="101">
      <c r="A101" t="inlineStr">
        <is>
          <t>in-d2eb094f629beec4</t>
        </is>
      </c>
      <c r="B101" t="inlineStr">
        <is>
          <t>Applied Scientist II, Prime Video , Personalization and Discovery Science</t>
        </is>
      </c>
      <c r="C101" t="inlineStr">
        <is>
          <t>Amazon.com</t>
        </is>
      </c>
      <c r="D101" t="inlineStr">
        <is>
          <t>indeed</t>
        </is>
      </c>
      <c r="E101" t="inlineStr"/>
      <c r="F101" t="inlineStr"/>
      <c r="G101" t="inlineStr">
        <is>
          <t>New York, NY, US</t>
        </is>
      </c>
      <c r="H101" s="2" t="n">
        <v>45886</v>
      </c>
      <c r="I10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City \- 172,400\.00 \- 223,400\.00 USD annually  
USA, OR, Corvallis \- 142,800\.00 \- 193,200\.00 USD annually  
USA, WA, SEATTLE \- 142,800\.00 \- 193,200\.00 USD annually  
USA, WA, Seattle \- 142,800\.00 \- 193,200\.00 USD annually</t>
        </is>
      </c>
    </row>
    <row r="102">
      <c r="A102" t="inlineStr">
        <is>
          <t>in-fc619f77a581a45d</t>
        </is>
      </c>
      <c r="B102" t="inlineStr">
        <is>
          <t>Applied Scientist II, Prime Video , Personalization and Discovery Science</t>
        </is>
      </c>
      <c r="C102" t="inlineStr">
        <is>
          <t>Amazon.com</t>
        </is>
      </c>
      <c r="D102" t="inlineStr">
        <is>
          <t>indeed</t>
        </is>
      </c>
      <c r="E102" t="inlineStr"/>
      <c r="F102" t="inlineStr"/>
      <c r="G102" t="inlineStr">
        <is>
          <t>Sunnyvale, CA, US</t>
        </is>
      </c>
      <c r="H102" s="2" t="n">
        <v>45886</v>
      </c>
      <c r="I10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City \- 172,400\.00 \- 223,400\.00 USD annually  
USA, OR, Corvallis \- 142,800\.00 \- 193,200\.00 USD annually  
USA, WA, SEATTLE \- 142,800\.00 \- 193,200\.00 USD annually  
USA, WA, Seattle \- 142,800\.00 \- 193,200\.00 USD annually</t>
        </is>
      </c>
    </row>
    <row r="103">
      <c r="A103" t="inlineStr">
        <is>
          <t>in-fa5b84c796fcd7ec</t>
        </is>
      </c>
      <c r="B103" t="inlineStr">
        <is>
          <t>Applied Scientist III, StoreGen</t>
        </is>
      </c>
      <c r="C103" t="inlineStr">
        <is>
          <t>Amazon.com</t>
        </is>
      </c>
      <c r="D103" t="inlineStr">
        <is>
          <t>indeed</t>
        </is>
      </c>
      <c r="E103" t="inlineStr"/>
      <c r="F103" t="inlineStr"/>
      <c r="G103" t="inlineStr">
        <is>
          <t>Sunnyvale, CA, US</t>
        </is>
      </c>
      <c r="H103" s="2" t="n">
        <v>45868</v>
      </c>
      <c r="I103" t="inlineStr">
        <is>
          <t>**DESCRIPTION**
---------------
Join our Generative AI focus team to innovate Software Development at Amazon  
Are you ready to be part of a team that's redefining the future of software engineering? Our team is Amazon's ambitious initiative to pioneer AI development practices that will fundamentally transform how we build software at scale.  
Our Mission  
We’re building the next generation of development tools — uncovering how LLMs can originate new ways of thinking, building, and collaborating.  
What Makes Us Different  
* Ground\-floor opportunity to shape the future of software development
* Direct impact on Amazon's global engineering practices
* Working with the latest technologies and large language models
* Culture of experimentation and innovative thinking
What We’re Looking For  
You’ll lead the research, design, and development of AI technologies that challenge conventional software practices and uncover new ways for engineers to build and collaborate.  
You’re comfortable working in ambiguous spaces, exploring emergent behaviors, and collaborating with designers, prototypers, and engineers to test hypotheses in live, evolving systems.  
You explore where LLMs behave in unexpected yet promising ways, especially in tasks like context retention, code reasoning, or agent behavior , and use those moments to uncover new AI\-native workflows.  
We’re looking for applied scientists with experience in areas like:  
\+ Information retrieval  
\+ Context and memory modeling  
\+ Agent behavior and autonomy  
\+ Code understanding and generation  
\+ Human\-AI interaction  
What You'll Do  
* Prototype new ways of working with LLMs in engineering workflows
* Help shape and evaluate scientific approaches behind agentic systems and engineering tools
* Move fast with engineers and prototypers to guide design decisions and model choices
* Make sense of unexpected model behavior and guide what to try next
Impact  
Your work will surface where LLMs can meaningfully change how Amazon engineers build.  
You’ll help the team uncover which surprises are worth pursuing and where to push beyond what’s already known.  
Always find a way ️**BASIC QUALIFICATIONS**
------------------------
* 3\+ years of building machine learning models for business application experience
* PhD, or Master's degree and 6\+ years of applied research experience
* Experience in patents or publications at top\-tier peer\-reviewed conferences or journals
* Strong analytical, mathematical, and coding skills (e.g., Python, C\+\+, or Java)
* Previous work on agents or LLMs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4">
      <c r="A104" t="inlineStr">
        <is>
          <t>in-38a1d52fede0e147</t>
        </is>
      </c>
      <c r="B104" t="inlineStr">
        <is>
          <t>Applied Scientist III, StoreGen</t>
        </is>
      </c>
      <c r="C104" t="inlineStr">
        <is>
          <t>Amazon.com</t>
        </is>
      </c>
      <c r="D104" t="inlineStr">
        <is>
          <t>indeed</t>
        </is>
      </c>
      <c r="E104" t="inlineStr"/>
      <c r="F104" t="inlineStr"/>
      <c r="G104" t="inlineStr">
        <is>
          <t>Seattle, WA, US</t>
        </is>
      </c>
      <c r="H104" s="2" t="n">
        <v>45868</v>
      </c>
      <c r="I104" t="inlineStr">
        <is>
          <t>**DESCRIPTION**
---------------
Join our Generative AI focus team to innovate Software Development at Amazon  
Are you ready to be part of a team that's redefining the future of software engineering? Our team is Amazon's ambitious initiative to pioneer AI development practices that will fundamentally transform how we build software at scale.  
Our Mission  
We’re building the next generation of development tools — uncovering how LLMs can originate new ways of thinking, building, and collaborating.  
What Makes Us Different  
* Ground\-floor opportunity to shape the future of software development
* Direct impact on Amazon's global engineering practices
* Working with the latest technologies and large language models
* Culture of experimentation and innovative thinking
What We’re Looking For  
You’ll lead the research, design, and development of AI technologies that challenge conventional software practices and uncover new ways for engineers to build and collaborate.  
You’re comfortable working in ambiguous spaces, exploring emergent behaviors, and collaborating with designers, prototypers, and engineers to test hypotheses in live, evolving systems.  
You explore where LLMs behave in unexpected yet promising ways, especially in tasks like context retention, code reasoning, or agent behavior , and use those moments to uncover new AI\-native workflows.  
We’re looking for applied scientists with experience in areas like:  
\+ Information retrieval  
\+ Context and memory modeling  
\+ Agent behavior and autonomy  
\+ Code understanding and generation  
\+ Human\-AI interaction  
What You'll Do  
* Prototype new ways of working with LLMs in engineering workflows
* Help shape and evaluate scientific approaches behind agentic systems and engineering tools
* Move fast with engineers and prototypers to guide design decisions and model choices
* Make sense of unexpected model behavior and guide what to try next
Impact  
Your work will surface where LLMs can meaningfully change how Amazon engineers build.  
You’ll help the team uncover which surprises are worth pursuing and where to push beyond what’s already known.  
Always find a way ️**BASIC QUALIFICATIONS**
------------------------
* 3\+ years of building machine learning models for business application experience
* PhD, or Master's degree and 6\+ years of applied research experience
* Experience in patents or publications at top\-tier peer\-reviewed conferences or journals
* Strong analytical, mathematical, and coding skills (e.g., Python, C\+\+, or Java)
* Previous work on agents or LLMs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5">
      <c r="A105" t="inlineStr">
        <is>
          <t>in-942e3f17fcdedc55</t>
        </is>
      </c>
      <c r="B105" t="inlineStr">
        <is>
          <t>Sr. Applied Scientist, Amazon Advertising</t>
        </is>
      </c>
      <c r="C105" t="inlineStr">
        <is>
          <t>Amazon.com</t>
        </is>
      </c>
      <c r="D105" t="inlineStr">
        <is>
          <t>indeed</t>
        </is>
      </c>
      <c r="E105" t="inlineStr"/>
      <c r="F105" t="inlineStr"/>
      <c r="G105" t="inlineStr">
        <is>
          <t>Los Angeles, CA, US</t>
        </is>
      </c>
      <c r="H105" s="2" t="n">
        <v>45851</v>
      </c>
      <c r="I105"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6">
      <c r="A106" t="inlineStr">
        <is>
          <t>in-aa3998d5fa5ecad7</t>
        </is>
      </c>
      <c r="B106" t="inlineStr">
        <is>
          <t>Sr. Applied Scientist, Amazon Advertising</t>
        </is>
      </c>
      <c r="C106" t="inlineStr">
        <is>
          <t>Amazon.com</t>
        </is>
      </c>
      <c r="D106" t="inlineStr">
        <is>
          <t>indeed</t>
        </is>
      </c>
      <c r="E106" t="inlineStr"/>
      <c r="F106" t="inlineStr"/>
      <c r="G106" t="inlineStr">
        <is>
          <t>New York, NY, US</t>
        </is>
      </c>
      <c r="H106" s="2" t="n">
        <v>45851</v>
      </c>
      <c r="I106"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7">
      <c r="A107" t="inlineStr">
        <is>
          <t>in-b18e634ea0835efd</t>
        </is>
      </c>
      <c r="B107" t="inlineStr">
        <is>
          <t>Sr. Applied Scientist, Amazon Advertising</t>
        </is>
      </c>
      <c r="C107" t="inlineStr">
        <is>
          <t>Amazon.com</t>
        </is>
      </c>
      <c r="D107" t="inlineStr">
        <is>
          <t>indeed</t>
        </is>
      </c>
      <c r="E107" t="inlineStr"/>
      <c r="F107" t="inlineStr"/>
      <c r="G107" t="inlineStr">
        <is>
          <t>Seattle, WA, US</t>
        </is>
      </c>
      <c r="H107" s="2" t="n">
        <v>45851</v>
      </c>
      <c r="I107"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8">
      <c r="A108" t="inlineStr">
        <is>
          <t>in-7c25370712a5f4a1</t>
        </is>
      </c>
      <c r="B108" t="inlineStr">
        <is>
          <t>Sr. Applied Scientist, Amazon Advertising</t>
        </is>
      </c>
      <c r="C108" t="inlineStr">
        <is>
          <t>Amazon.com</t>
        </is>
      </c>
      <c r="D108" t="inlineStr">
        <is>
          <t>indeed</t>
        </is>
      </c>
      <c r="E108" t="inlineStr"/>
      <c r="F108" t="inlineStr"/>
      <c r="G108" t="inlineStr">
        <is>
          <t>Austin, TX, US</t>
        </is>
      </c>
      <c r="H108" s="2" t="n">
        <v>45851</v>
      </c>
      <c r="I108"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9">
      <c r="A109" t="inlineStr">
        <is>
          <t>in-be28bfebe9e9c0cd</t>
        </is>
      </c>
      <c r="B109" t="inlineStr">
        <is>
          <t>Sr. Applied Scientist, Amazon Advertising</t>
        </is>
      </c>
      <c r="C109" t="inlineStr">
        <is>
          <t>Amazon.com</t>
        </is>
      </c>
      <c r="D109" t="inlineStr">
        <is>
          <t>indeed</t>
        </is>
      </c>
      <c r="E109" t="inlineStr"/>
      <c r="F109" t="inlineStr"/>
      <c r="G109" t="inlineStr">
        <is>
          <t>West Hollywood, CA, US</t>
        </is>
      </c>
      <c r="H109" s="2" t="n">
        <v>45851</v>
      </c>
      <c r="I109"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0">
      <c r="A110" t="inlineStr">
        <is>
          <t>in-ce20199b9577a24c</t>
        </is>
      </c>
      <c r="B110" t="inlineStr">
        <is>
          <t>Sr. Applied Scientist, Amazon Advertising</t>
        </is>
      </c>
      <c r="C110" t="inlineStr">
        <is>
          <t>Amazon.com</t>
        </is>
      </c>
      <c r="D110" t="inlineStr">
        <is>
          <t>indeed</t>
        </is>
      </c>
      <c r="E110" t="inlineStr"/>
      <c r="F110" t="inlineStr"/>
      <c r="G110" t="inlineStr">
        <is>
          <t>Arlington, VA, US</t>
        </is>
      </c>
      <c r="H110" s="2" t="n">
        <v>45851</v>
      </c>
      <c r="I110"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1">
      <c r="A111" t="inlineStr">
        <is>
          <t>in-31b1ecd55981f867</t>
        </is>
      </c>
      <c r="B111" t="inlineStr">
        <is>
          <t>Sr. Applied Scientist, Amazon Advertising</t>
        </is>
      </c>
      <c r="C111" t="inlineStr">
        <is>
          <t>Amazon.com</t>
        </is>
      </c>
      <c r="D111" t="inlineStr">
        <is>
          <t>indeed</t>
        </is>
      </c>
      <c r="E111" t="inlineStr"/>
      <c r="F111" t="inlineStr"/>
      <c r="G111" t="inlineStr">
        <is>
          <t>Simi Valley, CA, US</t>
        </is>
      </c>
      <c r="H111" s="2" t="n">
        <v>45851</v>
      </c>
      <c r="I111"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2">
      <c r="A112" t="inlineStr">
        <is>
          <t>in-830a3225b4f3ea9a</t>
        </is>
      </c>
      <c r="B112" t="inlineStr">
        <is>
          <t>Sr. Applied Scientist, Amazon Advertising</t>
        </is>
      </c>
      <c r="C112" t="inlineStr">
        <is>
          <t>Amazon.com</t>
        </is>
      </c>
      <c r="D112" t="inlineStr">
        <is>
          <t>indeed</t>
        </is>
      </c>
      <c r="E112" t="inlineStr"/>
      <c r="F112" t="inlineStr"/>
      <c r="G112" t="inlineStr">
        <is>
          <t>Palo Alto, CA, US</t>
        </is>
      </c>
      <c r="H112" s="2" t="n">
        <v>45851</v>
      </c>
      <c r="I112"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3">
      <c r="A113" t="inlineStr">
        <is>
          <t>in-55800fb7523ca0ed</t>
        </is>
      </c>
      <c r="B113" t="inlineStr">
        <is>
          <t>Sr. Applied Scientist, Sales AI</t>
        </is>
      </c>
      <c r="C113" t="inlineStr">
        <is>
          <t>Amazon.com</t>
        </is>
      </c>
      <c r="D113" t="inlineStr">
        <is>
          <t>indeed</t>
        </is>
      </c>
      <c r="E113" t="inlineStr"/>
      <c r="F113" t="inlineStr"/>
      <c r="G113" t="inlineStr">
        <is>
          <t>Seattle, WA, US</t>
        </is>
      </c>
      <c r="H113" s="2" t="n">
        <v>45830</v>
      </c>
      <c r="I113"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4">
      <c r="A114" t="inlineStr">
        <is>
          <t>in-f162554f59bbbee4</t>
        </is>
      </c>
      <c r="B114" t="inlineStr">
        <is>
          <t>Sr. Applied Scientist, Sales AI</t>
        </is>
      </c>
      <c r="C114" t="inlineStr">
        <is>
          <t>Amazon.com</t>
        </is>
      </c>
      <c r="D114" t="inlineStr">
        <is>
          <t>indeed</t>
        </is>
      </c>
      <c r="E114" t="inlineStr"/>
      <c r="F114" t="inlineStr"/>
      <c r="G114" t="inlineStr">
        <is>
          <t>New York, NY, US</t>
        </is>
      </c>
      <c r="H114" s="2" t="n">
        <v>45830</v>
      </c>
      <c r="I114"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5">
      <c r="A115" t="inlineStr">
        <is>
          <t>in-32cae44790c83e96</t>
        </is>
      </c>
      <c r="B115" t="inlineStr">
        <is>
          <t>Sr. Applied Scientist, Sales AI</t>
        </is>
      </c>
      <c r="C115" t="inlineStr">
        <is>
          <t>Amazon.com</t>
        </is>
      </c>
      <c r="D115" t="inlineStr">
        <is>
          <t>indeed</t>
        </is>
      </c>
      <c r="E115" t="inlineStr"/>
      <c r="F115" t="inlineStr"/>
      <c r="G115" t="inlineStr">
        <is>
          <t>Sunnyvale, CA, US</t>
        </is>
      </c>
      <c r="H115" s="2" t="n">
        <v>45830</v>
      </c>
      <c r="I115"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6">
      <c r="A116" t="inlineStr">
        <is>
          <t>in-45c28981b5ad5c71</t>
        </is>
      </c>
      <c r="B116" t="inlineStr">
        <is>
          <t>Senior Applied Scientist, Delivery Foundation Model</t>
        </is>
      </c>
      <c r="C116" t="inlineStr">
        <is>
          <t>Amazon.com</t>
        </is>
      </c>
      <c r="D116" t="inlineStr">
        <is>
          <t>indeed</t>
        </is>
      </c>
      <c r="E116" t="inlineStr"/>
      <c r="F116" t="inlineStr"/>
      <c r="G116" t="inlineStr">
        <is>
          <t>Santa Clara, CA, US</t>
        </is>
      </c>
      <c r="H116" s="2" t="n">
        <v>45806</v>
      </c>
      <c r="I116"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7">
      <c r="A117" t="inlineStr">
        <is>
          <t>in-2f412d2dcaffc7f6</t>
        </is>
      </c>
      <c r="B117" t="inlineStr">
        <is>
          <t>Senior Applied Scientist, Delivery Foundation Model</t>
        </is>
      </c>
      <c r="C117" t="inlineStr">
        <is>
          <t>Amazon.com</t>
        </is>
      </c>
      <c r="D117" t="inlineStr">
        <is>
          <t>indeed</t>
        </is>
      </c>
      <c r="E117" t="inlineStr"/>
      <c r="F117" t="inlineStr"/>
      <c r="G117" t="inlineStr">
        <is>
          <t>Bellevue, WA, US</t>
        </is>
      </c>
      <c r="H117" s="2" t="n">
        <v>45806</v>
      </c>
      <c r="I117"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8">
      <c r="A118" t="inlineStr">
        <is>
          <t>in-819f6dbe362964b2</t>
        </is>
      </c>
      <c r="B118" t="inlineStr">
        <is>
          <t>Senior Applied Scientist, Delivery Foundation Model</t>
        </is>
      </c>
      <c r="C118" t="inlineStr">
        <is>
          <t>Amazon.com</t>
        </is>
      </c>
      <c r="D118" t="inlineStr">
        <is>
          <t>indeed</t>
        </is>
      </c>
      <c r="E118" t="inlineStr"/>
      <c r="F118" t="inlineStr"/>
      <c r="G118" t="inlineStr">
        <is>
          <t>New York, NY, US</t>
        </is>
      </c>
      <c r="H118" s="2" t="n">
        <v>45806</v>
      </c>
      <c r="I118"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9">
      <c r="A119" t="inlineStr">
        <is>
          <t>in-dd0ab2df9ac0197e</t>
        </is>
      </c>
      <c r="B119" t="inlineStr">
        <is>
          <t>Sr. Applied Scientist - Privacy, Privacy Engineering</t>
        </is>
      </c>
      <c r="C119" t="inlineStr">
        <is>
          <t>Amazon.com</t>
        </is>
      </c>
      <c r="D119" t="inlineStr">
        <is>
          <t>indeed</t>
        </is>
      </c>
      <c r="E119" t="inlineStr"/>
      <c r="F119" t="inlineStr"/>
      <c r="G119" t="inlineStr">
        <is>
          <t>Santa Clara, CA, US</t>
        </is>
      </c>
      <c r="H119" s="2" t="n">
        <v>45787</v>
      </c>
      <c r="I119"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0">
      <c r="A120" t="inlineStr">
        <is>
          <t>in-45715a834fc515f5</t>
        </is>
      </c>
      <c r="B120" t="inlineStr">
        <is>
          <t>Sr. Applied Scientist - Privacy, Privacy Engineering</t>
        </is>
      </c>
      <c r="C120" t="inlineStr">
        <is>
          <t>Amazon.com</t>
        </is>
      </c>
      <c r="D120" t="inlineStr">
        <is>
          <t>indeed</t>
        </is>
      </c>
      <c r="E120" t="inlineStr"/>
      <c r="F120" t="inlineStr"/>
      <c r="G120" t="inlineStr">
        <is>
          <t>Seattle, WA, US</t>
        </is>
      </c>
      <c r="H120" s="2" t="n">
        <v>45787</v>
      </c>
      <c r="I120"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1">
      <c r="A121" t="inlineStr">
        <is>
          <t>in-efa883e13044751d</t>
        </is>
      </c>
      <c r="B121" t="inlineStr">
        <is>
          <t>Sr. Applied Scientist - Privacy, Privacy Engineering</t>
        </is>
      </c>
      <c r="C121" t="inlineStr">
        <is>
          <t>Amazon.com</t>
        </is>
      </c>
      <c r="D121" t="inlineStr">
        <is>
          <t>indeed</t>
        </is>
      </c>
      <c r="E121" t="inlineStr"/>
      <c r="F121" t="inlineStr"/>
      <c r="G121" t="inlineStr">
        <is>
          <t>San Francisco, CA, US</t>
        </is>
      </c>
      <c r="H121" s="2" t="n">
        <v>45787</v>
      </c>
      <c r="I121"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2">
      <c r="A122" t="inlineStr">
        <is>
          <t>in-40b04c91576880c9</t>
        </is>
      </c>
      <c r="B122" t="inlineStr">
        <is>
          <t>Sr. Applied Scientist - Privacy, Privacy Engineering</t>
        </is>
      </c>
      <c r="C122" t="inlineStr">
        <is>
          <t>Amazon.com</t>
        </is>
      </c>
      <c r="D122" t="inlineStr">
        <is>
          <t>indeed</t>
        </is>
      </c>
      <c r="E122" t="inlineStr"/>
      <c r="F122" t="inlineStr"/>
      <c r="G122" t="inlineStr">
        <is>
          <t>Sunnyvale, CA, US</t>
        </is>
      </c>
      <c r="H122" s="2" t="n">
        <v>45787</v>
      </c>
      <c r="I122"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3">
      <c r="A123" t="inlineStr">
        <is>
          <t>in-65a9040056e41368</t>
        </is>
      </c>
      <c r="B123" t="inlineStr">
        <is>
          <t>Sr. Data Scientist- Computer Vision, Data &amp; Machine Learning (DML)</t>
        </is>
      </c>
      <c r="C123" t="inlineStr">
        <is>
          <t>Amazon Web Services</t>
        </is>
      </c>
      <c r="D123" t="inlineStr">
        <is>
          <t>indeed</t>
        </is>
      </c>
      <c r="E123" t="inlineStr"/>
      <c r="F123" t="inlineStr"/>
      <c r="G123" t="inlineStr">
        <is>
          <t>Arlington, VA, US</t>
        </is>
      </c>
      <c r="H123" s="2" t="n">
        <v>46062</v>
      </c>
      <c r="I123"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Exploring the data and brainstorming and prioritizing ideas for model development  
Implementing new features in our sizable code base  
Training models in support of experimental or performance goals  
T\&amp;E\-ing, packaging, and delivering models  
We perform this work on both unclassified and classified networks, with portions of our team working on each network.  
We seek a new team member to work on the classified networks. Three to four days a week, you would travel to the customer site in Northern Virginia to perform tasking as described below. Weekdays when you do not travel to the customer site, you would work from your local Amazon office.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Apache AirFlow,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 Run data conversion pipelines to transform customer data into the structure needed by models for training
* Perform EDA on the customer data
* Train deep neural network models on overhead imagery
* Develop and implement hyper\-parameter optimization strategies
* Test and Evaluate models and analyze results
* Package and deliver models to the customer
* Incorporate model R\&amp;D from low\-side researchers
* Implement new features to the model development code base
* Collaborate with the rest of the team on long term strategy and short\-medium term implementation.
* Contribute to presentations to the customer regarding the team’s work.
**BASIC QUALIFICATIONS**
------------------------
* 5\+ years of data querying languages (e.g. SQL), scripting languages (e.g. Python) or statistical/mathematical software (e.g. R, SAS, Matlab, etc.) experience
* Knowledge of AWS tech stack (e.g., AWS Redshift, S3, EC2, Glue)
* Bachelor's degree in a quantitative field such as statistics, mathematics, data science, business analytics, economics, finance, engineering, or computer science
* 2\+ years of experience with machine learning, statistical modeling, data analysis tools and techniques, and performance parameters for computer vision delivery requirements
* Current, active US Government Security Clearance of Top Secret or above
**PREFERRED QUALIFICATIONS**
----------------------------
* 3\+ years of data visualization using AWS QuickSight, Tableau, R Shiny, etc. experience
* Experience managing data pipelines
* Experience as a leader and mentor on a data science team
* Master's degree in a quantitative field such as statistics, mathematics, data science, business analytics, economics, finance, engineering, or computer science
* Familiarity with internals of LLMs, VLMs, and traditional Computer Vision object detection models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\- 159,200\.00 \- 215,300\.00 USD annually  
USA, VA, Herndon \- 159,200\.00 \- 215,300\.00 USD annually</t>
        </is>
      </c>
    </row>
    <row r="124">
      <c r="A124" t="inlineStr">
        <is>
          <t>in-4498212a5ae0c793</t>
        </is>
      </c>
      <c r="B124" t="inlineStr">
        <is>
          <t>Sr. Data Scientist- Computer Vision, Data &amp; Machine Learning (DML)</t>
        </is>
      </c>
      <c r="C124" t="inlineStr">
        <is>
          <t>Amazon Web Services</t>
        </is>
      </c>
      <c r="D124" t="inlineStr">
        <is>
          <t>indeed</t>
        </is>
      </c>
      <c r="E124" t="inlineStr"/>
      <c r="F124" t="inlineStr"/>
      <c r="G124" t="inlineStr">
        <is>
          <t>Herndon, VA, US</t>
        </is>
      </c>
      <c r="H124" s="2" t="n">
        <v>46062</v>
      </c>
      <c r="I124"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Exploring the data and brainstorming and prioritizing ideas for model development  
Implementing new features in our sizable code base  
Training models in support of experimental or performance goals  
T\&amp;E\-ing, packaging, and delivering models  
We perform this work on both unclassified and classified networks, with portions of our team working on each network.  
We seek a new team member to work on the classified networks. Three to four days a week, you would travel to the customer site in Northern Virginia to perform tasking as described below. Weekdays when you do not travel to the customer site, you would work from your local Amazon office.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Apache AirFlow,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 Run data conversion pipelines to transform customer data into the structure needed by models for training
* Perform EDA on the customer data
* Train deep neural network models on overhead imagery
* Develop and implement hyper\-parameter optimization strategies
* Test and Evaluate models and analyze results
* Package and deliver models to the customer
* Incorporate model R\&amp;D from low\-side researchers
* Implement new features to the model development code base
* Collaborate with the rest of the team on long term strategy and short\-medium term implementation.
* Contribute to presentations to the customer regarding the team’s work.
**BASIC QUALIFICATIONS**
------------------------
* 5\+ years of data querying languages (e.g. SQL), scripting languages (e.g. Python) or statistical/mathematical software (e.g. R, SAS, Matlab, etc.) experience
* Knowledge of AWS tech stack (e.g., AWS Redshift, S3, EC2, Glue)
* Bachelor's degree in a quantitative field such as statistics, mathematics, data science, business analytics, economics, finance, engineering, or computer science
* 2\+ years of experience with machine learning, statistical modeling, data analysis tools and techniques, and performance parameters for computer vision delivery requirements
* Current, active US Government Security Clearance of Top Secret or above
**PREFERRED QUALIFICATIONS**
----------------------------
* 3\+ years of data visualization using AWS QuickSight, Tableau, R Shiny, etc. experience
* Experience managing data pipelines
* Experience as a leader and mentor on a data science team
* Master's degree in a quantitative field such as statistics, mathematics, data science, business analytics, economics, finance, engineering, or computer science
* Familiarity with internals of LLMs, VLMs, and traditional Computer Vision object detection models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\- 159,200\.00 \- 215,300\.00 USD annually  
USA, VA, Herndon \- 159,200\.00 \- 215,300\.00 USD annually</t>
        </is>
      </c>
    </row>
    <row r="125">
      <c r="A125" t="inlineStr">
        <is>
          <t>in-c82e5fb557099cb0</t>
        </is>
      </c>
      <c r="B125" t="inlineStr">
        <is>
          <t>Data Scientist - Computer Vision, Data &amp; Machine Learning (DML)</t>
        </is>
      </c>
      <c r="C125" t="inlineStr">
        <is>
          <t>Amazon Web Services</t>
        </is>
      </c>
      <c r="D125" t="inlineStr">
        <is>
          <t>indeed</t>
        </is>
      </c>
      <c r="E125" t="inlineStr"/>
      <c r="F125" t="inlineStr"/>
      <c r="G125" t="inlineStr">
        <is>
          <t>Arlington, VA, US</t>
        </is>
      </c>
      <c r="H125" s="2" t="n">
        <v>46051</v>
      </c>
      <c r="I125"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 Exploring the data and brainstorming and prioritizing ideas for model development
* Implementing new features in our sizable code base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Three to four days a week, you would travel to the customer site in Northern Virginia to perform tasking as described below. Weekdays when you do not travel to the customer site, you would work from your local Amazon office.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Apache AirFlow,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 Run data conversion pipelines to transform customer data into the structure needed by models for training
* Perform EDA on the customer data
* Train deep neural network models on overhead imagery
* Develop and implement hyper\-parameter optimization strategies
* Test and Evaluate models and analyze results
* Package and deliver models to the customer
* Incorporate model R\&amp;D from low\-side researchers
* Implement new features to the model development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Experience with AWS services including S3, Redshift, Sagemaker, EMR, Kinesis, Lambda, and EC2
* Current, active US Government Security Clearance of Top Secret or above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effectively communicating complex concepts through written and verbal communication
* Experience in Linux, PyTorch, and Git workflows for MLOps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26">
      <c r="A126" t="inlineStr">
        <is>
          <t>in-9c455bb98033f581</t>
        </is>
      </c>
      <c r="B126" t="inlineStr">
        <is>
          <t>Data Scientist - Computer Vision, Data &amp; Machine Learning (DML)</t>
        </is>
      </c>
      <c r="C126" t="inlineStr">
        <is>
          <t>Amazon Web Services</t>
        </is>
      </c>
      <c r="D126" t="inlineStr">
        <is>
          <t>indeed</t>
        </is>
      </c>
      <c r="E126" t="inlineStr"/>
      <c r="F126" t="inlineStr"/>
      <c r="G126" t="inlineStr">
        <is>
          <t>Herndon, VA, US</t>
        </is>
      </c>
      <c r="H126" s="2" t="n">
        <v>46051</v>
      </c>
      <c r="I126"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 Exploring the data and brainstorming and prioritizing ideas for model development
* Implementing new features in our sizable code base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Three to four days a week, you would travel to the customer site in Northern Virginia to perform tasking as described below. Weekdays when you do not travel to the customer site, you would work from your local Amazon office.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Apache AirFlow,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 Run data conversion pipelines to transform customer data into the structure needed by models for training
* Perform EDA on the customer data
* Train deep neural network models on overhead imagery
* Develop and implement hyper\-parameter optimization strategies
* Test and Evaluate models and analyze results
* Package and deliver models to the customer
* Incorporate model R\&amp;D from low\-side researchers
* Implement new features to the model development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Experience with AWS services including S3, Redshift, Sagemaker, EMR, Kinesis, Lambda, and EC2
* Current, active US Government Security Clearance of Top Secret or above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effectively communicating complex concepts through written and verbal communication
* Experience in Linux, PyTorch, and Git workflows for MLOps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27">
      <c r="A127" t="inlineStr">
        <is>
          <t>in-e1cd7cf1146d39b3</t>
        </is>
      </c>
      <c r="B127" t="inlineStr">
        <is>
          <t>Data Scientist- Vision Language Model Researcher, Data &amp; Machine Learning (DML)</t>
        </is>
      </c>
      <c r="C127" t="inlineStr">
        <is>
          <t>Amazon Web Services</t>
        </is>
      </c>
      <c r="D127" t="inlineStr">
        <is>
          <t>indeed</t>
        </is>
      </c>
      <c r="E127" t="inlineStr"/>
      <c r="F127" t="inlineStr"/>
      <c r="G127" t="inlineStr">
        <is>
          <t>Arlington, VA, US</t>
        </is>
      </c>
      <c r="H127" s="2" t="n">
        <v>46051</v>
      </c>
      <c r="I127" t="inlineStr">
        <is>
          <t>**DESCRIPTION**
---------------
This position requires that the candidate selected be a US Citizen and currently possess and maintain an active Top Secret security clearance.  
Join a sizeable team of data scientists, research scientists, and machine learning engineers that develop vision language models (VLMs) on overhead imagery for a high\-impact government customer. We own the entire machine learning development life cycle, developing models on customer data:
* Exploring the data and brainstorming and prioritizing ideas for model development
* Implementing new features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You would work collaboratively with teammates to develop and use a python codebase for fine\-tuning VLMs.
You would have great opportunities to learn from team members and technical leads, while also having opportunities for ownership of important project workflows. You would work with Jupyter Notebooks, the Linux command line, GitLab, and Visual Studio Code.
Key job responsibilities  
With support from technical leads, carry out tasking across the entire machine learning development lifecycle to fine\-tune VLMs on overhead imagery:
* Run data conversion pipelines to transform customer data into the structure needed by models for training
* Perform EDA on the customer data
* Train VLMs on overhead imagery
* Develop and implement hyper\-parameter optimization strategies
* Test and Evaluate models and analyze results
* Package and deliver models to the customer
* Implement new features to the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Current, active US government Security Clearance of TS/SCI
* Familiarity with internals of LLMs, VLMs, and traditional Computer Vision object detection models
* Ability to implement and modify deep neural networks in PyTorch
* Familiarity with techniques and libraries such as Deepspeed/ZeRO, LoRA/QLoRA, or SFT for LLMs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with AWS services including S3, Redshift, Sagemaker, EMR, Kinesis, Lambda, and EC2
* Experience in Linux, Git workflows, and use of satellite imagery for computer vision requirements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28">
      <c r="A128" t="inlineStr">
        <is>
          <t>in-c50276c4db430a88</t>
        </is>
      </c>
      <c r="B128" t="inlineStr">
        <is>
          <t>Data Scientist- Vision Language Model Researcher, Data &amp; Machine Learning (DML)</t>
        </is>
      </c>
      <c r="C128" t="inlineStr">
        <is>
          <t>Amazon Web Services</t>
        </is>
      </c>
      <c r="D128" t="inlineStr">
        <is>
          <t>indeed</t>
        </is>
      </c>
      <c r="E128" t="inlineStr"/>
      <c r="F128" t="inlineStr"/>
      <c r="G128" t="inlineStr">
        <is>
          <t>Herndon, VA, US</t>
        </is>
      </c>
      <c r="H128" s="2" t="n">
        <v>46051</v>
      </c>
      <c r="I128" t="inlineStr">
        <is>
          <t>**DESCRIPTION**
---------------
This position requires that the candidate selected be a US Citizen and currently possess and maintain an active Top Secret security clearance.  
Join a sizeable team of data scientists, research scientists, and machine learning engineers that develop vision language models (VLMs) on overhead imagery for a high\-impact government customer. We own the entire machine learning development life cycle, developing models on customer data:
* Exploring the data and brainstorming and prioritizing ideas for model development
* Implementing new features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You would work collaboratively with teammates to develop and use a python codebase for fine\-tuning VLMs.
You would have great opportunities to learn from team members and technical leads, while also having opportunities for ownership of important project workflows. You would work with Jupyter Notebooks, the Linux command line, GitLab, and Visual Studio Code.
Key job responsibilities  
With support from technical leads, carry out tasking across the entire machine learning development lifecycle to fine\-tune VLMs on overhead imagery:
* Run data conversion pipelines to transform customer data into the structure needed by models for training
* Perform EDA on the customer data
* Train VLMs on overhead imagery
* Develop and implement hyper\-parameter optimization strategies
* Test and Evaluate models and analyze results
* Package and deliver models to the customer
* Implement new features to the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Current, active US government Security Clearance of TS/SCI
* Familiarity with internals of LLMs, VLMs, and traditional Computer Vision object detection models
* Ability to implement and modify deep neural networks in PyTorch
* Familiarity with techniques and libraries such as Deepspeed/ZeRO, LoRA/QLoRA, or SFT for LLMs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with AWS services including S3, Redshift, Sagemaker, EMR, Kinesis, Lambda, and EC2
* Experience in Linux, Git workflows, and use of satellite imagery for computer vision requirements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29">
      <c r="A129" t="inlineStr">
        <is>
          <t>in-d7b9eb3937ae1aa7</t>
        </is>
      </c>
      <c r="B129" t="inlineStr">
        <is>
          <t>Data Scientist - Computer Vision, Data &amp; Machine Learning (DML)</t>
        </is>
      </c>
      <c r="C129" t="inlineStr">
        <is>
          <t>Amazon Web Services</t>
        </is>
      </c>
      <c r="D129" t="inlineStr">
        <is>
          <t>indeed</t>
        </is>
      </c>
      <c r="E129" t="inlineStr"/>
      <c r="F129" t="inlineStr"/>
      <c r="G129" t="inlineStr">
        <is>
          <t>Arlington, VA, US</t>
        </is>
      </c>
      <c r="H129" s="2" t="n">
        <v>46051</v>
      </c>
      <c r="I129"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Exploring the data and brainstorming and prioritizing ideas for model development
Implementing new features in our sizable code base
Training models in support of experimental or performance goals
T\&amp;E\-ing, packaging, and delivering models  
We perform this work on both unclassified and classified networks, with portions of our team working on each network.
We seek a new team member to work primarily on the unclassified networks.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AWS Services,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Run data conversion pipelines to transform customer data into the structure needed by models for training
Perform EDA on the customer data
Train deep neural network models on overhead imagery
Develop and implement hyper\-parameter optimization strategies
Test and Evaluate models and analyze results
Package and deliver models to the customer
Implement new features to the model development code base
Collaborate with the rest of the team on long term strategy and short\-medium term implementation.
Contribute to presentations to the customer regarding the team’s work.
**BASIC QUALIFICATIONS**
------------------------
* Bachelor's degree or above in computer science, computer engineering, or related field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Experience with AWS services including S3, Redshift, Sagemaker, EMR, Kinesis, Lambda, and EC2
* Current, active US Government Security Clearance of Top Secret or above
**PREFERRED QUALIFICATIONS**
----------------------------
* Knowledge of machine learning concepts and their application to reasoning and problem\-solving
* Experience in a ML or data scientist role with a large technology company
* Experience working on multi\-team, cross\-disciplinary projects
* Master's degree or above in computer science, machine learning, engineering, or related fields
* Experience in Linux, PyTorch, and Git workflows for MLOps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30">
      <c r="A130" t="inlineStr">
        <is>
          <t>in-6ce9a9fc71c11fdd</t>
        </is>
      </c>
      <c r="B130" t="inlineStr">
        <is>
          <t>Data Scientist - Computer Vision, Data &amp; Machine Learning (DML)</t>
        </is>
      </c>
      <c r="C130" t="inlineStr">
        <is>
          <t>Amazon Web Services</t>
        </is>
      </c>
      <c r="D130" t="inlineStr">
        <is>
          <t>indeed</t>
        </is>
      </c>
      <c r="E130" t="inlineStr"/>
      <c r="F130" t="inlineStr"/>
      <c r="G130" t="inlineStr">
        <is>
          <t>Herndon, VA, US</t>
        </is>
      </c>
      <c r="H130" s="2" t="n">
        <v>46051</v>
      </c>
      <c r="I130"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Exploring the data and brainstorming and prioritizing ideas for model development
Implementing new features in our sizable code base
Training models in support of experimental or performance goals
T\&amp;E\-ing, packaging, and delivering models  
We perform this work on both unclassified and classified networks, with portions of our team working on each network.
We seek a new team member to work primarily on the unclassified networks.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AWS Services,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Run data conversion pipelines to transform customer data into the structure needed by models for training
Perform EDA on the customer data
Train deep neural network models on overhead imagery
Develop and implement hyper\-parameter optimization strategies
Test and Evaluate models and analyze results
Package and deliver models to the customer
Implement new features to the model development code base
Collaborate with the rest of the team on long term strategy and short\-medium term implementation.
Contribute to presentations to the customer regarding the team’s work.
**BASIC QUALIFICATIONS**
------------------------
* Bachelor's degree or above in computer science, computer engineering, or related field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Experience with AWS services including S3, Redshift, Sagemaker, EMR, Kinesis, Lambda, and EC2
* Current, active US Government Security Clearance of Top Secret or above
**PREFERRED QUALIFICATIONS**
----------------------------
* Knowledge of machine learning concepts and their application to reasoning and problem\-solving
* Experience in a ML or data scientist role with a large technology company
* Experience working on multi\-team, cross\-disciplinary projects
* Master's degree or above in computer science, machine learning, engineering, or related fields
* Experience in Linux, PyTorch, and Git workflows for MLOps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31">
      <c r="A131" t="inlineStr">
        <is>
          <t>in-a019ce385e068f2f</t>
        </is>
      </c>
      <c r="B131" t="inlineStr">
        <is>
          <t>Manager, Data Scientist - Model Risk Audit</t>
        </is>
      </c>
      <c r="C131" t="inlineStr">
        <is>
          <t>Capital One</t>
        </is>
      </c>
      <c r="D131" t="inlineStr">
        <is>
          <t>indeed</t>
        </is>
      </c>
      <c r="E131" t="inlineStr"/>
      <c r="F131" t="inlineStr"/>
      <c r="G131" t="inlineStr">
        <is>
          <t>McLean, VA, US</t>
        </is>
      </c>
      <c r="H131" s="2" t="n">
        <v>46066</v>
      </c>
      <c r="I131" t="inlineStr">
        <is>
          <t>Manager, Data Scientist \- Model Risk Audit
Data is at the center of everything we do. As a startup, we disrupted the credit card industry by individually personalizing every credit card offer using statistical modeling and the relational database, cutting edge technology in 1988! Fast\-forward a few years, and this little innovation and our passion for data has skyrocketed us to a Fortune 200 company and a leader in the world of data\-driven decision\-making.
As a Data Scientist at Capital One, you’ll be part of a team that’s leading the next wave of disruption at a whole new scale, using the latest in computing and machine learning technologies and operating across billions of customer records to unlock the big opportunities that help everyday people save money, time and agony in their financial lives.
As part of Capital One’s Model Audit team, you will have a unique vantage point to review models and model risk practices across the enterprise and the opportunity to connect the dots to raise the appropriate model risk issues and provide assurance to the Audit Committee. Successful candidates will partner cross\-functionally with business throughout the company to deliver breakthrough analytical solutions to support a winning strategy in a continually changing business environment. You will be the driving force to experiment, innovate, and create next\-generation features powered by the latest emerging NLP and Generative AI technologies. If you love a fast\-paced, highly rewarding environment, and you love being a builder and communicator, this is the place for you.
**In this role, you will:**
* Partner with a cross\-functional team of data scientists, software engineers, and product managers to deliver a product customers love
* Leverage a broad stack of technologies \- Python, Conda, AWS, H2O, Spark, and more \- to reveal the insights hidden within huge volumes of numeric and textual data
* Build machine learning models through all phases of development, from design through training, evaluation, validation, and implementation
* Flex your interpersonal skills to translate the complexity of your work into tangible business goals
**The Ideal Candidate is:**
* Innovative. You continually research and evaluate emerging technologies. You stay current on published state\-of\-the\-art methods, technologies, and applications and seek out opportunities to apply them.
* Creative. You thrive on bringing definition to big, undefined problems. You love asking questions and pushing hard to find answers. You’re not afraid to share a new idea.
* A leader. You challenge conventional thinking and work with stakeholders to identify and improve the status quo. You’re passionate about talent development for your own team and beyond.
* Statistically\-minded. You’ve built models, validated them, and backtested them. You know how to interpret a confusion matrix or a ROC curve. You have experience with clustering, classification, sentiment analysis, time series, and deep learning.
**Basic Qualifications:**
* Currently has, or is in the process of obtaining one of the following with an expectation that the required degree will be obtained on or before the scheduled start date:
	+ A Bachelor's Degree in a quantitative field (Statistics, Economics, Operations Research, Analytics, Mathematics, Computer Science, or a related quantitative field) plus 6 years of experience performing data analytics
	+ A Master's Degree in a quantitative field (Statistics, Economics, Operations Research, Analytics, Mathematics, Computer Science, or a related quantitative field) or an MBA with a quantitative concentration plus 4 years of experience performing data analytics
	+ A PhD in a quantitative field (Statistics, Economics, Operations Research, Analytics, Mathematics, Computer Science, or a related quantitative field) plus 1 year of experience performing data analytics
* At least 1 year of experience leveraging open source programming languages for large scale data analysis
* At least 1 year of experience working with machine learning
* At least 1 year of experience utilizing relational databases
**Preferred Qualifications:**
* PhD in “STEM” field (Science, Technology, Engineering, or Mathematics) plus 3 years of experience in data analytics
* At least 1 year of experience working with AWS
* At least 4 years’ experience in Python, Scala, or R for large scale data analysis
* At least 4 years’ experience with machine learning
* At least 4 years’ experience with SQL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Plano, TX: $179,400 \- $204,700 for Mgr, Data Science  
Charlotte, NC: $179,400 \- $204,700 for Mgr, Data Science  
McLean, VA: $197,300 \- $225,100 for Mgr, Data Science  
New York, NY: $215,200 \- $245,600 for Mgr, Data Science  
Richmond, VA: $179,400 \- $204,700 for Mgr, Data Science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32">
      <c r="A132" t="inlineStr">
        <is>
          <t>in-b948a9a2ac83d61f</t>
        </is>
      </c>
      <c r="B132" t="inlineStr">
        <is>
          <t>Senior Data Scientist, Apple Services Engineering</t>
        </is>
      </c>
      <c r="C132" t="inlineStr">
        <is>
          <t>Apple</t>
        </is>
      </c>
      <c r="D132" t="inlineStr">
        <is>
          <t>indeed</t>
        </is>
      </c>
      <c r="E132" t="inlineStr"/>
      <c r="F132" t="inlineStr"/>
      <c r="G132" t="inlineStr">
        <is>
          <t>Cupertino, CA, US</t>
        </is>
      </c>
      <c r="H132" s="2" t="n">
        <v>46065</v>
      </c>
      <c r="I132" t="inlineStr">
        <is>
          <t>We are seeking an exceptional Senior Data Scientist to join our Experimentation Data Science team. In this role, you will lead the development of cutting\-edge statistical and causal inference methods, design and analyze large\-scale experiments on Apple Media products, and partner closely with cross\-functional teams to advance our strategic decision\-making. You will bring deep research expertise, strong technical acumen, and the ability to translate complex insights into practical business recommendations.  
This is a high\-impact role for someone who thrives at the intersection of research, experimentation, and real\-world application\-and who is passionate about shaping data science excellence at scale.  
**Description**  
Conduct research and develop novel statistical and causal inference methodologies applicable to experimentation at scale. Publish, present, and champion new techniques that push the boundaries of real\-world data science. Design, implement, and analyze A/B tests and quasi\-experiments across a variety of product, platform, and business domains. Apply advanced causal inference methods (e.g., matching, synthetic controls, IV, DiD, uplift modeling) to generate robust, reliable insights. Work fluently with large\-scale data systems, including HDFS, Spark, Scala, and distributed computing frameworks. Develop and leverage modern data tooling to support fast, scalable experimentation. Build high\-quality data products using Python, R, and related open\-source tools. Clean, synthesize, and analyze complex datasets with rigor and efficiency. Translate ambiguous business questions into well\-structured analytical approaches and experimental designs. Deliver clear, actionable recommendations that inform strategy and accelerate impact. Present complex analytical findings to technical and non\-technical audiences with clarity, precision, and confidence. Develop compelling presentations and visualizations that communicate insights effectively and drive decision\-making. Collaborate with product managers, engineers, design teams, and other data scientists to scale experimentation and causal inference best practices across the organization. Mentor others, contribute to team standards, and model excellence in scientific rigor and collaboration. Demonstrate a strong sense of ownership, accountability, and a passion for elevating experimentation science. Continuously learn, explore new methods, and adapt to evolving technologies and business needs.  
**Preferred Qualifications**  
A collaborative mindset, excellent organization, and a passion for scaling processes and sharing knowledge.  
A growth\-oriented, curious, and adaptive approach to your work and the evolving data science landscape.  
**Minimum Qualifications**  
PhD in Statistics, Computer Science, Economics, Mathematics, or a related quantitative discipline, with a strong publication record in top\-tier journals or conferences.  
Extensive experience with advanced statistical methodology, experimentation frameworks, and causal inference techniques.  
Hands\-on expertise with big data ecosystems, including HDFS, Spark, and Scala.  
Proficiency in Python and/or R, with strong software engineering and data manipulation skills.  
Exceptional communication skills, with the ability to simplify complex topics and engage with stakeholders at all levels.  
Proven ability to translate business needs into scientific solutions, balancing rigor with practicality.  
Strong presentation and data visualization skills (e.g., ggplot, matplotlib, Plotly, Shiny, dashboards, storytelling tools).  
Apple is an equal opportunity employer that is committed to inclusion and diversity. We seek to promote equal opportunity for all applicants without regard to race, color, religion, sex, sexual orientation, gender identity, national origin, disability, Veteran status, or other legally protected characteristics. Learn more about your EEO rights as an applicant .  
**Pay \&amp; Benefits**  
At Apple, base pay is one part of our total compensation package and is determined within a range. This provides the opportunity to progress as you grow and develop within a role. The base pay range for this role is between $172,100 and $305,600, and your base pay will depend on your skills, qualifications, experience, and location.  
Apple employees also have the opportunity to become an Apple shareholder through participation in Apple's discretionary employee stock programs. Apple employees are eligible for discretionary restricted stock unit awards, and can purchase Apple stock at a discount if voluntarily participating in Apple's Employee Stock Purchase Plan. You'll also receive benefits including: Comprehensive medical and dental coverage, retirement benefits, a range of discounted products and free services, and for formal education related to advancing your career at Apple, reimbursement for certain educational expenses \- including tuition. Additionally, this role might be eligible for discretionary bonuses or commission payments as well as relocation. Learn more about Apple Benefits.  
Note: Apple benefit, compensation and employee stock programs are subject to eligibility requirements and other terms of the applicable plan or program.</t>
        </is>
      </c>
    </row>
    <row r="133">
      <c r="A133" t="inlineStr">
        <is>
          <t>in-c342ddee9646d264</t>
        </is>
      </c>
      <c r="B133" t="inlineStr">
        <is>
          <t>Senior Data Scientist, Apple Services Engineering</t>
        </is>
      </c>
      <c r="C133" t="inlineStr">
        <is>
          <t>Apple</t>
        </is>
      </c>
      <c r="D133" t="inlineStr">
        <is>
          <t>indeed</t>
        </is>
      </c>
      <c r="E133" t="inlineStr"/>
      <c r="F133" t="inlineStr"/>
      <c r="G133" t="inlineStr">
        <is>
          <t>Cupertino, CA, US</t>
        </is>
      </c>
      <c r="H133" s="2" t="n">
        <v>46065</v>
      </c>
      <c r="I133" t="inlineStr">
        <is>
          <t>We are seeking an exceptional Senior Data Scientist to join our Experimentation Data Science team. In this role, you will lead the development of cutting\-edge statistical and causal inference methods, design and analyze large\-scale experiments on Apple Media products, and partner closely with cross\-functional teams to advance our strategic decision\-making. You will bring deep research expertise, strong technical acumen, and the ability to translate complex insights into practical business recommendations.  
This is a high\-impact role for someone who thrives at the intersection of research, experimentation, and real\-world application\-and who is passionate about shaping data science excellence at scale.  
**Description**  
Conduct research and develop novel statistical and causal inference methodologies applicable to experimentation at scale. Publish, present, and champion new techniques that push the boundaries of real\-world data science. Design, implement, and analyze A/B tests and quasi\-experiments across a variety of product, platform, and business domains. Apply advanced causal inference methods (e.g., matching, synthetic controls, IV, DiD, uplift modeling) to generate robust, reliable insights. Work fluently with large\-scale data systems, including HDFS, Spark, Scala, and distributed computing frameworks. Develop and leverage modern data tooling to support fast, scalable experimentation. Build high\-quality data products using Python, R, and related open\-source tools. Clean, synthesize, and analyze complex datasets with rigor and efficiency. Translate ambiguous business questions into well\-structured analytical approaches and experimental designs. Deliver clear, actionable recommendations that inform strategy and accelerate impact. Present complex analytical findings to technical and non\-technical audiences with clarity, precision, and confidence. Develop compelling presentations and visualizations that communicate insights effectively and drive decision\-making. Collaborate with product managers, engineers, design teams, and other data scientists to scale experimentation and causal inference best practices across the organization. Mentor others, contribute to team standards, and model excellence in scientific rigor and collaboration. Demonstrate a strong sense of ownership, accountability, and a passion for elevating experimentation science. Continuously learn, explore new methods, and adapt to evolving technologies and business needs.  
**Preferred Qualifications**  
A collaborative mindset, excellent organization, and a passion for scaling processes and sharing knowledge.  
A growth\-oriented, curious, and adaptive approach to your work and the evolving data science landscape.  
**Minimum Qualifications**  
PhD in Statistics, Computer Science, Economics, Mathematics, or a related quantitative discipline, with a strong publication record in top\-tier journals or conferences.  
Extensive experience with advanced statistical methodology, experimentation frameworks, and causal inference techniques.  
Hands\-on expertise with big data ecosystems, including HDFS, Spark, and Scala.  
Proficiency in Python and/or R, with strong software engineering and data manipulation skills.  
Exceptional communication skills, with the ability to simplify complex topics and engage with stakeholders at all levels.  
Proven ability to translate business needs into scientific solutions, balancing rigor with practicality.  
Strong presentation and data visualization skills (e.g., ggplot, matplotlib, Plotly, Shiny, dashboards, storytelling tools).  
Apple is an equal opportunity employer that is committed to inclusion and diversity. We seek to promote equal opportunity for all applicants without regard to race, color, religion, sex, sexual orientation, gender identity, national origin, disability, Veteran status, or other legally protected characteristics. Learn more about your EEO rights as an applicant .  
**Pay \&amp; Benefits**  
At Apple, base pay is one part of our total compensation package and is determined within a range. This provides the opportunity to progress as you grow and develop within a role. The base pay range for this role is between $172,100 and $305,600, and your base pay will depend on your skills, qualifications, experience, and location.  
Apple employees also have the opportunity to become an Apple shareholder through participation in Apple's discretionary employee stock programs. Apple employees are eligible for discretionary restricted stock unit awards, and can purchase Apple stock at a discount if voluntarily participating in Apple's Employee Stock Purchase Plan. You'll also receive benefits including: Comprehensive medical and dental coverage, retirement benefits, a range of discounted products and free services, and for formal education related to advancing your career at Apple, reimbursement for certain educational expenses \- including tuition. Additionally, this role might be eligible for discretionary bonuses or commission payments as well as relocation. Learn more about Apple Benefits.  
Note: Apple benefit, compensation and employee stock programs are subject to eligibility requirements and other terms of the applicable plan or program.</t>
        </is>
      </c>
    </row>
    <row r="134">
      <c r="A134" t="inlineStr">
        <is>
          <t>in-03ab2434b6555027</t>
        </is>
      </c>
      <c r="B134" t="inlineStr">
        <is>
          <t>Senior Data Scientist</t>
        </is>
      </c>
      <c r="C134" t="inlineStr">
        <is>
          <t>Microsoft</t>
        </is>
      </c>
      <c r="D134" t="inlineStr">
        <is>
          <t>indeed</t>
        </is>
      </c>
      <c r="E134" t="inlineStr"/>
      <c r="F134" t="inlineStr"/>
      <c r="G134" t="inlineStr">
        <is>
          <t>Redmond, WA, US</t>
        </is>
      </c>
      <c r="H134" s="2" t="n">
        <v>46064</v>
      </c>
      <c r="I134" t="inlineStr">
        <is>
          <t>**Overview**  
Do you want to be at the cutting edge of AI that expands SharePoint’s role as a leader in content management as we enter the age of AI.
The SharePoint Platform powers file collaboration for OneDrive, Microsoft Office, Teams, OneNote, Education, Copilot, and much more – making it one of the largest storage platforms in the world and a leader in content management systems. This storage is at the heart of AI, powering Copilot experiences across Microsoft 365\.
We’re looking for a **Senior Data Scientist** with an understanding complex platform problems and using industry\-leading analytical techniques to find insights that transform our business and product experiences. Ideal candidates should be able to take a business or engineering problem from Product, Applied Science or Engineering leaders, translate it to a Data Science problem, conduct the appropriate analysis and modeling to reveal actionable insights, and help drive deep change.
As a Senior Data Scientist for the OneDrive and SharePoint Platform team, you will shape the future of AI across Microsoft 365 by leading the innovation and delivery of the core OneDrive and SharePoint AI Platform. You will drive the data science vision and strategy for the team, which is the backbone of Microsoft 365 AI experiences, and provides foundational file grounding and RAG across all Microsoft products and services. You will help develop deep understanding of how the SharePoint platforms enables and empower core AI scenarios for Copilot, Agents, Copilot Notebooks and many Microsoft applications.
You will be part of a high\-performing and high\-ambition Product Management organization for one of the largest and most impactful services on the planet, which provides the essential storage and data that fuels AI and Copilot scenarios. You will foster a culture of data obsession, innovation, and collaboration within our team and across Microsoft.
We are a modern team of product managers, applied scientists and engineers for one of the largest business and consumer services on the planet. Our product ranges from consumer mobile features to developer experiences to large\-scale distributed systems. We are data informed and hypothesis driven and measure our outcomes to prove we deliver value to customers. We partner closely with a talented and senior set of engineers, designers, and researchers. Most of our team is local to Redmond, Washington. We also work with peers in Europe \&amp; Asia and we all contribute directly to OneDrive \&amp; SharePoint.
Part of building a successful team is having an inclusive workplace where all people and ideas are welcome. Transparency is also core to our culture. We leverage internal \&amp; external tools to get feedback, celebrate the work of our peers, and drive local and industry level changes. Additionally, we believe strongly in providing new opportunities for talent mobility \&amp; experimentation in your job with other parts of the team and company.
Lastly, we focus on, and have a track record of, delivering strong business results with key metrics to track our successes and failures. We like to have fun, celebrate our wins, and learn from our mistakes.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Work across different functions to translate business problems into ones that can be solved and informed by data analysis.
* Have curiosity and apply analytical skills to dive deep into data to find key insights that identify platform problems and potential solutions.
* Develop models of platform usage, user behavior \&amp; business behavior to make recommendations and influence the product road map.
* Develop and apply rigorous evaluation frameworks, including inventing new metrics and validation methods as needed.
* Maintain deep industry knowledge of data science trends and technologies to inform strategy and thought leadership.
* Prepare clear executive\-ready reviews, including presentations and asynchronous communications.
* Build, maintain, and report scorecards to track quality, performance, and business outcomes.
* Partner with Applied Science \&amp; Research, as well as your peers in PM across Microsoft to deliver seamless platform capabilities.
* Utilize tools like SQL, R, Python to execute analyses.
* Utilize LLMs and other AI technologies to revolutionize data science practices within the team, enhancing the speed, accuracy, and scalability of data analysis and insight generation.
* Embody our culture and values
**Qualifications** **Required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Doctorate in Data Science, Mathematics, Statistics, Econometrics, Economics, Operations Research, Computer Science, or related field AND 3\+ years data\-science experience (e.g., managing structured and unstructured data, applying statistical techniques and reporting results)
	+ OR Master's Degree in Data Science, Mathematics, Statistics, Econometrics, Economics, Operations Research, Computer Science, or related field AND 5\+ years data\-science experience (e.g., managing structured and unstructured data, applying statistical techniques and reporting results)
	+ OR Bachelor's Degree in Data Science, Mathematics, Statistics, Econometrics, Economics, Operations Research, Computer Science, or related field AND 7\+ years data\-science experience (e.g., managing structured and unstructured data, applying statistical techniques and reporting results)
	+ OR equivalent experience. Advanced degree in Data Science, Mathematics, Statistics, Econometrics, Economics, Operations Research, Computer Science, or related field with deep, sustained data science experience.
* Experience managing complex structured and unstructured datasets and applying advanced statistical or machine learning techniques.
* Experience designing and optimizing data models and queries in Cosmos DB at scale.
* Experience deploying and monitoring ML models in Azure\-based production environments.
* Experience defining evaluation methodologies and influencing data science standards at team or organizational level.
* Experience working with large\-scale, distributed data stores.
* Experience programming skills in Python or C\# with experience building data pipelines and production ML workflows.
* 2\+ years’ experience working in enterprise software and large\-scale platforms, project\-delivery experience, professional services, and/or consulting experience.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35">
      <c r="A135" t="inlineStr">
        <is>
          <t>in-052cd39990abd722</t>
        </is>
      </c>
      <c r="B135" t="inlineStr">
        <is>
          <t>Senior Data Scientist</t>
        </is>
      </c>
      <c r="C135" t="inlineStr">
        <is>
          <t>Microsoft</t>
        </is>
      </c>
      <c r="D135" t="inlineStr">
        <is>
          <t>indeed</t>
        </is>
      </c>
      <c r="E135" t="inlineStr"/>
      <c r="F135" t="inlineStr"/>
      <c r="G135" t="inlineStr">
        <is>
          <t>Redmond, WA, US</t>
        </is>
      </c>
      <c r="H135" s="2" t="n">
        <v>46064</v>
      </c>
      <c r="I135" t="inlineStr">
        <is>
          <t>**Overview**  
Do you want to be at the cutting edge of AI that expands SharePoint’s role as a leader in content management as we enter the age of AI.
The SharePoint Platform powers file collaboration for OneDrive, Microsoft Office, Teams, OneNote, Education, Copilot, and much more – making it one of the largest storage platforms in the world and a leader in content management systems. This storage is at the heart of AI, powering Copilot experiences across Microsoft 365\.
We’re looking for a **Senior Data Scientist** with an understanding complex platform problems and using industry\-leading analytical techniques to find insights that transform our business and product experiences. Ideal candidates should be able to take a business or engineering problem from Product, Applied Science or Engineering leaders, translate it to a Data Science problem, conduct the appropriate analysis and modeling to reveal actionable insights, and help drive deep change.
As a Senior Data Scientist for the OneDrive and SharePoint Platform team, you will shape the future of AI across Microsoft 365 by leading the innovation and delivery of the core OneDrive and SharePoint AI Platform. You will drive the data science vision and strategy for the team, which is the backbone of Microsoft 365 AI experiences, and provides foundational file grounding and RAG across all Microsoft products and services. You will help develop deep understanding of how the SharePoint platforms enables and empower core AI scenarios for Copilot, Agents, Copilot Notebooks and many Microsoft applications.
You will be part of a high\-performing and high\-ambition Product Management organization for one of the largest and most impactful services on the planet, which provides the essential storage and data that fuels AI and Copilot scenarios. You will foster a culture of data obsession, innovation, and collaboration within our team and across Microsoft.
We are a modern team of product managers, applied scientists and engineers for one of the largest business and consumer services on the planet. Our product ranges from consumer mobile features to developer experiences to large\-scale distributed systems. We are data informed and hypothesis driven and measure our outcomes to prove we deliver value to customers. We partner closely with a talented and senior set of engineers, designers, and researchers. Most of our team is local to Redmond, Washington. We also work with peers in Europe \&amp; Asia and we all contribute directly to OneDrive \&amp; SharePoint.
Part of building a successful team is having an inclusive workplace where all people and ideas are welcome. Transparency is also core to our culture. We leverage internal \&amp; external tools to get feedback, celebrate the work of our peers, and drive local and industry level changes. Additionally, we believe strongly in providing new opportunities for talent mobility \&amp; experimentation in your job with other parts of the team and company.
Lastly, we focus on delivering strong business results with key metrics to track our successes and failures. We like to have fun, celebrate our wins, and learn from our mistakes.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Work across different functions to translate business problems into ones that can be solved and informed by data analysis.
* Have curiosity and apply analytical skills to dive deep into data to find key insights that identify platform problems and potential solutions.
* Develop models of platform usage, user behavior \&amp; business behavior to make recommendations and influence the product road map.
* Develop and apply rigorous evaluation frameworks, including inventing new metrics and validation methods as needed.
* Maintain deep industry knowledge of data science trends and technologies to inform strategy and thought leadership.
* Prepare clear executive\-ready reviews, including presentations and asynchronous communications.
* Build, maintain, and report scorecards to track quality, performance, and business outcomes.
* Partner with Applied Science \&amp; Research, as well as your peers in PM across Microsoft to deliver seamless platform capabilities.
* Utilize tools like SQL, R, Python to execute analyses.
* Utilize LLMs and other AI technologies to revolutionize data science practices within the team, enhancing the speed, accuracy, and scalability of data analysis and insight generation.
* Embody our culture and values
**Qualifications** **Required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Doctorate in Data Science, Mathematics, Statistics, Econometrics, Economics, Operations Research, Computer Science, or related field AND 3\+ years data\-science experience (e.g., managing structured and unstructured data, applying statistical techniques and reporting results)
	+ OR Master's Degree in Data Science, Mathematics, Statistics, Econometrics, Economics, Operations Research, Computer Science, or related field AND 5\+ years data\-science experience (e.g., managing structured and unstructured data, applying statistical techniques and reporting results)
	+ OR Bachelor's Degree in Data Science, Mathematics, Statistics, Econometrics, Economics, Operations Research, Computer Science, or related field AND 7\+ years data\-science experience (e.g., managing structured and unstructured data, applying statistical techniques and reporting results)
	+ OR equivalent experience.
* Experience working with large\-scale, distributed data stores.
* Experience programming in Python or C\# with experience building data pipelines and production ML workflows.
* 2\+ years’ experience working in enterprise software and large\-scale platforms, project\-delivery experience, professional services, and/or consulting experience.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36">
      <c r="A136" t="inlineStr">
        <is>
          <t>in-f130a985516128a1</t>
        </is>
      </c>
      <c r="B136" t="inlineStr">
        <is>
          <t>SENIOR DATA SCIENTIST</t>
        </is>
      </c>
      <c r="C136" t="inlineStr">
        <is>
          <t>police department</t>
        </is>
      </c>
      <c r="D136" t="inlineStr">
        <is>
          <t>indeed</t>
        </is>
      </c>
      <c r="E136" t="inlineStr"/>
      <c r="F136" t="inlineStr"/>
      <c r="G136" t="inlineStr">
        <is>
          <t>New York, NY, US</t>
        </is>
      </c>
      <c r="H136" s="2" t="n">
        <v>46066</v>
      </c>
      <c r="I136" t="inlineStr">
        <is>
          <t>**SENIOR DATA SCIENTIST**
=========================
* POLICE DEPARTMENT
Posted On: 02/14/2026
* Full\-Time
Location
NYC\-ALL BOROS
* No Exam Required
Department
Office Mgmt Analysis \&amp; Plan/CV
Salary Range:
$109,565\.00 – $142,112\.00
**Save**
**Job Description**
-------------------
The mission of the New York City Police Department is to enhance the quality of life in New York City by working in partnership with the community to enforce the law, preserve peace, protect the people, reduce fear, and maintain order. The New York City Police Department strives to foster a safe and fair City through the strategic deployment of resources, focusing on both crime prevention and addressing quality\-of\-life concerns while building lasting community relationships.
The Office of Management Analysis and Planning (OMAP) analyze and evaluates Departmental policies, programs, and resources to make recommendations to the Police Commissioner in order to ensure maximum organizational efficiency and effectiveness of the Department. OMAP is the research and assessment arm of the Department, comprised of both uniformed and civilian members of the service with a wide variety of academic and professional experiences. OMAP conducts analyses aimed at improving the effectiveness and efficiency of the Department (e.g., personnel deployments, resource allocation), develops complex pilot projects, formulates policy recommendations and prepares briefing materials for the Police Commissioner on a wide range of legislative and procedural issues.
The Office of Management Analysis and Planning (OMAP) is seeking a skilled and highly motivated Senior Data Scientist to join the New York City Police Department (NYPD) Data Science team. OMAP serves as the primary evaluation and assessment arm of the NYPD. Acting as a "think tank, OMAP focuses on exploring and implementing innovative strategies and efficiencies aimed at enhancing policy development, evaluating programs, and optimizing organizational structures and staffing.
A successful candidate will contribute to the section mission by providing technical leadership and designing data science services that solve Department challenges. They will harmonize software across data science projects and deliver advanced machine learning solutions. Key responsibilities expert\-level development work in Python, wrangling both structured and unstructured datasets (e.g. text, geospatial, network data), and designing effective software architecture. Strong project management and team building skills are required.  
WORK LOCATION:  
1 Police Plaza, N.Y.  
HOURS/SHIFT:  
Monday\-Friday 8 x 4 or 10 x 6  
TO APPLY:  
Please visit: https://cityjobs.nyc.gov and search for Job ID (\#769736\)  
ADDITIONAL INFORMATION:  
In compliance with Federal Law, all persons hired will be required to verify identity and eligibility to work in the United States and to complete the required employment eligibility verification document form upon hire.  
The City of New York offers a comprehensive benefits package including health insurance for the employee and his or her spouse or domestic partner and unemancipated children under age 26, union benefits such as dental and vision coverage, paid annual leave and sick leave, paid holidays, a pension, and optional savings and pre\-tax programs such as Deferred Compensation, IRA, and a flexible spending account.  
CITY RESEARCH SCIENTIST \- 21744
 **Minimum Qualifications**
1\. For Assignment Level I (only physical, biological and environmental sciences and public health) A master's degree from an accredited college or university with a specialization in an appropriate field of physical, biological or environmental science or in public health.
To be appointed to Assignment Level II and above, candidates must have:
1\. A doctorate degree from an accredited college or university with specialization in an appropriate field of physical, biological, environmental or social science and one year of full\-time experience in a responsible supervisory, administrative or research capacity in the appropriate field of specialization; or
2\. A master's degree from an accredited college or university with specialization in an appropriate field of physical, biological, environmental or social science and three years of responsible full\-time research experience in the appropriate field of specialization; or
3\. Education and/or experience which is equivalent to "1" or "2" above. However, all candidates must have at least a master's degree in an appropriate field of specialization and at least two years of experience described in "2" above. Two years as a City Research Scientist Level I can be substituted for the experience required in "1" and "2" above.
NOTE:
Probationary Period
Appointments to this position are subject to a minimum probationary period of one year.
 **Preferred Skills**
\- Ability to lead code reviews for the data science team and maintain core software packages. \- Experience designing full\-stack software products using Python, SOL, and/or R. \- Experience designing statistical and machine learning models (e.g. scikit\-leam, statsmodels, PyTorch, HuggingFace). \- Experience performing a wide range of data science tasks, including but not limited to data visualization, natural language processing, geospatial analytics, and network analysis (e.g. Pandas, NumPy, Matplotlib, NL TK, GeoPandas, Flask). \- Excellent oral, written, analytic, organizational, and interpersonal skills and attention to detail are required. \- Ability to manage technical debt and use design patterns to design effective software architecture. \- Ability to manage multiple projects simultaneously and meet tight deadlines. \- Ability to train junior team members and work cross\-functionally to strengthen relationships across the department. \- Knowledge and understanding of criminal justice policy and research literature is preferred.  
**Public Service Loan Forgiveness**
As a prospective employee of the City of New York, you may be eligible for federal loan forgiveness programs and state repayment assistance programs. For more information, please visit the U.S. Department of Education’s website at https://studentaid.gov/pslf/.  
**Residency Requirement**
New York City residency is generally required within 90 days of appointment. However, City Employees in certain titles who have worked for the City for 2 continuous years may also be eligible to reside in Nassau, Suffolk, Putnam, Westchester, Rockland, or Orange County. To determine if the residency requirement applies to you, please discuss with the agency representative at the time of interview.  
**Additional Information**
The City of New York is an inclusive equal opportunity employer committed to recruiting and retaining a diverse workforce and providing a work environment that is free from discrimination and harassment based upon any legally protected status or protected characteristic, including but not limited to an individual's sex, race, color, ethnicity, national origin, age, religion, disability, sexual orientation, veteran status, gender identity, or pregnancy.
**Save**
Job ID
769736
Posted until
02/27/2026
Title code
21744
Civil service title
CITY RESEARCH SCIENTIST
Title classification
Non\-Competitive\-5
Business title
SENIOR DATA SCIENTIST
* Experience Level: Experienced (Non\-Manager)
Job level
4A
Number of positions
1
Work location
1 Police Plaza, N.Y.
* Category: Administration \&amp; Human Resources
SENIOR DATA SCIENTIST</t>
        </is>
      </c>
    </row>
    <row r="137">
      <c r="A137" t="inlineStr">
        <is>
          <t>in-347fa1a0938ad842</t>
        </is>
      </c>
      <c r="B137" t="inlineStr">
        <is>
          <t>Mid-Level Engineering Data Scientist</t>
        </is>
      </c>
      <c r="C137" t="inlineStr">
        <is>
          <t>Dhara Consulting Group</t>
        </is>
      </c>
      <c r="D137" t="inlineStr">
        <is>
          <t>indeed</t>
        </is>
      </c>
      <c r="E137" t="inlineStr"/>
      <c r="F137" t="inlineStr"/>
      <c r="G137" t="inlineStr">
        <is>
          <t>Oklahoma City, OK, US</t>
        </is>
      </c>
      <c r="H137" s="2" t="n">
        <v>46066</v>
      </c>
      <c r="I137" t="inlineStr">
        <is>
          <t>Posted today
Secret
$95,200 \- $147,200
Unspecified
IT \- Data Science
Oklahoma City, OK (On\-Site/Office)**Job Description**  
At Boeing, we innovate and collaborate to make the world a better place. We're committed to fostering an environment for every teammate that's welcoming, respectful and inclusive, with great opportunity for professional growth. Find your future with us.  
We are Boeing Global Services (BGS) Engineering team creating and implementing innovative technologies that make the impossible possible and enabling the future of aerospace. We provide engineering design and support, including aftermarket modifications, and are innovating to make product and services safety even stronger. Join us and put your passion, determination, and skill to work building the future! \#TheFutureIsBuiltHere \#ChangeTheWorld
Join an exciting and growing team in performing complex analysis of aviation data. As modern aircraft produce increasing amounts of data in operations and maintenance, analytics are used to turn that data into insights to improve performance, enable smarter services, increase productivity, and make flying safer. The Boeing Company is currently seeking a **Mid\-Level Engineering Data Scientist** to join the Boeing Global Services (BGS) Government Services Analytics team located in **Hazelwood, MO, Plano, TX, Ridley Park, PA, or Oklahoma City, OK.** In this position you will work with an industry\-leading team of data scientists, support US and international customers, and collaborate with engineering teams to create innovative health management solutions for government aircraft platforms.
As a mid\-level data scientist, you will play a crucial role in creating new analytics models that provide aftermarket services for our military customers. Your primary responsibility will be analyzing data and applying machine learning and AI techniques to empower users with valuable insights to improve aircraft health management. This role requires a resourceful, self\-driven, outcome\-oriented individual with the ability to collaborate respectfully and communicate effectively.
The ideal candidate will have knowledge and work history in machine learning, natural language processing (NLP), and retrieval augmented generation (RAG), and a successful track record of deploying machine learning models in a production environment.
**This position is onsite. The selected candidate will be required to perform work onsite at one of the listed location options.**  
**Position Responsibilities:**  
* Apply advanced statistical techniques and predictive modeling to develop predictive maintenance strategies and optimize aircraft performance.
* Utilize natural language processing , data cleansing, and preprocessing techniques to ensure data quality and integrity for accurate analysis and modeling.
* Apply modern RAG techniques to generate domain\-specific insights from complex customer data, enhancing decision\-making and user experience.
* Collaborate with cross\-functional teams to identify and define data requirements.
* Implement and deploy machine learning models into production systems, working closely with software engineering teams to integrate into customer environments.
* Collaborate with subject matter experts to understand engineering domain knowledge and incorporate it into data analysis and modeling efforts.
* Ensure data security and compliance with relevant regulations throughout the data analysis lifecycle.
* Communicate findings, insights, and recommendations to technical and non\-technical stakeholders through clear and concise reports, presentations, and visualizations.
**To be considered for this position you will be required to complete a technical assessment as part of the selection process.**  
**Basic Qualifications (Required Skills/Experience):**  
* Bachelor of Science degree in Engineering, Engineering Technology (including Manufacturing Technology), Computer Science, Data Science, Mathematics, Physics, Chemistry or non\-US equivalent qualifications directly related to the work statement
* 2\+ years of professional experience in data science, artificial intelligence, or machine learning
* 2\+ years of experience in Python for data science applications
**Preferred Qualifications (Desired Skills/Experience):**  
* Advanced degree (Master's or Doctorate) in Data Science, Engineering, Computer Science, Mathematics, or another similar technical background
* 5\+ years of related work experience or an equivalent combination of education and experience
* 2\+ years of experience in natural language processing
* 2\+ years of experience in SQL
* Proficient with data visualization tools, such as Tableau.
* Proficient in deep learning frameworks such as PyTorch and TensorFlow
* Experience with generative AI models, including LLMs and RAG, for building knowledge\-driven solutions.
* Engineering domain knowledge relating to aircraft maintenance, design, or testing
* Experience working in an agile software development team
**Relocation:**  
This position offers relocation assistance.
**Drug Free Workplace:**  
Boeing is a Drug Free Workplace where post offer applicants and employees are subject to testing for marijuana, cocaine, opioids, amphetamines, PCP, and alcohol when criteria is met as outlined in our policies.
**Total Rewards and Pay Transparency:**  
At Boeing, we strive to deliver a Total Rewards package that will attract, engage and retain the top talent. Elements of the Total Rewards package include competitive base pay and variable compensation opportunities.
The Boeing Company also provides eligible employees with an opportunity to enroll in a variety of benefit programs, generally including health insurance, flexible spending accounts, health savings accounts, retirement savings plans, life and disability insurance programs, and a number of programs that provide for both paid and unpaid time away from work.
The specific programs and options available to any given employee may vary depending on eligibility factors such as geographic location, date of hire, and the applicability of collective bargaining agreements.  
Pay is based upon candidate experience and qualifications, as well as market and business considerations.
Summary pay range: $95,200 \- $147,200  
Applications for this position will be accepted until **Feb. 28, 2026**  
**Education**  
Bachelor's Degree or Equivalent Required  
**Relocation**  
This position offers relocation based on candidate eligibility.  
**Security Clearance**  
This position requires the ability to obtain a U.S. Security Clearance for which the U.S. Government requires U.S. Citizenship. An interim and/or final U.S. Secret Clearance Post\-Start is required.  
**Visa Sponsorship**  
Employer will not sponsor applicants for employment visa status.  
**Shift**  
This position is for 1st shift  
**Equal Opportunity Employer:**  
Boeing is an Equal Opportunity Employer. Employment decisions are made without regard to race, color, religion, national origin, gender, sexual orientation, gender identity, age, physical or mental disability, genetic factors, military/veteran status or other characteristics protected by law.**GROUP ID:** 10117050</t>
        </is>
      </c>
    </row>
    <row r="138">
      <c r="A138" t="inlineStr">
        <is>
          <t>in-8bcda5356bfdac7e</t>
        </is>
      </c>
      <c r="B138" t="inlineStr">
        <is>
          <t>AI Data Scientist</t>
        </is>
      </c>
      <c r="C138" t="inlineStr">
        <is>
          <t>HP</t>
        </is>
      </c>
      <c r="D138" t="inlineStr">
        <is>
          <t>indeed</t>
        </is>
      </c>
      <c r="E138" t="inlineStr"/>
      <c r="F138" t="inlineStr"/>
      <c r="G138" t="inlineStr">
        <is>
          <t>Spring, TX, US</t>
        </is>
      </c>
      <c r="H138" s="2" t="n">
        <v>46065</v>
      </c>
      <c r="I138" t="inlineStr">
        <is>
          <t>**About the Position**  
The HP Enterprise AI \&amp; Machine Learning organization is a centralized team of data scientists and machine learning engineers building GenAI\-based tools and digital products that enable increased productivity for 50,000\+ employees and improve the effectiveness of hundreds of critical business processes. We collaborate closely with business stakeholders across HP to scope, prototype, and develop models and products in the cloud and on the edge. We also serve as HP’s AI Center of Excellence, providing consulting assistance, reuseable components and frameworks, and training to other teams across the company.
As a Data Scientist focused on Generative AI, you will work across multiple HP projects involving large language and multi\-model models and other cutting\-edge Generative AI capabilities for deployment on the cloud or edge. In addition to working with our core technical team, you’ll collaborate with business stakeholders and across various units to develop and deploy solutions at scale. Your primary focus and mindset will be on delivering real business value to our internal customers. Please note, this is not a research role.
 **Responsibilities**
* Delivers Generative AI\-based models of high complexity to surface insights; drives action, defines success measures and tracks performance of models.
* Develops monitoring metrics to reflect real\-world model performance and makes recommendations to shape the future direction of models and digital solutions.
* Strategizes models to uncover patterns and predictions creating business value and innovation.
* Manages relationships with business partners to evaluate and foster data driven innovation, provides domain\-specific expertise in cross\-organization projects/initiatives.
* Ties insights into effective visualizations communicating business value and innovation potential.
* Works with development teams and business units to ensure models are scalable and can be implemented as part of the delivered solution.
* Leads project team(s) of data science professionals, assuring insights are communicated regularly and effectively, reviewing designs, models and data compliance.
* Represents the data science team for all phases of larger and more\-complex development projects.
* Provides guidance, training and mentoring to less experienced staff members.
**Education \&amp; Experience** **Recommended*** PhD related to AI or a Master’s degree in computer science or a related field and 5\+ years of experience with GenAI and related technologies including machine learning. data analytics, and statistical modeling.
 **Preferred Certifications**  
* Programming Language/s Certification (SQL, Python, or similar)
**Knowledge \&amp; Skills*** Strong foundation in data science and core machine learning concepts.
* Experience with large language models, multi\-modal modals, prompt engineering, vector databases, Retrieval\-Augmented Generation (RAG), and search engines.
* Solid technical background. Experience working on software development teams, especially in cloud\-based business applications, is a strong plus.
* Familiarity with tools such as Azure Machine Learning, Azure Prompt Flow, Python, LangChain, Streamlit, and Docker.
* Experience working in distributed, diverse teams, with bonus points for time spent in small fast\-paced start\-ups.
* Comfortable representing the team in meetings with multiple stakeholders and driving discussions clearly and respectfully. Mastery of English is required.
* Able to explain technical concepts (e.g., LLMs) to non\-technical audiences.
* You suggest pragmatic solutions that are as simple as possible—even if that means no AI is required.
The base pay range for this role is $130,700 to $205,200 annually with additional opportunities for pay in the form of bonus and/or equity (applies to US candidates only). Pay varies by work location, job\-related knowledge, skills, and experience.
**Benefits:**
HP offers a comprehensive benefits package for this position, including:
Health insurance
Dental insurance
Vision insurance
Long term/short term disability insurance
Employee assistance program
Flexible spending account
Life insurance
Generous time off policies, including;
* 4\-12 weeks fully paid parental leave based on tenure
* 11 paid holidays
* Additional flexible paid vacation and sick leave (US benefits overview)
The compensation and benefits information is accurate as of the date of this posting. The Company reserves the right to modify this information at any time, with or without notice, subject to applicable law.
6353</t>
        </is>
      </c>
    </row>
    <row r="139">
      <c r="A139" t="inlineStr">
        <is>
          <t>in-f8c03c7502bf10f6</t>
        </is>
      </c>
      <c r="B139" t="inlineStr">
        <is>
          <t>Machine Learning &amp; Data Scientist, OS Power &amp; Performance</t>
        </is>
      </c>
      <c r="C139" t="inlineStr">
        <is>
          <t>Apple</t>
        </is>
      </c>
      <c r="D139" t="inlineStr">
        <is>
          <t>indeed</t>
        </is>
      </c>
      <c r="E139" t="inlineStr"/>
      <c r="F139" t="inlineStr"/>
      <c r="G139" t="inlineStr">
        <is>
          <t>Cupertino, CA, US</t>
        </is>
      </c>
      <c r="H139" s="2" t="n">
        <v>46065</v>
      </c>
      <c r="I139" t="inlineStr">
        <is>
          <t>Great performance is critical to Apple's product experience. We are seeking a Machine Learning \&amp; Data Scientist to help with quantitative analysis of high dimensional data to draw insights that would impact hundreds of millions of users. If the idea of developing data products to improve Apple’s software \&amp; hardware performance excites you, we encourage you to apply!  
**Description**  
We're looking for a proactive \&amp; impact\-driven engineer with excellent machine learning, analytical, problem solving and communication skills. In this role, you will analyze high dimensional data to derive meaningful insights and be responsible for producing metrics, models, simulations, and tools for analysis \&amp; communication of insights from large datasets. To be successful, you must have a strong foundation in statistical analysis and the ability to apply it to solving business \&amp; product\-development problems, as well as a strong software engineering background with the ability to write production level code. As a member of this team, you will have the opportunity to provide meaningful insights to teams and influence decisions across Apple on a broad range of products.  
","responsibilities":"  
Analyze high dimensional data to derive meaningful insights.  
Produce metrics, models, simulations, and tools for analysis \&amp; communication of insights from large datasets.  
Apply statistical analysis to solving business \&amp; product\-development problems.  
Write production level code.  
Provide meaningful insights to teams and influence decisions across Apple on a broad range of products.  
**Preferred Qualifications**  
M.S. or Ph.D. in Computer Science, Electrical Engineering, Applied Mathematics, Statistics, or a similar quantitative field, with strong statistical skills and intuition  
Proficiency in distributed compute \&amp; storage technologies such as HDFS, S3, Iceberg, Spark, and Trino  
Proficiency with designing ETL flows and automation/scheduling (e.g. Kubernetes and Airflow)  
Working knowledge of Operating Systems  
Experience driving cross\-functional projects with diverse sets of stakeholders  
Skilled at connecting data insights to the company's overall strategy and objectives.  
**Minimum Qualifications**  
Strong Quantitative Foundation: Education in Computer Science, Electrical Engineering, or a related quantitative field. Strong mathematical foundations, software engineering, and broad knowledge of data analysis and practical machine learning are expected.  
Data Engineering and Analytics: Skilled at scalably transforming raw data into actionable insights through practical problem formulation followed by building of ETL processes (e.g. Python \&amp; Spark) and data visualizations (e.g. Tableau)  
Business Acumen and Problem\-Solving: Ability to understand the broader business context, solve complex problems, and communicate findings effectively to stakeholders.  
Adaptability and Collaboration: Comfortable with ambiguity, eager to learn, and capable of working effectively in a collaborative environment. Strong interpersonal skills and the ability to build relationships with diverse stakeholders are essential.  
Apple is an equal opportunity employer that is committed to inclusion and diversity. We seek to promote equal opportunity for all applicants without regard to race, color, religion, sex, sexual orientation, gender identity, national origin, disability, Veteran status, or other legally protected characteristics. Learn more about your EEO rights as an applicant .  
**Pay \&amp; Benefits**  
At Apple, base pay is one part of our total compensation package and is determined within a range. This provides the opportunity to progress as you grow and develop within a role. The base pay range for this role is between $126,800 and $190,900, and your base pay will depend on your skills, qualifications, experience, and location.  
Apple employees also have the opportunity to become an Apple shareholder through participation in Apple's discretionary employee stock programs. Apple employees are eligible for discretionary restricted stock unit awards, and can purchase Apple stock at a discount if voluntarily participating in Apple's Employee Stock Purchase Plan. You'll also receive benefits including: Comprehensive medical and dental coverage, retirement benefits, a range of discounted products and free services, and for formal education related to advancing your career at Apple, reimbursement for certain educational expenses \- including tuition. Additionally, this role might be eligible for discretionary bonuses or commission payments as well as relocation. Learn more about Apple Benefits.  
Note: Apple benefit, compensation and employee stock programs are subject to eligibility requirements and other terms of the applicable plan or program.</t>
        </is>
      </c>
    </row>
    <row r="140">
      <c r="A140" t="inlineStr">
        <is>
          <t>in-49504d8dca735a48</t>
        </is>
      </c>
      <c r="B140" t="inlineStr">
        <is>
          <t>Principal Applied Data Scientist - AI for Good Lab</t>
        </is>
      </c>
      <c r="C140" t="inlineStr">
        <is>
          <t>Microsoft</t>
        </is>
      </c>
      <c r="D140" t="inlineStr">
        <is>
          <t>indeed</t>
        </is>
      </c>
      <c r="E140" t="inlineStr"/>
      <c r="F140" t="inlineStr"/>
      <c r="G140" t="inlineStr">
        <is>
          <t>Redmond, WA, US</t>
        </is>
      </c>
      <c r="H140" s="2" t="n">
        <v>46063</v>
      </c>
      <c r="I140" t="inlineStr">
        <is>
          <t>**Overview**  
The AI for Good Lab is hiring a Principal Applied Data Scientist to join our team in Redmond to design, build, and deliver AI\-driven solutions to address complex, interconnected societal challenges.
Our Lab spans a broad and evolving portfolio, from understanding how AI is diffusing across the world and its economic opportunities, to powering disaster response and resilience, as well as advancing sustainability and cybersecurity. These challenges are inherently ambiguous and interdisciplinary, demanding creativity, strong research instincts, and the ability to move decisively from uncertainty to insight and action. We are an agile, fast\-moving applied research team that uses modern AI as a force multiplier, accelerating discovery, sharpening insight, and driving decisions that matter. We continuously pivot toward where our work can create the greatest impact now.
In this role, you will use AI and data science to research and build solutions that inform and drive real\-world decisions, working in close partnership with other data scientists, researchers, and research organizations, as well as policymakers and practitioners
You will provide senior technical leadership for applied AI and data science initiatives, defining technical direction for advanced AI systems across humanitarian response, biodiversity, sustainability, public policy, and global development with deep application of data science, cloud platforms, and economics. As a trusted advisor, you will partner with leaders across Microsoft, academia, nonprofits, and government to guide responsible, evidence\-based AI solutions to turn insights into impact.
You bring a strong appetite for learning new domains and technologies, paired with agile decision\-making, flexibility in how you work, and a growth mindset. You contribute to a positive, inclusive team culture through clear documentation, ethical research practices, and active knowledge sharing as you navigate complex, evolving challenges.
Our mission is to empower every person and every organization on the planet to achieve more.  
**Responsibilities*** Lead and develop applied AI solutions (LLMs, Agents, Computer Vision) and data science solutions by identifying and gathering data, shaping problem formulations, applying AI, machine learning, and statistical methods, and generating insight with real\-world impact.
* Use AI creatively as a research and solution\-building tool, combining quantitative methods, experimentation, and domain knowledge to surface patterns, test ideas, and inform decisions.
* Rapidly prototype and validate approaches using modeling, statistics and experimentation; select methods under real\-world constraints (cost/latency, safety, privacy, maintainability).
* Design and build reliable, maintainable, end\-to\-end systems spanning data pipelines, model lifecycle, evaluation/telemetry, deployment, and operations.
* Advance the AI for Good Lab research agenda by authoring technical papers and presentation, published both internally and externally .
* Work in close partnership with other researchers and research organizations, as well as policy, industry, and nonprofit stakeholders, to co\-create solutions
* Present findings with clear and compelling narratives, using impactful visualizations and storytelling to articulate insights that drive understanding and action.
* Lead through influence by shaping technical direction and standards (model evaluation, responsible AI, safety/privacy, and monitoring), aligning collaborators, navigating tradeoffs, and sustaining momentum across teams and institutions.
 **Qualifications** **Minimum/Required Qualifications:**
* Bachelor's Degree in Statistics, Econometrics, Computer Science, Electrical or Computer Engineering, or related field AND 6\+ years related experience (e.g., statistics, predictive analytics, research)
	+ OR Master's Degree in Statistics, Econometrics, Computer Science, Electrical or Computer Engineering, or related field AND 4\+ years related experience (e.g., statistics, predictive analytics, research)
	+ OR Doctorate in Statistics, Econometrics, Computer Science, Electrical or Computer Engineering, or related field AND 3\+ years related experience (e.g., statistics, predictive analytics, research) OR equivalent experience.
**Preferred Qualifications:**
* Deep foundation in AI, machine learning, statistics, or related quantitative methods applied to real\-world problems.
* Experience working end\-to\-end with data\-from sourcing and exploration through modeling, interpretation, and communication.
* Proficiency in at least one scientific programming language (Python, R or equivalent languages) and experience with SQL or similar query languages
* Excellent written and verbal communication skills, with demonstrated experience communicating complex ideas clearly and persuasively to non\-technical audiences.
* Proven ability to influence outcomes and lead work in cross\-functional, matrixed environments.
* Experience collaborating with academic institutions, NGOs, humanitarian organization, or public sector partners.
* Background or demonstrated interest in domains such as economics, sustainability, humanitarian response, cybersecurity, public policy, or social impact.
* Growth mindset to learn new areas and ability to adopt quickly to dynamic business conditions.
Applied Sciences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41">
      <c r="A141" t="inlineStr">
        <is>
          <t>in-3727d77051511d1b</t>
        </is>
      </c>
      <c r="B141" t="inlineStr">
        <is>
          <t>Principal Applied Scientist</t>
        </is>
      </c>
      <c r="C141" t="inlineStr">
        <is>
          <t>Microsoft</t>
        </is>
      </c>
      <c r="D141" t="inlineStr">
        <is>
          <t>indeed</t>
        </is>
      </c>
      <c r="E141" t="inlineStr"/>
      <c r="F141" t="inlineStr"/>
      <c r="G141" t="inlineStr">
        <is>
          <t>Redmond, WA, US</t>
        </is>
      </c>
      <c r="H141" s="2" t="n">
        <v>46062</v>
      </c>
      <c r="I141" t="inlineStr">
        <is>
          <t>**Overview**  
The Microsoft Content Product team is looking for a passionate ML scientist to join our Core Recommendation and Content Generation team. This opportunity truly is exciting as the project we're working on has the potential to define the future of content services for Microsoft. Imagine a scenario where billions of users around the world can discover content they care about and start new conversations with their friends, family, and colleagues \- this is what we're creating! Today, Windows has close to 1 billion monthly active users, and Outlook, Teams, Edge, and Bing also have hundreds of millions of users plus the partnership with third party, the presents a huge opportunity to engage users with content worldwide.
Are you an experienced ML scientist who is seeking an opportunity to expand and apply your existing knowledge in LLM and NLP? Do you want to challenge yourself and pursue the latest ideas while changing the way millions of people do local search every day? Do you want to build scalable services using state of art deep learning that can truly help users using Windows/Bing in mobile and desktop? If so, this is a great opportunity with real customer impact for you.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Participate in design, implementation, and execution across a variety of features, including directly building SOTA LLM models.
* Drive architectural changes into the product to expand our footprint and increase developer agility.
* Invest in others’ growth, mentor team members, and help build a highly capable team.
* Regularly communicate team progress internally and evangelize progress and opportunities to a wider audience including management and leadership.
* Drive innovations in AIGC applications, ranking and recommendation algorithms.
**Qualifications** **Required Qualifications:**
* Bachelor's Degree in Statistics, Econometrics, Computer Science, Electrical or Computer Engineering, or related field AND 6\+ years related experience (e.g., statistics, predictive analytics, research)
	+ OR Master's Degree in Statistics, Econometrics, Computer Science, Electrical or Computer Engineering, or related field AND 4\+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**Additional or Preferred Qualifications:**
* Master's Degree in Statistics, Econometrics, Computer Science, Electrical or Computer Engineering, or related field AND 9\+ years related experience (e.g., statistics, predictive analytics, research)
	+ OR Doctorate in Statistics, Econometrics, Computer Science, Electrical or Computer Engineering, or related field AND 6\+ years related experience (e.g., statistics, predictive analytics, research)
	+ OR equivalent experience.
	+ 5\+ years experience creating publications (e.g., patents, libraries, peer\-reviewed academic papers).
	2\+ years experience presenting at conferences or other events in the outside research/industry community as an invited speaker.
	5\+ years experience conducting research as part of a research program (in academic or industry settings).
	3\+ years experience developing and deploying live production systems, as part of a product team.
	3\+ years experience developing and deploying products or systems at multiple points in the product cycle from ideation to shipping.
* At least 8\+ years of industry software development experience coding in C/C\+\+, C\#, Java and/or Python.
* Solid knowledge in deep learning computational graph frameworks, such as TensorFlow/Pytorch.
* Experience in LLM including fine tuning, evaluation for product scenarios
* Experience working through full product cycles from initial design to final product delivery.
* Experience developing and designing backgrounds in multi\-tiered distributed services.
* Experience with data structures, algorithms, asynchronous programming, and data processing
* Experience developing end to end ML/DL systems.
* Knowledge and experience in large scale data analytics, such as Spark.
* An undergraduate or graduate degree in computer science or related technical discipline.
* At least 6\+ years of industry software development experience coding in C/C\+\+, C\#, Java and/or Python.
* Experience applying LLM techniques or Recommendation system.
* Tech lead on critical project related to recommendation or AIGC scenarios.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\#MicrosoftAI
Applied Sciences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42">
      <c r="A142" t="inlineStr">
        <is>
          <t>in-0545c54855a55886</t>
        </is>
      </c>
      <c r="B142" t="inlineStr">
        <is>
          <t>Senior Applied Scientist</t>
        </is>
      </c>
      <c r="C142" t="inlineStr">
        <is>
          <t>Microsoft</t>
        </is>
      </c>
      <c r="D142" t="inlineStr">
        <is>
          <t>indeed</t>
        </is>
      </c>
      <c r="E142" t="inlineStr"/>
      <c r="F142" t="inlineStr"/>
      <c r="G142" t="inlineStr">
        <is>
          <t>Redmond, WA, US</t>
        </is>
      </c>
      <c r="H142" s="2" t="n">
        <v>46061</v>
      </c>
      <c r="I142" t="inlineStr">
        <is>
          <t>**Overview**  
The Signals Team at Microsoft Ads develops advanced machine learning models to predict user responses to advertisements. These predictive signals play a crucial role in enhancing user engagement and maximizing advertiser returns.
As a Senior Applied Scientist on our team, you will design and implement large\-scale machine learning models, driving their deployment into production and translating your expertise into tangible revenue impact. This role offers a unique opportunity to enhance your skills in building and deploying machine learning models at scale. You will gain invaluable experience analyzing model behavior within a complex, multi\-layered model stack, and understanding the intricate interactions between various algorithms. Additionally, you will stay at the forefront of state\-of\-the\-art approaches in this domain.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Build large scale machine learning models for text and numerical data, deploy models in production.
* Run A/B testing, analyze impact of model metrics and possible model failure modes on business KPIs.
* Conduct data exploration and analysis of new features and model improvements.
* Establish scalable pipelines for data processing and analytics, model training and validation.
* Establish automated processes to monitor system health using agentic workflows.
* Track relevant state\-of\-the\-art approaches in the field, identify and implement applications to improve the modeling stack.
* Mentor junior scientists.
**Qualifications** **Required Qualifications:**
* Bachelor's Degree in Statistics, Econometrics, Computer Science, Electrical or Computer Engineering, or related field AND 4\+ years related experience (e.g., statistics predictive analytics, research)
	+ OR Master's Degree in Statistics, Econometrics, Computer Science, Electrical or Computer Engineering, or related field AND 3\+ years related experience (e.g., statistics, predictive analytics, research)
	+ OR Doctorate in Statistics, Econometrics, Computer Science, Electrical or Computer Engineering, or related field AND 1\+ year(s) related experience (e.g., statistics, predictive analytics, research)
	+ OR equivalent experience.
**Preferred Qualifications:**
*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 3\+ years experience creating publications (e.g., patents, libraries, peer\-reviewed academic papers).
* Experience presenting at conferences or other events in the outside research/industry community as an invited speaker.
* 3\+ years experience conducting research as part of a research program (in academic or industry settings).
* 1\+ year(s) experience developing and deploying live production systems, as part of a product team.
* 1\+ year(s) experience developing and deploying products or systems at multiple points in the product cycle from ideation to shipping. 2\+ years customer\-facing, project\-delivery experience, professional services, and/or consulting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\#MicrosoftAI
Applied Sciences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43">
      <c r="A143" t="inlineStr">
        <is>
          <t>in-0225f9cb8e735f50</t>
        </is>
      </c>
      <c r="B143" t="inlineStr">
        <is>
          <t>Sr. Data Scientist</t>
        </is>
      </c>
      <c r="C143" t="inlineStr">
        <is>
          <t>Skyworks Solutions</t>
        </is>
      </c>
      <c r="D143" t="inlineStr">
        <is>
          <t>indeed</t>
        </is>
      </c>
      <c r="E143">
        <f>HYPERLINK("https://www.indeed.com/viewjob?jk=0225f9cb8e735f50", "https://www.indeed.com/viewjob?jk=0225f9cb8e735f50")</f>
        <v/>
      </c>
      <c r="F143">
        <f>HYPERLINK("https://careers.skyworksinc.com/job/Irvine-Sr_-Data-Scientist-CA-92602/1350111000/?feedId=177100&amp;utm_source=Indeed&amp;utm_campaign=Skyworks_Indeed", "https://careers.skyworksinc.com/job/Irvine-Sr_-Data-Scientist-CA-92602/1350111000/?feedId=177100&amp;utm_source=Indeed&amp;utm_campaign=Skyworks_Indeed")</f>
        <v/>
      </c>
      <c r="G143" t="inlineStr">
        <is>
          <t>Irvine, CA, US</t>
        </is>
      </c>
      <c r="H143" s="3" t="n">
        <v>46066</v>
      </c>
      <c r="I143" t="inlineStr">
        <is>
          <t>If you are looking for a challenging and exciting career in the world of technology, then look no further. Skyworks is an innovator of high\-performance analog semiconductors whose solutions are powering the wireless networking revolution. Through our broad technology expertise and one of the most extensive product portfolios in the industry, we are Connecting Everyone and Everything, All the Time.
At Skyworks, you will find a fast\-paced environment with a strong focus on global collaboration, minimal layers of management, and the freedom to make meaningful contributions in a setting that encourages creative thinking. We are excited about the opportunity to work with you and glad you want to be part of a team of talented individuals who together are changing the way the world communicates.
Requisition ID: 76745
**Description**
---------------
Skyworks Solutions is seeking a **Machine Learning Engineer (MLE)** to join our rapidly growing AI/ML team in Irvine, CA. This is a highly technical, hands\-on role designed for individuals who thrive at the intersection of cutting\-edge machine learning, signal processing, and semiconductor innovation. If you’re looking to apply your ML expertise to high\-impact, real\-world engineering challenges in the analog and RF domain, this is your opportunity.
Skyworks is an innovator of high\-performance analog semiconductors enabling next\-generation wireless communications. From 5G to IoT to automotive, our technologies are helping to connect the world. At Skyworks, you’ll find a fast\-paced environment with a flat organizational structure and global collaboration. We value open communication, creativity, mutual respect, and technical excellence.
**Responsibilities**
--------------------
As a Machine Learning Engineer on the Data Analytics and AI Enablement team, you will lead and contribute to projects that apply advanced ML and deep learning to a variety of use cases across the company—including design automation, yield prediction, anomaly detection, signal classification, and device modeling. You will collaborate with world\-class engineers across electrical, RF, product, and manufacturing domains to deliver real business impact through data and AI.
* Predictive analytics for yield and quality improvement
* Optimization of circuit or device parameters
* RF signal modeling and anomaly detection
* Root\-cause analysis across test and manufacturing data
* Own the end\-to\-end ML pipeline: data acquisition, feature engineering, model selection, training, evaluation, deployment, and monitoring.
* Collaborate with cross\-functional stakeholders including design engineers, process experts, and product owners to understand problem statements and translate them into ML solutions.
* Work on both research\-oriented prototypes and production\-grade deployments.
Stay up\-to\-date with current trends in ML, especially those relevant to semiconductor, signal processing, or high\-dimensional time\-series data.  
* 
**Required Experience and Skills**
----------------------------------
* BS and 8 years experience (Ph.D. preferred) in Machine Learning, Computer Science, Electrical Engineering, Applied Mathematics, or a related field.
* Strong theoretical and practical experience in machine learning and deep learning, including CNNs, transformers, time\-series models, or probabilistic methods.
* Proficiency in Python and ML frameworks such as PyTorch, TensorFlow, Scikit\-learn.
* Solid understanding of statistics, optimization, and model evaluation techniques.
* Excellent communication and collaboration skills, with the ability to work across disciplines and teams.
**Desired Experience and Skills**
---------------------------------
* Exposure to semiconductor, electronics, or RF system domains (e.g., basic understanding of circuit behavior, test data, signal integrity).
* Experience working with large, complex datasets (e.g., sensor, waveform, or EDA simulation outputs).
* Familiarity with data infrastructure and workflow orchestration (e.g., Airflow, MLflow, or cloud platforms).
* Contributions to peer\-reviewed research, patents, or open\-source ML projects.
\#LI\-JR1
The typical base pay range for this role across the U.S. is currently USD $114,400 \- $220,200 per year. Starting base pay will depend on relevant experience and skills, training and education, business needs, market demands, the ultimate job duties and requirements, and work location. Skyworks has different base pay ranges for different work locations in the U.S. Benefits include access to healthcare benefits (including a premium\-free medical plan option), a 401(k) plan and company match, an employee stock purchase plan, paid time off (including vacation, sick/wellness, parental leave), among others. Employees are eligible to participate in an incentive plan, and certain roles are also eligible for additional awards, including recognition and stock. These incentives and awards are based on individual and/or company performance.
Skyworks is an Equal Opportunity Employer. All qualified applicants will receive consideration for employment without regard to race, color, religion, age, sex, sexual orientation, gender identity, national origin, disability, protected veteran status, or any other characteristic protected by law. Skyworks strives to create an accessible workplace; if you need an accommodation due to a disability, please contact us at accommodations@skyworksinc.com.</t>
        </is>
      </c>
    </row>
    <row r="144">
      <c r="A144" t="inlineStr">
        <is>
          <t>in-8acb0a0d939117f0</t>
        </is>
      </c>
      <c r="B144" t="inlineStr">
        <is>
          <t>Senior, Data Scientist</t>
        </is>
      </c>
      <c r="C144" t="inlineStr">
        <is>
          <t>Walmart</t>
        </is>
      </c>
      <c r="D144" t="inlineStr">
        <is>
          <t>indeed</t>
        </is>
      </c>
      <c r="E144">
        <f>HYPERLINK("https://www.indeed.com/viewjob?jk=8acb0a0d939117f0", "https://www.indeed.com/viewjob?jk=8acb0a0d939117f0")</f>
        <v/>
      </c>
      <c r="F144">
        <f>HYPERLINK("https://click.appcast.io/t/oyL92qi_RljaYALzre-_RUUMBXlfrLyT_Zvs7kgtL4w=", "https://click.appcast.io/t/oyL92qi_RljaYALzre-_RUUMBXlfrLyT_Zvs7kgtL4w=")</f>
        <v/>
      </c>
      <c r="G144" t="inlineStr">
        <is>
          <t>Bentonville, AR, US</t>
        </is>
      </c>
      <c r="H144" s="3" t="n">
        <v>46066</v>
      </c>
      <c r="I144" t="inlineStr">
        <is>
          <t>**Position Summary...**
-----------------------
Join us in revolutionizing data\-driven decision\-making in the world’s largest company! Walmart Claim Services (WCS) is looking for a talented Senior Data Scientist to support our team of over 550 professional who operate like an internal insurance company, managing claims for our associates and customers across the nation.  
WCS works closely with our Legal, Safety, \&amp; Finance partner and external vendors to provide data insights for informed, data\-driven decisions. Our data science and analytics team consist of talented group of data specialists who manage data, develop statistical, machine learning, NLP, Gen AI models/ solutions, and maintain reporting tools, ensuring we remain a world\-class business.  
As a Staff Data Scientist, you will utilize your expertise in data mining, predictive modeling, machine learning, and NLP techniques to drive strategic decisions for WCS. You will be at the forefront of implementing models and strategies using A/B testing or Design of Experiments (DOE), tracking business performance, and providing insightful visualizations to support and continuously improve WCS business strategy.**What you'll do...**
---------------------
* Design, develop and Deploy innovative Machine Learning, Natural Language Processing (NLP), AI Agents, Gen AI, and Graph Neural Network (GNN) models using Python/GCP or other modeling tools.
* Design and conduct A/B Testing and multivariate experiments (DOE), tracking results to provide actionable recommendations to business partners.
* Develop clear, concise, and powerful data visualizations using BI tools like Power BI or Tableau.
* Utilize SQL, Python, Google Cloud, MLOps, Tableau, Power BI, R or SAS to prepare data for analysis, modeling, deployment, and reporting.
* Identify business process gaps and devise analytical solutions to address them.
**What You'll Bring:**
* A self\-starter, able to work independently and overcome obstacles to achieve results.
* A multi\-tasker, capable of managing multiple technical projects while delivering results.
* A problem solver, with a high degree of intellectual curiosity and solid business acumen.
* An excellent communicator, able to present significant analysis in a concise manner to key stakeholders.
* A flexible thinker, comfortable with ambiguity and adept at fact\-finding.
In joining Walmart’s WCS team, you get to be part of a global company that is at the forefront of leveraging data for business insights. This role offers the opportunity to work with complex, large\-scale datasets, and cutting\-edge technologies, providing a platform for continuous learning and professional growth. Furthermore, Walmart’s commitment to innovation makes it an exciting environment for data analysts who want to make a significant impact.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$90,000\.00 \- $180,000\.00 Additional compensation includes annual or quarterly performance bonuses. Additional compensation for certain positions may also include :
* Stock
ㅤ
ㅤ
ㅤ
ㅤ
‎
**Minimum Qualifications...**
-----------------------------
*Outlined below are the required minimum qualifications for this position. If none are listed, there are no minimum qualifications.*
Option 1\- Bachelor’s degree in Statistics, Economics, Analytics, Mathematics, Computer Science, Information Technology, or related field and 3 years' experience in an analytics related field. Option 2\- Master’s degree in Statistics, Economics, Analytics, Mathematics, Computer Science, Information Technology, or related field and 1 years' experience in an analytics related field. Option 3 \- 5 years' experience in an analytics or related field.**Preferred Qualifications...**
-------------------------------
*Outlined below are the optional preferred qualifications for this position. If none are listed, there are no preferred qualifications.*
Data science, machine learning, optimization models, Master’s degree in Machine Learning, Computer Science, Information Technology, Operations Research, Statistics, Applied Mathematics, Econometrics, Successful completion of one or more assessments in Python, Spark, Scala, or R, Using open source frameworks (for example, scikit learn, tensorflow, torch),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culture.**Primary Location...**
-----------------------
905 Customer Dr, Bentonville, AR 72716,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145">
      <c r="A145" t="inlineStr">
        <is>
          <t>in-dfca1082b968a58c</t>
        </is>
      </c>
      <c r="B145" t="inlineStr">
        <is>
          <t>Staff, Data Scientist</t>
        </is>
      </c>
      <c r="C145" t="inlineStr">
        <is>
          <t>Walmart</t>
        </is>
      </c>
      <c r="D145" t="inlineStr">
        <is>
          <t>indeed</t>
        </is>
      </c>
      <c r="E145">
        <f>HYPERLINK("https://www.indeed.com/viewjob?jk=dfca1082b968a58c", "https://www.indeed.com/viewjob?jk=dfca1082b968a58c")</f>
        <v/>
      </c>
      <c r="F145">
        <f>HYPERLINK("https://click.appcast.io/t/TllGS-1DAnY6g0r__10RtRMX_Q221cfqDEJYxpggvvY=", "https://click.appcast.io/t/TllGS-1DAnY6g0r__10RtRMX_Q221cfqDEJYxpggvvY=")</f>
        <v/>
      </c>
      <c r="G145" t="inlineStr">
        <is>
          <t>Bentonville, AR, US</t>
        </is>
      </c>
      <c r="H145" s="3" t="n">
        <v>46066</v>
      </c>
      <c r="I145" t="inlineStr">
        <is>
          <t>**Position Summary...**
-----------------------
Join us in revolutionizing data\-driven decision\-making in the world’s largest company! Walmart Claim Services (WCS) is looking for a talented Staff Data Scientist to support our team of over 550 professional who operate like an internal insurance company, managing claims for our associates and customers across the nation.  
WCS works closely with our Legal, Safety, \&amp; Finance partner and external vendors to provide data insights for informed, data\-driven decisions. Our data science and analytics team consist of talented group of data specialists who manage data, develop statistical, machine learning, NLP, Gen AI models/ solutions, and maintain reporting tools, ensuring we remain a world\-class business.  
As a Staff Data Scientist, you will utilize your expertise in data mining, predictive modeling, machine learning, and NLP techniques to drive strategic decisions for WCS. You will be at the forefront of implementing models and strategies using A/B testing or Design of Experiments (DOE), tracking business performance, and providing insightful visualizations to support and continuously improve WCS business strategy.**What you'll do...**
---------------------
* Design, develop and Deploy innovative Machine Learning, Natural Language Processing (NLP), Gen AI, and Graph Neural Network (GNN) models using Python/GCP or other modeling tools.
* Design and conduct A/B Testing and multivariate experiments (DOE), tracking results to provide actionable recommendations to business partners.
* Develop clear, concise, and powerful data visualizations using BI tools like Power BI or Tableau.
* Utilize SQL, Python, Google Cloud, MLOps, Tableau, Power BI, R or SAS to prepare data for analysis, modeling, deployment, and reporting.
* Identify business process gaps and devise analytical solutions to address them.
**What You'll Bring:**
* A self\-starter, able to work independently and overcome obstacles to achieve results.
* A multi\-tasker, capable of managing multiple technical projects while delivering results.
* A problem solver, with a high degree of intellectual curiosity and solid business acumen.
* An excellent communicator, able to present significant analysis in a concise manner to key stakeholders.
* A flexible thinker, comfortable with ambiguity and adept at fact\-finding.
In joining Walmart’s WCS team, you get to be part of a global company that is at the forefront of leveraging data for business insights. This role offers the opportunity to work with complex, large\-scale datasets, and cutting\-edge technologies, providing a platform for continuous learning and professional growth. Furthermore, Walmart’s commitment to innovation makes it an exciting environment for data analysts who want to make a significant impact.  
**Benefits \&amp; Perks**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$110,000\.00 \- $220,000\.00 Additional compensation includes annual or quarterly performance bonuses. Additional compensation for certain positions may also include :
* Stock
ㅤ
ㅤ
ㅤ
ㅤ
‎
**Minimum Qualifications...**
-----------------------------
*Outlined below are the required minimum qualifications for this position. If none are listed, there are no minimum qualifications.*
Option 1: Bachelors degree in Statistics, Economics, Analytics, Mathematics, Computer Science, Information Technology or related field and 4 years' experience in an analytics related field. Option 2: Masters degree in Statistics, Economics, Analytics, Mathematics, Computer Science, Information Technology or related field and 2 years' experience in an analytics related field. Option 3: 6 years' experience in an analytics or related field**Preferred Qualifications...**
-------------------------------
*Outlined below are the optional preferred qualifications for this position. If none are listed, there are no preferred qualifications.*
Data science, machine learning, optimization models, PhD in Machine Learning, Computer Science, Information Technology, Operations Research, Statistics, Applied Mathematics, Econometrics, Successful completion of one or more assessments in Python, Spark, Scala, or R, Using open source frameworks (for example, scikit learn, tensorflow, torch),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culture.**Primary Location...**
-----------------------
2501 Se J St, Ste A, Bentonville, AR 72716\-3724,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146">
      <c r="A146" t="inlineStr">
        <is>
          <t>in-026244b992b05b21</t>
        </is>
      </c>
      <c r="B146" t="inlineStr">
        <is>
          <t>Data Scientist (Level 3 or4)</t>
        </is>
      </c>
      <c r="C146" t="inlineStr">
        <is>
          <t>Northrop Grumman</t>
        </is>
      </c>
      <c r="D146" t="inlineStr">
        <is>
          <t>indeed</t>
        </is>
      </c>
      <c r="E146">
        <f>HYPERLINK("https://www.indeed.com/viewjob?jk=026244b992b05b21", "https://www.indeed.com/viewjob?jk=026244b992b05b21")</f>
        <v/>
      </c>
      <c r="F146">
        <f>HYPERLINK("https://jsv3.recruitics.com/redirect?rx_cid=3658&amp;rx_jobId=R10222870&amp;rx_url=https%3A%2F%2Fjobs.northropgrumman.com%2Fcareers%2Fjob%2F1340070058799%3Fcode%3DJB-17946%26domain%3Dngc.com%26rx_a%3D0%26rx_c%3D%26rx_ch%3Djobp4p%26rx_group%3D288254%26rx_id%3Df542ed62-099f-11f1-9b9d-0b63e2c6cae2%26rx_job%3DR10222870%26rx_medium%3Dcpc%26rx_r%3Dnone%26rx_source%3Dindeed%26rx_ts%3D20260214T200545Z%26rx_vp%3Dcpc%26source%3DJB-17946%26utm_audience%3Dprospectivetalentemployees%26utm_campaign%3Dta-general%26utm_content%3Djobfeed%26utm_format%3Dcpl%26utm_medium%3Djobboard%26utm_source%3Dindeed", "https://jsv3.recruitics.com/redirect?rx_cid=3658&amp;rx_jobId=R10222870&amp;rx_url=https%3A%2F%2Fjobs.northropgrumman.com%2Fcareers%2Fjob%2F1340070058799%3Fcode%3DJB-17946%26domain%3Dngc.com%26rx_a%3D0%26rx_c%3D%26rx_ch%3Djobp4p%26rx_group%3D288254%26rx_id%3Df542ed62-099f-11f1-9b9d-0b63e2c6cae2%26rx_job%3DR10222870%26rx_medium%3Dcpc%26rx_r%3Dnone%26rx_source%3Dindeed%26rx_ts%3D20260214T200545Z%26rx_vp%3Dcpc%26source%3DJB-17946%26utm_audience%3Dprospectivetalentemployees%26utm_campaign%3Dta-general%26utm_content%3Djobfeed%26utm_format%3Dcpl%26utm_medium%3Djobboard%26utm_source%3Dindeed")</f>
        <v/>
      </c>
      <c r="G146" t="inlineStr">
        <is>
          <t>San Antonio, TX, US</t>
        </is>
      </c>
      <c r="H146" s="3" t="n">
        <v>46064</v>
      </c>
      <c r="I146" t="inlineStr">
        <is>
          <t>RELOCATION ASSISTANCE: Relocation assistance may be available
CLEARANCE TYPE: SCI
TRAVEL: Yes, 10% of the Time**Description**
---------------
At Northrop Grumman, our employees have incredible opportunities to work on revolutionary systems that impact people's lives around the world today, and for generations to come. Our pioneering and inventive spirit has enabled us to be at the forefront of many technological advancements in our nation's history \- from the first flight across the Atlantic Ocean, to stealth bombers, to landing on the moon. We look for people who have bold new ideas, courage and a pioneering spirit to join forces to invent the future, and have fun along the way. Our culture thrives on intellectual curiosity, cognitive diversity and bringing your whole self to work — and we have an insatiable drive to do what others think is impossible. Our employees are not only part of history, they're making history.
We are seeking an experienced **Principal or Sr. Principal Data Scientist** to join our dynamic team of technical professionals. The qualified applicant will become part of Northrop Grumman’s Mission Systems support team in **San Antonio, TX**.
***Please be aware that this position will be contingent upon capturing program award, obtaining customer funding, and holding final clearances prior to start date.****\**
**Essential Duties:**
* **Data Architecture \&amp; Modeling** – Design scalable data mining pipelines, establish protocols for data ingestion, cleaning, transformation, and storage. Evolve models to capture long‑term trends and support real‑time analytics.
* **Statistical Insight** – Perform exploratory data analysis, hypothesis testing, and advanced statistical modeling to identify key drivers and associations within heterogeneous data sources.
* **Visualization \&amp; Reporting** – Create interactive dashboards and reports using modern BI and visualization tools (e.g., Tableau, Power BI, Plotly) to communicate insights to technical and non‑technical stakeholders.
* **Cross****‑Functional Collaboration** – Partner with engineering, operations, and business units to define problem statements, translate requirements into analytical solutions, and integrate findings into product roadmaps.
* **Innovation \&amp; Knowledge Leadership** – Stay abreast of cutting‑edge data science methodologies (e.g., deep learning, reinforcement learning) and evaluate their relevance to defense contexts. Mentor teams and promote a culture of data‑driven decision making.
* **Governance \&amp; Quality** – Establish data governance standards, data quality metrics, and reproducibility practices across the analytics lifecycle.
*This position can be filled at the Principal or the Sr. Principal Level.*
**Basic Qualifications for Principal Data Scientist:**
* Bachelor’s degree in related STEM discipline with 5 years of experience; Master’s degree related in STEM discipline with 3 years of experience; PhD in related STEM discipline with 1 year of experience in Electrical Engineering, Systems Engineering, Software Engineering, Computer Engineering, Physics, Mathematics or related technical fields; an additional 4 years of experience may be considered in lieu of a degree.
* U.S. Citizenship required
* A current/active DoD Top Secret w/ SCI eligibility
* Expertise in statistical modeling (regression, classification, time series) and machine learning (supervised/unsupervised)
* Proficient in Python/R, SQL, and big‑data frameworks (Spark, Hadoop)
* Strong data wrangling and feature engineering abilities
* Advanced visualization and storytelling with libraries like Matplotlib, Seaborn, D3\.js
* Familiarity with cloud analytics platforms (AWS SageMaker, Azure ML, GCP AI Platform)
**Basic Qualifications for Sr. Principal Data Scientist:**
* Bachelor’s degree in related STEM discipline with 8 years of experience; Master’s degree related in STEM discipline with 6 years of experience; PhD in related STEM discipline with 4 years of experience in Electrical Engineering, Systems Engineering, Software Engineering, Computer Engineering, Physics, Mathematics or related technical fields; *an additional 4 years of experience may be considered in lieu of a degree.*
* U.S. Citizenship required
* A current/active DoD Top Secret w/ SCI eligibility
* Expertise in statistical modeling (regression, classification, time series) and machine learning (supervised/unsupervised)
* Proficient in Python/R, SQL, and big‑data frameworks (Spark, Hadoop)
* Strong data wrangling and feature engineering abilities
* Advanced visualization and storytelling with libraries like Matplotlib, Seaborn, D3\.js
* Familiarity with cloud analytics platforms (AWS SageMaker, Azure ML, GCP AI Platform)
**Preferred Qualifications for both levels:**
* Bachelor’s degree in the STEM field of study.
* Excellent communication: ability to translate complex analytics into clear, actionable insights
* Leadership: mentoring, influencing cross‑functional teams, driving analytical strategy
* Working knowledge of Cybersecurity technologies, NIST standards, and RMF governance
* Strong analytical and problem‑solving abilities
* Proven ability to influence and drive adoption of best practices across teams
* SAP access
Primary Level Salary Range: $113,900\.00 \- $170,900\.00
Secondary Level Salary Range: $142,200\.00 \- $213,200\.00
The above salary range represents a general guideline; however, Northrop Grumman considers a number of factors when determining base salary offers such as the scope and responsibilities of the position and the candidate's experience, education, skills and current market conditions.
Depending on the position, employees may be eligible for overtime, shift differential, and a discretionary bonus in addition to base pay. Annual bonuses are designed to reward individual contributions as well as allow employees to share in company results. Employees in Vice President or Director positions may be eligible for Long Term Incentives. In addition, Northrop Grumman provides a variety of benefits including health insurance coverage, life and disability insurance, savings plan, Company paid holidays and paid time off (PTO) for vacation and/or personal business.
The application period for the job is estimated to be 20 days from the job posting date. However, this timeline may be shortened or extended depending on business needs and the availability of qualified candidates.
Northrop Grumman is an Equal Opportunity Employer, making decisions without regard to race, color, religion, creed, sex, sexual orientation, gender identity, marital status, national origin, age, veteran status, disability, or any other protected class. For our complete EEO and pay transparency statement, please visit http://www.northropgrumman.com/EEO. U.S. Citizenship is required for all positions with a government clearance and certain other restricted positions.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9"/>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li-4372996469</t>
        </is>
      </c>
      <c r="B2" t="inlineStr">
        <is>
          <t>Data Scientist</t>
        </is>
      </c>
      <c r="C2" t="inlineStr">
        <is>
          <t>420®</t>
        </is>
      </c>
      <c r="D2" t="inlineStr">
        <is>
          <t>linkedin</t>
        </is>
      </c>
      <c r="E2" t="inlineStr"/>
      <c r="F2" t="inlineStr"/>
      <c r="G2" t="inlineStr"/>
      <c r="H2" t="inlineStr"/>
      <c r="I2" t="inlineStr">
        <is>
          <t>**Company Description**
 420® is a pioneering entity built on the legacy of Prof. Dr. Raphael Mechoulam, specializing in bioeconomy solutions and data sovereignty. The company provides innovative initiatives such as blockchain\-based data validation, fully traceable ecosystems using multichain and zero\-knowledge proofs, and transparent industrial frameworks. It emphasizes education and governance through various programs, ensuring industry standards and forward\-thinking strategies. 420® fosters a collaborative and inclusive environment to empower scientific and legal elites in shaping the future of sustainable and ethical practices.
**Role Description**
 We are seeking a full\-time Data Scientist for a hybrid position based in the United States, with flexibility for partial remote work. In this role, you will analyze large datasets, design and implement data models, and develop actionable insights that advance key business and strategic goals. Other responsibilities include data visualization, statistical modeling, and collaborating with cross\-functional teams to enhance decision\-making processes through data\-driven solutions.
**Qualifications**
* Strong expertise in Data Science, Data Analytics, and Data Analysis.
* Proficiency in Statistics and statistical modeling to draw meaningful insights from complex datasets.
* Skilled in Data Visualization tools such as Tableau, Power BI, or equivalent software.
* Familiarity with programming languages and tools such as Python, R, SQL, or similar.
* Exceptional problem\-solving skills with the ability to communicate complex information in a clear manner.
* Experience in machine learning or artificial intelligence is an advantage.
* Bachelor's or Master's degree in Data Science, Statistics, Computer Science, or a related field is preferred.</t>
        </is>
      </c>
    </row>
    <row r="3">
      <c r="A3" t="inlineStr">
        <is>
          <t>li-4368576550</t>
        </is>
      </c>
      <c r="B3" t="inlineStr">
        <is>
          <t>Data Scientist</t>
        </is>
      </c>
      <c r="C3" t="inlineStr">
        <is>
          <t>ARAUCO - North America</t>
        </is>
      </c>
      <c r="D3" t="inlineStr">
        <is>
          <t>linkedin</t>
        </is>
      </c>
      <c r="E3" t="inlineStr"/>
      <c r="F3" t="inlineStr"/>
      <c r="G3" t="inlineStr">
        <is>
          <t>Atlanta, GA</t>
        </is>
      </c>
      <c r="H3" t="inlineStr"/>
      <c r="I3" t="inlineStr">
        <is>
          <t>**Looking for a rewarding career with a company that values people, growth, sustainability, and teamwork?** 
 Join our
 **Atlanta** 
 team as a
 **Data Scientist!**
 As part of the IT department, this position reports directly to the Technology and Innovations Manager. Please note that the role is internally classified as Optimization Development Specialist and differs from the posted title for clarity to job seekers.
 This role is
 **hybrid** 
 (onsite three days, and remote 2 days per week) and is located at our Atlanta Corporate Office in the Perimeter area.
**What We Are Looking For**
* Bachelor’s or Master’s degree in Data Science, Industrial Engineering, Operations Research, Applied Mathematics, or Computer Science.
* Recent graduate or professional with experience in data science, optimization, or AI model development (industry experience preferred).
* Strong proficiency in Python (Pandas, NumPy, SciPy, PuLP, OR\-Tools, or Pyomo).
* Experience with SQL/BigQuery and cloud\-based data platforms (Azure and Google Cloud preferred).
* Familiarity with SAP datasets or ERP\-related data structures is a strong plus.
* Working knowledge of Qlik Sense and Power Platform (Power Automate / Copilot Studio) is desirable.
* Excellent problem\-solving and communication skills with the ability to explain complex models to executives and operational teams.
* Willing to travel 25% of the time (\~ one week out of the month)
* Must be comfortable with working in both an industrial environment and corporate setting
**What We Offer**
* An attractive compensation package with bonus eligibility
* Health plans with options that meet your needs, including a wellness program, gym reimbursement, and additional benefits such as pet insurance, legal insurance, employer\-paid and voluntary life insurance, and more
* Paid maternity and paternity leave, a competitive vacation package, and company and floating holidays designed to support your work\-life balance
* Retirement planning options, including generous employer contributions
* Opportunities to learn and develop, including a tuition reimbursement program
**In This Role, You Will**
* Design and implement optimization and simulation models to solve business challenges such as production scheduling, cost\-to\-serve routing, inventory balancing, and pricing elasticity.
* Create and deploy computer vision solutions for safety, process monitoring, quality control, and automation (e.g., image recognition, object detection, anomaly detection).
* Develop heuristic and machine learning models using Python, BigQuery ML, and Azure services.
* Collaborate with data engineers to ensure reliable and efficient data pipelines from SAP and other enterprise systems.
* Translate business requirements into mathematical models (linear programming, mixed\-integer, constraint\-based, or stochastic optimization).
* Build and maintain dashboards and decision\-support tools.
* Prototype and deploy optimization microservices or AI agents integrated into business workflows.
* Conduct model validation, sensitivity analysis, and post\-implementation reviews to measure impact.
* Contribute to the citizen development framework, supporting business users in applying advanced analytics responsibly.
* Document methodologies and communicate insights clearly to technical and non\-technical stakeholders.</t>
        </is>
      </c>
    </row>
    <row r="4">
      <c r="A4" t="inlineStr">
        <is>
          <t>li-4372966819</t>
        </is>
      </c>
      <c r="B4" t="inlineStr">
        <is>
          <t>Senior Data Scientist , Agents</t>
        </is>
      </c>
      <c r="C4" t="inlineStr">
        <is>
          <t>Verily</t>
        </is>
      </c>
      <c r="D4" t="inlineStr">
        <is>
          <t>linkedin</t>
        </is>
      </c>
      <c r="E4" t="inlineStr"/>
      <c r="F4" t="inlineStr"/>
      <c r="G4" t="inlineStr">
        <is>
          <t>San Bruno, CA</t>
        </is>
      </c>
      <c r="H4" t="inlineStr"/>
      <c r="I4" t="inlineStr">
        <is>
          <t>**Who We Are**
 Verily is a subsidiary of Alphabet that is using a data\-driven approach to change the way people manage their health and the way healthcare is delivered. Launched from Google X in 2015, our purpose is to bring the promise of precision health to everyone, every day. We are focused on generating and activating data from a variety of sources, including clinical, social, behavioral and the real world, to arrive at the best solutions for a person based on a comprehensive view of the evidence. Our unique expertise and capabilities in technology, data science and healthcare enable the entire healthcare ecosystem to drive better health outcomes.
**Description**
 As an AI and Data Scientist at Verily, you will be supporting our core mission to build advanced data and AI capabilities for Verily's portfolio of products, which serve both consumer and business audiences. You will help drive innovation in data\-driven healthcare by developing and deploying sophisticated models into our products. This role requires a blend of applied science and product\-focused creativity; you should expect to conduct research and innovate on new methods to directly support and enhance our product offerings. Using cutting\-edge techniques, you will analyze complex datasets to build robust solutions and collaborate with a diverse cross\-functional team to build reusable and scalable tools that unlock information from structured and unstructured clinical data
**Responsibilities**
* Collaborate with cross\-functional teams to conceptualize, develop, and implement AI solutions tailored to diverse healthcare applications.
* Architect and implement foundational models and large language model (LLM) based agents to achieve optimal performance and efficiency.
* Conduct cutting\-edge research and stay informed on emerging advancements in LLMs, medical foundational models, and AI agents.
* Effectively communicate complex technical methodologies and results through clear, well\-structured reports and presentations for both technical and non\-technical audiences.
**Qualifications**
 Minimum Qualifications
* Advanced degree in a quantitative discipline (e.g., statistics, computer science, applied mathematics, or similar) or equivalent practical experience.
* Experience with applying ML in digital health applications.
* Direct experience working with LLM and familiar with various prompt optimization technologies.
**Preferred Qualifications**
* Ph.D. in Computer Science or Engineering.
* Experience with LLM models, including prompting, fine\-tuning and retrieval augmented generation (RAG).
* Familiarity with software engineering principles and experience deploying algorithms in production environments.
* Experience developing transformer based deep learning algorithms using TensorFlow or PyTorch, and knowledge of latest architectures.
 This role is eligible for Verily\-sponsored immigration support.
 The US base salary range for this full\-time position is $164,000 \- $246,000 \+ bonus \+ benefits.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Verily Life Sciences LLC is an equal opportunity employer. Qualified applicants will receive consideration for employment without regard to race, color, religion, sex, sexual orientation, gender identity, national origin, disability or protected veteran status. For our EEO Policy Statement, please click here. If you'd like more information on your EEO rights under the law, please click here.
 If you have a need that requires accommodation, please let us know by completing our Accommodations for Applicants form.</t>
        </is>
      </c>
    </row>
    <row r="5">
      <c r="A5" t="inlineStr">
        <is>
          <t>li-4372974528</t>
        </is>
      </c>
      <c r="B5" t="inlineStr">
        <is>
          <t>Senior Data Scientist - Payments ACH</t>
        </is>
      </c>
      <c r="C5" t="inlineStr">
        <is>
          <t>Plaid</t>
        </is>
      </c>
      <c r="D5" t="inlineStr">
        <is>
          <t>linkedin</t>
        </is>
      </c>
      <c r="E5" t="inlineStr"/>
      <c r="F5" t="inlineStr"/>
      <c r="G5" t="inlineStr">
        <is>
          <t>New York, NY</t>
        </is>
      </c>
      <c r="H5" t="inlineStr"/>
      <c r="I5"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Payment Data team builds models, services, and platforms that improve how millions of users move money through ACH. We’re looking for data scientists to apply best\-in\-class methodologies to develop new products, enhance existing systems, and generate insights that power data\-driven decision\-making.
 You’ll be a Data Scientist as a part of the Data org, tackling high\-impact analytics and machine learning challenges that directly shape business outcomes. In this role, you’ll use data to drive strategic decisions, inform production direction, and evaluate and improve ML systems. You’ll partner closely with clients both pre\- and post\-sales to assess product performance, conduct retrospective analyses, and craft risk mitigation strategies that maximize impact.
 Day to day, you’ll deep dive into model performance, triage issues, and identify opportunities for improvement across ML risk systems. You’ll develop new features to strengthen model performance, build scalable data pipelines using tools like dbt to automate ETL processes, and design metrics, alerts, and dashboards to monitor production models. This is an opportunity to combine analytical rigor, technical depth, and client collaboration to drive measurable results.
**Responsibilities**
* Applying your expertise in quantitative analysis, data mining, and data visualization to find insights for improving our API products
* Identifying useful signals that can be fed into machine learning models
* Informing and influencing product and engineering teams through your data analysis and presentations
* Making long\-term data science roadmap decisions like how machine learning and data science iteration should be done at Plaid
* Championing a data\-first approach toward decision\-making across the entire organization
**Qualifications**
* 5\+ years of industry experience in a product\-focused Data Science role
* Experience working on ACH risk strategy or system, building Guaranteed ACH product is preferred
* Deep familiarity with SQL and data visualization tools
* Experiencing conducting large\-scale A/B experiments, analyzing results, and translating them into concrete recommendations
* Familiarity with the AWS stack
* Understanding of modern machine learning techniques, such as classification, clustering, optimization, deep neural network, and natural language processing
* Proven ability to tailor your solutions to business problems in a cross\-functional team
* Ability to code and iterate independently in Python to conduct exploratory data analysis
* Experience building data pipelines in DBT or Airflow is a plus
* Bachelor's degree or equivalent work experience in Computer Science, Statistics, Engineering, Economics, or a closely related field
 $174,000 \- $260,400 a year
 The target base salary for this position ranges from $174,000/year to $260,400/year in Zone 1\.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6">
      <c r="A6" t="inlineStr">
        <is>
          <t>li-4373202347</t>
        </is>
      </c>
      <c r="B6" t="inlineStr">
        <is>
          <t>Data Scientist</t>
        </is>
      </c>
      <c r="C6" t="inlineStr">
        <is>
          <t>Wiraa</t>
        </is>
      </c>
      <c r="D6" t="inlineStr">
        <is>
          <t>linkedin</t>
        </is>
      </c>
      <c r="E6" t="inlineStr"/>
      <c r="F6" t="inlineStr"/>
      <c r="G6" t="inlineStr"/>
      <c r="H6" t="inlineStr"/>
      <c r="I6" t="inlineStr">
        <is>
          <t>**About The Company**
 Coinbase is a leading global cryptocurrency exchange and financial technology platform dedicated to increasing economic freedom worldwide. Our mission is to create an open financial system that provides access to anyone, anywhere, by leveraging the transformative power of blockchain technology and cryptocurrencies. We are committed to building a secure, reliable, and user\-friendly platform that empowers individuals to participate in the emerging on\-chain economy. Coinbase fosters a dynamic and innovative work environment, attracting top talent to solve some of the most complex challenges in the digital asset space. Our culture emphasizes continuous learning, clear communication, and a passion for technological advancement, making us a pioneer in the rapidly evolving crypto industry.
**About The Role**
 We are seeking a highly skilled Staff Data Scientist to join our Base app team. The Base app is Coinbase’s solution that enables users to custody their own crypto assets in a censorship\-resistant manner. As a key member of our team, you will collaborate closely with cross\-functional groups including Product, Engineering, and Design to influence product development, enhance user growth, and unlock new opportunities through data\-driven insights. Your expertise will drive the development of growth models, experimentation frameworks, and blockchain data analysis to inform strategic decisions and improve overall product performance. This role offers a unique opportunity to work at the forefront of blockchain technology, contributing to a product that empowers users to take control of their digital assets in a decentralized environment.
**Qualifications**
* BA / BS degree or equivalent practical experience
* 8\+ years of relevant experience or a PhD in related fields with 5\+ years of experience
* Strong understanding of statistical concepts and their application
* Proficiency in SQL for data analysis
* Experience with at least one programming language, preferably Python
* Proven ability to independently plan and execute complex analytics projects across multiple teams
* Excellent communication skills, capable of translating complex data insights into compelling stories for diverse audiences
* Demonstrated commitment to continuous learning and professional development
* Understanding of experimentation methodologies, including incrementality and cannibalization analyses
**Responsibilities**
* Design and implement testing plans to analyze key product metrics and inform strategic decision\-making
* Partner with cross\-functional teams to conduct deep analyses and develop models that prioritize opportunities and provide actionable insights
* Create and refine analytics and machine learning models to enhance product features and user engagement
* Monitor and measure business performance by developing core metrics and creating dashboards and reports for ongoing analysis
* Translate complex data findings into clear, impactful narratives and communicate insights to stakeholders and senior leadership
* Develop, maintain, and optimize data pipelines and models to ensure high\-quality data availability and reliability
* Stay current with industry best practices and incorporate innovative analytical techniques to improve processes and outcomes
**Benefits**
* Competitive salary package within the range of $207,485—$244,100 USD, commensurate with experience
* Eligibility for bonuses and equity awards
* Comprehensive medical, dental, and vision insurance plans
* Retirement savings options including 401(k)
* Paid time off and holidays
* Professional development opportunities and a collaborative work environment
* Flexible work arrangements with support for remote participation and in\-person collaboration
 Equal Opportunity
 Coinbase is proud to be an Equal Opportunity Employer. All qualified applicants will receive consideration for employment without regard to race, color, religion, creed, gender, national origin, age, disability, veteran status, sex, gender identity or expression, sexual orientation, or any other legally protected status. We also consider qualified applicants with criminal histories in a manner consistent with applicable federal, state, and local laws. Coinbase is committed to providing reasonable accommodations to individuals with disabilities throughout the hiring process. If you require an accommodation. We value diversity and are dedicated to creating an inclusive environment for all employees.</t>
        </is>
      </c>
    </row>
    <row r="7">
      <c r="A7" t="inlineStr">
        <is>
          <t>li-4372051129</t>
        </is>
      </c>
      <c r="B7" t="inlineStr">
        <is>
          <t>Data Scientist</t>
        </is>
      </c>
      <c r="C7" t="inlineStr">
        <is>
          <t>Tata Consultancy Services</t>
        </is>
      </c>
      <c r="D7" t="inlineStr">
        <is>
          <t>linkedin</t>
        </is>
      </c>
      <c r="E7" t="inlineStr"/>
      <c r="F7" t="inlineStr"/>
      <c r="G7" t="inlineStr">
        <is>
          <t>Allen, TX</t>
        </is>
      </c>
      <c r="H7" t="inlineStr"/>
      <c r="I7" t="inlineStr">
        <is>
          <t>**Job Description**
 Must Have Technical/Functional Skills
* Minimum of 1 years of statistical modeling / data analysis industry experience including data manipulation experience preferably using Python, Tableau, and SQL
* Advanced degree in Data Science, Mathematics, Statistics, or related field
* Have the knowledge and experience to build robust predictive models and intimately know the statistical requirements and limitations of training and test data.
* Be able to perform statistical analysis in a Linux or cloud computing (e.g. AWS) environments and manipulate various modeling tools with python notebook, shell scripting, Linux command line, or SAS
* Expert analytical skills to evaluate, understand, and interpret data from both an internal and client perspective
* Use best coding practices and strong fluency in at least one programming language: SAS, Shell scripting, Python, C\+\+, SQL, or other languages
* Strong knowledge of Linux and Microsoft office products
* Demonstrated ability to communicate ideas and analysis results effectively both verbally and in writing to both a technical and non\-technical audience
* Excellent problem solving, analytics, organization, communication, interpersonal and presentation skills
* Financial services industry experience preferred
 Roles \&amp; Responsibilities
* Minimum of 1 years of statistical modeling / data analysis industry experience including data manipulation experience preferably using Python, Tableau, and SQL
* Advanced degree in Data Science, Mathematics, Statistics, or related field
* Have the knowledge and experience to build robust predictive models and intimately know the statistical requirements and limitations of training and test data.
* Be able to perform statistical analysis in a Linux or cloud computing (e.g. AWS) environments and manipulate various modeling tools with python notebook, shell scripting, Linux command line, or SAS
* Expert analytical skills to evaluate, understand, and interpret data from both an internal and client perspective
* Use best coding practices and strong fluency in at least one programming language: SAS, Shell scripting, Python, C\+\+, SQL, or other languages
* Strong knowledge of Linux and Microsoft office products
* Demonstrated ability to communicate ideas and analysis results effectively both verbally and in writing to both a technical and non\-technical audience
* Excellent problem solving, analytics, organization, communication, interpersonal and presentation skills
* Financial services industry experience preferred
 Education
 Bachelor’s or Master’s Degree
 Salary Range: $100,000 \- $130,000 a year
**Qualifications:** 
 BACHELOR OF COMPUTER SCIENCE</t>
        </is>
      </c>
    </row>
    <row r="8">
      <c r="A8" t="inlineStr">
        <is>
          <t>li-4355374382</t>
        </is>
      </c>
      <c r="B8" t="inlineStr">
        <is>
          <t>Market Data Scientist</t>
        </is>
      </c>
      <c r="C8" t="inlineStr">
        <is>
          <t>ISO New England Inc.</t>
        </is>
      </c>
      <c r="D8" t="inlineStr">
        <is>
          <t>linkedin</t>
        </is>
      </c>
      <c r="E8" t="inlineStr"/>
      <c r="F8" t="inlineStr"/>
      <c r="G8" t="inlineStr">
        <is>
          <t>Holyoke, MA</t>
        </is>
      </c>
      <c r="H8" t="inlineStr"/>
      <c r="I8" t="inlineStr">
        <is>
          <t>ISO New England is the independent system operator responsible for ensuring the safe and reliable flow of electricity in our region and planning for the future of the electric grid. We are at the forefront of New England’s ongoing transition to clean energy.
 We seek motivated individuals to join the Market Development team. Our job is to lead projects that integrate new technologies into competitive electricity markets and help facilitate the region’s clean energy transition. We work as a team, within the department, the company, and the region, to assess, design, and implement real\-world changes to improve the electric grid and electricity markets.
 As a Market Data Scientist, your primary responsibilities will involve transforming complex data into actionable insights. You will contribute to cross\-functional projects that enhance market design, test proposed rules, and guide stakeholder discussions. Your teammates come from a variety of backgrounds \- economists, engineers, data scientists, writers, business professionals and more. Collectively, we assign projects and project roles base on each person’s expertise, passions, and goals. Candidates from all backgrounds are encouraged to apply.
**What We Offer You**
* Hybrid work environment (3 days/week onsite)
* Relocation assistance
* Competitive compensation with a base salary \+ performance bonus
* Robust benefits package, including:
* Enhanced 401(k) and financial planning support
* Tuition reimbursement and professional development
* Wellness programs, including an onsite gym
* Free coffee at our onsite café
* Flexible work hours
* Employee Business Networks
* A stable, mission\-driven workplace where your impact truly matters
 How you will make an Impact
* Develop and maintain statistical and machine learning models to assess market outcomes, simulate policy changes, and forecast trends.
* Design ETL processes to extract and analyze very large datasets from the ISO’s operational systems using SQL, Python, SAS, or R, with efficient post\-processing workflows to support high\-volume reporting and strategic analysis.
* Produce reports and dashboards that clearly communicate trends, anomalies, and insights to both technical and business stakeholders.
* Collaborate in cross\-functional project teams focused on shaping market rules, implementation strategy, and stakeholder engagement.
 What we are looking for
* Bachelor’s or Master’s degree in Data Science, Statistics, Computer Science, Operations Research, Economics, Math, Finance, or a related technical field.
* Proficiency in Python and either R or SAS.
* Proficiency with SQL.
* Strong understanding of core statistical concepts such as regression, probability, and hypothesis testing.
* Desired not required
* Experience working in energy, electricity markets, or large\-scale policy\-driven data environments.
* Knowledge of GAMS or other optimization modeling tools.
* Familiarity with version control (e.g., Git) and collaborative coding workflows.
* Prior exposure to data visualization or dashboard tools (e.g., Plotly, Dash, R Shiny).
* Experience with neural networks, deep learning frameworks, or experimentation methods.
 This employer will not sponsor applicants for work visas for this position (ex: H\-1B, F\-1/CPT/OPT, O\-1, E\-3, TN, J, etc.).
 The expected salary range for this position is $82,000 \- $113,000 per year. This role is also eligible for an annual performance bonus, comprehensive health insurance (medical, dental and vision), flexible spending and health savings accounts, a 401(k) plan with generous employer contributions and a student debt benefit, life and AD\&amp;D insurance, disability insurance, critical illness and hospital indemnity benefits, paid time off, paid leave, a wellness program, an employee assistance program and other great company perks.
 This is a U.S. based role. If the successful candidate resides outside of the U.S., relocation will be required.
 Equal Opportunity: We are proud to be an EEO employer. Applicants for employment are considered without regard to race, color, religion, creed, sex (including pregnancy, childbirth, and related medical conditions), gender identity or expression, sexual orientation, citizenship, national origin, age, ancestry, marital status, disability (including learning, mental, intellectual, and physical), service in the uniformed services, genetic information, or any other status protected by applicable law.
 Drug Free Environment: We maintain a drug\-free workplace and perform pre\-employment substance abuse testing.</t>
        </is>
      </c>
    </row>
    <row r="9">
      <c r="A9" t="inlineStr">
        <is>
          <t>li-4372988628</t>
        </is>
      </c>
      <c r="B9" t="inlineStr">
        <is>
          <t>Senior Applied Scientist - AI Red Teaming &amp; Model Risk</t>
        </is>
      </c>
      <c r="C9" t="inlineStr">
        <is>
          <t>Uber</t>
        </is>
      </c>
      <c r="D9" t="inlineStr">
        <is>
          <t>linkedin</t>
        </is>
      </c>
      <c r="E9" t="inlineStr"/>
      <c r="F9" t="inlineStr"/>
      <c r="G9" t="inlineStr">
        <is>
          <t>San Francisco, CA</t>
        </is>
      </c>
      <c r="H9" t="inlineStr"/>
      <c r="I9" t="inlineStr">
        <is>
          <t>**About The Role**
 As AI systems\-particularly LLMs and agentic AI\-become core to our products and internal platforms, understanding how these systems fail is just as important as improving their performance. We are looking for a Senior Applied Scientist to join our AI Red Teaming efforts and focus on adversarial evaluation, failure analysis, and risk discovery in AI models and AI agents.
 In this role, you will systematically probe AI systems to uncover unsafe, unintended, or harmful behaviors, including prompt injection, jailbreaks, behavioral drift, tool misuse, and context or memory poisoning. You will design experiments, build evaluation frameworks, and analyze outcomes to surface risks that traditional ML metrics do not capture.
 This role is ideal for a data scientist who enjoys working at the edge of model behavior, cares deeply about safety and robustness, and wants to apply scientific rigor to securing real\-world AI systems.
**What The Candidate Will Need / Bonus Points**
 \-\-\-\- What the Candidate Will Do \-\-\-\-
* Design and execute AI red\-teaming experiments against LLMs and AI agents to identify: prompt injection (direct \&amp; indirect), jailbreaking and policy bypass, model and tool poisoning, context and memory poisoning, behavioral drift and unsafe autonomy
* Develop adversarial datasets, probes, and test harnesses to systematically evaluate model and agent behavior under attack.
* Define and track AI risk metrics beyond accuracy (e.g., failure rates, drift indicators, unsafe action likelihood, confidence miscalibration).
* Analyze agent workflows and decision traces to understand how failures emerge across multi\-step reasoning and tool use.\\
* Collaborate with security engineers and AI platform teams to translate findings into guardrails, mitigations, and design improvements.
* Build reusable evaluation pipelines to support continuous red teaming and regression testing as models and agents evolve.
**Basic Qualifications**
* 5\+ years of experience as a Data Scientist, Applied Scientist, or ML Scientist.
* Hands\-on experience working with LLMs or generative AI systems.
* Direct experience with AI red teaming, model safety, or adversarial evaluation.
* Direct experience with prompt injection, jailbreaks, and LLM failure modes.
* Strong background in experimental design, evaluation, and statistical analysis.
* Experience analyzing complex model behavior and failure cases beyond standard metrics.
* Proficiency in Python and common DS/ML tooling.
**Preferred Qualifications**
* Experience evaluating agentic systems, including tool use, memory, or multi\-step workflows.
* Knowledge of GenAI architectures (transformers, embeddings, RAG, agent frameworks).
* Experience building custom evaluation datasets or simulation environments.
* Background or strong interest in security, privacy, or trust \&amp; safety.
* Familiarity with AI evaluation tools (e.g., custom judges, LLM\-as\-judge, simulation frameworks).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0">
      <c r="A10" t="inlineStr">
        <is>
          <t>li-4372757111</t>
        </is>
      </c>
      <c r="B10" t="inlineStr">
        <is>
          <t>Data Scientist, PREDDICT Project</t>
        </is>
      </c>
      <c r="C10" t="inlineStr">
        <is>
          <t>Mass General Brigham</t>
        </is>
      </c>
      <c r="D10" t="inlineStr">
        <is>
          <t>linkedin</t>
        </is>
      </c>
      <c r="E10" t="inlineStr"/>
      <c r="F10" t="inlineStr"/>
      <c r="G10" t="inlineStr">
        <is>
          <t>Boston, MA</t>
        </is>
      </c>
      <c r="H10" t="inlineStr"/>
      <c r="I10" t="inlineStr">
        <is>
          <t>Site: The Spaulding Rehabilitation Hospital Corporation
 Mass General Brigham relies on a wide range of professionals, including doctors, nurses, business people, tech experts, researchers, and systems analysts to advance our mission. As a not\-for\-profit, we support patient care, research, teaching, and community service, striving to provide exceptional care. We believe that high\-performing teams drive groundbreaking medical discoveries and invite all applicants to join us and experience what it means to be part of Mass General Brigham.
 We are seeking an exceptional Data Scientist to play a central analytic role in PREDDICT, a next\-generation clinical and research program at Spaulding Rehabilitation. Focused on predicting, preventing, and improving long\-term health and wellness outcomes across high\-risk populations, PREDDICT brings together precision rehabilitation medicine, data science, and digital health to redefine how injury and recovery are understood and treated—extending not only lifespan, but HealthSpan, the period of life spent in good health.
 Rehabilitation settings care for people with life\-changing injuries such as brain injury, stroke, burns, spinal cord injury, and limb loss. PREDDICT leverages electronic health records and advanced analytics, including machine learning, to infuse data\-driven decision\-making into care during a pivotal time in patients’ lives. The program integrates clinical care, longitudinal research, advanced analytics, and system\-level implementation to move beyond siloed studies and toward scalable, real\-world impact. This role will build the foundation of that mission.
 The Data Scientist will hold and grow expertise in the Mass General Brigham (MGB) electronic health record (EHR) including an understanding of key rehabilitation data elements, their location in the EHR, and documentation workflows. They will work closely with physician\-scientists, clinical teams, research staff, and external partners to guide responsible data utilization throughout the lifecycle from extraction through visualization. It is an opportunity to help shape how complex clinical data are transformed into insight, prediction, and evidence that directly informs care delivery and long\-term outcomes in rehabilitation and disability health.
 The Data Scientist will work in a highly matrixed environment, collaborating across the HealthSpan Lab, the Rehabilitation Outcomes Center at Spaulding, and MGB Digital.
**About The HealthSpan Lab**
 The HealthSpan Lab is committed to advancing our understanding of lifelong health. We study the biological, behavioral, and environmental factors that influence healthy aging and long\-term function. Our research aims to uncover early markers of decline, identify mechanisms of resilience, and develop interventions that can prevent disease before it begins. By generating evidence across systems and stages of life, we work to improve health outcomes and promote lifelong well\-being.
**About The Rehabilitation Outcomes Center At Spaulding (ROCS)**
 The Rehabilitation Outcomes Center at Spaulding is a central hub for researchers, clinicians, and the broader rehabilitation community advancing data\-powered care across the full rehabilitation journey—from hospital to home. ROCS offers robust infrastructure for collaboration among investigators, clinicians, and people with lived experience, supported by platforms such as podcasts and open scientific meetings. With an emphasis on Learning Health Systems, ROCS facilitates access to electronic health record analytics, standardized outcome measures, and implementation science expertise, while also offering mentorship and operational support to investigators through its established partnerships and training programs. We make rehab data smarter and better connected so care decisions are based on solid evidence and personalized to the individual. By bridging specialties and systems, we aim to reduce disparities and improve outcomes for people with disabilities—ensuring research translates into real\-world impact.
**Specific Responsibilities May Include**
* Maintain and grow expertise on rehabilitation EHR data structure, storage and retrieval, and computing processes. Maintain working knowledge of clinical documentation workflows and informatics systems. Educate other team members on these functions.
* Design and evaluate predictive models and advanced algorithms for rehabilitation recovery trajectories.
* Design, build, and maintain reports and dashboards to convey data insights in real\-world clinical and research settings. Ensure visualizations are tailored to meet the specific needs of the rehabilitation community in a Learning Health System framework.
* Collaborate with researchers, clinicians, clinical informatics staff, and information systems analysts to design research studies.
* Draw conclusions or make predictions, based on data summaries or statistical analyses.
**Summary**
**Job Summary**
 Responsible for analyzing data, uncovering the underlying data patterns and logic, and developing data\-driven applications. They will work towards developing solutions for the entire problem\-solving cycle: find/prioritize the problems, research the best algorithms to solve the problems, design robust, practical solvers, and implement them.
**Essential Functions**
* Analyze complex and high\-dimensional clinical and operational data for dependencies, patterns, outliers, inaccuracies, and validity.
* Apply knowledge of statistics, machine learning, programming, data modeling, simulation, and/or advanced mathematics to recognize patterns, identify opportunities, pose business questions, and make valuable discoveries.
* Contribute to the design and evaluation of optimal data\-driven metrics (such as physician/facility performance criteria, bottleneck metrics, productivity limits, processing delay/error reports, etc.).
* Use a flexible, analytical approach to design, develop, and evaluate predictive models and advanced algorithms that lead to optimal value extraction from the data.
* Generate and test hypotheses and analyze and interpret the results.
**Qualifications**
 Education
 Bachelor's Degree Related Field of Study required or Master's Degree Related Field of Study preferred
 Can this role accept experience in lieu of a degree?
 Yes
**Experience**
 Experience working in data science\-type positions and with large data sets 2\-3 years preferred
**Knowledge, Skills And Abilities**
* Ability to create reports and dashboards with Tableau.
* Skilled in data analysis with Python and SQL.
* Knowledge of statistics.
* Knowledge of machine learning.
* Preferred SQL database management and administrative knowledge.
* Practiced knowledge of numerical optimization algorithms.
**Additional Job Details (if Applicable)**
**Remote Type**
 Hybrid
**Work Location**
 300 First Avenue
**Scheduled Weekly Hours**
 40
**Employee Type**
 Regular
**Work Shift**
 Day (United States of America)
**Pay Range**
 $75,275\.20 \- $109,553\.60/Annual
**Grade**
 6
 At Mass General Brigham, we believe in recognizing and rewarding the unique value each team member brings to our organization. Our approach to determining base pay is comprehensive, and any offer extended will take into account your skills, relevant experience if applicable, education, certifications and other essential factors. The base pay information provided offers an estimate based on the minimum job qualifications; however, it does not encompass all elements contributing to your total compensation package. In addition to competitive base pay, we offer comprehensive benefits, career advancement opportunities, differentials, premiums and bonuses as applicable and recognition programs designed to celebrate your contributions and support your professional growth. We invite you to apply, and our Talent Acquisition team will provide an overview of your potential compensation and benefits package.
**EEO Statement**
 1400 The Spaulding Rehabilitation Hospital Corporation is an Equal Opportunity Employer. All qualified applicants will receive consideration for employment without regard to race, color, religious creed, national origin, sex, age, gender identity, disability, sexual orientation, military service, genetic information, and/or other status protected under law. We will ensure that all individuals with a disability are provided a reasonable accommodation to participate in the job application or interview process, to perform essential job functions, and to receive other benefits and privileges of employment. To ensure reasonable accommodation for individuals protected by Section 503 of the Rehabilitation Act of 1973, the Vietnam Veteran’s Readjustment Act of 1974, and Title I of the Americans with Disabilities Act of 1990, applicants who require accommodation in the job application process may contact Human Resources at (857\)\-282\-7642\.
**Mass General Brigham Competency Framework**
 At Mass General Brigham, our competency framework defines what effective leadership “looks like” by specifying which behaviors are most critical for successful performance at each job level. The framework is comprised of ten competencies (half People\-Focused, half Performance\-Focused) and are defined by observable and measurable skills and behaviors that contribute to workplace effectiveness and career success. These competencies are used to evaluate performance, make hiring decisions, identify development needs, mobilize employees across our system, and establish a strong talent pipeline.</t>
        </is>
      </c>
    </row>
    <row r="11">
      <c r="A11" t="inlineStr">
        <is>
          <t>li-4372047615</t>
        </is>
      </c>
      <c r="B11" t="inlineStr">
        <is>
          <t>Data Scientist</t>
        </is>
      </c>
      <c r="C11" t="inlineStr">
        <is>
          <t>RemoteHunter</t>
        </is>
      </c>
      <c r="D11" t="inlineStr">
        <is>
          <t>linkedin</t>
        </is>
      </c>
      <c r="E11" t="inlineStr"/>
      <c r="F11" t="inlineStr"/>
      <c r="G11" t="inlineStr"/>
      <c r="H11" t="inlineStr"/>
      <c r="I11" t="inlineStr">
        <is>
          <t>About the Opportunity:
 This team is focused on revolutionizing healthcare by leveraging data to uncover key insights, shape product development, and promote a culture of data\-informed decision\-making. The Product Data Scientist role involves working cross\-functionally to guide product creation and ensure solutions deliver real\-world impact in telehealth.
 Responsibilities:
 • Uncover actionable insights through data analysis
 • Challenge assumptions and reveal stories hidden in data to guide decisions
 • Apply analytical, statistical, and technical expertise to influence product and business strategy
 • Utilize regression analysis, segmentation, and A/B testing for product optimization and improvement
 • Collaborate across teams to shape innovative telehealth solutions
 Requirements:
 • Bachelor’s degree in Data Science, Computer Science, Statistics, Mathematics, or related field; advanced degrees preferred
 • 3\+ years of experience in data analysis or data science with a proven impact on product decisions
 • Experience working with cross\-functional teams including product managers, engineers, and designers
 • Healthcare or telehealth industry experience is desirable but not required
 • Proficiency in Python and SQL for data manipulation and analysis
 • Strong experience with data visualization tools such as Tableau or Looker
 • At least 1 year of experience with Alteryx
 • Skilled in statistical techniques including regression analysis, hypothesis testing, clustering, and segmentation
 • Experience designing and analyzing A/B tests
 • Familiarity with data tools like Segment and Snowflake, ETL processes, and cloud platforms such as AWS or Google Cloud is a plus
 • Ability to extract actionable insights from complex datasets
 • Strong problem\-solving skills and curiosity
 • Experience with machine learning techniques is a plus
 • Excellent communication skills to convey complex data insights to non\-technical stakeholders
 • Strong project management skills and ability to prioritize tasks and meet deadlines
 • Collaborative and proactive mindset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12">
      <c r="A12" t="inlineStr">
        <is>
          <t>li-4372970562</t>
        </is>
      </c>
      <c r="B12" t="inlineStr">
        <is>
          <t>Senior Data Scientist - Payments ACH</t>
        </is>
      </c>
      <c r="C12" t="inlineStr">
        <is>
          <t>Plaid</t>
        </is>
      </c>
      <c r="D12" t="inlineStr">
        <is>
          <t>linkedin</t>
        </is>
      </c>
      <c r="E12" t="inlineStr"/>
      <c r="F12" t="inlineStr"/>
      <c r="G12" t="inlineStr">
        <is>
          <t>San Francisco, CA</t>
        </is>
      </c>
      <c r="H12" t="inlineStr"/>
      <c r="I12"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Payment Data team builds models, services, and platforms that improve how millions of users move money through ACH. We’re looking for data scientists to apply best\-in\-class methodologies to develop new products, enhance existing systems, and generate insights that power data\-driven decision\-making.
 You’ll be a Data Scientist as a part of the Data org, tackling high\-impact analytics and machine learning challenges that directly shape business outcomes. In this role, you’ll use data to drive strategic decisions, inform production direction, and evaluate and improve ML systems. You’ll partner closely with clients both pre\- and post\-sales to assess product performance, conduct retrospective analyses, and craft risk mitigation strategies that maximize impact.
 Day to day, you’ll deep dive into model performance, triage issues, and identify opportunities for improvement across ML risk systems. You’ll develop new features to strengthen model performance, build scalable data pipelines using tools like dbt to automate ETL processes, and design metrics, alerts, and dashboards to monitor production models. This is an opportunity to combine analytical rigor, technical depth, and client collaboration to drive measurable results.
**Responsibilities**
* Applying your expertise in quantitative analysis, data mining, and data visualization to find insights for improving our API products
* Identifying useful signals that can be fed into machine learning models
* Informing and influencing product and engineering teams through your data analysis and presentations
* Making long\-term data science roadmap decisions like how machine learning and data science iteration should be done at Plaid
* Championing a data\-first approach toward decision\-making across the entire organization
**Qualifications**
* 5\+ years of industry experience in a product\-focused Data Science role
* Experience working on ACH risk strategy or system, building Guaranteed ACH product is preferred
* Deep familiarity with SQL and data visualization tools
* Experiencing conducting large\-scale A/B experiments, analyzing results, and translating them into concrete recommendations
* Familiarity with the AWS stack
* Understanding of modern machine learning techniques, such as classification, clustering, optimization, deep neural network, and natural language processing
* Proven ability to tailor your solutions to business problems in a cross\-functional team
* Ability to code and iterate independently in Python to conduct exploratory data analysis
* Experience building data pipelines in DBT or Airflow is a plus
* Bachelor's degree or equivalent work experience in Computer Science, Statistics, Engineering, Economics, or a closely related field
 $174,000 \- $260,400 a year
 The target base salary for this position ranges from $174,000/year to $260,400/year in Zone 1\.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13">
      <c r="A13" t="inlineStr">
        <is>
          <t>li-4372050032</t>
        </is>
      </c>
      <c r="B13" t="inlineStr">
        <is>
          <t>Data Scientist with Python and ML</t>
        </is>
      </c>
      <c r="C13" t="inlineStr">
        <is>
          <t>Tata Consultancy Services</t>
        </is>
      </c>
      <c r="D13" t="inlineStr">
        <is>
          <t>linkedin</t>
        </is>
      </c>
      <c r="E13" t="inlineStr"/>
      <c r="F13" t="inlineStr"/>
      <c r="G13" t="inlineStr">
        <is>
          <t>Addison, TX</t>
        </is>
      </c>
      <c r="H13" t="inlineStr"/>
      <c r="I13" t="inlineStr">
        <is>
          <t>**Job Description**
**Must Have Technical/Functional Skills**
* Experience working on high volume applications
* Experience in server side frameworks like spring MVC
* Restful web services experience
* Python Java Data Engineering GenAI LLM
* Performance tuning with hands on knowledge on JVM internals
* Database experience with NoSQL / Cassandra
* Experience in distributed caching frameworks like hazelcast, ignire, redis
* Hands on knowledge in modern JVM languages like groovy, scala
* Experience with open source search engines like SOLR, elasticsearch
* Hand on knowledge on NLP and Machine learning
* GenAI knowledge
* Hands on Python experience
* Working experience on LLMs
* Experience working in Agile teams
**Roles \&amp; Responsibilities**
 Develop code to implement the technical functionality intended for the business Ability to work in dynamic team environment Adapt to the evolving tech stack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 $80,000 \- $128,000 a year
**Qualifications:** 
 BACHELOR OF COMPUTER SCIENCE</t>
        </is>
      </c>
    </row>
    <row r="14">
      <c r="A14" t="inlineStr">
        <is>
          <t>li-4327629877</t>
        </is>
      </c>
      <c r="B14" t="inlineStr">
        <is>
          <t>Senior Data Scientist, Data Insights</t>
        </is>
      </c>
      <c r="C14" t="inlineStr">
        <is>
          <t>Docker, Inc</t>
        </is>
      </c>
      <c r="D14" t="inlineStr">
        <is>
          <t>linkedin</t>
        </is>
      </c>
      <c r="E14" t="inlineStr"/>
      <c r="F14" t="inlineStr"/>
      <c r="G14" t="inlineStr">
        <is>
          <t>Seattle, WA</t>
        </is>
      </c>
      <c r="H14" t="inlineStr"/>
      <c r="I14" t="inlineStr">
        <is>
          <t>At Docker, we make app development easier so developers can focus on what matters. Our remote\-first team spans the globe, united by a passion for innovation and great developer experiences. With over 20 million monthly users and 20 billion image pulls, Docker is the \#1 tool for building, sharing, and running apps—trusted by startups and Fortune 100s alike. We’re growing fast and just getting started. Come join us for a whale of a ride!
 Docker is seeking a
 **Senior Data Scientist** 
 to join our Data Insights team. You will be a key individual contributor, applying statistical rigor and advanced analytical techniques to extract value from our product and business data. This role requires a strong understanding of product usage to provide actionable insights that drive business strategy and feature development.
 This is a
 **senior, hands\-on analytical role** 
 focused on end\-to\-end ownership, independent execution, deep\-dive analysis, and translating complex data into clear business recommendations. You'll work closely with Product Managers, Executive Leaders, and Engineering teams to define key metrics, measure product health, and inform data\-driven decisions.
 Success in this role requires a strong foundation in statistics, advanced SQL skills, and proven experience in product experimentation and reporting for a technical audience.
**Responsibilities**
**Product Analytics \&amp; Experimentation**
* Understand detailed usage of Docker products by analyzing user behavior data, translating complex questions into analytical plans, and building robust product metrics.
* Run and measure product experiments (A/B tests) from design through interpretation, clearly articulating results and recommendations to stakeholders.
* Develop and maintain key performance indicators (KPIs) and operational metrics for product features and overall business health.
**Strategic Insights \&amp; Reporting**
* Provide actionable insights for Product Managers on user engagement, feature adoption, and growth opportunities to directly inform the product roadmap.
* Build deep\-dive reports for Executive Leaders on critical business trends and the performance of strategic initiatives, presenting findings in a clear, compelling narrative.
* Collaborate with engineering teams on data logging, instrumentation, and ensuring the accuracy of product data pipelines.
* Influence product and business strategy by framing data\-informed tradeoffs and recommendations for senior leaders.
**Technical Execution \&amp; Modeling**
* Apply statistical modeling and machine learning techniques to solve business problems (e.g., churn prediction, segmentation, propensity modeling).
* Design and implement data visualizations and self\-service dashboards to democratize data access across the organization.
* Ensure data quality and integrity for all analytical outputs and reports.
**Collaboration \&amp; Communication**
* Partner with cross\-functional teams (Product, Engineering, Marketing, Sales) to define data requirements and analytical objectives.
* Coach and mentor junior analysts and data scientists on best practices for data visualization, statistical analysis, and clear communication of results.
**Qualifications**
**Required**
**Technical Expertise**
* 5–6\+ years of experience in a Data Scientist or Product Analyst role, preferably within a technology or SaaS company.
* Expert proficiency in SQL for complex data extraction and manipulation.
* Strong proficiency in a statistical programming language (Python or R), including libraries for data manipulation, analysis, and statistical modeling.
* Proven experience designing, launching, and analyzing A/B tests or other product experiments.
* Experience with cloud data warehouses (e.g., Snowflake, Redshift, BigQuery) and data visualization tools (e.g., Sigma, Tableau, Looker).
* Bachelor’s degree in Computer Science, Engineering, or a related field, or equivalent practical experience.
**Analytical \&amp; Statistical Foundations**
* Advanced knowledge of statistical methods (regression, hypothesis testing, time series analysis) and their application to business problems.
* Demonstrated ability to translate open\-ended business questions into structured analytical projects and deliverables.
**Communication \&amp; Leadership**
* Excellent verbal and written communication skills, with the ability to present complex analytical findings to both technical and executive audiences.
* Demonstrated ability to work independently and drive projects from conception to completion with minimal supervision.
* Proven experience influencing senior stakeholders and driving alignment on data\-informed decisions.
**Preferred**
* Experience analyzing data related to developer tools or B2B SaaS products.
* Advanced degree (M.S. or Ph.D.) in a quantitative field such as Statistics, Computer Science, Economics, or Mathematics.
* Knowledge of container technologies (Docker, Kubernetes).
**Key Success Metrics**
* Impact of actionable insights on product feature adoption and business revenue.
* Quality and clarity of executive\-level deep\-dive reports.
* Successful design and interpretation of product experiments.
* Demonstrated independence in driving analytical projects.
**Docker does not offer visa sponsorship for this role.**
 We use Covey as part of our hiring and / or promotional process for jobs in NYC and certain features may qualify it as an AEDT. As part of the evaluation process we provide Covey with job requirements and candidate submitted applications. We began using Covey Scout for Inbound on April 13, 2024\.
 Please see the independent bias audit report covering our use of Covey here.
**Perks**
* Freedom \&amp; flexibility; fit your work around your life
* Designated quarterly Whaleness Days plus end of year Whaleness break
* Home office setup; we want you comfortable while you work
* 16 weeks of paid Parental leave
* Technology stipend equivalent to $100 net/month
* PTO plan that encourages you to take time to do the things you enjoy
* Training stipend for conferences, courses and classes
* Equity; we are a growing start\-up and want all employees to have a share in the success of the company
* Docker Swag
* Medical benefits, retirement and holidays vary by country
* Remote\-first culture, with offices in Seattle and Paris
 Docker embraces diversity and equal opportunity. We are committed to building a team that represents a variety of backgrounds, perspectives, and skills. The more inclusive we are, the better our company will be.
 Compensation Range: $172K \- $236\.5K</t>
        </is>
      </c>
    </row>
    <row r="15">
      <c r="A15" t="inlineStr">
        <is>
          <t>li-4372985958</t>
        </is>
      </c>
      <c r="B15" t="inlineStr">
        <is>
          <t>Data Scientist, Sr.</t>
        </is>
      </c>
      <c r="C15" t="inlineStr">
        <is>
          <t>Wiraa</t>
        </is>
      </c>
      <c r="D15" t="inlineStr">
        <is>
          <t>linkedin</t>
        </is>
      </c>
      <c r="E15" t="inlineStr"/>
      <c r="F15" t="inlineStr"/>
      <c r="G15" t="inlineStr"/>
      <c r="H15" t="inlineStr"/>
      <c r="I15" t="inlineStr">
        <is>
          <t>**About The Company**
 Airbnb was founded in 2007 when two hosts welcomed three guests into their San Francisco home. Since then, the company has experienced remarkable growth and now boasts over 5 million hosts worldwide who have welcomed more than 2 billion guest arrivals across nearly every country. Airbnb's platform offers unique stays and experiences, enabling guests to connect authentically with local communities and cultures. The company's mission is to create a world where anyone can belong anywhere, fostering a sense of community and belonging through innovative travel experiences.
**About The Role**
 We are seeking a talented Senior Staff Data Scientist to join our Guest Data Science team within the Guest Experience division. This role is pivotal in leveraging AI and causal inference techniques to understand user behavior, detect underlying intent, and develop data\-driven products that personalize and enhance the guest journey. As a technical leader, you will work closely with product, engineering, and design teams to identify in\-product optimization opportunities, shape user experience architecture, and drive strategic initiatives aimed at increasing guest conversion and engagement across Airbnb's Homes, Experiences, and Services verticals.
 The ideal candidate will be a domain expert in analyzing granular user behavior and sequence datasets within a marketplace setting. Your work will directly impact how guests discover and interact with Airbnb’s offerings, making their experience more tailored and intuitive. You will lead efforts in developing innovative methodologies to identify and evaluate guest preferences, ensuring that our platform remains at the forefront of personalized travel experiences. This role offers an exciting opportunity to combine cutting\-edge science with tangible business impact, shaping the future of how travelers connect with Airbnb worldwide.
**Qualifications**
* Advanced degree in Computer Science, Statistics, Econometrics, or a related field (PhD preferred; 12\+ years of experience with a Master’s degree)
* 9\+ years of industry experience in data science, analytics, or a related discipline
* Expertise in causal inference, marketplace analytics, search, UX discovery, and personalized evidence systems
* Proficiency in programming languages such as Python or R for data analysis
* Familiarity with SQL and experience developing proof\-of\-concept prototypes
* Strong communication skills to collaborate effectively with cross\-functional teams including product, engineering, and design
* Demonstrated success in both collaborative and independent work environments
* Active engagement with the technical community and a passion for AI and emerging systems like large language models (LLMs)
**Responsibilities**
* Develop a deep understanding of guest navigation and re\-engagement patterns through analysis and research of granular user action datasets
* Partner with product and engineering teams to establish scientific frameworks and explore innovative paradigms for detecting guest preferences and online frictions
* Build prototypes and develop data frameworks, models, and artifacts using AI toolkits to quantify guest preferences and behaviors
* Assess assumptions and validate hypotheses through rigorous measurement, experimentation, and feedback loops to ensure continuous impact
* Design and conduct experiments to evaluate the efficacy of data\-driven insights and optimize guest experiences
* Present findings and strategic recommendations to leadership, influencing product roadmap and user experience enhancements
* Drive the adoption of advanced analytics methodologies to support personalized discovery and engagement initiatives
**Benefits**
* Competitive salary and performance\-based bonuses
* Equity options and stock grants
* Comprehensive health, dental, and vision insurance plans
* Flexible work arrangements, including remote work eligibility
* Generous paid time off and holiday policies
* Professional development opportunities and continuous learning support
* Employee travel credits and discounts
 Equal Opportunity
 Airbnb is an equal opportunity employer. We celebrate diversity and are committed to creating an inclusive environment for all employees. We do not discriminate based on race, color, religion, gender, gender identity or expression, sexual orientation, national origin, genetics, disability, age, or veteran status. We encourage candidates from all backgrounds to apply and join our mission to foster belonging and connection worldwide.</t>
        </is>
      </c>
    </row>
    <row r="16">
      <c r="A16" t="inlineStr">
        <is>
          <t>li-4372055017</t>
        </is>
      </c>
      <c r="B16" t="inlineStr">
        <is>
          <t>Data Scientist with Python and ML</t>
        </is>
      </c>
      <c r="C16" t="inlineStr">
        <is>
          <t>Tata Consultancy Services</t>
        </is>
      </c>
      <c r="D16" t="inlineStr">
        <is>
          <t>linkedin</t>
        </is>
      </c>
      <c r="E16" t="inlineStr"/>
      <c r="F16" t="inlineStr"/>
      <c r="G16" t="inlineStr">
        <is>
          <t>Charlotte, NC</t>
        </is>
      </c>
      <c r="H16" t="inlineStr"/>
      <c r="I16" t="inlineStr">
        <is>
          <t>**Job Description**
**Must Have Technical/Functional Skills**
* Experience working on high volume applications
* Experience in server side frameworks like spring MVC
* Restful web services experience
* Python Java Data Engineering GenAI LLM
* Performance tuning with hands on knowledge on JVM internals
* Database experience with NoSQL / Cassandra
* Experience in distributed caching frameworks like hazelcast, ignire, redis
* Hands on knowledge in modern JVM languages like groovy, scala
* Experience with open source search engines like SOLR, elasticsearch
* Hand on knowledge on NLP and Machine learning
* GenAI knowledge
* Hands on Python experience
* Working experience on LLMs
* Experience working in Agile teams
**Roles \&amp; Responsibilities**
 Develop code to implement the technical functionality intended for the business Ability to work in dynamic team environment Adapt to the evolving tech stack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 $80,000 \- $128,000 a year
**Qualifications:** 
 BACHELOR OF COMPUTER SCIENCE</t>
        </is>
      </c>
    </row>
    <row r="17">
      <c r="A17" t="inlineStr">
        <is>
          <t>li-4372070188</t>
        </is>
      </c>
      <c r="B17" t="inlineStr">
        <is>
          <t>Data Scientist | Clinical AI</t>
        </is>
      </c>
      <c r="C17" t="inlineStr">
        <is>
          <t>RemoteHunter</t>
        </is>
      </c>
      <c r="D17" t="inlineStr">
        <is>
          <t>linkedin</t>
        </is>
      </c>
      <c r="E17" t="inlineStr"/>
      <c r="F17" t="inlineStr"/>
      <c r="G17" t="inlineStr"/>
      <c r="H17" t="inlineStr"/>
      <c r="I17" t="inlineStr">
        <is>
          <t>About the Opportunity:
 A healthcare intelligence organization with expertise across the payment continuum seeks a Data Scientist to advance an AI system for clinical criteria evaluation. The role involves translating medical policy into testable code and building measurement and quality systems to improve an AI pipeline that extracts structured clinical signals from medical records.
 Responsibilities:
 • Translate medical policy into executable logic by interpreting clinical criteria such as lab thresholds, temporal windows, trend logic, and exclusions
 • Convert requirements into maintainable SQL and Python code (e.g., creatinine\-based AKI rules, bilirubin thresholds, troponin dynamics, ABG\-derived criteria)
 • Design composable and auditable rule representations with clear inputs, outputs, assumptions, and edge cases
 • Perform prompt engineering and tune system parameters for AI extraction of clinical information from medical records
 • Build and maintain robust clinical feature pipelines computing features from labs, vitals, flowsheets, and notes\-derived facts
 • Handle data challenges including missing timestamps, multiple sources, unit normalization, deduplication, conflicting values, and provenance tracking
 • Define and instrument accuracy metrics for the AI extraction system
 • Develop gold datasets, sampling strategies, and review workflows with clinical and operations partners
 • Conduct error analysis to identify root causes such as retrieval failures, OCR issues, extraction ambiguity, and policy gaps, and drive improvements
 • Create reusable tooling for policy\-to\-code translation including templates, test harnesses, validation suites, regression checks, and monitoring dashboards
 • Improve infrastructure for large\-scale runs covering orchestration, logging, lineage, versioning, and reproducibility
 • Implement guardrails and QA gates to ensure safe, traceable, and measurable policy logic changes
 • Collaborate with clinicians, policy specialists, and operations to clarify ambiguous requirements and ensure implementations reflect real\-world intent
 • Produce clear documentation explaining code functionality with examples and edge\-case handling
 Requirements:
 • Strong SQL and Python skills with ability to write correct, efficient, and maintainable code using CTEs, window functions, joins, and performance tuning
 • Experience building testable, production\-quality pipelines rather than ad hoc analyses
 • Proven record of operationalizing complex business or clinical logic reliably
 • Comfort working with imperfect, high\-volume, messy datasets
 • Experience designing metrics, building ground truth, running experiments, and improving system quality through structured iteration
 • Ability to link technical quality metrics to business outcomes such as accuracy versus reviewer burden
 • Systems thinking to develop shared libraries, patterns, tooling, and clear interfaces that accelerate team productivity
 • Attention to detail in handling edge cases, provenance, temporal logic, unit conversion, and regression safety
 • Interest in healthcare data, medical records, and policy\-to\-decision translation; prior healthcare experience is a plus but not required
 Nice to Have:
 • Familiarity with clinical data standards or lab data normalization (e.g., LOINC, units conversion, reference ranges)
 • Experience evaluating large language models or information extraction systems and building human\-in\-the\-loop QA workflows
 • Knowledge of distributed data systems such as Spark, BigQuery, Snowflake, Databricks, and workflow orchestrators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18">
      <c r="A18" t="inlineStr">
        <is>
          <t>li-4372054584</t>
        </is>
      </c>
      <c r="B18" t="inlineStr">
        <is>
          <t>Data Scientist IV (Train AI Models Part Time!)</t>
        </is>
      </c>
      <c r="C18" t="inlineStr">
        <is>
          <t>hackajob</t>
        </is>
      </c>
      <c r="D18" t="inlineStr">
        <is>
          <t>linkedin</t>
        </is>
      </c>
      <c r="E18" t="inlineStr"/>
      <c r="F18" t="inlineStr"/>
      <c r="G18" t="inlineStr">
        <is>
          <t>New York, NY</t>
        </is>
      </c>
      <c r="H18" t="inlineStr"/>
      <c r="I18" t="inlineStr">
        <is>
          <t>***hackajob** 
 is collaborating with
 **Mercor** 
 to connect them with exceptional tech professionals for this role.*
 Data Scientist IV Onsite in NYC Summary: The main function of the Data Scientist is to produce innovative solutions driven by exploratory data analysis from complex and high\-dimensional datasets. The Data Scientist will contribute to biosensor data analysis and help to guide future biosensing R\&amp;D. Job Responsibilities: Execute, debug, and optimize distributed compute workflows for metric computation, analysis, and modeling across large datasets. Apply knowledge of statistics, machine learning, programming, data modeling, simulation, and advanced mathematics to recognize patterns, identify opportunities, and make valuable discoveries leading to prototype biosensor development and product improvement. Use a flexible, analytical approach to design, develop, and evaluate predictive models and advanced algorithms that lead to optimal value extraction from the biosensor data. Generate and test hypotheses and analyze and interpret the results of product experiments. Collaborate with engineers to translate prototypes into new products, services, and features and provide guidelines for large\-scale implementation. Leverage data visualization to help the team make decisions about future R\&amp;D directions to go. Skills: Experience with hardware sensors, and data analysis pertaining to real\-world data. Experience with signal processing pertaining to time domain signals and/or medical imaging systems Experience presenting findings from statistical and machine learning methods to diverse audiences Experience working with large datasets. 3\+ years of experience performing data extraction, manipulation, and visualization using programming languages (e.g., Python), scientific computing languages (e.g., R, MATLAB), or SQL. Proficiency in data structures and algorithms. Experience with scientific computing and analysis packages such as NumPy, SciPy, Pandas, Scikit\-learn, dplyr, caret. Experience with data visualization libraries such as Matplotlib, Pyplot, seaborn, ggplot2\. Education/Experience: Master of Science or PhD degree in computer science, statistics, neuroscience, biomedical engineering, or other relevant field.</t>
        </is>
      </c>
    </row>
    <row r="19">
      <c r="A19" t="inlineStr">
        <is>
          <t>li-4372054013</t>
        </is>
      </c>
      <c r="B19" t="inlineStr">
        <is>
          <t>Senior Data Scientist</t>
        </is>
      </c>
      <c r="C19" t="inlineStr">
        <is>
          <t>Adobe</t>
        </is>
      </c>
      <c r="D19" t="inlineStr">
        <is>
          <t>linkedin</t>
        </is>
      </c>
      <c r="E19" t="inlineStr"/>
      <c r="F19" t="inlineStr"/>
      <c r="G19" t="inlineStr">
        <is>
          <t>San Jose, CA</t>
        </is>
      </c>
      <c r="H19" t="inlineStr"/>
      <c r="I19" t="inlineStr">
        <is>
          <t>**Our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**The Opportunity**
 As a Senior Data Scientist on the Go\-To\-Market (GTM) Data Science \&amp; Analytics team, you will be a critical partner in driving the strategy for Adobe.com B2C business. Our team is responsible for optimizing the end\-to\-end customer journey, ensuring that every touchpoint \- from first discovery to long\-term retention \- is backed by rigorous data science. You will work at the intersection of GTM Strategy, Product, and Finance to uncover growth levers, improve monetization strategies, and minimize churn across our global subscriber base.
**What You'll Do**
* Use exploratory data analysis to uncover hidden patterns in the customer journey. You’ll investigate anomalies in the funnel, identifying whether shifts are driven by market trends, product changes, or technical friction.
* Drive Run\-the\-Business (RTB) by analyzing weekly performance across the GTM funnel to understand drivers of acquisition and retention.
* Synthesize complex technical findings into clear, actionable narratives for senior leadership. You will help shift the organization from "monitoring metrics" to "driving evidence\-based decisions."
* Elevate the team’s technical bar by contributing to shared code libraries, peer\-reviewing complex analyses, and partnering with Data Engineering to optimize our data architecture for high\-velocity analytics.
**What You Need To Succeed**
* 5\+ years of experience in data science, applied machine learning, or quantitative analysis, preferably in a B2C SaaS or e\-commerce environment.
* Expert\-level SQL and Python skills for data manipulation and modeling. Familiarity with big data platforms like Databricks or Spark is highly preferred.
* Experience with one or more data visualization tools such as Tableau or Power BI.
* Strong grasp of probability, regression, time\-series forecasting, and causal inference. Experience with uplift modeling or survival analysis is a significant plus.
* A track record of working cross\-functionally with non\-technical collaborators to drive project roadmaps from ideation to delivery.
* MS in a quantitative field (Statistics, Computer Science, Economics, Mathematics, or related) or equivalent experience.
 Our compensation reflects the cost of labor across several  U.S. geographic markets, and we pay differently based on those defined markets. The U.S. pay range for this position is $133,100 \-\- $236,400 annually. Pay within this range varies by work location and may also depend on job\-related knowledge, skills, and experience. Your recruiter can share more about the specific salary range for the job location during the hiring process.
 In California, the pay range for this position is $163,200 \- $236,400
 At Adobe, for sales roles starting salaries are expressed as total target compensation (TTC \= base \+ commission), and short\-term incentives are in the form of sales commission plans. Non\-sales roles starting salaries are expressed as base salary and short\-term incentives are in the form of the Annual Incentive Plan (AIP).
 In addition, certain roles may be eligible for long\-term incentives in the form of a new hire equity award.
**State\-Specific Notices:**
**California:**
**Fair Chance Ordinances**
 Adobe will consider qualified applicants with arrest or conviction records for employment in accordance with state and local laws and “fair chance” ordinances.
**Colorado:**
**Application Window Notice**
 If this role is open to hiring in Colorado (as listed on the job posting), the application window will remain open until at least the date and time stated above in Pacific Time, in compliance with Colorado pay transparency regulations. If this role does not have Colorado listed as a hiring location, no specific application window applies, and the posting may close at any time based on hiring needs.
**Massachusetts:**
**Massachusetts Legal Notice**
 It is unlawful in Massachusetts to require or administer a lie detector test as a condition of employment or continued employment. An employer who violates this law shall be subject to criminal penalties and civil liability.
 Adobe is proud to be an Equal Employment Opportunity employer. We do not discriminate based on gender, race or color, ethnicity or national origin, age, disability, religion, sexual orientation, gender identity or expression, veteran status, or any other applicable characteristics protected by law. Learn more.
 Adobe aims to make Adobe.com accessible to any and all users. If you have a disability or special need that requires accommodation to navigate our website or complete the application process, email accommodations@adobe.com or call (408\) 536\-3015\.</t>
        </is>
      </c>
    </row>
    <row r="20">
      <c r="A20" t="inlineStr">
        <is>
          <t>li-4372791889</t>
        </is>
      </c>
      <c r="B20" t="inlineStr">
        <is>
          <t>Senior Data Scientist</t>
        </is>
      </c>
      <c r="C20" t="inlineStr">
        <is>
          <t>Cox Automotive Inc.</t>
        </is>
      </c>
      <c r="D20" t="inlineStr">
        <is>
          <t>linkedin</t>
        </is>
      </c>
      <c r="E20" t="inlineStr"/>
      <c r="F20" t="inlineStr"/>
      <c r="G20" t="inlineStr"/>
      <c r="H20" t="inlineStr"/>
      <c r="I20" t="inlineStr">
        <is>
          <t>The
 **Insights \&amp; Advisory** 
 team at
 **Cox Automotive** 
 is seeking a highly skilled
 **Senior Data Scientist** 
 to lead the development of advanced analytics and AI/ML models that power innovative products and inform strategic decisions. This role blends deep expertise in statistical modeling, econometrics, machine learning, and AI acceleration with strong business acumen to deliver actionable insights for internal teams and automotive OEM clients.
 As a Senior Data Scientist, you will work end\-to\-end on analytics projects \- from data preparation and model development to deployment, governance, and stakeholder communication \- with emphasis on
 **market share modeling and reporting, macroeconomic forecasting, financial modeling and engineering, and strategic analytics** 
 .
 You'll work independently across all phases of analytics projects, from data preparation and model development to deployment and stakeholder communication, while championing responsible AI practices and mentoring junior team members.
**Key Responsibilities**
**Advanced Analytics \&amp; AI/ML Development**
* Design, develop, and implement predictive, prescriptive, and optimization models using advanced statistical and machine learning techniques.
* Utilize AI tools for rapid ML prototyping, automated feature engineering, and hyperparameter optimization.
* Integrate AI\-enhanced models into production systems and establish automated monitoring frameworks.
* Apply interpretability frameworks (e.g., SHAP, LIME) and AI\-driven insights to communicate results effectively.
**Data Analysis \&amp; Modeling**
* Translate business problems into analytical solutions and select appropriate methodologies.
* Perform data preparation, feature engineering, and validation for large, complex datasets.
* Deliver production\-ready code and collaborate with engineering teams for deployment.
**Market, Economic, and Business Modeling**
* Develop and maintain methodologies for estimating and reporting market share while also building models that leverage demographic, inventory, demand, pricing, and other relevant data sources.
* Create macroeconomic and business forecasting models to anticipate trends and inform strategic decisions.
* Design financial models and apply advanced techniques to evaluate incentives, pricing strategies, and profitability, while remaining adaptable to emerging business needs and diverse datasets.
**Strategy and Internal Consulting**
* Serve as an internal consultant, framing business problems and aligning solutions with strategic objectives.
* Facilitate decision\-making using structured approaches; leverage negotiation and conflict resolution skills to drive consensus.
**Data Engineering \&amp; Governance**
* Own data preparation, feature engineering, validation, and production\-ready code in Python and SQL.
* Partner with engineering to integrate models, automate monitoring, and ensure reliability.
* Establish responsible AI practices including bias detection, interpretability, and compliance monitoring.
**Collaboration, Leadership \&amp; Communication**
* Partner with product, engineering, and business stakeholders to align models with strategic goals.
* Present findings and recommendations clearly to both technical and non\-technical audiences.
* Mentor junior staff, contribute to team capability building, and engage in thought leadership.
**Minimum Qualifications**
* Bachelor's degree in Statistics, Econometrics, Operations Research, Applied Mathematics, Computer Science, Economics, or a related quantitative field and 4 years' experience in a related field. The right candidate could also have a different combination, such as a master's degree and 2 years' experience; a Ph.D. and up to 1 year of experience; or 16 years' experience in a related field
* Proven experience applying descriptive, predictive, and prescriptive analytics to real\-world business problems.
* Strong background in statistics and econometrics, including panel data analysis, time series modeling, and causal inference.
* Hands\-on experience with market share modeling and reporting.
* Experience in macroeconomic forecasting and financial modeling/engineering.
* Proficiency in Python and SQL, with ability to deliver production\-quality code and manage the full ML lifecycle.
* Experience with AWS or other cloud platforms and collaboration with engineering teams for deployment.
* Ability to integrate models into enterprise systems and maintain production\-ready code.
* Experience operating as an internal consultant within a complex enterprise environment.
* Exceptional communication and problem\-solving skills.
**Preferred Skills**
* Advanced statistical techniques: GL GLMs, time series, forecasting, clustering, PCA; causal and panel methods.
* Optimization methods: linear/mixed integer programming, heuristic approaches, network flow.
* ML frameworks: scikit learn, TensorFlow, PyTorch; model interpretability with SHAP and LIME.
* Experience with data visualization tools (Tableau, Power BI) and compelling storytelling.
* Knowledge of CI/CD pipelines, data governance, and Agile methodologies.
* Market share modeling approaches: discrete choice, multinomial and nested logit, demand elasticity.
* Financial engineering: risk models, Monte Carlo, scenario analysis, option style incentive evaluation.
* AI accelerated development and agentic frameworks; CI/CD and Agile delivery.
* Data visualization and storytelling with Tableau or Power BI.
* Evidence of peer reviewed publications or conference presentations.
**Why Join Cox Automotive?**
 At Cox Automotive, data science drives innovation. As a Sr Data Scientist, you'll shape the future of AI\-powered analytics, deliver impactful insights, and mentor the next generation of data talent, all while working in a collaborative, forward\-thinking environment.
 USD 101,500\.00 \- 169,100\.00 per year
**Compensation**
 Compensation includes a base salary of $101,500\.00 \- $169,100\.00\.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**Benefits**
 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
 Application Deadline: 02/13/2026</t>
        </is>
      </c>
    </row>
    <row r="21">
      <c r="A21" t="inlineStr">
        <is>
          <t>li-4355297101</t>
        </is>
      </c>
      <c r="B21" t="inlineStr">
        <is>
          <t>Lead Data Scientist</t>
        </is>
      </c>
      <c r="C21" t="inlineStr">
        <is>
          <t>Total Wine &amp; More</t>
        </is>
      </c>
      <c r="D21" t="inlineStr">
        <is>
          <t>linkedin</t>
        </is>
      </c>
      <c r="E21" t="inlineStr"/>
      <c r="F21" t="inlineStr"/>
      <c r="G21" t="inlineStr">
        <is>
          <t>Boca Raton, FL</t>
        </is>
      </c>
      <c r="H21" t="inlineStr"/>
      <c r="I21" t="inlineStr">
        <is>
          <t>**About The Role** 
 Total Wine \&amp; More is seeking a
 **Lead, Data Scientist** 
 to join our Technology team in our Boca Raton, FL or Bethesda, MD office. As a Lead Data Scientist, you will play a pivotal role in designing, developing, and deploying machine learning and AI solutions that drive strategic decision\-making and operational efficiency across Total Wine \&amp; More business. You will be responsible for supporting the full lifecycle of machine learning and AI development from initial ideation and business problem framing through model development, deployment, and ongoing performance monitoring. This role requires a strong foundation in data science, with a deep interest in learning about production\-grade ML systems, and a proactive approach to translating business needs into technical solutions. You will be expected to act independently to deliver high\-impact technical solutions, taking ownership of projects from concept to execution. You will mentor junior team members on technical trade\-offs on solutions and provide thought leadership about how different problems can be solved. You will report to the Sr. Director, Data Science.
**You will** 
* Design and develop machine learning and AI solutions by translating complex business problems into modeling approaches, engineering features, and selecting appropriate algorithms and architectures.
* Build scalable, reusable solutions adaptable across multiple business use cases.
* Lead work on large, multi\-dimensional business problems, owning end\-to\-end modeling strategy and execution.
* Train and optimize models through data preparation, algorithm selection, hyperparameter tuning, and cross\-validation, clearly articulating trade\-offs between modeling approaches and their business implications.
* Evaluate and refine models using statistical performance metrics, fairness and bias assessments, and error analysis to ensure robust, responsible outcomes.
* Define evaluation metrics that align directly to business outcomes and communicate how model performance improvements translate to measurable business value.
* Deploy models to production by packaging solutions, integrating with downstream systems, automating deployment workflows, implementing error handling, and maintaining clear documentation.
* Monitor models in production by tracking performance, detecting data and concept drift, triggering retraining, and implementing logging and alerting mechanisms.
* Provide technical mentorship and thought leadership by guiding junior team members through trade\-offs, solution design, and effective application of machine learning to business problems.
* Communicate model insights, limitations, and trade\-offs clearly to senior leadership and cross\-functional stakeholders.
**You will come with** 
* Bachelor's Degree in Data Science, Computer Science, Statistics, Mathematics, Economics or related discipline required or equivalent years of experience
* Master's Degree in Data Science, Computer Science, Statistics, Mathematics, Economics or related discipline preferred
* 5\-8 years in data science, predictive analytics, econometrics, software engineering, data engineering or related fields preferred
* Proven expertise in designing and architecting advanced machine learning and AI solutions, including leading efforts to frame complex business problems, define scalable feature engineering strategies, and select optimal algorithms and architectures for enterprise\-level applications
* Proven expertise in model training and optimization, with the ability to design efficient training pipelines, implement distributed training strategies, and apply sophisticated hyperparameter tuning techniques to maximize performance and scalability
* Proven expertise in model validation and governance, including establishing rigorous evaluation frameworks, conducting comprehensive fairness and bias audits, and driving continuous improvement through advanced error analysis and benchmarking
* Proven expertise in production deployment of ML systems, including designing robust CI/CD pipelines, implementing containerization and orchestration (e.g., Docker, Kubernetes), and ensuring compliance with security and reliability standards across cloud environments
* Oversight of model monitoring and lifecycle management, including building automated monitoring systems, implementing drift detection and retraining workflows, and defining alerting mechanisms to maintain long\-term model health and business impact
* Expert\-level programming skills in Python and SQL, with the ability to develop production\-grade code, optimize queries for large\-scale datasets, and mentor team members on best practices for coding and data management
**We offer** 
* Paid Time Off (PTO)
* Generous store discounts
* Health care plans (medical, prescription, dental, vision)
* 401(k), HSA, FSA, Pre\-tax commuter benefits
* Disability \&amp; life insurance coverage
* Paid parental leave
* Pet insurance
* Critical illness and accident insurance
* Discounted home and auto insurance
* College tuition assistance
* Career development \&amp; product training
* Consumer classes
* \&amp; More!
**Grow with us** 
 Total Wine \&amp; More is the country's largest independent retailer of fine wine, beer and spirits, and we continue to grow our footprint year over year. Total Wine offers exciting and unique career opportunities across the country and in our corporate office. Our strength is our people. We have a commitment to training and career growth, all in an environment that values new ideas and teamwork. If you share our entrepreneurial spirit and a passion for providing best\-in\-class customer experience, take a moment to apply or learn more at https://careers.totalwine.com/!
*Total Wine \&amp; More considers several factors when establishing compensation. Estimated salaries determined by third parties have not been validated by Total Wine \&amp; More. Compensation may vary based on a number of factors including, but not limited to, market location, job\-related knowledge, skills and/or experience.* 
*Total Wine \&amp; More is an equal opportunity employer and all qualified applicants will receive consideration for employment without discrimination based on race, color, religion, national origin, sex, sexual orientation, age, marital status, veteran status, disability, or any other characteristic protected by applicable law. Total Wine \&amp; More makes reasonable accommodations during all aspects of the employment process, including during the interview process. Total Wine \&amp; More is a Drug Free Workplace.* 
*The information provided above indicates the general nature and level of work required of the position and is not a comprehensive list of all responsibilities or qualifications. Benefits list is only a highlight of some of the benefits offered to team members; eligibility for certain benefits apply.* 
***Pay Range:***
*$146,600\- $197,900 Annually*</t>
        </is>
      </c>
    </row>
    <row r="22">
      <c r="A22" t="inlineStr">
        <is>
          <t>li-4372979952</t>
        </is>
      </c>
      <c r="B22" t="inlineStr">
        <is>
          <t>Data Scientist, AWS Infrastructure Services Science</t>
        </is>
      </c>
      <c r="C22" t="inlineStr">
        <is>
          <t>Amazon Web Services (AWS)</t>
        </is>
      </c>
      <c r="D22" t="inlineStr">
        <is>
          <t>linkedin</t>
        </is>
      </c>
      <c r="E22" t="inlineStr"/>
      <c r="F22" t="inlineStr"/>
      <c r="G22" t="inlineStr">
        <is>
          <t>Seattle, WA</t>
        </is>
      </c>
      <c r="H22" t="inlineStr"/>
      <c r="I22" t="inlineStr">
        <is>
          <t>**Description**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
**Basic Qualifications**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\- 108,300\.00 \- 160,000\.00 USD annually
 USA, WA, Seattle \- 108,300\.00 \- 160,000\.00 USD annually
**Company** 
 \- Amazon Data Services, Inc.
 Job ID: A3181348</t>
        </is>
      </c>
    </row>
    <row r="23">
      <c r="A23" t="inlineStr">
        <is>
          <t>li-4372057370</t>
        </is>
      </c>
      <c r="B23" t="inlineStr">
        <is>
          <t>Data Scientist - AI, Analytics &amp; Machine Learning (34638)</t>
        </is>
      </c>
      <c r="C23" t="inlineStr">
        <is>
          <t>Jobs via Dice</t>
        </is>
      </c>
      <c r="D23" t="inlineStr">
        <is>
          <t>linkedin</t>
        </is>
      </c>
      <c r="E23" t="inlineStr"/>
      <c r="F23" t="inlineStr"/>
      <c r="G23" t="inlineStr"/>
      <c r="H23" t="inlineStr"/>
      <c r="I23" t="inlineStr">
        <is>
          <t>Dice is the leading career destination for tech experts at every stage of their careers. Our client, Myticas LLC, is seeking the following. Apply via Dice today!
 We are seeking a highly motivated
 **Data Scientist** 
 to join our analytics and AI team focused on driving data\-driven decision\-making across large\-scale systems and telecommunications\-related use cases. You will work on advanced data analytics, machine learning modeling, and statistical analysis to extract actionable insights, build predictive systems, and support strategic business and product decisions.
**Key Responsibilities**
* Analyze large, heterogeneous datasets to identify patterns, trends, and insights that support business and product strategy.
* Design, develop, and deploy machine learning and statistical models to solve real\-world problems (predictive analytics, classification, regression, clustering).
* Work closely with product managers, data engineers, and cross\-functional teams to translate business requirements into scalable data science solutions.
* Perform exploratory data analysis, feature engineering, and model evaluation.
* Build data pipelines and integrate models into production systems where relevant.
* Communicate insights and results clearly to technical and non\-technical stakeholders through visualizations and reports.
* Stay current with emerging techniques in machine learning, artificial intelligence, and data science best practices.
****Required Qualifications****
* Bachelor's or Master's degree in Data Science, Computer Science, Statistics, Mathematics, Engineering, or a related discipline.
* Strong programming skills in Python and experience with data science libraries (e.g., pandas, NumPy, scikit\-learn).
* Experience with machine learning modeling techniques, including supervised and unsupervised methods.
* Solid statistical analysis skills and understanding of modeling assumptions and performance evaluation.
* Experience working with large datasets and data engineering tools (e.g., SQL, Spark).
* Ability to produce meaningful visualizations and presentations of analytical results.
* Strong problem\-solving skills and ability to work collaboratively in cross\-functional teams.
****Preferred Qualifications****
* Experience with big data technologies and distributed computing frameworks (e.g., Spark, Hadoop).
* Familiarity with cloud\-based data platforms (AWS, Azure, Google Cloud Platform).
* Knowledge of deep learning frameworks (e.g., TensorFlow, PyTorch) or experience with natural language processing.
* Exposure to AI/ML model deployment workflows, MLOps tools, and CI/CD pipelines.
* Experience with real\-time streaming or event\-driven analytics (e.g., Kafka).</t>
        </is>
      </c>
    </row>
    <row r="24">
      <c r="A24" t="inlineStr">
        <is>
          <t>li-4372998229</t>
        </is>
      </c>
      <c r="B24" t="inlineStr">
        <is>
          <t>Data Scientist, AWS Infrastructure Services Science</t>
        </is>
      </c>
      <c r="C24" t="inlineStr">
        <is>
          <t>Amazon Web Services (AWS)</t>
        </is>
      </c>
      <c r="D24" t="inlineStr">
        <is>
          <t>linkedin</t>
        </is>
      </c>
      <c r="E24" t="inlineStr"/>
      <c r="F24" t="inlineStr"/>
      <c r="G24" t="inlineStr">
        <is>
          <t>Herndon, VA</t>
        </is>
      </c>
      <c r="H24" t="inlineStr"/>
      <c r="I24" t="inlineStr">
        <is>
          <t>**Description**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
**Basic Qualifications**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\- 108,300\.00 \- 160,000\.00 USD annually
 USA, WA, Seattle \- 108,300\.00 \- 160,000\.00 USD annually
**Company** 
 \- Amazon Data Services, Inc.
 Job ID: A3181348</t>
        </is>
      </c>
    </row>
    <row r="25">
      <c r="A25" t="inlineStr">
        <is>
          <t>li-4372992365</t>
        </is>
      </c>
      <c r="B25" t="inlineStr">
        <is>
          <t>Applied Scientist, Quantum Computing</t>
        </is>
      </c>
      <c r="C25" t="inlineStr">
        <is>
          <t>Amazon Web Services (AWS)</t>
        </is>
      </c>
      <c r="D25" t="inlineStr">
        <is>
          <t>linkedin</t>
        </is>
      </c>
      <c r="E25" t="inlineStr"/>
      <c r="F25" t="inlineStr"/>
      <c r="G25" t="inlineStr">
        <is>
          <t>Pasadena, CA</t>
        </is>
      </c>
      <c r="H25" t="inlineStr"/>
      <c r="I25" t="inlineStr">
        <is>
          <t>**Description**
 The Amazon Web Services (AWS) Center for Quantum Computing in Pasadena, CA, is looking to hire a Quantum Research Scientist in the Fabrication group. You will join a multi\-disciplinary team of theoretical and experimental physicists, materials scientists, and hardware and software engineers working at the forefront of quantum computing. You should have a deep and broad knowledge of device fabrication techniques.
 Candidates with a track record of original scientific contributions will be preferred. We are looking for candidates with strong engineering principles, resourcefulness and a bias for action, superior problem solving, and excellent communication skills. Working effectively within a team environment is essential. As a research scientist you will be expected to work on new ideas and stay abreast of the field of experimental quantum computation.
 Key job responsibilities
 In this role, you will drive improvements in qubit performance by characterizing the impact of environmental and material noise on qubit dynamics. This will require designing experiments to assess the role of specific noise sources, ensuring the collection of statistically significant data through automation, analyzing the results, and preparing clear summaries for the team. Finally, you will work with hardware engineers, material scientists, and circuit designers to implement changes which mitigate the impact of the most significant noise sources.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**Export Control Requirement**
 Due to applicable export control laws and regulations, candidates must be either a U.S. citizen or national, U.S. permanent resident (i.e., current Green Card holder), or lawfully admitted into the U.S. as a refugee or granted asylum, or be able to obtain a US export license. If you are unsure if you meet these requirements, please apply and Amazon will review your application for eligibility.
**Basic Qualifications**
* Experience programming in Java, C\+\+, Python or related language
* Experience with SQL and an RDBMS (e.g., Oracle) or Data Warehouse
**Preferred Qualifications**
* Experience implementing algorithms using both toolkits and self\-developed code
* Have publications at top\-tier peer\-reviewed conferences or journals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Pasadena \- 136,000\.00 \- 184,000\.00 USD annually
**Company** 
 \- Amazon Development Center U.S., Inc.
 Job ID: A3181264</t>
        </is>
      </c>
    </row>
    <row r="26">
      <c r="A26" t="inlineStr">
        <is>
          <t>li-4365621979</t>
        </is>
      </c>
      <c r="B26" t="inlineStr">
        <is>
          <t>Sr. Manager, Supply Chain Data Scientist</t>
        </is>
      </c>
      <c r="C26" t="inlineStr">
        <is>
          <t>E.L.F. BEAUTY</t>
        </is>
      </c>
      <c r="D26" t="inlineStr">
        <is>
          <t>linkedin</t>
        </is>
      </c>
      <c r="E26" t="inlineStr"/>
      <c r="F26" t="inlineStr"/>
      <c r="G26" t="inlineStr">
        <is>
          <t>Oakland, CA</t>
        </is>
      </c>
      <c r="H26" t="inlineStr"/>
      <c r="I26" t="inlineStr">
        <is>
          <t>**About The Company**
 e.l.f. Beauty, Inc. stands with every eye, lip, face and paw. Our deep commitment to clean, cruelty free beauty at an incredible value has fueled the success of our flagship brand e.l.f. Cosmetics since 2004 and driven our portfolio expansion. Today, our multi\-brand portfolio includes e.l.f. Cosmetics, e.l.f. SKIN, pioneering clean beauty brand Well People, Keys Soulcare, a groundbreaking lifestyle beauty brand created with Alicia Keys, Naturium, high\-performance, biocompatible, clinically\-effective and accessible skin care, and our newest brand, rhode, a line of curated skincare essentials, formulated for a variety of skin types and needs with high performance ingredients, it’s a daily routine that nourishes your skin barrier over time.
 In our Fiscal year 25, we had net sales of $1 Billion and our business performance has been nothing short of extraordinary with 28 consecutive quarters of net sales growth. We are the \#2 mass cosmetics brand in the US and are the fastest growing mass cosmetics brand among the top 5\. Our total compensation philosophy offers every full\-time new hire competitive pay and benefits, bonus eligibility (200% of target over the last six fiscal years), equity, flexible time off, year\-round half\-day Fridays, and a hybrid 3 day in office, 2 day at home work environment. We believe the combination of our unique culture, total compensation, workplace flexibility and care for the team is unmatched across not just beauty but any industry.
 Visit our Career Page to learn more about our team: https://www.elfbeauty.com/work\-with\-us
**Position Summary**
 The Senior Manager, Supply Chain Data Scientist serves as a senior technical and strategic thought partner, defining solution architectures, influencing product and business decisions, and ensuring that analytical solutions are both technically rigorous and operationally viable. The ideal candidate can lead end\-to\-end solutioning independently, manage ambiguity and complex stakeholder dynamics, and communicate technical and business risk effectively across teams and leadership levels. SQL and Python programming, and working with ML modeling will be a daily activity as you work with Snowflake data sets to build out planning and network optimization models.
**Responsibilities:**
* Lead the framing, design, and delivery of advanced optimization and machine learning solutions for high\-impact retail supply chain challenges
* Lead successful implementation and development of advanced planning and scheduling software, including network optimization and scenario planning
* Creating supply chain planning tools to improve planning processes, increasing accuracy and efficiency
* Developing, implementing, and maintaining key performance indicators for supply chain planning
* Build ad hoc reports for supply chain planning functions to help improve planning processes and communications
* Refining statistical and machine learning forecasting models to minimize forecast error and bias
* Develop Supply planning tools that include rough cut and finite capacity constraining
**Requirements:**
* 5\+ years of experience with advanced SQL and Python programming for data mapping, transformation and querying
* Prefer 3\+ years’ experience within Supply Planning, Inventory Optimization, or Supply Chain Analytics
* Strong communication skills with the ability to lead cross\-functional data initiatives
* Proven organizational skills, problem\-solving ability, and leadership experience
* Bachelor’s degree minimum, advanced degree preferred
* High drive for results and willing to work in a demanding \&amp; rapid paced environment
* Excellent communication skills both verbal and written
* Excellent analytical, follow\-up, and attention to detail skills
* Ability to work autonomously across functions to meet deadlines and drive tasks to completion
* System implementation experience a plus
* Excellent Excel Skills and knowledge; proficient in Microsoft Suite (Word and PowerPoint)
 The base salary range for this role is listed above.
 Total compensation includes base salary, annual company\-based performance bonus, and equity. Under e.l.f.’s annual bonus program, employees are eligible to earn up to 200% of their target bonus when company performance exceeds defined goals. In addition, e.l.f. provides a variety of other benefits to employees, including medical, dental, and vision insurance, a retirement savings plan, gender neutral parental leave, and unlimited paid time off. The amount of total compensation (including base salary) offered will be based on a wide range of factors, including geographic location, experience, specific skills, and qualifications.
 Compensation components are subject to change at the company’s discretion
***This job description is intended to describe the general nature and level of work being performed in this position. It also reflects the general details considered necessary to describe the principal functions of the job identified, and shall not be considered, as detailed description of all the work required inherent in the job. It is not an exhaustive list of responsibilities, and it is subject to changes and exceptions at the supervisors’ discretion.***
*e.l.f. Beauty respects your privacy. Please see our Job Applicant Privacy Notice (www.elfbeauty.com/us\-job\-applicant\-privacy\-notice) for how your personal information is used and shared.*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27">
      <c r="A27" t="inlineStr">
        <is>
          <t>li-4372990447</t>
        </is>
      </c>
      <c r="B27" t="inlineStr">
        <is>
          <t>Applied Scientist, FAR (Frontier AI &amp; Robotics)</t>
        </is>
      </c>
      <c r="C27" t="inlineStr">
        <is>
          <t>Amazon</t>
        </is>
      </c>
      <c r="D27" t="inlineStr">
        <is>
          <t>linkedin</t>
        </is>
      </c>
      <c r="E27" t="inlineStr"/>
      <c r="F27" t="inlineStr"/>
      <c r="G27" t="inlineStr">
        <is>
          <t>San Francisco, CA</t>
        </is>
      </c>
      <c r="H27" t="inlineStr"/>
      <c r="I27" t="inlineStr">
        <is>
          <t>**Description**
 Join the next revolution in robotics at Amazon's Frontier AI \&amp; Robotics team, where you'll work alongside world\-renowned AI pioneers to push the boundaries of what's possible in robotic intelligence. As an Applied Scientist, you'll be at the forefront of developing breakthrough foundation models that enable robots to perceive, understand, and interact with the world in unprecedented ways. You'll drive independent research initiatives in areas such as perception, manipulation, science understanding, locomotion, manipulation, sim2real transfer, multi\-modal foundation models and multi\-task robot learning, designing novel frameworks that bridge the gap between state\-of\-the\-art research and real\-world deployment at Amazon scale.
 In this role, you'll balance innovative technical exploration with practical implementation, collaborating with platform teams to ensure your models and algorithms perform robustly in dynamic real\-world environments. You'll have access to Amazon's vast computational resources, enabling you to tackle ambitious problems in areas like very large multi\-modal robotic foundation models and efficient, promptable model architectures that can scale across diverse robotic applications.
 Key job responsibilities
* Drive independent research initiatives across the robotics stack, including robotics foundation models, focusing on breakthrough approaches in perception, and manipulation, for example open\-vocabulary panoptic scene understanding, scaling up multi\-modal LLMs, sim2real/real2sim techniques, end\-to\-end vision\-language\-action models, efficient model inference, video tokenization
* Design and implement novel deep learning architectures that push the boundaries of what robots can understand and accomplish
* Lead full\-stack robotics projects from conceptualization through deployment, taking a system\-level approach that integrates hardware considerations with algorithmic development, ensuring robust performance in production environments
* Collaborate with platform and hardware teams to ensure seamless integration across the entire robotics stack, optimizing and scaling models for real\-world applications
* Contribute to the team's technical strategy and help shape our approach to next\-generation robotics challenges
 A day in the life
* Design and implement novel foundation model architectures and innovative systems and algorithms, leveraging our extensive infrastructure to prototype and evaluate at scale
* Collaborate with our world\-class research team to solve complex technical challenges
* Lead technical initiatives from conception to deployment, working closely with robotics engineers to integrate your solutions into production systems
* Participate in technical discussions and brainstorming sessions with team leaders and fellow scientists
* Leverage our massive compute cluster and extensive robotics infrastructure to rapidly prototype and validate new ideas
* Transform theoretical insights into practical solutions that can handle the complexities of real\-world robotics applications
**About The Team**
 At Frontier AI \&amp; Robotics, we're not just advancing robotics – we're reimagining it from the ground up. Our team is building the future of intelligent robotics through innovative foundation models and end\-to\-end learned systems. We tackle some of the most challenging problems in AI and robotics, from developing sophisticated perception systems to creating adaptive manipulation strategies that work in complex, real\-world scenarios.
 What sets us apart is our unique combination of ambitious research vision and practical impact. We leverage Amazon's massive computational infrastructure and rich real\-world datasets to train and deploy state\-of\-the\-art foundation models. Our work spans the full spectrum of robotics intelligence – from multimodal perception using images, videos, and sensor data, to sophisticated manipulation strategies that can handle diverse real\-world scenarios. We're building systems that don't just work in the lab, but scale to meet the demands of Amazon's global operations.
 Join us if you're excited about pushing the boundaries of what's possible in robotics, working with world\-class researchers, and seeing your innovations deployed at unprecedented scale.
**Basic Qualifications**
* PhD, or Master's degree and 4\+ years of CS, CE, ML or related field experience
* Experience programming in Java, C\+\+, Python or related language
* Experience in patents or publications at top\-tier peer\-reviewed conferences or journals
* Experience applying theoretical models in an applied environment
* Experience building machine learning models or developing algorithms for business application
* Experience developing and implementing deep learning models
* Track record of solving complex technical problems
**Preferred Qualifications**
* Experience using Unix/Linux
* First\-author publications at major or top\-tier ML/Robotics/AI conferences
* Experience with foundation models or large language models
* Background in Robotics, computer vision, or related fields
* Experience with sim2real transfer or multi\-task learning
* Familiarity with distributed training systems
* Track record of deploying ML models in production environments
* Experience with large\-scale robotic systems
* Extensive programming skills in Python and PyTorch/JAX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**Company** 
 \- Amazon.com Services LLC
 Job ID: A3181373</t>
        </is>
      </c>
    </row>
    <row r="28">
      <c r="A28" t="inlineStr">
        <is>
          <t>li-4355431958</t>
        </is>
      </c>
      <c r="B28" t="inlineStr">
        <is>
          <t>Data Scientist, Product</t>
        </is>
      </c>
      <c r="C28" t="inlineStr">
        <is>
          <t>Robinhood</t>
        </is>
      </c>
      <c r="D28" t="inlineStr">
        <is>
          <t>linkedin</t>
        </is>
      </c>
      <c r="E28" t="inlineStr"/>
      <c r="F28" t="inlineStr"/>
      <c r="G28" t="inlineStr">
        <is>
          <t>New York, NY</t>
        </is>
      </c>
      <c r="H28" t="inlineStr"/>
      <c r="I28" t="inlineStr">
        <is>
          <t>Join us in building the future of finance.
 Our mission is to democratize finance for all. An estimated $124 trillion of assets will be inherited by younger generations in the next two decades. The largest transfer of wealth in human history. If you’re ready to be at the epicenter of this historic cultural and financial shift, keep reading.
**About the team \+ role**
 We are building an elite team, applying frontier technologies to the world’s biggest financial problems. We’re looking for bold thinkers. Sharp problem\-solvers. Builders who are wired to make an impact. Robinhood isn’t a place for complacency, it’s where ambitious people do the best work of their careers. We’re a high\-performing, fast\-moving team with ethics at the center of everything we do. Expectations are high, and so are the rewards.
 Brokerage products are the bread and butter of Robinhood. The Brokerage team is fast\-paced, dynamic, and deeply collaborative, driving innovation across our suite of brokerage products.
 As a Senior Data Scientist on the Data Science team, you'll be part of a high\-impact, multi\-functional group working closely with partners across product, engineering, user research, design, marketing, finance, and operations. Together, you’ll unlock the power of data to shape the future of our brokerage business and deliver outstanding value to our customers.
 We’re looking for a dedicated and ambitious data science leader to help us accelerate product growth through world\-class experimentation, analysis, and data\-informed strategy. Your work will directly influence the roadmap, uncover new opportunities, and improve the trading experience for millions of users.
 This role is based in our
 **New York** 
 office(s), with in\-person attendance expected at least 3 days per week.
 At Robinhood, we believe in the power of in\-person work to accelerate progress, spark innovation, and strengthen community. Our office experience is intentional, energizing, and designed to fully support high\-performing teams.
****What You’ll Do****
* Perform deep\-dive analyses to identify product growth opportunities and drive improvements in core business metrics.
* Design, plan, implement, and analyze A/B experiments, and conduct causal inference analysis to evaluate product changes.
* Define and maintain key product performance metrics; build scalable dashboards to monitor these metrics and advise decision\-making.
* Build compelling data visualizations and narratives to effectively communicate insights and recommendations to multi\-functional partners, collaborators, and senior leadership.
* Lead and implement large\-scale analytics projects to uncover user insights, inform product strategy, and deliver measurable business impact.
* Partner closely with Product, Engineering, Operations, and other multi\-functional teams to integrate data\-driven decision\-making into product and business processes.
* Assist with established methods, standard approaches, and promote a data\-informed culture within the organization.
****What You Bring****
* Proven expertise in data science, with a strong background in statistical analysis and machine learning.
* Outstanding problem\-solving skills and the ability to think critically and creatively.
* Strong programming skills in Python \&amp; SQL, or other relevant languages.
* Experience with data visualization tools and techniques.
* Ability to successfully implement projects and compete in a fast\-paced environment.
* PhD or master’s degree in a quantitative field such as mathematics, statistics, engineering or natural sciences and at least 6\-10 years of experience developing and deploying predictive models.
****What We Offer****
* Challenging, high\-impact work to grow your career
* Performance driven compensation with multipliers for outsized impact, bonus programs, equity ownership, and 401(k) matching
* Best in class benefits to fuel your work, including 100% paid health insurance for employees with 90% coverage for dependents
* Lifestyle wallet \- a highly flexible benefits spending account for wellness, learning, and more
* Employer\-paid life \&amp; disability insurance, fertility benefits, and mental health benefits
* Time off to recharge including company holidays, paid time off, sick time, parental leave, and more!
* Exceptional office experience with catered meals, events, and comfortable workspaces.
**In addition to the base pay range listed below, this role is also eligible for bonus opportunities \+ equity \+ benefits.**
 Base pay for the successful applicant will depend on a variety of job\-related factors, which may include education, training, experience, location, business needs, or market demands. The expected base pay range for this role is based on the location where the work will be performed and is aligned to one of 3 compensation zones. For other locations not listed, compensation can be discussed with your recruiter during the interview process.
**Base Pay Range:**
 Zone 1 (Menlo Park, CA; New York, NY; Bellevue, WA; Washington, DC)
 $179,000—$210,000 USD
 Zone 2 (Denver, CO; Westlake, TX; Chicago, IL)
 $157,000—$185,000 USD
 Zone 3 (Lake Mary, FL; Clearwater, FL; Gainesville, FL)
 $139,000—$164,000 USD
**In addition to the base pay range listed below, this role is also eligible for bonus opportunities \+ benefits.**
 Base pay for the successful applicant will depend on a variety of job\-related factors, which may include education, training, experience, location, business needs, or market demands. The expected base pay range for this role is based on the location where the work will be performed.
**Base Pay Range:**
 Toronto, ON
 $110,500—$130,000 CAD
**In addition to the base pay range listed below, this role is also eligible for bonus opportunities \+ equity \+ benefits.**
 Base pay for the successful applicant will depend on a variety of job\-related factors, which may include education, training, experience, location, business needs, or market demands. The expected base pay range for this role is based on the location where the work will be performed.
**Base Pay Range:**
 Toronto, ON
 $110,500—$130,000 CAD
 Base pay for the successful applicant will depend on a variety of job\-related factors, which may include education, training, experience, location, business needs, or market demands. The expected hourly range for this role is based on the location where the work will be performed.
 Toronto, ON
 $110,500—$130,000 CAD
 Click here to learn more about our Total Rewards, which vary by region and entity.
 If our mission energizes you and you’re ready to build the future of finance, we look forward to seeing your application.
 Robinhood provides equal opportunity for all applicants, offers reasonable accommodations upon request, and complies with applicable equal employment and privacy laws. Inclusion is built into how we hire and work—welcoming different backgrounds, perspectives, and experiences so everyone can do their best. Please review the Privacy Policy for your country of application.</t>
        </is>
      </c>
    </row>
    <row r="29">
      <c r="A29" t="inlineStr">
        <is>
          <t>li-4327121744</t>
        </is>
      </c>
      <c r="B29" t="inlineStr">
        <is>
          <t>Data Scientist, Product Analytics</t>
        </is>
      </c>
      <c r="C29" t="inlineStr">
        <is>
          <t>Whatnot</t>
        </is>
      </c>
      <c r="D29" t="inlineStr">
        <is>
          <t>linkedin</t>
        </is>
      </c>
      <c r="E29" t="inlineStr"/>
      <c r="F29" t="inlineStr"/>
      <c r="G29" t="inlineStr">
        <is>
          <t>New York, NY</t>
        </is>
      </c>
      <c r="H29" t="inlineStr"/>
      <c r="I29" t="inlineStr">
        <is>
          <t>****🚀 Join the Future of Commerce with Whatnot!****
 Whatnot is the largest live shopping platform in North America and Europe to buy, sell, and discover the things you love. We’re re\-defining e\-commerce by blending community, shopping, and entertainment into a community just for you. As a remote co\-located team, we’re inspired by innovation and anchored in our values. With hubs in the US, UK, Germany, Ireland, Poland, and Australia, we’re building the future of online marketplaces –together.
 From fashion, beauty, and electronics to collectibles like trading cards, comic books, and even live plants, our live auctions have something for everyone.
 And we’re just getting started! As one of the fastest growing marketplaces, we’re looking for bold, forward\-thinking problem solvers across all functional areas. Check out the latest Whatnot updates on our news and engineering blogs and join us as we enable anyone to turn their passion into a business, and bring people together through commerce.
**💻 Role**
 As Whatnot rapidly scales, data is central to shaping our product strategy and helping us build delightful, high\-performing experiences for both buyers and sellers. We’re looking for a
 **Product Data Scientist** 
 who will partner closely with Product, Engineering, Design, and Operations to drive insights, experimentation, and decision\-making across the company.
**In This Role, You Will**
**🔍 Generate Insights \&amp; Shape Product Direction**
* Define and own the KPIs that measure product health, user engagement, and marketplace performance.
* Analyze user behavior, product usage patterns, and marketplace dynamics to identify opportunities and inform product priorities.
* Translate complex data into actionable recommendations for product and leadership teams.
**🧪 Drive Experimentation \&amp; Measurement**
* Partner with product managers and engineers to design, implement, and evaluate A/B tests and feature rollouts.
* Develop frameworks for causal inference, impact measurement, and long\-term product evaluation.
* Build scalable methodologies to understand feature performance and guide iteration.
**🛠 Build Data Products \&amp; Tools**
* Use our modern data stack to build dashboards, data pipelines, and self\-serve tools that empower teams across Whatnot.
* Partner with engineers to improve data accessibility, ensure data quality, and support instrumentation for new product features.
**🤝 Lead Cross\-Functional Collaboration**
* Advocate for data\-driven decision\-making and foster a culture of measurement across the product organization.
* Communicate insights clearly to both technical and non\-technical audiences, influencing roadmaps and strategic decisions.
* Serve as a thought partner to product leads, shaping how we build, launch, and iterate on experiences across the platform.
**US Based**
**We offer flexibility to work from home or from one of our global office hubs, and we value in\-person time for planning, problem\-solving, and connection. Team members in this role must live within commuting distance of our New York, Seattle, Los Angeles, and San Francisco hubs.**
**👋 You**
 Curious about who thrives at Whatnot? We’ve found that embodying a low ego, growth mindset, and high\-impact drive goes a long way here.
**🎓 Experience \&amp; Expertise**
 As our next
 **Product Data Scientist** 
 , you bring:
* 3\+ years of experience in Data Science, Decision Science, or Analytics within a product\-focused organization.
* A bachelor’s degree in Computer Science, Economics, Statistics, or a related quantitative field or equivalent experience.
* Proven experience applying statistical and analytical methods to real\-world product problems.
**🧠 Technical Skills**
* Advanced SQL skills and experience with modern data warehouses (Snowflake, BigQuery, Redshift) and tools like Spark or DBT.
* Proficiency with Python or R for data analysis, modeling, and experimentation.
* Experience designing and analyzing A/B tests and understanding causal inference techniques.
* Strong data visualization skills and familiarity with BI tools for building interactive dashboards.
**🗣 Collaboration \&amp; Leadership**
* Ability to communicate complex ideas clearly, concisely, and impactfully across diverse stakeholders.
* Experience leading cross\-functional projects and influencing product strategy with data.
* Comfortable working in fast\-paced, ambiguous environments with a high degree of ownership.
**💰Compensation**
**For Full\-Time (Salary) US based applicants:** 
 $185,000/year to $240,000/year \+ benefits \+ equity.
 The salary range may be inclusive of several levels that would be applicable to the position. Final salary will be based on a number of factors including, level, relevant prior experience, skills, and expertise. This range is only inclusive of base salary, not benefits (more details below) or equity.
**🎁 Benefits**
* Flexible Time off Policy and Company\-wide Holidays (including a spring and winter break)
* Health Insurance options including Medical, Dental, Vision
* Work From Home Support
+ Home office setup allowance
+ Monthly allowance for cell phone and internet
* Care benefits
+ Monthly allowance for wellness
+ Annual allowance towards Childcare
+ Lifetime benefit for family planning, such as adoption or fertility expenses
* Retirement; 401k offering for Traditional and Roth accounts in the US (employer match up to 4% of base salary) and Pension plans internationally
* Monthly allowance to dogfood the app
+ All Whatnauts are expected to develop a deep understanding of our product. We're passionate about building the best user experience, and all employees are expected to use Whatnot as both a buyer and a seller as part of their job (our dogfooding budget makes this fun and easy!).
* Parental Leave
+ 16 weeks of paid parental leave \+ one month gradual return to work \*company leave allowances run concurrently with country leave requirements which take precedence.
****💛 EOE****
 Whatnot is proud to be an Equal Opportunity Employer. We value diversity, and we do not discriminate on the basis of race, religion, color, national origin, gender, sexual orientation, age, marital status, veteran status, parental status, disability status, or any other status protected by local law. We believe that our work is better and our company culture is improved when we encourage, support, and respect the different skills and experiences represented within our workforce.
 Compensation Range: $185K \- $240K</t>
        </is>
      </c>
    </row>
    <row r="30">
      <c r="A30" t="inlineStr">
        <is>
          <t>li-4372998947</t>
        </is>
      </c>
      <c r="B30" t="inlineStr">
        <is>
          <t>Data Scientist</t>
        </is>
      </c>
      <c r="C30" t="inlineStr">
        <is>
          <t>Zywave</t>
        </is>
      </c>
      <c r="D30" t="inlineStr">
        <is>
          <t>linkedin</t>
        </is>
      </c>
      <c r="E30" t="inlineStr"/>
      <c r="F30" t="inlineStr"/>
      <c r="G30" t="inlineStr"/>
      <c r="H30" t="inlineStr"/>
      <c r="I30" t="inlineStr">
        <is>
          <t>**Data Scientist** 
 Zywave (B2B SaaS\- InsurTech)
 At Zywave, we believe in building AI systems that are reliable, measurable, and continuously
 improving. The Data Scientist will work within our AI Engineering and Data Science team to
 execute and operationalize our evaluation framework for ML/AI models. This role is hands\-on
 and execution\-focused, requiring strong technical skills in statistical analysis, and production ML
 workflows. You'll implement evaluation pipelines, run experiments, and conduct analyses that
 ensure our AI systems meet quality standards and drive measurable business impact.
**What you will do:** 
**Evaluation Framework Execution** 
 • Implement and operationalize evaluation pipelines for agentic AI models based on
 established frameworks and methodologies.
 • Execute benchmark tests, collect performance metrics, and generate evaluation reports.
 • Maintain and improve automated testing suites that assess model performance across
 multiple dimensions.
 • Monitor evaluation results and flag performance issues or anomalies for investigation.
 Experimentation \&amp; A/B Testing
 • Execute A/B tests and experiments according to designed protocols, ensuring proper
 implementation and data collection.
 • Conduct statistical analysis of experiment results, including hypothesis testing,
 confidence intervals, and effect size calculations.
 • Create clear, actionable reports that communicate experiment findings to stakeholders.
 • Support the design of new experiments by providing data\-driven insights and feasibility
 assessments.
**Traditional ML \&amp; Statistical Analysis** 
 • Build and maintain classical machine learning models to support business analytics and
 decision\-making.
 • Conduct exploratory data analysis to uncover insights and patterns in product usage and
 model performance data.
 • Perform statistical analyses, including regression analysis, time series forecasting, and
 cohort analysis.
 • Develop predictive models for business metrics, user behavior, and model performance
 trends.
**Data Workflows \&amp; Pipeline Management** 
 • Build and maintain data pipelines that support evaluation workflows, analytics, and
 reporting.
 • Ensure data quality through validation checks, monitoring, and documentation.
 • Work with data engineering teams to optimize data collection and storage for evaluation
 needs.
 • Create and maintain SQL queries, transformations, and data models.
**Monitoring \&amp; Reporting** 
 • Develop and maintain dashboards that track model performance, experiment results, and
 key metrics.
 • Create automated reporting that provides visibility into AI system health and business
 impact.
 • Support incident response by analyzing data to identify root causes of performance
 issues.
 • Document processes, methodologies, and findings to build organizational knowledge.
**What you should bring:** 
 • Strong foundation in statistics and experimental design—you understand A/B testing,
 hypothesis testing, and can properly analyze experiment results.
 • Hands\-on experience with machine learning fundamentals, including model training,
 evaluation, and feature engineering.
 • Proficiency in Python and the data science stack (pandas, scikit\-learn, NumPy,
 matplotlib/seaborn).
 • Strong SQL skills and experience working with relational databases and data warehouses.
 • Experience building data pipelines or working with workflow orchestration tools.
 • Familiarity with version control (Git) and collaborative software development practices.
 • Strong analytical and problem\-solving skills with attention to detail.
 • Good communication skills—you can explain technical concepts clearly and create
 compelling visualizations.
 • Self\-motivated with the ability to manage multiple tasks and priorities effectively.
 • (Preferred) Exposure to generative AI, LLM evaluation, or working with AI/ML products
 in production.</t>
        </is>
      </c>
    </row>
    <row r="31">
      <c r="A31" t="inlineStr">
        <is>
          <t>li-4365557225</t>
        </is>
      </c>
      <c r="B31" t="inlineStr">
        <is>
          <t>Data Scientist, Handshake AI</t>
        </is>
      </c>
      <c r="C31" t="inlineStr">
        <is>
          <t>Handshake</t>
        </is>
      </c>
      <c r="D31" t="inlineStr">
        <is>
          <t>linkedin</t>
        </is>
      </c>
      <c r="E31" t="inlineStr"/>
      <c r="F31" t="inlineStr"/>
      <c r="G31" t="inlineStr">
        <is>
          <t>San Francisco, CA</t>
        </is>
      </c>
      <c r="H31" t="inlineStr"/>
      <c r="I31" t="inlineStr">
        <is>
          <t>**About Handshake AI**
**Handshake** 
 is building the career network for the AI economy. Our three\-sided marketplace connects 18 million students and alumni, 1,500\+ academic institutions across the U.S. and Europe, and 1 million employers to power how the next generation explores careers, builds skills, and gets hired.
**Handshake AI** 
 is a human data labeling business that leverages the scale of the largest early career network. We work directly with the world’s leading AI research labs to build a new generation of human data products. From PhDs in physics to undergrads fluent in LLMs, Handshake AI is the trusted partner for domain\-specific data and evaluation at scale.
 This is a unique opportunity to join a fast\-growing team shaping the future of AI through better data, better tools, and better systems—for experts, by experts.
 Now’s a great time to join Handshake. Here’s why:
* Leading the AI Career Revolution: Be part of the team redefining work in the AI economy for millions worldwide.
* Proven Market Demand: Deep employer partnerships across Fortune 500s and the world’s leading AI research labs.
* World\-Class Team: Leadership from Scale AI, Meta, xAI, Notion, Coinbase, and Palantir, just to name a few.
**Capitalized \&amp; Scaling:** 
 $3\.5B valuation from top investors including Kleiner Perkins, True Ventures, Notable Capital, and more.
**About The Role**
 We’re looking for a highly motivated Data Scientist with strong SQL expertise to support analytics, measurement, and operational insights across our human data training workflows. You’ll work with messy, fast\-moving data tied to expert performance, task quality, throughput, and model outcomes.
 This is a hands\-on role with real ownership, exposure to frontier AI work, and a steep growth curve for people who execute well.
 What You’ll Do
* Write advanced SQL to analyze large, complex datasets related to expert performance, task quality, and AI training workflows.
* Build and maintain core metrics that track data quality, throughput, and operational efficiency.
* Partner with product, operations, and AI stakeholders to answer high\-impact questions.
* Support experimentation and analysis that improves task design, data quality, and model outcomes.
* Create dashboards and reporting that drive fast, informed decision\-making.
* Identify data gaps or quality issues and work cross\-functionally to resolve them.
* Take ambiguous problems and drive them to clear, actionable conclusions.
**Desired Capabilities**
* 3–5 years of professional experience as a Data Scientist, with a strong track record of applying data to drive product or business decisions.
* Expert\-level SQL skills
* Python experience for data analysis (e.g., pandas, notebooks).
* Strong analytical instincts and comfort working with imperfect, real\-world data.
* High ownership mindset and willingness to grind through complex problems.
* Ability to operate independently and deliver under tight timelines.
* Clear communication and comfort working cross\-functionally.
**Extra Credit**
* Experience with experimentation or metrics\-driven development.
* Exposure to AI/ML workflows, data labeling, or model evaluation.
 Perks
* Handshake delivers benefits that help you feel supported—and thrive at work and in life.
***The below benefits are for full\-time US employees.***
 🎯
 **Ownership:** 
 Equity in a fast\-growing company
 💰
 **Financial Wellness** 
 : 401(k) match, competitive compensation, financial coaching
 🍼
 **Family Support:** 
 Paid parental leave, fertility benefits, parental coaching
 💝
 **Wellbeing:** 
 Medical, dental, and vision, mental health support, wellness stipend
 📚
 **Growth:** 
 Learning stipend, ongoing development
 💻
 **Remote \&amp; Office:** 
 Internet, commuting, and free lunch/gym in our SF office
 🏝
 **Time Off:** 
 Flexible PTO, 15 holidays \+ 2 flex days
 🤝
 **Connection:** 
 Team outings \&amp; referral bonuses
 Explore our mission, values, and comprehensive US benefits at joinhandshake.com/careers.
 Compensation Range: $160K \- $200K</t>
        </is>
      </c>
    </row>
    <row r="32">
      <c r="A32" t="inlineStr">
        <is>
          <t>li-4301953838</t>
        </is>
      </c>
      <c r="B32" t="inlineStr">
        <is>
          <t>Data Scientist I</t>
        </is>
      </c>
      <c r="C32" t="inlineStr">
        <is>
          <t>Knowesis Inc.</t>
        </is>
      </c>
      <c r="D32" t="inlineStr">
        <is>
          <t>linkedin</t>
        </is>
      </c>
      <c r="E32" t="inlineStr"/>
      <c r="F32" t="inlineStr"/>
      <c r="G32" t="inlineStr">
        <is>
          <t>Coronado, CA</t>
        </is>
      </c>
      <c r="H32" t="inlineStr"/>
      <c r="I32" t="inlineStr">
        <is>
          <t>**Position:** 
 Data Scientist I
**Location:** 
 Coronado, CA
**Work Environment:** 
 On Site
**Security Clearance:** 
 Secret
**Status:** 
 Funded
 Knowesis is currently seeking a Data Scientist I to support the United States Special Operations Command Preservation of the Force and Family (USSOCOM POTFF) program in identifying and implementing innovative, valuable solutions across the Special Operations Forces (SOF) enterprise aimed at improving the short and long\-term well\-being of SOF warriors and their families.
 This work will be performed on\-site in Coronado, CA and requires a Secret clearance and U.S. Citizenship (applicants without proof of US citizenship will not be considered due to the position’s security clearance requirement).
**The Job Duties and Responsibilities include but are not limited to the following:**
* Conducts basic data analytics, data manipulation, data mining, exploratory analysis, predictive analysis, and statistical analysis, and uses scientific techniques to correlate data into graphical, written, visual, and verbal narrative products, enabling more informed analytic decisions.
* Enter and analyze data within government systems.
* Maintain dashboards to automate data analysis, identifying, interpreting, and presenting trends, designed to record POTFF\-related programmatic data.
* Assist the POTFF staff with survey design. Create, analyze, and report survey data.
* Provide consultation and assistance to supported units and POTFF staff to identify opportunities and methods for capturing data related to POTFF programs and initiatives.
* Work in consultation with POTFF program staff and the Government’s POTFF biostatistician.
* Provide subject matter expertise in the areas of program evaluation, research methodologies and data analysis.
* Be able to use statistics/modeling tools and data visualization techniques to provide an accessible way to see and understand trends, outliers, and patterns in data to produce reports and presentations that accurately convey data trends supporting the mission.
**Required Qualifications:**
* Bachelor's degree in quantitative science, social science, or a related discipline.
* Basic proficiency with the suite of Microsoft Office programs, including Word, Excel, and Access.
* Basic proficiency with commonly used statistical software applications such as SPSS, SAS, Python, and R\-Shiny.
* Be able to read, write, and speak English fluently and clearly to effectively communicate with all personnel they will interact with.
* Possess excellent verbal, written, interpersonal communication, presentation skills, and shall be highly detail oriented.
* Possess sufficient initiative, interpersonal relationship skills, and social sensitivity such that they can relate constructively to a variety of contacts from diverse backgrounds.
**Preferred Qualifications:** 
* Certification or documented experience with Human Performance.
* Experience working with Special Operations, athletics/sports, or other military settings.
* Strong technical and analytical skills in the following:
+ Data visualization/development (Power BI, Tableau), and Microsoft Power Apps
*Knowesis is committed to providing equal employment opportunities to all individuals based on merit and qualifications. We prohibit discrimination in all aspects of employment as required by Title VII of the Civil Rights Act and other applicable federal laws. Our company values all applicants and employees and fosters a work environment where everyone is treated with respect and dignity.*</t>
        </is>
      </c>
    </row>
    <row r="33">
      <c r="A33" t="inlineStr">
        <is>
          <t>li-4343510518</t>
        </is>
      </c>
      <c r="B33" t="inlineStr">
        <is>
          <t>Data Scientist</t>
        </is>
      </c>
      <c r="C33" t="inlineStr">
        <is>
          <t>Wpromote</t>
        </is>
      </c>
      <c r="D33" t="inlineStr">
        <is>
          <t>linkedin</t>
        </is>
      </c>
      <c r="E33" t="inlineStr"/>
      <c r="F33" t="inlineStr"/>
      <c r="G33" t="inlineStr"/>
      <c r="H33" t="inlineStr"/>
      <c r="I33" t="inlineStr">
        <is>
          <t>**The Role**
 We are looking for a Data Scientist who can leverage statistical tools, deep learning, and troves of marketing data to build innovative, reproducible data solutions for our teams and clients. In this role, you’ll partner cross\-functionally with Data Strategy, Engineering, Product, and Reporting Solutions to design machine learning workflows and statistical models that extract key insights from troves of marketing data. You may also work directly with clients to build them elegant solutions to their marketing problems.
 Your solutions will scale as productized apps used by our industry\-leading marketers to unlock new performance opportunities for our clients. You will have the opportunity to challenge the limits of what’s possible with data science and performance marketing, designing novel solutions through Time Series Analysis, Experimental Design, A/B Testing, Optimization, Reinforcement Learning, LLMs, etc.
 At Wpromote, we believe that great work is only possible with great people. Our goal is to build a better, more inclusive work environment and support our people at every stage of their careers by prioritizing a strong work\-life balance through our policies and benefits listed below. As a Best Place to Work according to both Ad Age and Glassdoor and Adweek’s Fastest Growing Digital Agency, we are moving fast to expand our teams and bring new experts into the fold to keep pushing the boundaries of what’s possible in marketing.
 We offer:
* Remote\-first culture
* Unlimited PTO
* Extended Holiday break (Winter)
* Flexible schedules
* Work from anywhere options\*
* 100% paid parental leave
* 401(k) matching
* Medical, Dental, Vision, Life, Pet Insurance
* Sponsored life insurance
* Short Term Disability insurance and additional voluntary insurance
* Annual Class Pass credits and more!
 The anticipated annual salary for this role will range from $120,000 \- $135,000, based on consideration of a wide array of factors unique to each candidate, including but not limited to skill set, years and depth of experience, education and certifications, competitive benchmarks, scope of responsibility, market dynamics, geographic location, and respective state’s salary threshold for exempt employees. The total compensation package for this role will include benefits (listed above) and an annual performance bonus.
* This position may be performed remotely in most states within the US, with some exclusions
* While this role offers the flexibility to work remotely, we have office hubs in Los Angeles, Chicago, and New York, where you can join in on learning and development opportunities, fun events, take advantage of a space to work, and collaborate in person!
* This position is not eligible for immigration sponsorship
*Important Notice: Beware of Job Scams*
 Wpromote recruiting communications will only be sent through our official channels via wpromote.com email addresses. If you see a posting elsewhere that is not reflected on Wpromote.com/careers, it may be a fraudulent posting. We do not require payment or fees during the hiring process nor do we request sensitive information, such as Social Security numbers or payment details. Please safeguard yourself against possible scams and contact us if you encounter any suspicious activity.
**You Will Be**
* Working closely with Product Development to identify high\-impact business problems that can be solved through data science and machine learning methods
* Designing, prototyping, and testing new products and data solutions
* Developing scalable, efficient, and automated workflows capable of analyzing large volumes of data from various sources
* Conducting incrementality tests and building Media Mix Models (MMMs)
* Integrating scalable workflows into production environments by collaborating with software engineers
* Maintaining data science and machine learning workflows by fixing bugs or improving model performance as needed
* Articulating complex technical results and methodologies to internal stakeholders
* Joining client meetings as needed to understand client data problems and propose innovative solutions
* Proactively identifying issues, raising them to the team, and proposing and implementing effective solutions
**You Must Have**
* Degree in Computer Science, Engineering, Statistics, Economics, or a related quantitative discipline preferred
* M.S. \+ 2 years of experience, or B.S. \+ 4 years of relevant experience
* Strong programming skills in R, Python, and SQL
* Professional experience within the digital advertising or MarTech field
* Demonstrated success delivering data\-driven products, including involvement across the full product development lifecycle
* Deep understanding of statistical modeling and machine learning techniques
* Experience with A/B testing (preferably geo\-holdouts) and Media Mix Models (MMMs)
* Strong working knowledge of large datasets, preferably within the digital marketing domain
* Experience with cloud OLAP database platforms such as BigQuery and Snowflake
* Strong communication skills with both technical and non\-technical audiences
* Ability to go beyond familiar algorithms and proactively explore new methodologies to solve business challenges
* Genuine interest in contributing to a data\-driven future in digital marketing within a fast\-growing organization
**Nice To Have**
* Solid knowledge of working with marketing and/or user acquisition data across a variety of industries
* Working experience in developing and deploying to cloud providers such as AWS and Google Cloud Platform
* An understanding of state\-of\-the\-art machine learning algorithms and packages
* Understanding of path, market basket, and clean room analyses
* Familiarity with CI/CD and MLOps practices
 Wpromote is committed to bringing together individuals from different backgrounds and perspectives, providing employees with a safe and welcoming environment free of discrimination and harassment. We strive to create a diverse \&amp; inclusive environment where everyone can thrive, feel a sense of belonging, and do impactful work together. As an equal opportunity employer, we prohibit any unlawful discrimination against a job applicant on the basis of their race, color, religion, gender, gender identity, gender expression, sexual orientation, national origin, family or parental status, disability\*, age, veteran status, or any other status protected by the laws or regulations in the locations where we operate. We respect the laws enforced by the EEOC and are dedicated to going above and beyond in fostering diversity across our workplace.
 Applicants with disabilities may be entitled to reasonable accommodation under the terms of the Americans with Disabilities Act and certain state or local laws. A reasonable accommodation is a change in the way things are normally done which will ensure an equal employment opportunity without imposing undue hardship on Wpromote.
 This employer participates in E\-Verify and will provide the federal government with your Form I\-9 information to confirm that you are authorized to work in the U.S. If E\-Verify cannot confirm that you are authorized to work, this employer is required to give you written instructions and an opportunity to contact Department of Homeland Security (DHS) or Social Security Administration (SSA) so you can begin to resolve the issue before the employer can take any action against you, including terminating your employment. Employers can only use E\-Verify once you have accepted a job offer and completed the Form I\-9\. For more information on E Verify, or if you believe that your employer has violated its E\-Verify responsibilities, please contact DHS.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34">
      <c r="A34" t="inlineStr">
        <is>
          <t>li-4311653285</t>
        </is>
      </c>
      <c r="B34" t="inlineStr">
        <is>
          <t>Associate Data Scientist</t>
        </is>
      </c>
      <c r="C34" t="inlineStr">
        <is>
          <t>Garner Health</t>
        </is>
      </c>
      <c r="D34" t="inlineStr">
        <is>
          <t>linkedin</t>
        </is>
      </c>
      <c r="E34" t="inlineStr"/>
      <c r="F34" t="inlineStr"/>
      <c r="G34" t="inlineStr">
        <is>
          <t>New York, NY</t>
        </is>
      </c>
      <c r="H34" t="inlineStr"/>
      <c r="I3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effectively, and physicians are rewarded for delivering exceptional care rather than performing more procedures.
 Garner is one of the fastest\-growing healthcare technology companies in the country. Our products are trusted by the most sophisticated employers and providers in the industry, and we are building a team of talented, mission\-driven individuals who are motivated to make a meaningful impact on healthcare at scale.
**About the role:**
 We are looking for an
 **Associate Data Scientist** 
 to join our Garner Health Intelligence team to help build and evolve our provider data insights. You'll work with other data scientists, data engineers, and product managers to improve the logic and systems we use to rank providers and power our recommendations.
**Where you will work:**
 This role will be based in our New York City office. You must be willing to work in the office 3 days per week on Tuesday, Wednesday and Thursday.
**What you will do:**
* Build and maintain data\-driven algorithms to improve provider recommendations and the member search experience.
* Design data pipelines that model and enrich healthcare provider data.
* Collaborate across product, engineering, and operations teams to solve open\-ended business problems with data\-driven solutions.
**What you will bring to the team:**
* Bachelor's degree in Computer Science, Mathematics, Statistics, Economics, or a related STEM field.
* Less than 1 year of professional experience in data science, analytics, finance, consulting, or product roles.
* Proficiency in statistics, hypothesis testing, and exploratory data analysis.
* Demonstrated ability to produce high\-quality analytical work through internships, academic research, or personal projects.
* Experience with Python or SQL, including use of common data science libraries (e.g. Pandas, NumPy, scikit\-learn, and visualization tools such as Matplotlib or Plotly), is highly desirable.
* Strong technical writing, analytical, and communication skills.
**Compensation Transparency:**
 The target salary range for this position is $95,000 \- $115,000\.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with company match, flexible spending accounts,Teladoc Health and more.
**Fraud and Security Notice:**
 Please be aware of recent job scam attempts. Our recruiters use getgarner.com and garnerhealth.com email domains exclusively. If you have been contacted by someone claiming to be a Garner recruiter or a hiring manager from a different domain about a potential job, please report it to law enforcement here and to candidateprotection@garnerhealth.com.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t>
        </is>
      </c>
    </row>
    <row r="35">
      <c r="A35" t="inlineStr">
        <is>
          <t>li-4365328676</t>
        </is>
      </c>
      <c r="B35" t="inlineStr">
        <is>
          <t>Data Scientist</t>
        </is>
      </c>
      <c r="C35" t="inlineStr">
        <is>
          <t>Elder Research</t>
        </is>
      </c>
      <c r="D35" t="inlineStr">
        <is>
          <t>linkedin</t>
        </is>
      </c>
      <c r="E35" t="inlineStr"/>
      <c r="F35" t="inlineStr"/>
      <c r="G35" t="inlineStr">
        <is>
          <t>Arlington, VA</t>
        </is>
      </c>
      <c r="H35" t="inlineStr"/>
      <c r="I35" t="inlineStr">
        <is>
          <t>**General Information**
**Requisition \#** 
 642
**Locations** 
 USA\-VA\-Arlington \- Hybrid, USA\-DC\-Washington \- Hybrid, USA\-MD\-Maryland \- Hybrid, USA\-VA\-Virginia \- Hybrid, USA \- Remote \- Eastern Time Zone
**Posting Date** 
 01/22/2026
**Security Clearance Required** 
 \- Active IRS Public Trust w/ Background Investigation
**Remote Type** 
 Onsite/Hybrid
**Time Type** 
 Full time
**Description \&amp; Requirements**
 As a Data Scientist, you will support the Internal Revenue Service’s mission to improve tax compliance, fraud detection, and risk identification across large, complex tax and financial data environments. You will work directly with government clients, program managers, and technical teams to understand business and compliance challenges, design analytical approaches, and deliver data\-driven solutions that inform enforcement, audit prioritization, and fraud prevention efforts.
 In this role, you will develop, test, and deploy predictive and statistical models using structured and unstructured data to identify anomalies, non\-compliance risk, and potential fraud within tax records and related datasets. You will contribute across the full data science lifecycle, from problem formulation and data exploration through model validation, deployment, and stakeholder communication.
**Responsibilities Include But Are Not Limited To**
* Prior programming experience, preferably in Python or R, including data exploration, feature engineering, and model development
* Explore, clean, and wrangle large, complex datasets to uncover insights and identify opportunities for data science–driven solutions in support assessments, gap analyses, and actionable recommendations for IRS stakeholders
* Design, develop, test, and implement quantitative and qualitative data science solutions that are modular, maintainable, and adaptable to evolving government and regulatory requirements
* Demonstrated experience using Python, SQL, and Databricks for data analysis, modeling, and statistical evaluation
* Apply statistical and machine learning techniques to anomaly detection, fraud identification, and non\-compliance risk scoring, including supervised and unsupervised approaches to help prioritize cases based on compliance risk, fraud indicators and business impact
* Develop and evaluate predictive risk models used to support audit selection, refund review, and fraud prevention initiatives
* Test and validate models using robustness, sensitivity, and significance testing, ensuring defensible and explainable results
* Write modular, reusable, and well\-documented code within an iterative development process that includes peer review and collaboration
* Collaborate with clients, subject matter experts, and cross\-functional teams to refine problem statements, requirements, and analytical approaches
* Prepare and deliver technical and non\-technical briefings, reports, and presentations to audiences with varying levels of analytical sophistication
* Demonstrated ability to work independently in a collaborative, fast\-paced environment
* Strong interpersonal, written, and verbal communication skills, with the ability to translate business and compliance needs into technical solutions
* Experience using Markdown for technical documentation
**Minimum Qualifications**
* Bachelor of Science degree in a relevant field such as statistics, computer science, economics, mathematics, analytics, data science, business, or social sciences
* 2\-10\+ years of experience in data science, analytics, or a related technical field
* Experience using version control systems (e.g., Git) and collaborative development practices
* Strong understanding of relational databases and SQL
* Comfortable learning new tools, methodologies, and domains, including working outside your comfort zone
* Strong analytical mindset with a willingness to tackle complex mathematical and statistical challenges
* Willingness to travel and work on\-site at client locations as required by project needs
**Preferred Qualifications**
* Advanced degree (MS or PhD) in statistics, computer science, data science, mathematics, analytics, engineering, or related fields
* Experience with PySpark, Unity Catalog, and Jobs in DataBricks
* Experience with Natural Language Processing (NLP) and text analytics applied to unstructured documents or case notes
* Experience with graph analytics and network analysis to identify relationships, fraud rings, or interconnected entities
* Familiarity with platforms and tools such as Databricks, and AWS
* Experience with containerization and environment management (e.g., venv, conda)
* Understanding of the data analytics lifecycle (e.g., CRISP\-DM)
* Experience applying advanced statistical concepts including sampling considerations, bias detection, weighting techniques, handling missing or outlier data, exploratory analysis, and longitudinal forecasting
* Experience operating in secure or remote government environments, including use of bash and command\-line tools
**Clearance \&amp; Other Requirements**
* Must currently possess an IRS Public Trust clearance with Full Background Investigation
**Physical Requirements**
* Must be able to remain in a stationary position 50%
* Needs to occasionally move about inside the office to access file cabinets, office machinery, etc.
* Frequently communicates with co\-workers, management, and customers, which may involve delivering presentations. Must be able to exchange accurate information in these situations
**Why apply to this position at Elder Research?**
* Competitive Salary and Benefits
* Important Work / Make a Difference supporting U.S. national security.
* Job Stability: Elder Research is not a typical government contractor, we hire you for a career not just a contract.
* People\-Focused Culture: we prioritize work\-life\-balance and provide a supportive, positive, and collaborative work environment as well as opportunities for professional growth and advancement.
**About Elder Research, Inc**
**People Centered. Data Driven**
* Elder Research is a fast growing consulting firm specializing in predictive analytics. Being in the data mining business almost 30 years, we pride ourselves in our ability to find creative, cutting edge solutions to real\-world problems. We work hard to provide the best value to our clients and allow each person to contribute their ideas and put their skills to use immediately.
* Our team members are passionate, curious, life\-long learners. We value humility, servant\-leadership, teamwork, and integrity. We seek to serve our clients and our teammates to the best of our abilities. In keeping with our entrepreneurial spirit, we want candidates who are self\-motivated with an innate curiosity and strong team work.
* Elder Research believes in continuous learning and community \- each week the entire company attends a “Tech Talk” and each office location provides lunch. Elder Research provides a supportive work environment with established parental, bereavement, and PTO policies. By prioritizing a healthy work\-life balance \- with reasonable hours, solid pay, low travel, and extremely flexible time off \- Elder Research enables and encourages its employees to serve others and enjoy their lives.
* Elder Research, Inc. is an Equal Opportunity Employer. All qualified applicants will receive consideration for employment without regard to race, color, religion, sex, sexual orientation, gender identity, national origin, or protected veteran status and will not be discriminated against on the basis of disability.
* Elder Research is a Government contractor and many of our positions require US Citizenship.</t>
        </is>
      </c>
    </row>
    <row r="36">
      <c r="A36" t="inlineStr">
        <is>
          <t>li-4349381646</t>
        </is>
      </c>
      <c r="B36" t="inlineStr">
        <is>
          <t>Senior Data Scientist, Rider New Products</t>
        </is>
      </c>
      <c r="C36" t="inlineStr">
        <is>
          <t>Lyft</t>
        </is>
      </c>
      <c r="D36" t="inlineStr">
        <is>
          <t>linkedin</t>
        </is>
      </c>
      <c r="E36" t="inlineStr"/>
      <c r="F36" t="inlineStr"/>
      <c r="G36" t="inlineStr">
        <is>
          <t>San Francisco County, CA</t>
        </is>
      </c>
      <c r="H36" t="inlineStr"/>
      <c r="I36" t="inlineStr">
        <is>
          <t>At Lyft, our purpose is to serve and connect. We aim to achieve this by cultivating a work environment where all team members belong and have the opportunity to thrive.
 The Rider team is the heartbeat of Lyft business. Every feature you build translates to a better experience for millions of riders globally. The Rider New Product team is the engine of innovation for Lyft's business. The Rider New Product science team’s mission is to rigorously quantify the value of innovation by applying advanced causal inference to unlock Lyft’s next generation of growth. You will have the autonomy of a startup lead with the data scale of a global tech giant.
 This is a high\-impact, highly technical role within a core business line. The ideal candidate brings strong applied causal inference intuition, hands\-on experience with advanced measurement techniques, and the ability to write clean, efficient production code. You will play a critical role in shaping the future of the Lyft rideshare experience by rigorously measuring the true incremental impact of new product features, shaping critical business decisions, and bridging the gap between cutting\-edge applied science research and production\-scale product impact.
**Responsibilities**
* Own complex, open\-ended incrementality measurement problems. Translate ambiguous product launches into concrete causal frameworks and experimental designs.
* Lead high\-impact Causal Inference initiatives. Drive innovation by introducing advanced measurement techniques to quantify the incremental impact of new rider features.
* Partner deeply with Product, Engineering, and Finance. Define the technical vision for how Lyft evaluates innovation, ensuring that we move beyond simple correlations to understand the long\-term drivers of rider behavior and value.
* Design and build production\-grade measurement systems. Develop and deploy robust causal models pipelines that balance high scientific rigor with the practical constraints.
* Establish robust evaluation frameworks. Ensure that the "engine of innovation" is steering the business toward sustainable, incremental growth.
* Build reusable science infrastructure. Create internal libraries and best practices for causal discovery and automated measurement.
* Mentor and guide junior/mid\-level scientists. Serve as a technical advisor on experimental design, statistical modeling, and fostering a culture of scientific excellence.
**Experience:** 
* Advanced Quantitative Background: Master’s or PhD in Economics, Statistics, Applied Math, Computer Science or equivalent high\-impact industry experience.
* 3\+ Years of Applied Experience: Proven track record in applied science or data science, with a focus on deploying causal models that drive measurable business outcomes.
* Deep product intuition and hands\-on experience with causal methods
* Strong proficiency in Python and SQL.
* Experienced in defining and executing sophisticated evaluation strategies, including advanced experiment design and counterfactual analysis to isolate incrementality.
* Proven ability to align cross\-functional partners, influence technical architecture, and challenge scientific assumptions to guide high\-level product strategy.
* Excellent ability to articulate complex causal concepts, trade\-offs between rigor and speed, and scientific findings to both technical peers and executive stakeholders.
* Preferred Qualifications
+ Demonstrated ability to own high\-stakes, open\-ended problem spaces, translating vague business questions into rigorous scientific roadmaps.
+ Experience in mentoring other scientists, elevating the bar for technical quality, and establishing best practices for modeling and scientific reasoning.
**Benefits:**
* Great medical, dental, and vision insurance options with additional programs available when enrolled
* Mental health benefits
* Family building benefits
* Child care and pet benefits
* 401(k) plan to help save for your future
* In addition to 12 observed holidays, salaried team members have discretionary paid time off, hourly team members have 15 days paid time off
* 18 weeks of paid parental leave. Biological, adoptive, and foster parents are all eligible
* Subsidized commuter benefits
* Lyft Pink \- Lyft team members get an exclusive opportunity to test new benefits of our Ridership Program
 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
 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
 The expected base pay range for this position in the San Francisco area is $148,000 \- $185,000, not inclusive of potential equity offering, bonus or benefits. Salary ranges are dependent on a variety of factors, including qualifications, experience and geographic location. Your recruiter can share more information about the salary range specific to your working location and other factors during the hiring process.</t>
        </is>
      </c>
    </row>
    <row r="37">
      <c r="A37" t="inlineStr">
        <is>
          <t>li-4340958481</t>
        </is>
      </c>
      <c r="B37" t="inlineStr">
        <is>
          <t>Data Scientist, Marketing</t>
        </is>
      </c>
      <c r="C37" t="inlineStr">
        <is>
          <t>OpenAI</t>
        </is>
      </c>
      <c r="D37" t="inlineStr">
        <is>
          <t>linkedin</t>
        </is>
      </c>
      <c r="E37" t="inlineStr"/>
      <c r="F37" t="inlineStr"/>
      <c r="G37" t="inlineStr"/>
      <c r="H37" t="inlineStr"/>
      <c r="I37" t="inlineStr">
        <is>
          <t>**About The Role**
 We’re hiring a senior data scientist to partner with our rapidly growing Marketing team. You’ll help define how we measure success, understand what drives growth, and build the systems that guide where and how we invest. This is a rare opportunity to build foundational marketing science at a time when we’re scaling from zero to one.
**In This Role, You Will**
* Embed with the GTM, User Ops, Marketing, and Partnerships organization as a trusted partner, uncovering new ways to improve the business and drive growth
* Manage cross\-functional data science projects about revenue, marketing, pricing, usage, and other topics core to the business.
* Establish a data\-driven culture by driving the definition, tracking, and operationalizing of metrics
* Become an expert in OAI’s data and systems. Through partnership with Data Eng, Finance and other business teams, you should be able to self\-serve all the underlying data for our business and derive insights from them.
* Develop and socialize dashboards, reports, and other ways of enabling the team and company to answer product data questions in a self\-serve way
* Partner with other data scientists across the company to share knowledge and continually synthesizing learnings across the organization
**You Might Thrive In This Role If You Have**
* At least 10\+ years of experience in Data Science roles within dynamic, outcome\-driven organizations.
* Expertise in statistics and causal inference, applied in both experimentation and observational causal inference studies.
* Proficiency in quantitative programming languages, such as Python and R.
* Expertise in SQL, with extensive experience extracting large datasets and designing ETL workflows.
* Experience using business intelligence tools, such as Mode, Tableau, and Looker.
* Strategic and impact\-driven mindset, capable of translating complex business problems into actionable frameworks.
* Ability to build relationships with diverse stakeholders and cultivate strong partnerships.
* Strong communication skills, including the ability to bridge technical and non\-technical stakeholders and collaborate across various functions to ensure business impact.
* Ability to craft clear data stories using decks, memos, and dashboards to drive decision\-making at every level.
* Best\-in\-class attention to detail and unwavering commitment to accuracy.
* Proven track record in solving problems within Finance, Marketing, Partnerships, Sales, Support, or other GTM areas.
**About OpenAI**
 OpenAI is an AI research and deployment company dedicated to ensuring that general\-purpose artificial intelligence benefits all of humanity. We push the boundaries of the capabilities of AI systems and seek to safely deploy them to the world through our products. AI is an extremely powerful tool that must be created with safety and human needs at its core, and to achieve our mission, we must encompass and value the many different perspectives, voices, and experiences that form the full spectrum of humanity.
 We are an equal opportunity employer, and we do not discriminate on the basis of race, religion, color, national origin, sex, sexual orientation, age, veteran status, disability, genetic information, or other applicable legally protected characteristic.
 For additional information, please see OpenAI’s Affirmative Action and Equal Employment Opportunity Policy Statement.
 Background checks for applicants will be administered in accordance with applicable law, and qualified applicants with arrest or conviction records will be considered for employment consistent with those laws, including the San Francisco Fair Chance Ordinance, the Los Angeles County Fair Chance Ordinance for Employers, and the California Fair Chance Act, for US\-based candidates. For unincorporated Los Angeles County workers: we reasonably believe that criminal history may have a direct, adverse and negative relationship with the following job duties, potentially resulting in the withdrawal of a conditional offer of employment: protect computer hardware entrusted to you from theft, loss or damage; return all computer hardware in your possession (including the data contained therein) upon termination of employment or end of assignment; and maintain the confidentiality of proprietary, confidential, and non\-public information. In addition, job duties require access to secure and protected information technology systems and related data security obligations.
 To notify OpenAI that you believe this job posting is non\-compliant, please submit a report through this form. No response will be provided to inquiries unrelated to job posting compliance.
 We are committed to providing reasonable accommodations to applicants with disabilities, and requests can be made via this link.
 OpenAI Global Applicant Privacy Policy
 At OpenAI, we believe artificial intelligence has the potential to help people solve immense global challenges, and we want the upside of AI to be widely shared. Join us in shaping the future of technology.</t>
        </is>
      </c>
    </row>
    <row r="38">
      <c r="A38" t="inlineStr">
        <is>
          <t>li-4372992919</t>
        </is>
      </c>
      <c r="B38" t="inlineStr">
        <is>
          <t>Senior Data Scientist</t>
        </is>
      </c>
      <c r="C38" t="inlineStr">
        <is>
          <t>Zywave</t>
        </is>
      </c>
      <c r="D38" t="inlineStr">
        <is>
          <t>linkedin</t>
        </is>
      </c>
      <c r="E38" t="inlineStr"/>
      <c r="F38" t="inlineStr"/>
      <c r="G38" t="inlineStr"/>
      <c r="H38" t="inlineStr"/>
      <c r="I38" t="inlineStr">
        <is>
          <t>**Senior Data Scientist** 
 Zywave (B2B SaaS\- InsurTech)
 At Zywave, we believe in building AI systems that are reliable, measurable, and continuously
 improving. The Senior Data Scientist will partner directly with our VP of AI Engineering and
 Data Science to implement our evaluation framework for agentic AI models. This role is deeply
 technical, requiring expertise in statistical rigor, and production ML workflows. You'll establish
 the methodologies and infrastructure that ensure our AI systems meet quality standards and drive measurable business impact.
**What you will do:** 
**Evaluation Framework Design \&amp; Implementation** 
 • Design and build comprehensive evaluation frameworks for agentic AI models, including
 benchmark creation, metric definition, and success criteria.
 • Establish evaluation pipelines that integrate seamlessly into our ML development
 lifecycle.
 • Create automated testing suites that assess model performance across multiple
 dimensions (accuracy, latency, cost, safety, user experience).
 • Develop methodologies for evaluating complex agent behaviors, multi\-turn interactions,
 and reasoning capabilities.
**Experimentation \&amp; A/B Testing** 
 • Design and execute rigorous A/B tests and multivariate experiments to measure model
 performance in production.
 • Build statistical frameworks for experiment analysis, including power analysis,
 significance testing, and causal inference.
 • Partner with engineering teams to implement experimentation infrastructure and ensure
 proper randomization and isolation.
 • Communicate experiment results and recommendations to technical and non\-technical
 stakeholders.
**Data Science \&amp; ML Operations** 
 • Apply classical machine learning techniques to support model evaluation, feature
 engineering, and performance prediction.
 • Build data pipelines that support evaluation workflows, from data collection through
 metric computation.
 • Develop monitoring systems to detect model degradation, drift, and anomalies in
 production.
 • Create dashboards and reporting tools that provide visibility into model performance and
 experimentation results.
**Strategic Partnership \&amp; Leadership** 
 • Collaborate closely with the VP of AI Engineering and Data Science to shape our AI
 quality strategy.
 • Influence technical decisions through data\-driven insights and rigorous analysis.
 • Establish best practices and standards for evaluation across the organization.
 • Mentor other data scientists and engineers on experimentation methodologies and
 statistical principles.
**Generative AI \&amp; LLM Evaluation** 
 (Bonus)
 • Design evaluation approaches specific to generative AI systems (prompt quality,
 hallucination detection, output consistency).
 • Develop human\-in\-the\-loop evaluation workflows and LLM\-as\-judge frameworks.
 • Stay current with emerging evaluation methodologies in the rapidly evolving GenAI
 landscape.
**What you should bring:** 
 • Strong foundation in statistical methods, experimental design, and causal inference—you
 understand the math behind A/B testing and can design experiments that answer complex
 questions.
 • Proven experience building evaluation frameworks or quality measurement systems for
 ML/AI products in production environments.
 • Deep expertise in data workflows, including ETL/ELT, data modeling, and pipeline
 orchestration tools.
 • Solid machine learning fundamentals across supervised/unsupervised learning, model
 evaluation, and feature engineering.
 • Proficiency in Python and the data science stack (pandas, scikit\-learn, SQL, visualization
 libraries).
 • Experience with modern data platforms and tools (data warehouses, workflow
 orchestration, version control).
 • Strong communication skills—you can translate complex statistical concepts for diverse
 audiences and drive alignment on technical decisions.
 • Passion for quality and a methodical approach to measuring what matters.
 • (Preferred) Experience with generative AI evaluation, LLM observability tools, or
 prompt engineering.</t>
        </is>
      </c>
    </row>
    <row r="39">
      <c r="A39" t="inlineStr">
        <is>
          <t>li-4321353982</t>
        </is>
      </c>
      <c r="B39" t="inlineStr">
        <is>
          <t>Clinical Data Scientist</t>
        </is>
      </c>
      <c r="C39" t="inlineStr">
        <is>
          <t>Unlearn.AI</t>
        </is>
      </c>
      <c r="D39" t="inlineStr">
        <is>
          <t>linkedin</t>
        </is>
      </c>
      <c r="E39" t="inlineStr"/>
      <c r="F39" t="inlineStr"/>
      <c r="G39" t="inlineStr">
        <is>
          <t>San Francisco, CA</t>
        </is>
      </c>
      <c r="H39" t="inlineStr"/>
      <c r="I39" t="inlineStr">
        <is>
          <t>Our Mission and Vision
 Unlearn exists to transform clinical development by making every trial smarter. We harness data, AI, and digital twins to enable faster, more robust studies that bring life\-saving treatments to patients faster. This mission drives everything we do as we partner with biopharmaceutical companies to redesign how clinical trials are planned, run, and analyzed.
 We are defining the future of clinical development with unmatched scientific credibility, replacing uncertainty with AI\-powered precision so decisions are clearer and trials are stronger. We don’t just disrupt the pharmaceutical industry, we create lasting change.
 We believe AI will define the future of medicine, and we are committed to building that future responsibly, rigorously, and in close collaboration with our partners in clinical development.
**About Our Team**
 We come from a variety of backgrounds ranging from machine learning to marketing—but regardless of where we come from, Unlearners share some common traits:
* Unlearners are ambitious; we aren’t intimidated by big, challenging goals.
* Unlearners are disciplined experimenters; we break down our big goals into smaller chunks and meet as often as necessary to track our velocity and iterate quickly.
* Unlearners are gritty; we never give up, setbacks just make us try harder.
* Unlearners are receptive to new ideas; in fact, we hate being stuck with the status quo
* Unlearners are storytellers; sharing information with each other and with the world is super important, too important to be boring. And, last but not least,
* Unlearners are team\-oriented; we put the mission first, the company second, the team third, and individuals last.
 Headquartered in San Francisco, Unlearn was founded in 2017 by a team of world\-class machine learning scientists. We have raised venture capital from top tier investors such as Altimeter, Insight Partners, Radical Ventures, 8VC, DCVC, and DCVC Bio, and completed our $50 million Series C in January 2024\.
**If our purpose and culture resonate with you, we invite you to apply.**
**Clinical Data Scientist.** 
 Clinical Data Scientists at Unlearn build world\-class data products that underpin advances in machine learning for clinical research. Working in close collaboration with machine learning scientists, engineers, clinical scientists, and product partners, they transform complex clinical data into high\-quality, well\-understood datasets tailored for modeling and other downstream applications. The role spans multiple disease areas and data sources, requiring strong software practices, careful data curation, and the ability to quickly develop clinical domain expertise. In addition to internal development, Clinical Data Scientists often work in forward\-deployed settings, partnering directly with clients to ensure Unlearn’s solutions are appropriately tailored to real\-world study designs.
**Responsibilities Include**
* Transform clinical trial, observational, and electronic health record data into high\-quality, well\-structured datasets.
* Analyze longitudinal clinical datasets, developing a strong understanding of outcome measures, biomarkers, and other variables commonly used in clinical research across multiple disease areas.
* Collaborate closely with cross\-functional teams of data scientists, machine learning scientists, engineers, and clinicians to design, build, and maintain robust data products grounded in sound data organization, domain knowledge, and careful analysis.
* Communicate technical findings, data characteristics, and limitations clearly and effectively to both internal partners and external collaborators, including in forward\-deployed, client\-facing settings.
**Minimum Requirements**
* BS or advanced degree in Bioinformatics, Computer Science, Psychology, Public Health, or related discipline.
* 2\+ years of experience wrangling data from disparate sources, data cleaning, and harmonizing datasets for analysis.
* Experience working with complex or nuanced datasets.
* Fluency in Python and its essential data science tools (numpy, pandas).
* Demonstrated experience in collaborative software development.
* Experience with clinical datasets in applied machine learning applications.
* Experience working in multidisciplinary teams that include scientists, engineers, and product management.
**Bonus Points For**
* Prior experience in forward\-deployed, client\-facing settings.
* Experience in clinical/healthcare data.
 Benefits \&amp; Perks
*The following benefits and perks are for full time roles only.*
* Generous equity participation
* 100% company\-covered medical, dental, \&amp; vision insurance plans
* 401k plan with matching
* Flexible PTO plus company holidays
* Annual company\-wide break December 24 through January 1
* Commuter benefits
* Paid Parental Leave
 Unlearn is an equal opportunity employer.
 At Unlearn, we are committed to building a diverse and inclusive workplace, because inclusion and diversity are essential to achieving our mission. If you’re excited about this role, and your past experience doesn’t align perfectly with every qualification in the job description, we encourage you to apply nevertheless.</t>
        </is>
      </c>
    </row>
    <row r="40">
      <c r="A40" t="inlineStr">
        <is>
          <t>li-4373206133</t>
        </is>
      </c>
      <c r="B40" t="inlineStr">
        <is>
          <t>Data Scientist</t>
        </is>
      </c>
      <c r="C40" t="inlineStr">
        <is>
          <t>Wiraa</t>
        </is>
      </c>
      <c r="D40" t="inlineStr">
        <is>
          <t>linkedin</t>
        </is>
      </c>
      <c r="E40" t="inlineStr"/>
      <c r="F40" t="inlineStr"/>
      <c r="G40" t="inlineStr"/>
      <c r="H40" t="inlineStr"/>
      <c r="I40" t="inlineStr">
        <is>
          <t>**About The Company**
 KBR’s National Security Solutions team specializes in providing high\-end engineering, advanced technology, and innovative solutions to clients within the intelligence and national security sectors. With a focus on cutting\-edge projects, KBR is committed to safeguarding national interests through technological excellence and strategic innovation. The company fosters a collaborative and dynamic work environment that encourages creativity, professional growth, and impactful contributions. KBR’s work encompasses a broad spectrum of domains including engineering, logistics, operations, science, program management, mission IT, and cybersecurity, positioning it at the forefront of defense and space defense advancements. The organization values integrity, diversity, and inclusion, ensuring a supportive environment where employees can belong, connect, and grow while making a meaningful difference in national security and space exploration.
 bout the Role
 KBR is seeking a highly skilled Data Scientist to join our team in Dayton, Ohio. This full\-time position offers flexibility for onsite or remote work, providing an excellent opportunity to work on projects that have a significant impact on national security and space defense. As a Data Scientist at KBR, you will be responsible for extracting insights from complex datasets, developing predictive and prescriptive models, and applying state\-of\-the\-art analytics and artificial intelligence techniques. Your work will support critical defense systems, enhance decision\-making processes, and drive innovation across various projects. Collaboration with multidisciplinary teams, including operations research analysts, software developers, data architects, and subject matter experts, will be essential to deliver impactful solutions. The role demands a proactive, detail\-oriented professional capable of navigating complex data environments and communicating findings effectively to stakeholders.
**Qualifications**
* Bachelor’s degree in Data Science, Computer Science, or related field
* 5\+ years of experience in Data Science or Data analysis
* Proficiency in programming languages such as Python or R
* Experience with AI frameworks like TensorFlow or PyTorch
* Familiarity with Retrieval Augmented Generation (RAG) architectures and Large Language Models (LLMs)
* Experience developing data pipelines to support analytics
* Strong understanding of advanced analytics and machine learning techniques
* Ability to document and communicate analysis results effectively
* Proficiency with SQL and Business Intelligence tools such as Tableau or Qlik
* Strong analytical and problem\-solving skills
* Hands\-on experience in data wrangling, exploration, analysis, and visualization
* Ability to work independently and collaboratively in a fast\-paced environment
* Motivation to self\-learn and stay current with analytics advancements
* Ability to obtain a DoD Secret clearance
 Desired qualifications include a Master’s degree in Data Science or related fields, expertise in applied machine learning, statistical analysis, natural language processing, graph analysis tools, and experience with cloud\-based AI platforms such as Azure AI Foundry or Amazon SageMaker.
**Responsibilities**
* Execute analytical experiments systematically to address complex problems and generate actionable insights
* Research and implement cutting\-edge artificial intelligence methods and innovative statistical models
* Identify relevant data sources, collect large structured and unstructured datasets, and ensure data quality and integrity
* Develop and optimize code for predictive and prescriptive models using machine learning techniques
* Document methodologies, assumptions, and findings clearly for stakeholders and team members
* Collaborate with cross\-functional teams to improve business outcomes through data\-driven insights
* Work efficiently in a fast\-paced environment, adapting to changing project needs
* Perform data wrangling, exploration, analysis, and visualization to uncover hidden insights
* Design and create algorithms, simulations, and AI agents to solve complex problems
* Test and validate the effectiveness of different analytic approaches and recommend optimal solutions
* Communicate results and trade\-offs effectively to technical and non\-technical stakeholders
* Contribute to workflow automation and process improvement initiatives
**Benefits**
* Competitive salary range of $80,000 to $130,000, based on experience and location
* Comprehensive health insurance including medical, dental, and vision coverage
* Retirement plans with company matching contributions
* Paid time off and flexible work schedules
* Disability and life insurance options
* Flexible spending accounts and wellness programs
* Opportunities for professional development and career growth through training and certifications
* Supportive and inclusive work environment that values diversity and innovation
 Equal Opportunity
 KBR is an equal opportunity employer committed to creating a diverse and inclusive workplace. We welcome applications from all qualified candidates regardless of race, color, religion, sex, sexual orientation, gender identity or expression, age, national origin, veteran status, genetic information, union membership, or any other characteristic protected by law. We believe in fostering a respectful environment where everyone can belong, connect, and grow, and we are dedicated to ensuring equal employment opportunities for all. Our commitment to diversity and inclusion is integral to our success and innovation in delivering high\-quality solutions to our clients.</t>
        </is>
      </c>
    </row>
    <row r="41">
      <c r="A41" t="inlineStr">
        <is>
          <t>li-4373209206</t>
        </is>
      </c>
      <c r="B41" t="inlineStr">
        <is>
          <t>Data Scientist</t>
        </is>
      </c>
      <c r="C41" t="inlineStr">
        <is>
          <t>TEKsystems</t>
        </is>
      </c>
      <c r="D41" t="inlineStr">
        <is>
          <t>linkedin</t>
        </is>
      </c>
      <c r="E41" t="inlineStr"/>
      <c r="F41" t="inlineStr"/>
      <c r="G41" t="inlineStr">
        <is>
          <t>Menlo Park, CA</t>
        </is>
      </c>
      <c r="H41" t="inlineStr"/>
      <c r="I41" t="inlineStr">
        <is>
          <t>Description
 We’re looking for a Marketing Data Scientist to drive actionable insights across our marketing and product organizations. In this role, you’ll analyze campaign performance, user behavior, and growth funnels to influence strategy and optimize marketing investments. You’ll partner cross‑functionally with marketing, product, engineering, and leadership to define success metrics, run experiments, and build scalable measurement frameworks.
 What You’ll Do
* Analyze marketing campaigns, audience behavior, and funnel performance
* Define and monitor key KPIs that guide marketing strategy and investment decisions
* Design and evaluate A/B tests and other experiments
* Build automated datasets, dashboards, and analytical workflows
* Leverage AI/LLM tools to improve segmentation, insights, and marketing efficiency
* Communicate findings and recommendations to non‑technical stakeholders
 What We’re Looking For
* Strong experience in marketing analytics, growth analytics, or product analytics
* Proficiency in SQL and Python
* Experience with experimentation, causal inference, or attribution modeling
* Hands‑on exposure to AI/LLM tools for analysis or workflow automation
* Excellent communication and business insight
 If you’re passionate about data‑driven marketing and excited about applying emerging AI tools to real‑world problems, we’d love to hear from you.
 Job Type \&amp; Location
 This is a Contract position based out of Menlo Park, CA.
 Pay And Benefits
 The pay range for this position is $80\.00 \- $90\.00/hr.
 Eligibility requirements apply to some benefits and may depend on your job classification and length of employment. Benefits are subject to change and may be subject to specific elections, plan, or program terms. If eligible, the benefits available for this temporary role may include the following:
* Medical, dental \&amp; vision
* Critical Illness, Accident, and Hospital
* 401(k) Retirement Plan – Pre\-tax and Roth post\-tax contributions available
* Life Insurance (Voluntary Life \&amp; AD\&amp;D for the employee and dependents)
* Short and long\-term disability
* Health Spending Account (HSA)
* Transportation benefits
* Employee Assistance Program
* Time Off/Leave (PTO, Vacation or Sick Leave) Workplace Type This is a fully remote position. Application Deadline This position is anticipated to close on Feb 17, 2026\. h4\&gt;About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About TEKsystems And TEKsystems Global Services
 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 communities. TEKsystems and TEKsystems Global Services are Allegis Group companies. Learn more at TEKsystems.com.
 The company is an equal opportunity employer and will consider all applications without regard to race, sex, age, color, religion, national origin, veteran status, disability, sexual orientation, gender identity, genetic information or any characteristic protected by law.</t>
        </is>
      </c>
    </row>
    <row r="42">
      <c r="A42" t="inlineStr">
        <is>
          <t>li-4343374510</t>
        </is>
      </c>
      <c r="B42" t="inlineStr">
        <is>
          <t>Staff Data Scientist, GeminiApp</t>
        </is>
      </c>
      <c r="C42" t="inlineStr">
        <is>
          <t>Google DeepMind</t>
        </is>
      </c>
      <c r="D42" t="inlineStr">
        <is>
          <t>linkedin</t>
        </is>
      </c>
      <c r="E42" t="inlineStr"/>
      <c r="F42" t="inlineStr"/>
      <c r="G42" t="inlineStr"/>
      <c r="H42" t="inlineStr"/>
      <c r="I42" t="inlineStr">
        <is>
          <t>**About The Team**
 Our team, GeminiApp, is on a mission to build a universal AI assistant that will empower billions of people. We are creating a personal, proactive, and powerful life assistant that will be used multiple times a day to increase productivity and creativity by 10 to 100\-fold. Our work is shaping how humanity interacts with AI at scale.
**About The Role**
 As a Data Scientist on the GeminiApp team, you are a key partner and co\-creator in our product strategy. You will be instrumental in building a uniquely proactive and powerful assistant by ensuring our strategic decisions are grounded in data. This is a high\-impact role for a data scientist who is excited about working in a fast\-paced, innovative environment and who is passionate about building user\-centered experiences that will redefine our relationship with technology.
**What You’ll Do**
* Partner with product, engineering, and UX to develop data\-driven product strategies
* Translate ambiguous questions into well\-defined problems, design experiments, and analyze large complex datasets for insights
* Develop and implement novel, goal\-oriented metrics
* Build and deploy statistical/ML models to understand our users, enhance product capabilities and personalize user experience
* Communicate findings \&amp; recommendations to stakeholders, including executives
* Champion data\-driven culture by feeding user engagement insights back into models
* Collaborate with the GenAI team on model quality and feature adoption
* Act as a technical leader for the local team, guiding junior members on complex analyses and upholding best practices to ensure high\-quality, impactful work \[For L6 only]
**What We're Looking For**
* A bias for action and a relentless drive to build something great. You are a resourceful and creative problem\-solver, able to find innovative solutions in a fast\-paced and dynamic environment. You are comfortable with ambiguity and thrive on a challenge.
* Strong business acumen and a strategic mindset. You have a proven ability to connect data\-driven insights to business impact and can effectively translate business needs into data science problems.
* Deep technical expertise. You have a strong foundation in statistical modeling, machine learning, and experimental design. You are proficient in SQL and have hands\-on experience with a programming language like Python or R.
* Exceptional communication and presentation skills. You can articulate complex technical concepts to both technical and non\-technical audiences, including executive leadership. You are a compelling storyteller who can use data to influence decisions.
* A collaborative and influential partner. You have a track record of successfully collaborating with and influencing cross\-functional teams, particularly engineering and product management, to drive data\-informed decisions. You are ready to work in an environment with a shared roadmap that holds multiple teams accountable for both model quality and feature adoption.
* A commitment to user trust and privacy. You understand the importance of telling users what data is being used and why, and you are committed to providing users with granular, easy\-to\-understand controls over their personal information.
**Why You'll Love Working Here**
* Impact: You'll have a direct and meaningful impact on a product designed to empower billions of people and be one of the greatest forces for good in the world.
* Growth: We're a fast\-growing team within Google, and you'll have the opportunity to evolve quickly to meet changing user needs.
* Team \&amp; Culture: You'll work with a talented and passionate team of people who are excited about what they do and have fun doing it.
*The US base salary range for this full\-time position is between $156,000 \- $229,000 \+ bonus \+ equity \+ benefits. Your recruiter can share more about the specific salary range for your targeted location during the hiring process.*
*Note: In the event your application is successful and an offer of employment is made to you, any offer of employment will be conditional on the results of a background check, performed by a third party acting on our behalf. For more information on how we handle your data, please see our Applicant and Candidate Privacy Policy*
*At Google DeepMind, we value diversity of experience, knowledge, backgrounds and perspectives and harness these qualities to create extraordinary impact. We are committed to equal employment opportunity regardless of sex, race, religion or belief, ethnic or national origin, disability, age, citizenship, marital, domestic or civil partnership status, sexual orientation, gender identity, pregnancy, or related condition (including breastfeeding) or any other basis as protected by applicable law. If you have a disability or additional need that requires accommodation, please do not hesitate to let us know.*</t>
        </is>
      </c>
    </row>
    <row r="43">
      <c r="A43" t="inlineStr">
        <is>
          <t>li-4331495307</t>
        </is>
      </c>
      <c r="B43" t="inlineStr">
        <is>
          <t>Applied Data Scientist, Unit Economics Understanding</t>
        </is>
      </c>
      <c r="C43" t="inlineStr">
        <is>
          <t>OpenAI</t>
        </is>
      </c>
      <c r="D43" t="inlineStr">
        <is>
          <t>linkedin</t>
        </is>
      </c>
      <c r="E43" t="inlineStr"/>
      <c r="F43" t="inlineStr"/>
      <c r="G43" t="inlineStr">
        <is>
          <t>San Francisco, CA</t>
        </is>
      </c>
      <c r="H43" t="inlineStr"/>
      <c r="I43" t="inlineStr">
        <is>
          <t>**About The Role**
 This role focuses on building the strategic unit economics understanding of OpenAI, guiding sustainable growth to make it the most impactful company of our generation and beyond.
 You will lead the development of foundational causal inference and data science models and frameworks to predict and quantify the drivers of customer lifetime value (LTV), translating deep data insights into strategic decisions and growth levers. The role requires both technical depth and executive\-level communication.
 This position is based in our San Francisco HQ with a hybrid work model (three days in office per week). Relocation assistance is available.
**The Vision**
* Build causal inference and predictive analytics capabilities to measure and forecast LTV across customer segments (B2C and B2B), and quantify the incremental impact of different actions or product features on customer LTV.
* Design customer “happy paths” by identifying adoption journeys that maximize lifetime value while ensuring customers gain the most from our ecosystem.
* Analyze price elasticity to guide product packaging, monetization, and pricing strategies.
**In This Role, You Will**
* Partner with cross\-functional teams (Finance, Product, Data Engineering, GTM, and other DS teams) to build causal inference and predictive models that drive business decisions.
* Develop and maintain LTV models across product lines and customer cohorts.
* Architect scalable frameworks and models that democratize economic insights for leadership and functional teams.
* Support strategic pricing and investment decisions with robust analytical and causal evidence.
* Lead cross\-functional data science initiatives, ensuring analytical rigor, clarity, and timely delivery.
**You Might Thrive In This Role If You**
* Executive communication — ability to distill complex analysis into clear, actionable recommendations for leadership.
* Technical breadth — comfort spanning ROI analysis, causal inference, statistical modeling, and ML predictive models; strong experience with Python and SQL.
* Strategic judgment — ability to connect analytical insights to business impact, delivering the “so what” that informs leadership decisions.
* Collaboration and ownership — thrive in a fast\-paced, cross\-functional environment and proactively take projects from concept to delivery.
**Qualifications**
* MS or PhD in a quantitative field (Statistics, Economics, Applied Math, Operations Research, Computer Science, etc.).
* 7\+ years of experience in applied data science, causal inference, or quantitative strategy.
* Proven record of delivering high\-impact insights to executive leadership.
* Experience building scalable analytical frameworks and models that inform business decision\-making.
**About OpenAI**
 OpenAI is an AI research and deployment company dedicated to ensuring that general\-purpose artificial intelligence benefits all of humanity. We push the boundaries of the capabilities of AI systems and seek to safely deploy them to the world through our products. AI is an extremely powerful tool that must be created with safety and human needs at its core, and to achieve our mission, we must encompass and value the many different perspectives, voices, and experiences that form the full spectrum of humanity.
 We are an equal opportunity employer, and we do not discriminate on the basis of race, religion, color, national origin, sex, sexual orientation, age, veteran status, disability, genetic information, or other applicable legally protected characteristic.
 For additional information, please see OpenAI’s Affirmative Action and Equal Employment Opportunity Policy Statement.
 Background checks for applicants will be administered in accordance with applicable law, and qualified applicants with arrest or conviction records will be considered for employment consistent with those laws, including the San Francisco Fair Chance Ordinance, the Los Angeles County Fair Chance Ordinance for Employers, and the California Fair Chance Act, for US\-based candidates. For unincorporated Los Angeles County workers: we reasonably believe that criminal history may have a direct, adverse and negative relationship with the following job duties, potentially resulting in the withdrawal of a conditional offer of employment: protect computer hardware entrusted to you from theft, loss or damage; return all computer hardware in your possession (including the data contained therein) upon termination of employment or end of assignment; and maintain the confidentiality of proprietary, confidential, and non\-public information. In addition, job duties require access to secure and protected information technology systems and related data security obligations.
 To notify OpenAI that you believe this job posting is non\-compliant, please submit a report through this form. No response will be provided to inquiries unrelated to job posting compliance.
 We are committed to providing reasonable accommodations to applicants with disabilities, and requests can be made via this link.
 OpenAI Global Applicant Privacy Policy
 At OpenAI, we believe artificial intelligence has the potential to help people solve immense global challenges, and we want the upside of AI to be widely shared. Join us in shaping the future of technology.
 Compensation Range: $230K \- $385K</t>
        </is>
      </c>
    </row>
    <row r="44">
      <c r="A44" t="inlineStr">
        <is>
          <t>li-4349721364</t>
        </is>
      </c>
      <c r="B44" t="inlineStr">
        <is>
          <t>Data Scientist AI</t>
        </is>
      </c>
      <c r="C44" t="inlineStr">
        <is>
          <t>Internet Brands</t>
        </is>
      </c>
      <c r="D44" t="inlineStr">
        <is>
          <t>linkedin</t>
        </is>
      </c>
      <c r="E44" t="inlineStr"/>
      <c r="F44" t="inlineStr"/>
      <c r="G44" t="inlineStr">
        <is>
          <t>El Segundo, CA</t>
        </is>
      </c>
      <c r="H44" t="inlineStr"/>
      <c r="I44" t="inlineStr">
        <is>
          <t>**Description**
**Data Scientist AI**
**Internet Brands and WebMD are looking for a Data Scientist to join our Los Angeles based headquarters, and work on exciting personalization initiatives! The position is 5 days a week in the office. The ideal candidate has a practical background in machine learning and deep learning, with recent hands\-on experience in natural language understanding, large language models (LLMs), generative AI applications, retrieval\-augmented generation (RAG), or agentic AI systems. You will be working on various efforts involving machine learning, product engineers and data scientists in building projects such as content recommendation, personalization, and business intelligence models to enhance our customer experience and business intelligence capabilities.**
 Responsibilities:
* Processing, cleansing, and verifying the integrity of data used for analysis
* Doing ad\-hoc analysis and presenting results in a clear manner.
* Experience with feature synthesis and selection techniques to build models
* Solid understanding of regression, classification algorithms framework
* Apply machine learning techniques at scale on massive data sets
* Working with large language models (LLMs) for applications such as content summarization, recommendation, and personalization. Apply RAG (Retrieval\-Augmented Generation) pipelines for knowledge retrieval.
* Experiment agentic AI framework to enhance personalization and automation.
* Prior work with model evaluation benchmarks and large\-scale LLM testing frameworks.
* Experience with prompt fine\-tuning techniques, LLMs optimization techniques(pre\-training, post\-training etc)
* Collaborate with cross\-functional agile teams of software engineers, domain experts, and others to build new product features for multiple business units.
* Collaborate with data scientists across a variety of businesses to prioritize and promote our machine learning efforts.
 Skills and Qualifications:
* 2\-4 years of data science experience with expertise in predictive analytics,
* B.S., M.S. or PhD in Data Science, Computer Science, Software Engineering, Information Science, Mathematics, Statistics, Electrical Engineering, Physics or related fields or equivalent experience.
* Strong understanding of transformer\-based architectures, embeddings, and tokenization techniques.
* Proficiency with LLM frameworks and APIs, such as LangChain, Hugging Face Transformers, OpenAI, Google Vertex AI (Gemini), or Anthropic Claude, coupled with expertise in evaluation and performance benchmarking
* Demonstrated ability to implement prompt engineering, fine\-tuning, and evaluation for LLMs.
* Strong understanding of personalization and recommendation algorithms, including collaborative filtering (CF), content\-based filtering, hybrid recommenders, sequence\-based or session\-based models, and graph\-based models.
* Proficiency in using query languages such as SQL.
* Web analytics experience (Google Analytics, Adobe)
* Experience with common data science toolkits, such as R, Scikit\-learn, NumPy, Tensorflow.
* This role is 5 days a week onsite at Internet Brands' headquarters in El Segundo, CA
 At Internet Brands, we carefully consider a wide range of factors when determining compensation, including your background and experience. These considerations can cause your compensation to vary. We expect the compensation for this role to range from $100\-120k and will depend on your skills, qualifications, and experience. We encourage all interested candidates to apply.
 In addition to our awesome culture, we offer a comprehensive benefits package designed to support the health and well\-being of you and your family. Our benefits include health insurance options such as medical, dental, and vision coverage, flexible spending accounts (FSA) for medical and dependent care, short\-term and long\-term disability insurance, and life and AD\&amp;D insurance. We also provide a 401(k) retirement savings plan with a company match, paid time off (PTO), paid holidays, commuter benefits as well as access to our Employee Assistance Program (EAP) and well\-being coaching services. In addition, employees can take advantage of voluntary benefits such as home, auto and pet insurance, and discounted legal and financial services. For more details, feel free to inquire during the interview process.
 Internet Brands®, headquartered in El Segundo, Calif, is a fully integrated online media and software services company focused on four high\-value vertical categories: Health, Automotive, Legal, and Home/Travel. The company's properties and platforms include the WebMD, Medscape, and Henry Schein ONE networks, which are the global leaders in their markets; Nolo, Avvo, and Martindale, which form the largest consumer information provider in the legal market; and CarsDirect, Fodor's Travel, and many others which are leaders in their key vertical markets. Internet Brands' award\-winning consumer websites lead their categories and serve more than 250 million monthly visitors, while a full range of web presence offerings has established deep, long\-term relationships with SMB and enterprise clients. The company's powerful, proprietary operating platform provides the flexibility and scalability to fuel the company's continued growth. Internet Brands is a portfolio company of KKR and Warburg Pincus.
 Internet Brands is an equal opportunity employer, and we welcome applicants from all backgrounds. We comply with all applicable laws and regulations, including the City of Los Angeles Fair Chance Initiative for Hiring Ordinance (FCIHO).
 Notice to California residents: you can find information about our privacy practices, on: https://www.internetbrands.com/work\-with\-us/cpra</t>
        </is>
      </c>
    </row>
    <row r="45">
      <c r="A45" t="inlineStr">
        <is>
          <t>li-4365579442</t>
        </is>
      </c>
      <c r="B45" t="inlineStr">
        <is>
          <t>Staff Product Data Scientist</t>
        </is>
      </c>
      <c r="C45" t="inlineStr">
        <is>
          <t>Google</t>
        </is>
      </c>
      <c r="D45" t="inlineStr">
        <is>
          <t>linkedin</t>
        </is>
      </c>
      <c r="E45" t="inlineStr"/>
      <c r="F45" t="inlineStr"/>
      <c r="G45" t="inlineStr">
        <is>
          <t>Mountain View, CA</t>
        </is>
      </c>
      <c r="H45" t="inlineStr"/>
      <c r="I45" t="inlineStr">
        <is>
          <t>**Minimum qualifications:**
* Bachelor's degree in Statistics, Mathematics, Data Science, Engineering, Physics, Economics, or a related quantitative field.
* 10 years of work experience using analytics to solve product or business problems, performing statistical analysis, and coding (e.g., Python, R, SQL), or 8 years of work experience and a Master's degree.
**Preferred qualifications:**
* Master's degree in Statistics, Mathematics, Data Science, Engineering, Physics, Economics, or a related quantitative field.
* 12 years of work experience using analytics to solve product or business problems, performing statistical analysis, and coding (e.g., Python, R, SQL).
**About The Job**
 Help serve Google's worldwide user base of more than a billion people. Data Scientists provide quantitative support, market understanding and a strategic perspective to our partners throughout the organization. As a data\-loving member of the team, you serve as an analytics expert for your partners, using numbers to help them make better decisions. You will weave stories with meaningful insight from data. You'll make critical recommendations for your fellow Googlers in Engineering and Product Management. You relish tallying up the numbers one minute and communicating your findings to a team leader the next.
 Measurement is a cornerstone of performance advertising, driving the majority of Google Ads business growth. Accurate and unbiased measurement empowers bidding engines to maximize advertiser ROI, fostering growth for both advertisers and Google. The Product Analyst team applies advanced analytics to guide Google Ads strategy in this crucial area, ensuring that our advertising solutions effectively connect businesses with customers and deliver measurable results across our ad platforms.
 The AIM Data Science team provides quantitative support, market understanding, and a strategic perspective to our partners throughout the organization in close collaboration with the Ads and Commerce Finance team.
 As the Staff Product Data Scientist for Enterprise Platforms, you will help drive the vision of how large advertisers buy Google and third\-party advertising inventory efficiently. You will be responsible for setting the team's strategic direction, managing stakeholder relationships.
 Google Ads is helping power the open internet with the best technology that connects and creates value for people, publishers, advertisers, and Google. We’re made up of multiple teams, building Google’s Advertising products including search, display, shopping, travel and video advertising, as well as analytics. Our teams create trusted experiences between people and businesses with useful ads. We help grow businesses of all sizes from small businesses, to large brands, to YouTube creators, with effective advertiser tools that deliver measurable results. We also enable Google to engage with customers at scale.
 The US base salary range for this full\-time position is $183,000\-$271,000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Perform analysis utilizing relevant tools (e.g., SQL, R, Python). Provide analytical thought leadership through proactive and strategic contributions (e.g., suggest new analyses, infrastructure, or experiments to drive improvements in the business).
* Own outcomes for projects by covering problem definition, metrics development, data extraction and manipulation, visualization, creation, implementation of analytical/statistical models, and presentation to stakeholders.
* Develop solutions, lead, and manage problems that may be ambiguous and lacking clear precedent by framing them, generating hypotheses, and making recommendations from a perspective that combines both analytical and product\-specific expertise.
* Oversee the integration of cross\-functional and cross\-organizational project/process timelines, develop process improvements and recommendations, and help define operational goals and objectives.
* Directly or indirectly oversee the contributions of others and develop colleagues’ capabilities in the area of specialization.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46">
      <c r="A46" t="inlineStr">
        <is>
          <t>li-4373220367</t>
        </is>
      </c>
      <c r="B46" t="inlineStr">
        <is>
          <t>Data Scientist</t>
        </is>
      </c>
      <c r="C46" t="inlineStr">
        <is>
          <t>Haystack</t>
        </is>
      </c>
      <c r="D46" t="inlineStr">
        <is>
          <t>linkedin</t>
        </is>
      </c>
      <c r="E46" t="inlineStr"/>
      <c r="F46" t="inlineStr"/>
      <c r="G46" t="inlineStr"/>
      <c r="H46" t="inlineStr"/>
      <c r="I46" t="inlineStr">
        <is>
          <t>**Lead Data Scientist \| Remote**
 We're working with Chestnutfi on this exciting opportunity, building the first AI\-native operating system for insurance distribution. Spearhead innovation and scale a data science team focused on transforming a $1T\+ industry with cutting\-edge AI.
 Join a team that's replacing legacy systems with a modern, flexible platform, leveraging recent advances in agentic AI to automate complex workflows and unlock new growth. If you're ready to apply your expertise in SQL, Python, and predictive modeling to make a generational impact, this is for you!
**The Role**
* Unlock data\-driven decisions by exploring and analyzing customer data to provide insights and inform product decisions.
* Build robust data foundations, owning end\-to\-end data workflows from raw ingestion to analysis\-ready pipelines.
* Develop and deploy predictive models to forecast outcomes, detect anomalies, and personalize user experiences.
* Act as a thought partner, identifying data needs and shaping requirements strategically.
* Raise the bar by introducing best practices in analytics, experimentation, and modeling, mentoring others to build a data\-fluent culture.
**What You'll Need**
* Fluency in SQL and Python, with comfort owning data from ETL to modeling to visualization.
* Experience building dashboards and reports with tools like Looker, Power BI, or Tableau, telling clear stories with data.
* Proven ability to deploy predictive models into production, understanding the full data lifecycle.
* Comfort with statistical testing, causal inference, and experiment design.
* Experience thriving in fast\-paced, ambiguous environments and collaborating cross\-functionally.
**What's On Offer**
* Competitive salary and equity, with a 10\-year exercise window for stock options.
* Remote\-first culture built on trust, autonomy, and high performance.
* Take what you need vacation policy and team offsites for bonding.
* Top\-notch health, dental, and vision insurance subsidized by Chestnutfi.
**Apply via Haystack today!**</t>
        </is>
      </c>
    </row>
    <row r="47">
      <c r="A47" t="inlineStr">
        <is>
          <t>li-4332941392</t>
        </is>
      </c>
      <c r="B47" t="inlineStr">
        <is>
          <t>Data Scientist II, Growth Marketing</t>
        </is>
      </c>
      <c r="C47" t="inlineStr">
        <is>
          <t>Pinterest</t>
        </is>
      </c>
      <c r="D47" t="inlineStr">
        <is>
          <t>linkedin</t>
        </is>
      </c>
      <c r="E47" t="inlineStr"/>
      <c r="F47" t="inlineStr"/>
      <c r="G47" t="inlineStr">
        <is>
          <t>San Francisco, CA</t>
        </is>
      </c>
      <c r="H47" t="inlineStr"/>
      <c r="I47" t="inlineStr">
        <is>
          <t>**About Pinterest**
 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
 Discover a career where you ignite innovation for millions, transform passion into growth opportunities, celebrate each other’s unique experiences and embrace the flexibility to do your best work. Creating a career you love? It’s Possible.
 We are looking for a Data Scientist to join our marketing org. As a Data Scientist you introduce greater scientific rigor into the marketing measurement and optimization processes to shape Pinterest’s revenue growth and marketing strategy. The results of your work will influence and drive strategic decisions for the company \- identify investment opportunities for growth, understand revenue growth and behavior, and define metrics to grow and sustain our advertiser base. You will collaborate on a wide array of business problems with a diverse set of cross\-functional partners across Marketing, Product, Engineering, Analytics and others.
 The role is within the Marketing team and would be supporting business marketing efforts focused on driving revenue growth for Pinterest.
**What You’ll Do**
* Lead the design, implementation, and continuous improvement of advanced marketing measurement frameworks and statistical models to quantify marketing ROI. Marketing channels could be different paid media, organic social, email, in person events, webinars, elearning platform etc.
* Build and deploy statistical and machine learning models such as propensity, forecasting, and lifetime value (LTV) models—to optimize marketing strategies and enhance audience targeting.
* Develop and refine attribution methodologies to evaluate the effectiveness of marketing initiatives across multiple channels.
* Assess the incremental impact of marketing activities using causal inference techniques and testing/experiment frameworks.
* Conduct deep, strategic analyses to address key business questions, such as how to improve marketing ROI, how to improve marketing budget allocation to optimize the business impact, measuring the impact of marketing in both mature and new markets, identifying opportunities to increase advertiser growth and revenue through marketing initiatives
* Translate complex analytical findings into clear, actionable insights and strategic recommendations for both technical and non\-technical stakeholders, including senior leadership.
* Design, maintain, and promote dashboards and automated reporting tools to empower stakeholders with self\-serve, data\-driven decision\-making capabilities. Build and optimize ETL data pipelines to automate reporting, support deep dive analysis and feature engineering for analytical models.
**What We’re Looking For**
* 3\+ years of combined post\-graduate academic and industry experience applying scientific methods to solve real\-world problems.
* Masters degree in a quantitative field such as mathematics, statistics, computer science or engineering.
* Hands\-on experiences with building marketing measurement solutions to quantify the business impact of marketing tactics and investments.
* Strong background in statistics and quantitative analysis, with experience in applying advanced statistical techniques to real\-world problems.
* Expertise in at least one scripting language (ideally Python/R). Proficiency in SQL/Hive. Ability to write efficient SQL queries.
* Strong business and product sense. Strong skills in shaping vague questions into well\-defined analyses and success metrics that drive business decisions.
* Excellent communication skills, able to lead initiatives and communicate findings to the leadership and cross\-functional teams. Explains work and thought processes clearly and concisely.
* Experience leading key technical projects.
* Strong Experimentation background.
* Statistical rigor. Experience with causal inference projects.
**In\-Office Requirement Statement**
* We let the type of work you do guide the collaboration style. That means we're not always working in an office, but we continue to gather for key moments of collaboration and connection.
* This role will need to be in the office for in\-person collaboration 1\-2 times/quarter and therefore can be situated anywhere in the country.
**Relocation Statement:**
* This position is not eligible for relocation assistance. Visit our PinFlex page to learn more about our working model.
 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expertise.
*Information regarding the culture at Pinterest and benefits available for this position can be found here.*
 US based applicants only
 $114,297—$235,319 USD
**Our Commitment To Inclusion**
 Pinterest is an equal opportunity employer and makes employment decisions on the basis of merit. We want to have the best qualified people in every job. All qualified applicants will receive consideration for employment without regard to race, color, ancestry, national origin, religion or religious creed, sex (including pregnancy, childbirth, or related medical conditions), sexual orientation, gender, gender identity, gender expression, age, marital status, status as a protected veteran, physical or mental disability, medical condition, genetic information or characteristics (or those of a family member) or any other consideration made unlawful by applicable federal, state or local laws. We also consider qualified applicants regardless of criminal histories, consistent with legal requirements. If you require a medical or religious accommodation during the job application process, please complete this form for support.</t>
        </is>
      </c>
    </row>
    <row r="48">
      <c r="A48" t="inlineStr">
        <is>
          <t>li-4329877175</t>
        </is>
      </c>
      <c r="B48" t="inlineStr">
        <is>
          <t>Senior Data Scientist, Cost Prediction</t>
        </is>
      </c>
      <c r="C48" t="inlineStr">
        <is>
          <t>Xometry</t>
        </is>
      </c>
      <c r="D48" t="inlineStr">
        <is>
          <t>linkedin</t>
        </is>
      </c>
      <c r="E48" t="inlineStr"/>
      <c r="F48" t="inlineStr"/>
      <c r="G48" t="inlineStr">
        <is>
          <t>Lexington, KY</t>
        </is>
      </c>
      <c r="H48" t="inlineStr"/>
      <c r="I48" t="inlineStr">
        <is>
          <t>Xometry (NASDAQ: XMTR) powers the industries of today and tomorrow by connecting the people with big ideas to the manufacturers who can bring them to life. Xometry’s digital marketplace gives manufacturers the critical resources they need to grow their business while also making it easy for buyers at Fortune 1000 companies to tap into global manufacturing capacity.
 Xometry is adding a Senior Data Scientist to our cost prediction team. The ideal candidate will have a passion for using machine learning tools and techniques to construct, optimize, and evaluate predictive models that predict the likelihood of different business outcomes. Additionally, this person will use their knowledge of probability and statistics to make defensible statistical inferences from data.
**Responsibilities:**
* Use data science and machine learning principles to develop effective predictive models using 3D data
* Write software to prepare, clean, and sample data for use in developing predictive models
* Use cloud resources (e.g., Amazon Web Services) to prepare and process data
* Query and extract data from databases (Snowflake and MongoDB)
* Use data analysis and visualization tools (examples include SQL, Python, Jupyter Notebooks, and Looker) to inform the business strategy
* Relentlessly iterate solutions within a fast\-paced environment where ambiguity is the norm
* Solve challenging, uncharted problems
* Work in an environment that thrives on teamwork and continuous learning opportunities
**Requirements:**
* Bachelor’s degree required; degree in applied math, computer science, natural sciences or engineering preferred
* M.S. or PhD in a related field highly desired
* 5\+ years of experience with machine learning, statistical modeling, and optimization techniques
* 2\+ years of experience in 3D deep learning; Mesh, Volumetric, and/or Point Clouds
* Fluent in Python (pandas, numpy, SciPy, and scikit\-learn preferred)
* Proficient in linear algebra and statistics
* Familiar with scientific software principals, e.g. versioning systems, reproducibility, code deployment
* Experience in the manufacturing industry is desired
* Must be a US Citizen or Green Card holder (ITAR)
 Xometry is an equal opportunity employer. All applicants will be considered for employment without attention to race, color, religion, sex, sexual orientation, gender identity, national origin, veteran, or disability status.
 For US based roles: Xometry participates in E\-Verify and after a job offer is accepted, will provide the federal government with your Form I\-9 information to confirm that you are authorized to work in the U.S.</t>
        </is>
      </c>
    </row>
    <row r="49">
      <c r="A49" t="inlineStr">
        <is>
          <t>li-4373226165</t>
        </is>
      </c>
      <c r="B49" t="inlineStr">
        <is>
          <t>Remote Data Scientist - Clinical</t>
        </is>
      </c>
      <c r="C49" t="inlineStr">
        <is>
          <t>Jobgether</t>
        </is>
      </c>
      <c r="D49" t="inlineStr">
        <is>
          <t>linkedin</t>
        </is>
      </c>
      <c r="E49" t="inlineStr"/>
      <c r="F49" t="inlineStr"/>
      <c r="G49" t="inlineStr">
        <is>
          <t>Wisconsin, United States</t>
        </is>
      </c>
      <c r="H49" t="inlineStr"/>
      <c r="I49" t="inlineStr">
        <is>
          <t>This position is posted by Jobgether on behalf of a partner company. We are currently looking for a Senior Clinical Data Analyst \- REMOTE. In this role, you will be instrumental in driving clinical research initiatives that evaluate the efficacy of our innovative programs. Your analyses will not only influence clinical protocols but will also enhance our members' overall health outcomes. With a strong focus on collaborative work with clinical leadership, you will contribute to the establishment of evidence\-based practices. You will play a crucial role in the data\-driven decision\-making process that supports our commitment to transforming healthcare.
**Accountabilities**
* Design and analyze clinical outcome studies evaluating weight loss and durability.
* Build analyses that define cohorts and follow\-up timelines to measure program impact.
* Partner with clinical leadership to evaluate treatment pathways and protocol adherence.
* Assess the impact of clinical interventions on outcomes and member experience.
* Use insights to improve clinical protocols and program design.
* Contribute to building internal evidence frameworks for measuring clinical effectiveness.
* Translate analytic findings into insights to support clinical and operational decisions.
**Requirements**
* 5\+ years of experience analyzing clinical or healthcare outcomes data.
* Experience with cohort\-based analyses and data over time.
* Proficiency in SQL and Python or R.
* Hands\-on experience with DBT and data modeling.
* Proficiency in using data reporting software (e.g. Tableau, Microsoft Power BI, Looker).
**Benefits**
* Generous paid time off policy including multiple paid company holidays.
* Medical, dental, and vision benefit options for you and your family.
* Calibrate\-funded disability and life insurance for peace of mind.
* Access to wellness programs including Headspace membership.
* Employee Assistance Program for counseling on various topics.
* Remote\-first working environment with flexibility.
* Competitive paid parental leave program.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50">
      <c r="A50" t="inlineStr">
        <is>
          <t>li-4365595028</t>
        </is>
      </c>
      <c r="B50" t="inlineStr">
        <is>
          <t>Data Scientist, Research, PhD, Early Career, 2026 Start</t>
        </is>
      </c>
      <c r="C50" t="inlineStr">
        <is>
          <t>Google</t>
        </is>
      </c>
      <c r="D50" t="inlineStr">
        <is>
          <t>linkedin</t>
        </is>
      </c>
      <c r="E50" t="inlineStr"/>
      <c r="F50" t="inlineStr"/>
      <c r="G50" t="inlineStr">
        <is>
          <t>Mountain View, CA</t>
        </is>
      </c>
      <c r="H50" t="inlineStr"/>
      <c r="I50" t="inlineStr">
        <is>
          <t>Note: By applying to this position you will have an opportunity to share your preferred working location from the following:
 **Mountain View, CA, USA; New York, NY, USA** 
 .
 **Minimum qualifications:**
* PhD in a quantitative discipline (e.g., Statistics, Biostatistics, Computer Science, Applied Mathematics, Operations Research, Economics) or another discipline involving experimental design and quantitative analysis of data.
* 1 year of experience using analytics to solve product or business problems, coding (e.g., Python, R, SQL), querying databases or statistical analysis, or a relevant PhD degree.
* Experience in one or more of the following areas: coding (e.g., C/C\+\+, Python, Java), databases and querying (e.g., SQL, MySQL, MapReduce, Hadoop), statistical analysis (e.g., R, Stata, SPSS, SAS), or hypothesis testing.
**Preferred qualifications:**
* Experience with causal inference methods (e.g., split\-testing, instrumental variables, difference\-in\-difference methods, fixed effects regression, panel data models, regression discontinuity, matching estimators).
* Experience with statistical programming languages, controlled experimentation, causal inference, and statistical data analysis (e.g., linear models, multivariate analysis, stochastic models, sampling methods, etc.).
* Applied experience with machine learning on large datasets.
* Ability to start full\-time role in 2026\.
**About The Job**
 Google is and always will be an engineering company. We hire people with a broad set of technical skills who are ready to take on some of technology's greatest challenges and make an impact on millions, if not billions, of users. At Google, data scientists not only revolutionize search, they routinely work on massive scalability, storage solutions, large\-scale applications, and entirely new platforms for developers around the world. From Google Ads to Chrome, Android to YouTube, social to local, Google engineers are changing the world one technological achievement after another.
 As a Data Scientist, you will evaluate and improve Google's products. You will collaborate with a multi\-disciplinary team of engineers and analysts on a wide range of problems. This position will bring scientific and statistical methods to the challenges of product creation, development, and improvement with an appreciation for the behaviors of the end user.
 Google Ads is helping power the open internet with the best technology that connects and creates value for people, publishers, advertisers, and Google. We’re made up of multiple teams, building Google’s Advertising products including search, display, shopping, travel and video advertising, as well as analytics. Our teams create trusted experiences between people and businesses with useful ads. We help grow businesses of all sizes from small businesses, to large brands, to YouTube creators, with effective advertiser tools that deliver measurable results. We also enable Google to engage with customers at scale.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Collaborate with stakeholders in cross\-projects and team settings to identify and clarify business or product questions to answer. Provide feedback to translate and refine business questions into tractable analysis, evaluation metrics, or mathematical models.
* Use custom data infrastructure or existing data models as appropriate, using specialized knowledge. Design and evaluate models to mathematically express and solve defined problems with limited precedent.
* Gather information, business goals, priorities, and organizational context around the questions to answer, as well as the existing and upcoming data infrastructure.
* Own the process of gathering, extracting, and compiling data across sources via relevant tools (e.g., SQL, R, Python). Format, restructure, or validate data to ensure quality and review the dataset to ensure it is ready for analysis.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51">
      <c r="A51" t="inlineStr">
        <is>
          <t>li-4373226166</t>
        </is>
      </c>
      <c r="B51" t="inlineStr">
        <is>
          <t>Remote Clinical Data Scientist</t>
        </is>
      </c>
      <c r="C51" t="inlineStr">
        <is>
          <t>Jobgether</t>
        </is>
      </c>
      <c r="D51" t="inlineStr">
        <is>
          <t>linkedin</t>
        </is>
      </c>
      <c r="E51" t="inlineStr"/>
      <c r="F51" t="inlineStr"/>
      <c r="G51" t="inlineStr">
        <is>
          <t>Idaho, United States</t>
        </is>
      </c>
      <c r="H51" t="inlineStr"/>
      <c r="I51" t="inlineStr">
        <is>
          <t>This position is posted by Jobgether on behalf of a partner company. We are currently looking for a Senior Clinical Data Analyst \- REMOTE. In this role, you will be instrumental in driving clinical research initiatives that evaluate the efficacy of our innovative programs. Your analyses will not only influence clinical protocols but will also enhance our members' overall health outcomes. With a strong focus on collaborative work with clinical leadership, you will contribute to the establishment of evidence\-based practices. You will play a crucial role in the data\-driven decision\-making process that supports our commitment to transforming healthcare.
**Accountabilities**
* Design and analyze clinical outcome studies evaluating weight loss and durability.
* Build analyses that define cohorts and follow\-up timelines to measure program impact.
* Partner with clinical leadership to evaluate treatment pathways and protocol adherence.
* Assess the impact of clinical interventions on outcomes and member experience.
* Use insights to improve clinical protocols and program design.
* Contribute to building internal evidence frameworks for measuring clinical effectiveness.
* Translate analytic findings into insights to support clinical and operational decisions.
**Requirements**
* 5\+ years of experience analyzing clinical or healthcare outcomes data.
* Experience with cohort\-based analyses and data over time.
* Proficiency in SQL and Python or R.
* Hands\-on experience with DBT and data modeling.
* Proficiency in using data reporting software (e.g. Tableau, Microsoft Power BI, Looker).
**Benefits**
* Generous paid time off policy including multiple paid company holidays.
* Medical, dental, and vision benefit options for you and your family.
* Calibrate\-funded disability and life insurance for peace of mind.
* Access to wellness programs including Headspace membership.
* Employee Assistance Program for counseling on various topics.
* Remote\-first working environment with flexibility.
* Competitive paid parental leave program.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52">
      <c r="A52" t="inlineStr">
        <is>
          <t>li-4355413295</t>
        </is>
      </c>
      <c r="B52" t="inlineStr">
        <is>
          <t>Data Scientist</t>
        </is>
      </c>
      <c r="C52" t="inlineStr">
        <is>
          <t>Do it Best</t>
        </is>
      </c>
      <c r="D52" t="inlineStr">
        <is>
          <t>linkedin</t>
        </is>
      </c>
      <c r="E52" t="inlineStr"/>
      <c r="F52" t="inlineStr"/>
      <c r="G52" t="inlineStr">
        <is>
          <t>Dallas, TX</t>
        </is>
      </c>
      <c r="H52" t="inlineStr"/>
      <c r="I52" t="inlineStr">
        <is>
          <t>Location: Fort Wayne, IN
 Level: Entry to Mid\-Level
 Division / Department: Information Technology / Data \&amp; Analytics
 Reports to: Divisional Manager, Enterprise Data
 Travel: Minimal
**About the Role:**
 At Do it Best, we combine a cooperative mission with modern technology to serve thousands of member\-owned locations. We’re building out our data science practice and looking for people who want to work at the intersection of advanced analytics, innovation, and business strategy. If you're excited by meaningful problems and motivated by measurable impact, you'll find this role both rewarding and energizing.
 As a data scientist, you’ll develop models, run experiments, and uncover patterns that guide strategic and operational decisions. You’ll work closely with analysts, engineers, and business stakeholders to frame problems, test hypotheses, and deliver solutions that create measurable value. In addition to contributing hands\-on, you’ll help elevate the team’s technical capabilities by sharing best practices and shaping how we apply data science across the organization.
**Key Responsibilities:**
* Collaborate with analytics team members and cross\-functional partners to design and deliver impactful data\-driven solutions.
* Apply statistical and machine learning techniques to solve real\-world business problems, forecast outcomes, and guide decision\-making.
* Conduct exploratory research to identify emerging opportunities where data science can create a competitive advantage.
* Design, prototype, and deploy AI/ML models to automate processes, improve performance, and drive measurable business impact.
* Translate complex technical findings into accessible insights through visualizations, presentations, and storytelling.
* Write internal research papers and white papers to document methods, share discoveries, and support data\-informed strategic planning.
* Stay current with industry trends, tools, and academic research to continually improve our methodologies and capabilities.
**Education and Experience:**
* Bachelor’s degree in a quantitative field such as Data Science, Computer Science, Statistics, Applied Mathematics, Operations Research, or Engineering; or equivalent combination of education and 4\+ years of relevant, hands\-on experience in data science or advanced analytics roles.
* Strong proficiency in Python for data analysis, modeling, and machine learning.
* Solid foundation in applied statistics, including hypothesis testing, regression, A/B testing, and time series analysis.
* Demonstrated experience designing and executing machine learning workflows, including feature engineering, model development, validation, deployment, and performance monitoring.
* Hands\-on experience with experimentation frameworks, including causal inference methods and controlled testing, to support data\-driven decision\-making.
* Proven ability to gather business requirements and translate them into well\-defined analytical or predictive modeling projects.
* Familiarity with other relevant languages and tools used in data science such as SQL, R, Scala/Spark, or Julia is a plus.
**Skills and Abilities:**
* Strong problem\-solving and critical thinking capabilities.
* Clear and concise communication skills, both verbal and written.
* A self\-starter who thrives in collaborative environments.
* Familiarity with the software development lifecycle and Agile methodologies.
**What We Offer:**
* Competitive insurance coverage (medical, dental, vision)
* Paid time off and paid holidays
* Profit sharing and bonus opportunities
* Retirement savings account and planning support
* Tuition and education reimbursement
* Health and wellness reimbursements
* Growth and career development opportunities
**About Do it Best:**
 Based in Fort Wayne, IN, Do it Best is the only US\-based, member\-owned comprehensive and fully integrated hardware, lumber, and building materials buying cooperative in the home improvement industry. With annual sales of nearly $6 billion, Do it Best serves thousands of member\-owned locations across the United States and in more than 60 other countries, and is now part of the Do it Best Group, the world’s largest independent home improvement co\-op. For more information, visit doitbestonline.com and follow us on Facebook, Instagram, and LinkedIn.</t>
        </is>
      </c>
    </row>
    <row r="53">
      <c r="A53" t="inlineStr">
        <is>
          <t>li-4305064919</t>
        </is>
      </c>
      <c r="B53" t="inlineStr">
        <is>
          <t>Lead Applied Scientist</t>
        </is>
      </c>
      <c r="C53" t="inlineStr">
        <is>
          <t>AirOps</t>
        </is>
      </c>
      <c r="D53" t="inlineStr">
        <is>
          <t>linkedin</t>
        </is>
      </c>
      <c r="E53" t="inlineStr"/>
      <c r="F53" t="inlineStr"/>
      <c r="G53" t="inlineStr"/>
      <c r="H53" t="inlineStr"/>
      <c r="I53" t="inlineStr">
        <is>
          <t>**About AirOps**
 AirOps is the first end\-to\-end content engineering platform built for the AI era. In a world where discovery is shifting from traditional search to AI\-driven platforms, we help brands get found—and stay found. We are currently in a phase of hyper\-growth, having 5x’d our revenue in the last year by helping marketing teams at Ramp, Chime, Carta, and Rippling turn content quality into a durable competitive advantage.
 Our platform equips marketers to navigate the new discovery landscape, prioritize high\-impact opportunities, and create accurate, on\-brand content that earns citations from AI and trust from humans. Backed by Greylock, Unusual Ventures, Wing VC, and Founder Collective, we are building the intelligent systems that will empower the next generation of marketing leaders. AirOps is headquartered in San Francisco, New York and Montevideo.
**About The Role**
 As Lead Applied Scientist at AirOps, you'll shape how brands win in AI\-driven search environments through advanced machine learning and data science. This role combines technical depth with strategic thinking: you'll build production\-grade ML systems that directly impact how companies create and optimize content for AI agents and improve their search visibility. You'll work at the intersection of NLP, search algorithms, and large language models to create solutions that help content teams drive measurable business results.
 This is a hands\-on leadership position where you'll both architect systems and write code. You'll partner with product, engineering, and customer success teams to identify opportunities where ML can transform our platform's capabilities. Your work will directly influence how thousands of brands adapt to the rapidly changing search landscape where AI shapes discovery and engagement.
**Key Responsibilities**
**Technical Leadership:** 
 Design and deploy end\-to\-end machine learning systems including NLP models, search and recommendation algorithms, and LLM\-based applications.
**Search and Content Intelligence:** 
 Build ML systems that analyze AI search behavior, identify content opportunities, and predict performance across different AI\-driven platforms. Create algorithms that help brands understand and optimize for how AI agents discover and rank content.
**Cross\-functional Partnership:** 
 Collaborate with product managers to translate business requirements into technical solutions.
**Qualifications**
* 5\+ years building production machine learning systems with demonstrated business impact; strong background in NLP and search/recommendation systems required
* Deep expertise across ML approaches: classical models (XGBoost, random forests), modern deep learning architectures (transformers, graph neural networks), and reinforcement learning systems
* Proven ability to take models from research to production, including optimization for latency and cost at scale
* Experience with ML infrastructure and tooling: model serving frameworks, experiment tracking, feature stores, and monitoring systems
* Track record of technical leadership: influencing architecture decisions, improving team practices, and driving cross\-functional projects without direct authority
* Excellent communication skills with ability to explain complex technical concepts to non\-technical stakeholders and align ML initiatives with business outcomes
**Our Guiding Principles**
* Extreme Ownership
* Quality
* Curiosity and Play
* Make Our Customers Heroes
* Respectful Candor
**Benefits**
* Equity in a fast\-growing startup
* Competitive benefits package tailored to your location
* Flexible time off policy
* Parental Leave
* A fun\-loving and (just a bit) nerdy team that loves to move fast!</t>
        </is>
      </c>
    </row>
    <row r="54">
      <c r="A54" t="inlineStr">
        <is>
          <t>li-4372990684</t>
        </is>
      </c>
      <c r="B54" t="inlineStr">
        <is>
          <t>Data Scientist - Assortment Optimization</t>
        </is>
      </c>
      <c r="C54" t="inlineStr">
        <is>
          <t>CVS Health</t>
        </is>
      </c>
      <c r="D54" t="inlineStr">
        <is>
          <t>linkedin</t>
        </is>
      </c>
      <c r="E54" t="inlineStr"/>
      <c r="F54" t="inlineStr"/>
      <c r="G54" t="inlineStr">
        <is>
          <t>Wellesley Hills, MA</t>
        </is>
      </c>
      <c r="H54" t="inlineStr"/>
      <c r="I54"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**Position Summary**
 The Retail Analytics team is helping lead the effort to drive improved consumer experience by partnering with key business areas across CVS Health to deliver impactful analytic solutions and insights. As a member of the Analytics \&amp; Behavior Change (A\&amp;BC) Merchandising Analytics team, you will be at the forefront of delivering high visibility projects for key strategic priorities. Specifically, you will have the opportunity to drive revenue and customer satisfaction in CVS Health’s Front Store business by using data science to support a product assortment that better fits the needs of our customers.
**Role**
 In this role, you will have the opportunity to solve complex problems, build predictive models and optimize assortment decisions, working cross\-functionally with a range of technical and non\-technical stakeholders. We are a fast\-paced team focused on building innovative analytics solutions using cloud capabilities. We are looking for individuals who have a keen sense of ownership, accountability, and a desire to deliver high quality work. In this role, you will have the opportunity to:
* Solve complex problems using operations research, dynamic programming, and reinforcement learning, build and improve optimization models to optimize assortment decisions,
* Develop and leverage in\-depth knowledge of Retail Merchandising business processes, translate key drivers of business value to analytics opportunities, and simulate impact of business decisions to improve customer experience,
* Guide the technical approach, leverage large datasets, and build scalable and deployment ready models that work well with CVS Retail’s diverse product portfolio, develop robust methodologies to assess model performance,
* Stay up to date on the state\-of\-the\-art modeling methodologies and latest research,
* Utilize the latest developments in the generative models (LLMs and other AI models) to improve and enrich the performance of current models,
* Work cross functionally with a range of technical and non\-technical stakeholders including business partners, engineers, and other data and analytics teams. Share progress, findings, recommendations, and their business implications. Present meaningful and insights\-driven materials on analytical results with recommendations and go forward planning to guide a variety of audiences including internal stakeholders and senior leadership,
**Required Qualifications**
* Bachelor’s degree in a quantitative field such as Operations Research/Industrial Engineering, Applied Mathematics, Computer Science, Engineering, or a related field,
* Strong Python and SQL skills, proficiency in working with large datasets,
* Experience solving pricing, promotions, assortment, or supply chain problems, familiarity with mathematical optimization models using open\-source or commercial optimization solvers (such as Pyomo, Gurobi, Pulp, ILOG CPLEX),
* Experience working with a data engineering/MLOps team to deploy data science models, familiarity with version control (GitLab or GitHub), and ML platforms (AWS SageMaker, Databricks, GCP Vertex AI, etc.),
* Excellent communication and presentation skills and attention to detail. Worked in an agile environment, has the flexibility to adapt to changing business needs,
* Ability to communicate technical concepts to non\-technical audiences, including experience creating communication materials (e.g., white paper, slide decks, etc.).
**Preferred Qualifications**
* Master’s degree in a quantitative field,
* 2\+ years of work experience in retail, consulting, or a related field,
* Experience developing price optimization models, in depth understanding of merchandising (price, promotion, assortment) concepts and metrics in retail,
* Experience with managing large scale projects and working with multiple business stakeholders.
**Anticipated Weekly Hours**
 40
**Time Type**
 Full time
**Pay Range**
**The Typical Pay Range For This Role Is**
 $79,310\.00 \- $173,040\.00
 This pay range represents the base hourly rate or base annual full\-time salary for all positions in the job grade within which this position falls. The actual base salary offer will depend on a variety of factors including experience, education, geography and other relevant factors. This position is eligible for a CVS Health bonus, commission or short\-term incentive program in addition to the base pay range listed above.
 Our people fuel our future. Our teams reflect the customers, patients, members and communities we serve and we are committed to fostering a workplace where every colleague feels valued and that they belong.
**Great Benefits For Great People**
 We take pride in our comprehensive and competitive mix of pay and benefits – investing in the physical, emotional and financial wellness of our colleagues and their families to help them be the healthiest they can be. In addition to our competitive wages, our great benefits include:
* Affordable medical plan options, a 401(k) plan (including matching company contributions), and an employee stock purchase plan.
* No\-cost programs for all colleagues including wellness screenings, tobacco cessation and weight management programs, confidential counseling and financial coaching.
* Benefit solutions that address the different needs and preferences of our colleagues including paid time off, flexible work schedules, family leave, dependent care resources, colleague assistance programs, tuition assistance, retiree medical access and many other benefits depending on eligibility.
 For more information, visit https://jobs.cvshealth.com/us/en/benefits
 We anticipate the application window for this opening will close on: 03/29/2026
 Qualified applicants with arrest or conviction records will be considered for employment in accordance with all federal, state and local laws.</t>
        </is>
      </c>
    </row>
    <row r="55">
      <c r="A55" t="inlineStr">
        <is>
          <t>li-4337630254</t>
        </is>
      </c>
      <c r="B55" t="inlineStr">
        <is>
          <t>Staff Data Scientist - Loss Forecasting &amp; Portfolio Analytics</t>
        </is>
      </c>
      <c r="C55" t="inlineStr">
        <is>
          <t>SoFi</t>
        </is>
      </c>
      <c r="D55" t="inlineStr">
        <is>
          <t>linkedin</t>
        </is>
      </c>
      <c r="E55" t="inlineStr"/>
      <c r="F55" t="inlineStr"/>
      <c r="G55" t="inlineStr">
        <is>
          <t>Frisco, TX</t>
        </is>
      </c>
      <c r="H55" t="inlineStr"/>
      <c r="I55"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We are looking for a Credit Risk Manager/Staff Data Scientist to join our Loss Forecasting and Risk Analytics Team within Sofi’s Credit team. This team member will work in the team that is responsible for forecasting losses across various SoFi lending products, including Personal Loans, Student Loan Refinances and Private Student Loans. The Staff Data Scientist will contribute to the performance analysis of SoFi lending products using empirical measurements, develop quantitative and machine learning models to forecast losses and provide insights into the drivers for losses. She/He will also collaborate with the Business Unit, Finance, Accounting, Credit, and Independent Risk Management groups. This position requires knowledge of data analytics and modeling using Python and machine learning/analytical packages, as well as strong problem\-solving and communication skills. The ideal candidate will have expertise in analyzing large datasets and developing models using Python, SQL, and other statistical analysis packages to get to the truth behind the data.
 By joining SoFi, you'll become part of a forward\-thinking company that is transforming financial services for the better. We offer the excitement of a rapidly growing startup with the stability of an industry\-leading leadership team.
**What you’ll do:**
* Develop loss projections for SoFi’s lending products, including Personal Loans, Student Loan Refinances, and Private Student Loans.
* Draw strategic insights from data using statistical analysis tools to inform decisions and support SoFi’s overarching strategic goals relative to loss prevention and profit optimization. Bring new ways of thinking, data sources, technologies, and capabilities to SoFi.
* Develop stress testing framework using macroeconomic data to provide insights into the business and enable the company to plan proactively for economic downturns.
* Improve forecasting accuracy and productivity. Ensure good documentation and control of forecasting methodologies and procedures.
* Explore external credit data to identify trends in the market and industry.
* Work with Business Units, Operations, Product, Capital Markets, Finance, Accounting, and Risk partners to ensure correct loss expectations and trends of losses are communicated effectively and executed appropriately.
* Be inspired by dynamic leaders and our rapidly growing business. We are recruiting the best, brightest, and most passionately quantitative team members.
**What you’ll need:**
* 7\+ years of related experience with a Master’s or PhD degree
* Proven advanced analytical and technical skills in conducting sophisticated data analysis and building loss forecasting models and projections
* Business acumen and work experience in the consumer lending business (loans or credit cards)
* Proficient in Python, SQL \&amp; Tableau
* Strong communication and presentation skills. Demonstrated ability to synthesize and communicate analysis to business partners and senior management
* High motivation to drive results, eager to learn, and able to work collaboratively in a fluid environment
* Prior experience in credit loss forecasting is a must
**Nice to have:**
* Experience using credit bureau sandbox data
* Experience in developing credit risk strategies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56">
      <c r="A56" t="inlineStr">
        <is>
          <t>li-4372996566</t>
        </is>
      </c>
      <c r="B56" t="inlineStr">
        <is>
          <t>Data Scientist III</t>
        </is>
      </c>
      <c r="C56" t="inlineStr">
        <is>
          <t>Keystone Recruitment</t>
        </is>
      </c>
      <c r="D56" t="inlineStr">
        <is>
          <t>linkedin</t>
        </is>
      </c>
      <c r="E56" t="inlineStr"/>
      <c r="F56" t="inlineStr"/>
      <c r="G56" t="inlineStr">
        <is>
          <t>Menlo Park, CA</t>
        </is>
      </c>
      <c r="H56" t="inlineStr"/>
      <c r="I56" t="inlineStr">
        <is>
          <t>* **Role:** 
 Data Scientist III
* **Location:** 
 100% Remote (Global)
* **Compensation:** 
 USD 90–110 per hour
**Overview** 
 We are seeking an experienced
 **Data Scientist III** 
 to support high\-impact strategic initiatives across a large\-scale product and platform ecosystem. This role is ideal for a data professional with strong analytical depth, experience working with complex datasets, and a proven ability to translate data into actionable business insights.
 The successful candidate will partner closely with Product and Engineering teams to drive product strategy, experimentation, and ecosystem health measurement.
**Key Responsibilities** 
 Data Analysis \&amp; Modeling
* Analyze large, complex datasets to identify trends, patterns, and actionable insights
* Build statistical and predictive models to support product and ecosystem decision\-making
* Deliver high\-quality ad hoc analysis in response to urgent business needs
**Metrics \&amp; Measurement** 
* Design, implement, and maintain key metrics to measure product performance, engagement, and ecosystem health
* Develop frameworks for long\-term performance tracking and reporting
**Experimentation** 
* Design and execute structured experiments to evaluate product features, partnerships, and strategic initiatives
* Apply statistical rigor and causal inference principles to interpret results
**Reporting \&amp; Visualization** 
* Build dashboards and reports using tools such as Tableau, Unidash, or Metrics360
* Communicate findings clearly to both technical and non\-technical stakeholders
**Cross\-Functional Collaboration** 
* Partner with Product and Engineering teams to define analytical requirements
* Present insights that directly inform product strategy and roadmap decisions
**Minimum Qualifications** 
* Bachelor’s or Master’s degree in Data Science, Statistics, Computer Science, Economics, or related quantitative field
* 5\+ years of experience in data science, analytics, or similar roles
* Advanced proficiency in SQL
* Proficiency in Python or R
* Experience with data visualization tools (Tableau, Unidash, Metrics360, or similar)
* Strong communication skills and ability to present complex insights clearly
* Ability to work independently in a fast\-paced environment
**Preferred Qualifications** 
* Experience working with large\-scale data infrastructure in technology or platform ecosystems
* Familiarity with big data tools (e.g., Presto, Hive, Scuba or similar technologies)
* Experience in experimentation design and causal inference methodologies
* Prior experience in contractor or consulting environments
* Previous experience at a major technology company
**Required Core Competencies** 
* Advanced Data Analysis \&amp; Modeling
* Product Analytics \&amp; Metrics Development
* Experimentation \&amp; Statistical Testing
* Data Visualization \&amp; Storytelling
* Cross\-Functional Collaboration
**Work Environment** 
* Onsite in Menlo Park, CA
* Fast\-paced, product\-driven environment
* Cross\-functional collaboration across product and engineering teams
**Equal Opportunity Statement** 
 We are an equal opportunity employer and consider all qualified applicants without regard to legally protected characteristics. Qualified applicants with arrest and conviction records will be considered in accordance with applicable laws. Reasonable accommodations are available upon request.
**APPLY NOW!**</t>
        </is>
      </c>
    </row>
    <row r="57">
      <c r="A57" t="inlineStr">
        <is>
          <t>li-4343467126</t>
        </is>
      </c>
      <c r="B57" t="inlineStr">
        <is>
          <t>Risk Strategy Data Scientist (Credit / Fraud)</t>
        </is>
      </c>
      <c r="C57" t="inlineStr">
        <is>
          <t>BILL</t>
        </is>
      </c>
      <c r="D57" t="inlineStr">
        <is>
          <t>linkedin</t>
        </is>
      </c>
      <c r="E57" t="inlineStr"/>
      <c r="F57" t="inlineStr"/>
      <c r="G57" t="inlineStr">
        <is>
          <t>Draper, UT</t>
        </is>
      </c>
      <c r="H57" t="inlineStr"/>
      <c r="I57" t="inlineStr">
        <is>
          <t>**Innovate with purpose**
 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
 Working here means you become part of a vision\-driven team that’s ready to tackle challenges and build cutting\-edge solutions. We value purpose, drive, and curiosity—and we thrive in a fast\-paced, ever\-changing environment. Whether in one of our offices in San Jose, CA, Draper, UT, or working remotely, BILLders collaborate to deliver real impact for businesses that need more time in their busy weeks.
 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 Let’s give businesses more time for what matters.
 What You'll Do
* Lead the way: Drive the development, maintenance, and refinement of risk strategy frameworks and complex rules to achieve ambitious business goals.
* Be a data detective: Use advanced analytics and data science techniques to solve complex business problems. This includes building sophisticated SQL/Python scripts, interpreting results, and influencing decision\-making with your findings.
* Collaborate and create: Partner with cross\-functional teams, including product, engineering, and operations, to identify new opportunities, establish business requirements, and guide the execution of strategies across the customer lifecycle.
* Build powerful tools: Develop flexible performance dashboards and monitoring tools using platforms like Tableau to provide clear, actionable insights to a variety of audiences.
* Stay ahead of the curve: Identify and execute new opportunities to optimize processes and proactively detect and respond to evolving risk trends.
* Mentor and grow: Help mentor and support junior team members to help them achieve their goals.
 What We're Looking For
* Proven experience: Minimum of 3\+ years of experience in fraud or credit risk strategy within the fintech, e\-commerce, or online payments industry.
* Technical expertise: Proficiency in SQL and Python, with a strong ability to work with large, complex datasets and leverage data science libraries.
* Analytical mindset: Demonstrated ability to use statistics and data science to solve complex, ambiguous problems and drive data\-driven decisions.
* Exceptional communication: Ability to clearly and concisely communicate complex results to both technical experts and business leaders.
* Hands\-on experience: Direct experience with developing and deploying data\-driven and automated monitoring rules, and the ability to find and recommend enhancements for existing processes.
**Bonus Points**
* Experience in experimental design and data/control governance.
* Knowledge of fraud typologies, such as onboarding fraud/abuse.
* Experience with customer management or collections strategies for credit products like revolving credit cards or merchant cash advances.
**Visa Sponsorship:** 
 Please note that this position is not eligible for visa sponsorship. Applicants must have authorization to work in the United States without requiring visa sponsorship now or in the future.
 The estimated salary range for this role is noted below for our San Jose based role. Our ranges for each role and job level are based on a variety of factors including candidate experience, expertise, and geographic location and may vary from the amounts listed above. The role is also eligible for a competitive benefits package that includes: medical, dental, vision, life and disability insurance, 401(k) retirement plan, flexible spending \&amp; health savings account, paid holidays, paid time off, and other company benefits.
 San Jose pay range
 $110,200—$132,100 USD
 The estimated base salary range for this role is noted below for our office location in Draper, UT. Additionally, this role is eligible to participate in BILL’s bonus and equity plan. Our ranges for each role and job level are based on a variety of factors including candidate experience, expertise, and geographic location and may vary from the amounts listed above. The role is also eligible for a competitive benefits package that includes: medical, dental, vision, life and disability insurance, 401(k) retirement plan, flexible spending \&amp; health savings account, paid holidays, paid time off, and other company benefits.
 Draper UT pay range
 $93,700—$112,300 USD
**What’s in it for you?**
 Redefining how businesses automate their work is a fast\-paced, exciting, and fun environment. But we also have benefits and perks to ensure the magic isn’t only experienced by our customers, but by our employees as well.
 Here is a preview of some of the amazing benefits here at BILL:
* 100% paid employee health, dental, and vision plans (choose HMO, PPO, or HDHP)
* HSA \&amp; FSA accounts
* Life Insurance, Long \&amp; Short\-term disability coverage
* Employee Assistance Program (EAP)
* 11\+ Observed holidays and wellness days and flexible time off
* Employee Stock Purchase Program with employee discounts
* Wellness \&amp; Fitness initiatives
* Employee recognition and referral programs
* And much more
 Don’t believe us? Check out our culture, benefits, and teams on our career site, LinkedIn Life, or YouTube pages.
 BILL is an Equal Opportunity Employer. We believe our best ideas come from the unique stories, perspectives, and experiences of our team members. We welcome people of all backgrounds, abilities, and identities to bring their authentic selves and contribute to our culture.
 We are committed to a transparent, inclusive hiring process that reflects our values. If you need accommodations at any stage, please contact interviewaccommodations@hq.bill.com. To ensure a fair evaluation, our Candidate Integrity Policy prohibits the use of unapproved external assistance, including generative AI, during live interviews or assessments. Doing so will result in a review and potential disqualification.
 Our Applicant Privacy Notice describes how BILL treats the personal information it receives from applicants.</t>
        </is>
      </c>
    </row>
    <row r="58">
      <c r="A58" t="inlineStr">
        <is>
          <t>li-4302590612</t>
        </is>
      </c>
      <c r="B58" t="inlineStr">
        <is>
          <t>Senior Data Scientist, Generative AI</t>
        </is>
      </c>
      <c r="C58" t="inlineStr">
        <is>
          <t>Johnson &amp; Johnson</t>
        </is>
      </c>
      <c r="D58" t="inlineStr">
        <is>
          <t>linkedin</t>
        </is>
      </c>
      <c r="E58" t="inlineStr"/>
      <c r="F58" t="inlineStr"/>
      <c r="G58" t="inlineStr">
        <is>
          <t>New Brunswick, NJ</t>
        </is>
      </c>
      <c r="H58" t="inlineStr"/>
      <c r="I58" t="inlineStr">
        <is>
          <t>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https://www.jnj.com
**Job Function**
 Data Analytics \&amp; Computational Sciences
**Job Sub Function**
 Data Science
**Job Category**
 Scientific/Technology
**All Job Posting Locations:**
 New Brunswick, New Jersey, United States of America
**Job Description**
**We are searching for the best talent for Senior Data Scientist, Generative AI to be in New Brunswick, NJ.**
**About Innovative Medicine**
 Our expertise in Innovative Medicine is informed and inspired by patients, whose insights fuel our science\-based advancements. Visionaries like you work on teams that save lives by developing the medicines of tomorrow.
 Join us in developing treatments, finding cures, and pioneering the path from lab to life while championing patients every step of the way.
 Learn more at https://www.jnj.com/innovative\-medicine
**Purpose**
 As a Data Scientist in Global Finance Data Science Team: You will be responsible for developing data science products, including the application of advanced Generative AI models, delivering practical, high\-impact solutions within Global Finance. You will work alongside a global team of Data Scientists, Data Engineers, Finance Analysts and Machine Learning Engineers to advance data science and AI roadmap for J\&amp;J’s Global Finance function. You will help deliver value\-added insights and analytics to our finance and business leaders, reduce manual workload through automation, and enhance user\-experience.
 You will help to execute the Data Science/ AI projects for Global Finance function. You will need to have a breadth of skills and knowledge to handle the challenges of translating key business needs into meaningful data science questions and investigating those questions using relevant data analytics and machine learning/ AI techniques.
 You will be responsible for data science projects across their lifecycle: Prioritization of use\-cases, design/ proof\-of\-concept (PoC), development, deployment, and adoption by end\-users. The capabilities developed will include predictive financial forecasting, descriptive analytics and data visualization, decision support, cognitive/ Gen AI technologies, and data science technology platform. You will need to connect with different stakeholders to ensure the solutions meet the business and end\-user needs and are widely adopted. This includes partnering with Finance Directors, CFOs and Group Finance, Commercial leaders, Process Owners, Technology, Finance Systems \&amp; Data, Reporting and Compliance teams. You will need to ensure that PoC’s are put into production with correct amount of automation and systems integration. This role will involve understanding the needs of business stakeholders and advocating the merits of Data Science/ Data\-driven Analytics to provide viable solutions.
**You Will Be Responsible For**
* Develop data science solutions: Business problem understanding, data processing, algorithms to discover trends \&amp; patterns, data visualization, generation of key insights and communication to senior stakeholders.
* Employ Generative AI techniques and approaches to upgrade Machine Learning models into hybrid models, taking advantage of LLM’s capacity to summarize, whilst seeking to reduce their capacity to hallucinate.
* Ensure that all GEN AI output adheres to rules and guidelines defined by legal, Compliance and IT.
* Write production\-level and scalable code in Python or R programming languages
* Implement machine learning and statistical models for Predictive, Time series forecasting, Decision Support, Gen AI, NLP etc.
* Execute Data Science projects from an end\-to\-end perspective: From data acquisition, data pre\-processing, modelling, visualization and full integration with end\-user systems and processes.
* Develop data processing and modelling pipelines for large datasets from finance and ERP systems such as SAP HANA.
* Present results, key insights and explain complex analysis in a simple manner to senior leaders across different functions to help drive data\-driven decision making and adoption. Leverage data visualization/ dashboarding tools for interactive presentations.
* Deploy analytical models into production. Take accountability for requirements, procedures and standards such as version control and documentation.
* Automation of data pipelines and orchestration of workflows.
* Leverage and advance robust data architecture and cloud\-based technology stack to support production\-level work.
* Partner with cross\-functional teams: Technology, Finance Systems and Data, Group Finance and CFOs, Compliance, Data Engineering, and other Data Scientists to ensure project success.
* Keep up to date to apply latest technology trends in the areas of data science and artificial intelligence, including Generative AI.
* Flexibility to work in a global team (spanning across multiple time zones), with a culture of continuous innovation, teamwork, collaboration, and inclusion among team members.
* Work on projects of varying length and complexity in an agile manner with work prioritization and deadlines.
* Advocate and facilitate the use of data\-driven insights and data science methods across J\&amp;Js Global Finance organization.
* Understanding J\&amp;Js business as well as Global Finance function to better apply Data Science solutions.
**Qualifications**
**Qualifications / Requirements:**
* Minimum of 5 years of relevant experience in an industry setting is required
* Minimum of a Bachelors degree is required, preferably in Computer Science, Engineering, Data Science, Business Analytics, Science, Finance or any quantitative or STEM discipline, Engineering or any other quantitative or STEM discipline. Master’s degree in a relevant field is preferred
* Ability to work and collaborate with a global team, innovate, and drive for common goals and achievements.
* Experience of executing Data Science projects from initiation through PoC to Production
* Knowledge of Big Data, Data Pipelining, Machine Learning, intermediate level of Software Development and Automation skills.
* Must have a strong Commercial focus, a solid background in Data Science and experience with Machine Learning/ Statistics.
* Data science experience in a Finance or Commercial setting is strongly preferred.
* Ability to connect and partner with various stakeholders (cross\-functional) including senior executives to identify their needs and drive adoption of the solutions.
* Experience in managing compliance adherence, risk management and stakeholder commitments in large organizations
**Other**
* The position will be located in New Brunswick, NJ and may require up to 10% travel
 Johnson \&amp; Johnson is an Equal Opportunity Employer. All qualified applicants will receive consideration for employment without regard to race, color, religion, sex, sexual orientation, gender identity, age, national origin, disability, protected veteran status or other characteristics protected by federal, state or local law. We actively seek qualified candidates who are protected veterans and individuals with disabilities as defined under VEVRAA and Section 503 of the Rehabilitation Act.
*Johnson \&amp; Johnson is committed to providing an interview process that is inclusive of our applicants’ needs. If you are an individual with a disability and would like to request an accommodation, external applicants please contact us via https://www.jnj.com/contact\-us/careers . Internal employees contact AskGS to be directed to your accommodation resource.*
 \#JNJDataScience
**Required Skills**
 Data Pipelines, Machine Learning Algorithms, Statistics
**Preferred Skills**
 Erp Software, Finance, Global Finance, SAP Accounting
**The anticipated base pay range for this position is :**
 The anticipated base pay range for this position is $147,000 to $169,050 USD
**Additional Description For Pay Transparency**
 Subject to the terms of their respective plans, employees and/or eligible dependents are eligible to participate in the following Company sponsored employee benefit programs: medical, dental, vision, life insurance, short\- and long\-term disability, business accident insurance, and group legal insurance. Subject to the terms of their respective plans, employees are eligible to participate in the Company’s consolidated retirement plan (pension) and savings plan (401(k)). This position is eligible to participate in the Company’s long\-term incentive program. Subject to the terms of their respective policies and date of hire, Employees are eligible for the following time off benefits: Vacation –120 hours per calendar year Sick time \- 40 hours per calendar year; for employees who reside in the State of Washington –56 hours per calendar year Holiday pay, including Floating Holidays –13 days per calendar year Work, Personal and Family Time \- up to 40 hours per calendar year Parental Leave – 480 hours within one year of the birth/adoption/foster care of a child Condolence Leave – 30 days for an immediate family member: 5 days for an extended family member Caregiver Leave – 10 days Volunteer Leave – 4 days Military Spouse Time\-Off – 80 hours Additional information can be found through the link below. https://www.careers.jnj.com/employee\-benefits</t>
        </is>
      </c>
    </row>
    <row r="59">
      <c r="A59" t="inlineStr">
        <is>
          <t>li-4365633286</t>
        </is>
      </c>
      <c r="B59" t="inlineStr">
        <is>
          <t>Senior Marketing Data Scientist</t>
        </is>
      </c>
      <c r="C59" t="inlineStr">
        <is>
          <t>SoFi</t>
        </is>
      </c>
      <c r="D59" t="inlineStr">
        <is>
          <t>linkedin</t>
        </is>
      </c>
      <c r="E59" t="inlineStr"/>
      <c r="F59" t="inlineStr"/>
      <c r="G59" t="inlineStr">
        <is>
          <t>San Francisco, CA</t>
        </is>
      </c>
      <c r="H59" t="inlineStr"/>
      <c r="I59"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SoFi is seeking a highly motivated Senior Data Scientist to join the Marketing Data Science (MDS) team. The MDS team plays a crucial role in enabling data\-driven decisions across SoFi's Marketing organization through robust analytics, modeling, experimentation, and measurement.
 This new role will be working with senior data scientists to develop, optimize and implement the marketing strategies for Sofi SIPS(Save, Invest, Protect and Spend).
 Marketing Data Scientists will partner closely with marketing managers and leadership to design, analyze, and optimize marketing strategies that drive member growth and revenue. If you are interested in working with highly quantitative teammates and elevating how data and analytics drives marketing and business decisions, this role is for you.
**What you’ll do:**
* Drive the growth of business and member products by developing comprehensive marketing strategies, which includes data analysis, model creation, strategy development, and performance monitoring across all channels.
* Collaborate with marketing managers, channel owners, and external partners to identify and strategize on new opportunities and initiatives.
* Analyze and measure the effectiveness of the marketing strategies, including funnel efficiency (click to convert), CPA (cost per acquisition) and ROI (return on investment), to provide data\-driven recommendations and drive informed actions.
* Design, analyze, and interpret experiments (A/B tests, quasi\-experiments) to inform marketing and growth decisions.
* Design and validate the complete campaign lifecycle, including process flow, data pipeline, model scoring, and execution, in collaboration with the campaign execution team to ensure timely and accurate campaign selections.
* Define key performance indicators (KPIs), design reporting framework and develop self\-service dashboards that provide clear visibility into product and business performance.
* Perform deep\-dive analyses across funnels, user behavior, monetization, and retention to identify growth and efficiency opportunities.
* Transform business objectives into data\-driven, actionable tactics and campaigns that generate immediate results and establish a robust foundation for sustained growth.
* Fulfill partner requests promptly by providing timely analysis, adeptly navigating ambiguity, and focusing on solution\-oriented approaches..
* Communicate insights clearly to senior leadership and partners, converting complex data into compelling narratives.
**What you’ll need:**
* Bachelor's degree in Computer Science, Math, Physics, Engineering, or a quantitative field required; Master's degree preferred.
* 5\+ years of experience in data science/analytics role
* Strong communication skills and comfort working directly with Product and Business leaders
* Strong programming skills in SQL, Python/R and proficiency in Tableau
* Experience in growth, lifecycle, or funnel optimization problems
* Experience building data pipelines with Airflow, preferably in Snowflake.
* Demonstrated experience with experimentation design, hypothesis testing, and statistical analysis
* Knowledge of statistical modeling or machine learning is a plus.
* Ability to operate effectively in ambiguous, fast\-moving product environments
* Ability to thrive in a dynamic, cross\-functional environment with keen attention to detail.
* Ability to work independently and as part of a team. You should be able to initiate and drive projects to completion
* Knowledge of experimentation platforms (e.g., Statsig or similar)
* Demonstrate strong business acumen and curiosity, with excellent communication and presentation skills, including the ability to present to leadership
* Strong preference for industry experience in financial service and familiarity with banking products and marketing channels.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60">
      <c r="A60" t="inlineStr">
        <is>
          <t>li-4337037609</t>
        </is>
      </c>
      <c r="B60" t="inlineStr">
        <is>
          <t>Applied Scientist II, Prime Video Personalization and Discovery Science</t>
        </is>
      </c>
      <c r="C60" t="inlineStr">
        <is>
          <t>Prime Video &amp; Amazon MGM Studios</t>
        </is>
      </c>
      <c r="D60" t="inlineStr">
        <is>
          <t>linkedin</t>
        </is>
      </c>
      <c r="E60" t="inlineStr"/>
      <c r="F60" t="inlineStr"/>
      <c r="G60" t="inlineStr">
        <is>
          <t>New York, United States</t>
        </is>
      </c>
      <c r="H60" t="inlineStr"/>
      <c r="I60"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
**Basic Qualifications**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
**Company** 
 \- Amazon.com Services LLC
 Job ID: A3129475</t>
        </is>
      </c>
    </row>
    <row r="61">
      <c r="A61" t="inlineStr">
        <is>
          <t>li-4332972429</t>
        </is>
      </c>
      <c r="B61" t="inlineStr">
        <is>
          <t>Senior Staff Data Scientist</t>
        </is>
      </c>
      <c r="C61" t="inlineStr">
        <is>
          <t>Intuit</t>
        </is>
      </c>
      <c r="D61" t="inlineStr">
        <is>
          <t>linkedin</t>
        </is>
      </c>
      <c r="E61" t="inlineStr"/>
      <c r="F61" t="inlineStr"/>
      <c r="G61" t="inlineStr">
        <is>
          <t>San Diego, CA</t>
        </is>
      </c>
      <c r="H61" t="inlineStr"/>
      <c r="I61" t="inlineStr">
        <is>
          <t>**Overview**
 Intuit’s Global Business Solutions Group (GBSG) is dedicated to creating tools and services that dramatically increases the ability of small\-medium businesses (SMBs) to manage cash flow. At the center of this mission, the QuickBooks Money team is developing innovative tools to help customers get paid faster and with confidence. Our expanding suite of offerings and new go\-to\-market strategies aim to further enhance SMBs' ability to accept payments seamlessly.
 The Money Data Science team on the GBSG Data \&amp; Analytics organization’s mission is to deliver delightful customer experiences and drive business impact by developing insights, models, and strategic thought partnership that helps small and mid\-market business customers on managing their money. We partner with Product Management, Commercial, Finance, Business Operations, Design and Engineering teams to foster data\-driven decisions through strategic thinking, data analysis, experimentation, and predictive analytics.
 As the founding Senior Staff Data Scientist working on an accelerating growth for a strategic priority within the company, you will dive deep into our data to uncover actionable insights and make recommendations that will fuel growth of this new product. The ideal candidate will have a strong background in quantitative analysis using large data sets, demonstrated growth hacking experience on mature and high growth products, and in driving influence and alignment with data.
**Responsibilities**
 As a Senior Staff Data Scientist on the Product Data Science team, you will dive deep into our data to uncover actionable insights and shape strategic decisions. Your contributions will directly impact our product development and GTM strategies of a brand new product and strategic bet. This role requires a strong background in quantitative analysis, data\-driven decision\-making, and expertise in working with large data sets.
* Conceptualize business problems or opportunities, formulate hypotheses and goals, dene key metrics and make actionable recommendations
* Drive strategic insights that shape the future of Money\-movement ecosystem products within Intuit, impacting millions of small businesses
* Develop predictive models, conduct experimentation beyond A/B testing, and generate actionable customer insights that inform product innovation
* Build and apply durable customer segmentation patterns to renew product targeting, positioning, and customer experience
* Partner closely with Product Management, Marketing, Engineering, Design, and Analytics leaders to deliver insights that drive product strategy and growth
* Translate complex data insights into actionable recommendations for technical and non\-technical stakeholders, and business leaders
**Qualifications**
 The ideal candidate is a curious, proactive data scientist with experience in building scalable solutions, a strong understanding of customer behavior, and a passion for fintech.
* BS or MS degree in Statistics, Mathematics, Operations Research, Computer Science, Econometrics or related field. Equivalent experience will be considered.
* 10\+ years of experience in data science or product analytics, preferably in fintech, with a strong foundation in predictive modeling, customer segmentation, and experimentation
* Ability to formulate data\-backed strategies that will drive step\-function growth for the business as well as increase customer benefit
* Ability to generate hypotheses grounded in customer behavior, industry trends, and external market factors. Experience in the fintech or SMB space is highly preferred.
* Experience in designing and interpreting complex experiments beyond traditional A/B testing methods
* Demonstrated experience in building reusable and scalable analytics solutions, with a focus on efficiency and avoiding duplication of work
* Outstanding communication skills with the ability to influence decision makers and build consensus with teams
* Quick learner, adaptable, with the ability to work independently or as part of a team in a fast\-paced environment
* Experience using statistics and machine learning techniques to solve complex business problems within go\-to\-market and marketing areas, e.g., propensity for feature adoption, customer health scoring to identify customers at risk to cancel, next best action models etc.
* Technical Skills:
+ Advanced SQL skills and proficiency in visualization tools such as Qlik, Tableau, Plotly Dash
+ Strong analytical and modeling skills using Python (for its rich suite of statistical and modeling libraries like numpy, pandas, scikit\-learn, etc.)
+ Familiarity with Linux/OS X command line, version control software (git), and general software development
**Preferred Additional Qualifications**
* Experience solving growth\-related problems at financial technology companies serving consumer or SMBs
* Familiarity with Generative AI and other evolving technologies to accelerate insights from multi\-modal data
 Intuit provides a competitive compensation package with a strong pay for performance rewards approach. This position will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
 Bay Area California: $ 204,500\- 276,500
 Southern California: $ 197,500\- 267,500</t>
        </is>
      </c>
    </row>
    <row r="62">
      <c r="A62" t="inlineStr">
        <is>
          <t>li-4312542916</t>
        </is>
      </c>
      <c r="B62" t="inlineStr">
        <is>
          <t>Applied Scientist II, Prime Video Personalization and Discovery Science</t>
        </is>
      </c>
      <c r="C62" t="inlineStr">
        <is>
          <t>Prime Video &amp; Amazon MGM Studios</t>
        </is>
      </c>
      <c r="D62" t="inlineStr">
        <is>
          <t>linkedin</t>
        </is>
      </c>
      <c r="E62" t="inlineStr"/>
      <c r="F62" t="inlineStr"/>
      <c r="G62" t="inlineStr">
        <is>
          <t>New York, United States</t>
        </is>
      </c>
      <c r="H62" t="inlineStr"/>
      <c r="I62"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
**Basic Qualifications**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
**Company** 
 \- Amazon.com Services LLC
 Job ID: A3046662</t>
        </is>
      </c>
    </row>
    <row r="63">
      <c r="A63" t="inlineStr">
        <is>
          <t>li-4365630385</t>
        </is>
      </c>
      <c r="B63" t="inlineStr">
        <is>
          <t>Sr. Manager, Supply Chain Data Scientist</t>
        </is>
      </c>
      <c r="C63" t="inlineStr">
        <is>
          <t>E.L.F. BEAUTY</t>
        </is>
      </c>
      <c r="D63" t="inlineStr">
        <is>
          <t>linkedin</t>
        </is>
      </c>
      <c r="E63" t="inlineStr"/>
      <c r="F63" t="inlineStr"/>
      <c r="G63" t="inlineStr">
        <is>
          <t>New York, NY</t>
        </is>
      </c>
      <c r="H63" t="inlineStr"/>
      <c r="I63" t="inlineStr">
        <is>
          <t>**About The Company**
 e.l.f. Beauty, Inc. stands with every eye, lip, face and paw. Our deep commitment to clean, cruelty free beauty at an incredible value has fueled the success of our flagship brand e.l.f. Cosmetics since 2004 and driven our portfolio expansion. Today, our multi\-brand portfolio includes e.l.f. Cosmetics, e.l.f. SKIN, pioneering clean beauty brand Well People, Keys Soulcare, a groundbreaking lifestyle beauty brand created with Alicia Keys, Naturium, high\-performance, biocompatible, clinically\-effective and accessible skin care, and our newest brand, rhode, a line of curated skincare essentials, formulated for a variety of skin types and needs with high performance ingredients, it’s a daily routine that nourishes your skin barrier over time.
 In our Fiscal year 25, we had net sales of $1 Billion and our business performance has been nothing short of extraordinary with 28 consecutive quarters of net sales growth. We are the \#2 mass cosmetics brand in the US and are the fastest growing mass cosmetics brand among the top 5\. Our total compensation philosophy offers every full\-time new hire competitive pay and benefits, bonus eligibility (200% of target over the last six fiscal years), equity, flexible time off, year\-round half\-day Fridays, and a hybrid 3 day in office, 2 day at home work environment. We believe the combination of our unique culture, total compensation, workplace flexibility and care for the team is unmatched across not just beauty but any industry.
 Visit our Career Page to learn more about our team: https://www.elfbeauty.com/work\-with\-us
**Position Summary**
 The Senior Manager, Supply Chain Data Scientist serves as a senior technical and strategic thought partner, defining solution architectures, influencing product and business decisions, and ensuring that analytical solutions are both technically rigorous and operationally viable. The ideal candidate can lead end\-to\-end solutioning independently, manage ambiguity and complex stakeholder dynamics, and communicate technical and business risk effectively across teams and leadership levels. SQL and Python programming, and working with ML modeling will be a daily activity as you work with Snowflake data sets to build out planning and network optimization models.
**Responsibilities:**
* Lead the framing, design, and delivery of advanced optimization and machine learning solutions for high\-impact retail supply chain challenges
* Lead successful implementation and development of advanced planning and scheduling software, including network optimization and scenario planning
* Creating supply chain planning tools to improve planning processes, increasing accuracy and efficiency
* Developing, implementing, and maintaining key performance indicators for supply chain planning
* Build ad hoc reports for supply chain planning functions to help improve planning processes and communications
* Refining statistical and machine learning forecasting models to minimize forecast error and bias
* Develop Supply planning tools that include rough cut and finite capacity constraining
**Requirements:**
* 5\+ years of experience with advanced SQL and Python programming for data mapping, transformation and querying
* Prefer 3\+ years’ experience within Supply Planning, Inventory Optimization, or Supply Chain Analytics
* Strong communication skills with the ability to lead cross\-functional data initiatives
* Proven organizational skills, problem\-solving ability, and leadership experience
* Bachelor’s degree minimum, advanced degree preferred
* High drive for results and willing to work in a demanding \&amp; rapid paced environment
* Excellent communication skills both verbal and written
* Excellent analytical, follow\-up, and attention to detail skills
* Ability to work autonomously across functions to meet deadlines and drive tasks to completion
* System implementation experience a plus
* Excellent Excel Skills and knowledge; proficient in Microsoft Suite (Word and PowerPoint)
 The base salary range for this role is listed above.
 Total compensation includes base salary, annual company\-based performance bonus, and equity. Under e.l.f.’s annual bonus program, employees are eligible to earn up to 200% of their target bonus when company performance exceeds defined goals. In addition, e.l.f. provides a variety of other benefits to employees, including medical, dental, and vision insurance, a retirement savings plan, gender neutral parental leave, and unlimited paid time off. The amount of total compensation (including base salary) offered will be based on a wide range of factors, including geographic location, experience, specific skills, and qualifications.
 Compensation components are subject to change at the company’s discretion
***This job description is intended to describe the general nature and level of work being performed in this position. It also reflects the general details considered necessary to describe the principal functions of the job identified, and shall not be considered, as detailed description of all the work required inherent in the job. It is not an exhaustive list of responsibilities, and it is subject to changes and exceptions at the supervisors’ discretion.***
*e.l.f. Beauty respects your privacy. Please see our Job Applicant Privacy Notice (www.elfbeauty.com/us\-job\-applicant\-privacy\-notice) for how your personal information is used and shared.*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64">
      <c r="A64" t="inlineStr">
        <is>
          <t>li-4337602404</t>
        </is>
      </c>
      <c r="B64" t="inlineStr">
        <is>
          <t>Senior Applied Scientist, Sponsored Products and Brands</t>
        </is>
      </c>
      <c r="C64" t="inlineStr">
        <is>
          <t>Amazon</t>
        </is>
      </c>
      <c r="D64" t="inlineStr">
        <is>
          <t>linkedin</t>
        </is>
      </c>
      <c r="E64" t="inlineStr"/>
      <c r="F64" t="inlineStr"/>
      <c r="G64" t="inlineStr">
        <is>
          <t>Seattle, WA</t>
        </is>
      </c>
      <c r="H64" t="inlineStr"/>
      <c r="I64" t="inlineStr">
        <is>
          <t>**Description**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
**Basic Qualifications**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
**Company** 
 \- Amazon.com Services LLC
 Job ID: A3130062</t>
        </is>
      </c>
    </row>
    <row r="65">
      <c r="A65" t="inlineStr">
        <is>
          <t>li-4343484578</t>
        </is>
      </c>
      <c r="B65" t="inlineStr">
        <is>
          <t>Senior Data Scientist, Full Stack</t>
        </is>
      </c>
      <c r="C65" t="inlineStr">
        <is>
          <t>SentiLink</t>
        </is>
      </c>
      <c r="D65" t="inlineStr">
        <is>
          <t>linkedin</t>
        </is>
      </c>
      <c r="E65" t="inlineStr"/>
      <c r="F65" t="inlineStr"/>
      <c r="G65" t="inlineStr">
        <is>
          <t>Austin, TX</t>
        </is>
      </c>
      <c r="H65" t="inlineStr"/>
      <c r="I65" t="inlineStr">
        <is>
          <t>SentiLink provides innovative identity and risk solutions, empowering institutions and individuals to transaction with confidence. We’re building the future of identity verification in the United States replacing a clunky, ineffective, and expensive status quo with solutions that are 10x faster, smarter, and more accurate.
 We’ve seen tremendous traction and are growing extremely quickly. Our real\-time APIs have helped verify hundreds of millions of identities, starting with financial services and rapidly expanding into new markets. SentiLink is backed by world\-class investors including Craft Ventures, Andreessen Horowitz, NYCA, and Max Levchin.
 We’ve earned recognition from TechCrunch, CNBC, Bloomberg, Forbes, Business Insider, PYMNTS, American Banker, LendIt, and have been named to the Forbes Fintech 50 list every year since 2023\. Last but not least, we’ve even made history \- we were the first company to go live with the eCBSV and testified before the United States House of Representatives on the future of identity.
 SentiLink supports a variety of ways to work, ranging from fully remote to in\-office. We operate as a digital\-first company with strong collaboration across the U.S. and India. We maintain physical offices in Austin, San Francisco, New York City, Seattle, Los Angeles, and Chicago in the U.S., and in Gurugram (Delhi) and Bengaluru in India. If you’re located near one of these offices, we would love for you to spend time in the office regularly. Some roles are hybrid or in\-office by design. For example, our engineering team in India works primarily from our Gurugram office.
**Role**
 As a Senior Data Scientist at SentiLink, you will build our core products: models that identify fraudsters and also advance our growing suite of products in financial risk. As an experienced researcher you will be relied upon to be technically capable and the definitive owner of your respective domain. You will often work on projects with high visibility and impact that require deep domain understanding, critical thinking and strong technical abilities. You will work with teams across the company to research new types of fraud, develop new products, and provide analysis to drive sales and marketing. This is a full\-stack data science role, involving model development, analysis, and writing production code. You should be interested in having end\-to\-end ownership and a fast\-moving environment where deep domain understanding drives development and unusual insights drive our competitive advantage rather than optimization of new machine learning methodologies.
**Technologies:** 
 Python 3, PostgreSQL, and AWS infrastructure (EC2, S3, RDS, Redshift, etc.)
**Responsibilities**
* Develop and maintain SentiLink’s fraud detection models through the full model development lifespan: from data acquisition decisions through featurization, focusing labeling resources, model training, experimentation, productionalization, and monitoring.
* Build foundational modeling to drive SentiLink’s expanding suite of Fraud and Financial Risk products.
* Research new types of fraud and develop new SentiLink products around identity verification.
* Achieve success by researching / developing through iteration, integration of new data sources and inventive feature engineering.
* Write production\-ready code that can be relied on for real\-time decision making by our partners.
* Design, perform, and present analyses that will inform data acquisition, product development, risk operations priorities, marketing, and sales efforts.
* Work with engineering, risk operations, and data acquisitions to access necessary data, maintain data quality, and support data access
**Requirements**
* 4\+ years relevant work experience \&amp; relevant PhD or 6\+ years \&amp; relevant Masters
* Proven track record of solving complex / high profile business problems with DS / ML solutions
* Experience in communicating outcomes / progress to senior management / stakeholders
* Very strong in “end to end” DS development: Planning, fleshing out success criteria / metrics, getting buy\-in, developing the solution, delivering the solution (prod / deck / strategy doc / etc)
* Strong practical ML / Stats knowledge, i.e. can easily employ the suite of standard ML / stats tools to quickly scope out solutions, and double down where needed. Experience with SOTA ML solutions is a plus
* Interest in developing deep domain expertise for product\-focused work: a background in fraud is not required, but willingness to learn is
* Experience writing production code and tests
* Detail oriented and thoughtful \- someone we can rely on to make business\-changing decisions
* Bonus for familiarity with: identity solutions, fintech, or adjacent industries
* Experience working at a startup strongly preferred
* Thrive in a fast paced environment characterized by the need to solve extremely varied, high impact, open ended problems.
* Candidates must be legally authorized to work in the United States and must live in the United States
**Salary Range**
* $180,000/year \- $230,000/year \+ equity \+ benefits
**Perks**
* Employer paid group health insurance for you and your dependents
* 401(k) plan with employer match (or equivalent for non US\-based roles)
* Flexible paid time off
* Regular company\-wide in\-person events
* Home office stipend, and more!
**Corporate Values**
* Follow Through
* Deep Understanding
* Whatever It Takes
* Do Something Smart</t>
        </is>
      </c>
    </row>
    <row r="66">
      <c r="A66" t="inlineStr">
        <is>
          <t>li-4373204989</t>
        </is>
      </c>
      <c r="B66" t="inlineStr">
        <is>
          <t>Senior Clinical Data Scientist - REMOTE</t>
        </is>
      </c>
      <c r="C66" t="inlineStr">
        <is>
          <t>Jobgether</t>
        </is>
      </c>
      <c r="D66" t="inlineStr">
        <is>
          <t>linkedin</t>
        </is>
      </c>
      <c r="E66" t="inlineStr"/>
      <c r="F66" t="inlineStr"/>
      <c r="G66" t="inlineStr">
        <is>
          <t>Iowa, United States</t>
        </is>
      </c>
      <c r="H66" t="inlineStr"/>
      <c r="I66" t="inlineStr">
        <is>
          <t>This position is posted by Jobgether on behalf of a partner company. We are currently looking for a Senior Clinical Data Analyst \- REMOTE. In this role, you will be instrumental in driving clinical research initiatives that evaluate the efficacy of our innovative programs. Your analyses will not only influence clinical protocols but will also enhance our members' overall health outcomes. With a strong focus on collaborative work with clinical leadership, you will contribute to the establishment of evidence\-based practices. You will play a crucial role in the data\-driven decision\-making process that supports our commitment to transforming healthcare.
**Accountabilities**
* Design and analyze clinical outcome studies evaluating weight loss and durability.
* Build analyses that define cohorts and follow\-up timelines to measure program impact.
* Partner with clinical leadership to evaluate treatment pathways and protocol adherence.
* Assess the impact of clinical interventions on outcomes and member experience.
* Use insights to improve clinical protocols and program design.
* Contribute to building internal evidence frameworks for measuring clinical effectiveness.
* Translate analytic findings into insights to support clinical and operational decisions.
**Requirements**
* 5\+ years of experience analyzing clinical or healthcare outcomes data.
* Experience with cohort\-based analyses and data over time.
* Proficiency in SQL and Python or R.
* Hands\-on experience with DBT and data modeling.
* Proficiency in using data reporting software (e.g. Tableau, Microsoft Power BI, Looker).
**Benefits**
* Generous paid time off policy including multiple paid company holidays.
* Medical, dental, and vision benefit options for you and your family.
* Calibrate\-funded disability and life insurance for peace of mind.
* Access to wellness programs including Headspace membership.
* Employee Assistance Program for counseling on various topics.
* Remote\-first working environment with flexibility.
* Competitive paid parental leave program.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67">
      <c r="A67" t="inlineStr">
        <is>
          <t>li-4355870355</t>
        </is>
      </c>
      <c r="B67" t="inlineStr">
        <is>
          <t>VP, Credit Risk Review Data Scientist</t>
        </is>
      </c>
      <c r="C67" t="inlineStr">
        <is>
          <t>Santander Bank, N.A.</t>
        </is>
      </c>
      <c r="D67" t="inlineStr">
        <is>
          <t>linkedin</t>
        </is>
      </c>
      <c r="E67" t="inlineStr"/>
      <c r="F67" t="inlineStr"/>
      <c r="G67" t="inlineStr">
        <is>
          <t>Austin, TX</t>
        </is>
      </c>
      <c r="H67" t="inlineStr"/>
      <c r="I67" t="inlineStr">
        <is>
          <t>**It Starts Here**
 Santander is a global leader and innovator in the financial services industry and is evolving from a high\-impact brand into a technology\-driven organization. Our people are at the heart of this journey and together, we are driving a customer\-centric transformation that values bold thinking, innovation, and the courage to challenge what’s possible. This is more than a strategic shift. It’s a chance for driven professionals to grow, learn, and make a real difference.
 If you are interested in exploring the possibilities
 **We Want to Talk to You!**
**The Difference You Make**
 This is an individual contributor role. The three primary functions of the Credit Risk Review – Data Science role are to:
* Maintain and, as and when needed, refine and enhance Credit Risk Review’s (“CRR”) existing applications, including as CRR’s methodologies change and when technological capabilities advance.
* Ensure the smooth operation of all CRR\-specific applications with timely and accurate reporting and output for processes that are “Self\-Service” as well as periodic reporting from applications that are dependent on the incumbent’s expertise.
* Build new applications to advance CRR’s ability to both analyze portfolios and risks as well as the ability to analyze results from CRR’s reviews and continuous monitoring.
**Responsibilities**
 The incumbent will make important contributions to the assessment of the quality, quantity, direction, and overall credit risk in the organization as well as compliance with established underwriting policies, procedures, limits, and concentrations. Specific responsibilities include:
* Extract portfolio data elements from the bank’s systems of record / data warehouses.
* Decipher and organize key portfolio data elements into a format which is understandable and usable by Credit Risk Review (CRR) team\-members.
* Data\-mine large amounts of portfolio information using Microsoft Excel, Python, SAS, SQL or other tools.
* Innovate, enhance and as needed, build new applications to support advancement of CRR’s analytical capabilities to identify themes, trends and emerging risks.
* Where possible, devise solutions to reduce CRR’s residual manual dependencies.
**What You Bring**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 Bachelor's Degree, preferably in Data Science, Data Analysis or equivalent field, or equivalent quantitative experience.
* 7\-12 Years’ banking experience, preferably concentrated in Data Management or Data Analytics functions.
* Experience with Microsoft Tools and Power Platform preferred (SharePoint, Power \&amp; Automate) as well as with Microsoft Excel, SAS, Python, SQL.
* Ability to write code to facilitate the extract of key data elements from the bank’s various data warehouses/data marts, interpreting the elements/attributes of the data,
* Detail\-oriented and ability to work independently with limited supervision.
* Strong modeling and data manipulation skills.
* Understanding of credit risk concepts and drive to grow expertise.
* Ability to interact and communicate effectively across the organization.
* Strong written and verbal communication skills; communicate in a timely and straightforward manner.
* Strong time management and organizational skills.
* Team\-player and follows through to meet commitments to others.
* Takes responsibility for achieving strong results and delivering on\-time while flexible and able to balance multiple complex demands.
**Certifications**
* CFA (Chartered Financial Analyst): Finance certifications desired \- Preferred.
**It Would Be Nice For You To Have**
* Established work history or equivalent demonstrated through a combination of work experience, training, military service, or education.
* Experience in Microsoft Office products.
**What Else You Need To Know**
 The base pay range for this position is posted below and represents the annualized salary range. For hourly positions (non\-exempt), the annual range is based on a 40\-hour work week. The exact compensation may vary based on skills, experience, training, licensure and certifications and location.
**Minimum**
**Base Pay Range:**
 $108,750\.00 USD
**Maximum**
 $180,000\.00 USD
**We Value Your Impact**
 Your contribution matters and it’s recognized. You can expect a fair and competitive rewards package that reflects the impact you create and the value you deliver. We know rewards go beyond numbers. Offering more than just a paycheck our benefits are designed to support you, your family and your well\-being, now and into the future. Santander Benefits \- 2026 Santander OnGoing/NH eGuide (foleon.com)
**Risk Culture**
 We embrace a strong risk culture and all of our professionals at all levels are expected to take a proactive and responsible approach toward risk management.
**EEO Statement**
 At Santander, we value and respect differences in our workforce. We actively encourage everyone to apply. Santander is an equal opportunity employer. All qualified applicants will receive consideration for employment without regard to race, color, religion, sex, sexual orientation, gender identity, national origin, genetics, disability, age, veteran status or any other characteristic protected by law.
**Working Conditions**
 Frequent minimal physical effort such as sitting, standing and walking is required for this role. Depending on location, occasional moving and lifting light equipment and/or furniture may be required.
**Employer Rights**
 This job description does not list all of the job duties of the job. You may be asked by your supervisors or managers to perform other duties. You may be evaluated in part based upon your performance of the tasks listed in this job description. The employer has the right to revise this job description at any time. This job description is not a contract for employment and either you or the employer may terminate your employment at any time for any reason.
**What To Do Next**
 If this sounds like a role you are interested in, then please apply.
 We are committed to providing an inclusive and accessible application process for all candidates. If you require any assistance or accommodation due to a disability or any other reason, please contact us at TAOps@santander.us to discuss your needs.
 AN EQUAL OPPORTUNITY EMPLOYER M/F/Vet/Disabled/SO</t>
        </is>
      </c>
    </row>
    <row r="68">
      <c r="A68" t="inlineStr">
        <is>
          <t>li-4343295686</t>
        </is>
      </c>
      <c r="B68" t="inlineStr">
        <is>
          <t>Senior Data Scientist, Full Stack</t>
        </is>
      </c>
      <c r="C68" t="inlineStr">
        <is>
          <t>SentiLink</t>
        </is>
      </c>
      <c r="D68" t="inlineStr">
        <is>
          <t>linkedin</t>
        </is>
      </c>
      <c r="E68" t="inlineStr"/>
      <c r="F68" t="inlineStr"/>
      <c r="G68" t="inlineStr">
        <is>
          <t>Chicago, IL</t>
        </is>
      </c>
      <c r="H68" t="inlineStr"/>
      <c r="I68" t="inlineStr">
        <is>
          <t>SentiLink provides innovative identity and risk solutions, empowering institutions and individuals to transaction with confidence. We’re building the future of identity verification in the United States replacing a clunky, ineffective, and expensive status quo with solutions that are 10x faster, smarter, and more accurate.
 We’ve seen tremendous traction and are growing extremely quickly. Our real\-time APIs have helped verify hundreds of millions of identities, starting with financial services and rapidly expanding into new markets. SentiLink is backed by world\-class investors including Craft Ventures, Andreessen Horowitz, NYCA, and Max Levchin.
 We’ve earned recognition from TechCrunch, CNBC, Bloomberg, Forbes, Business Insider, PYMNTS, American Banker, LendIt, and have been named to the Forbes Fintech 50 list every year since 2023\. Last but not least, we’ve even made history \- we were the first company to go live with the eCBSV and testified before the United States House of Representatives on the future of identity.
 SentiLink supports a variety of ways to work, ranging from fully remote to in\-office. We operate as a digital\-first company with strong collaboration across the U.S. and India. We maintain physical offices in Austin, San Francisco, New York City, Seattle, Los Angeles, and Chicago in the U.S., and in Gurugram (Delhi) and Bengaluru in India. If you’re located near one of these offices, we would love for you to spend time in the office regularly. Some roles are hybrid or in\-office by design. For example, our engineering team in India works primarily from our Gurugram office.
**Role**
 As a Senior Data Scientist at SentiLink, you will build our core products: models that identify fraudsters and also advance our growing suite of products in financial risk. As an experienced researcher you will be relied upon to be technically capable and the definitive owner of your respective domain. You will often work on projects with high visibility and impact that require deep domain understanding, critical thinking and strong technical abilities. You will work with teams across the company to research new types of fraud, develop new products, and provide analysis to drive sales and marketing. This is a full\-stack data science role, involving model development, analysis, and writing production code. You should be interested in having end\-to\-end ownership and a fast\-moving environment where deep domain understanding drives development and unusual insights drive our competitive advantage rather than optimization of new machine learning methodologies.
**Technologies:** 
 Python 3, PostgreSQL, and AWS infrastructure (EC2, S3, RDS, Redshift, etc.)
**Responsibilities**
* Develop and maintain SentiLink’s fraud detection models through the full model development lifespan: from data acquisition decisions through featurization, focusing labeling resources, model training, experimentation, productionalization, and monitoring.
* Build foundational modeling to drive SentiLink’s expanding suite of Fraud and Financial Risk products.
* Research new types of fraud and develop new SentiLink products around identity verification.
* Achieve success by researching / developing through iteration, integration of new data sources and inventive feature engineering.
* Write production\-ready code that can be relied on for real\-time decision making by our partners.
* Design, perform, and present analyses that will inform data acquisition, product development, risk operations priorities, marketing, and sales efforts.
* Work with engineering, risk operations, and data acquisitions to access necessary data, maintain data quality, and support data access
**Requirements**
* 4\+ years relevant work experience \&amp; relevant PhD or 6\+ years \&amp; relevant Masters
* Proven track record of solving complex / high profile business problems with DS / ML solutions
* Experience in communicating outcomes / progress to senior management / stakeholders
* Very strong in “end to end” DS development: Planning, fleshing out success criteria / metrics, getting buy\-in, developing the solution, delivering the solution (prod / deck / strategy doc / etc)
* Strong practical ML / Stats knowledge, i.e. can easily employ the suite of standard ML / stats tools to quickly scope out solutions, and double down where needed. Experience with SOTA ML solutions is a plus
* Interest in developing deep domain expertise for product\-focused work: a background in fraud is not required, but willingness to learn is
* Experience writing production code and tests
* Detail oriented and thoughtful \- someone we can rely on to make business\-changing decisions
* Bonus for familiarity with: identity solutions, fintech, or adjacent industries
* Experience working at a startup strongly preferred
* Thrive in a fast paced environment characterized by the need to solve extremely varied, high impact, open ended problems.
* Candidates must be legally authorized to work in the United States and must live in the United States
**Salary Range**
* $180,000/year \- $230,000/year \+ equity \+ benefits
**Perks**
* Employer paid group health insurance for you and your dependents
* 401(k) plan with employer match (or equivalent for non US\-based roles)
* Flexible paid time off
* Regular company\-wide in\-person events
* Home office stipend, and more!
**Corporate Values**
* Follow Through
* Deep Understanding
* Whatever It Takes
* Do Something Smart</t>
        </is>
      </c>
    </row>
    <row r="69">
      <c r="A69" t="inlineStr">
        <is>
          <t>li-4365620967</t>
        </is>
      </c>
      <c r="B69" t="inlineStr">
        <is>
          <t>Applied Scientist, Sales AI</t>
        </is>
      </c>
      <c r="C69" t="inlineStr">
        <is>
          <t>Amazon</t>
        </is>
      </c>
      <c r="D69" t="inlineStr">
        <is>
          <t>linkedin</t>
        </is>
      </c>
      <c r="E69" t="inlineStr"/>
      <c r="F69" t="inlineStr"/>
      <c r="G69" t="inlineStr">
        <is>
          <t>Sunnyvale, CA</t>
        </is>
      </c>
      <c r="H69" t="inlineStr"/>
      <c r="I69" t="inlineStr">
        <is>
          <t>**Description**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Generative AI and quantitative modeling (forecasting, recommender systems, reinforcement learning, causal inferencing or generative artificial intelligence) to build and refine models that can be implemented in production. You will contribute to chart new courses with our ad sales support technologies, and you have the communication skills necessary to explain complex technical approaches to a variety of stakeholders and customers. You will be part of a team of fellow scientists and engineers taking on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
**Basic Qualifications**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**Company** 
 \- Amazon.com Services LLC
 Job ID: A3165830</t>
        </is>
      </c>
    </row>
    <row r="70">
      <c r="A70" t="inlineStr">
        <is>
          <t>li-4363887336</t>
        </is>
      </c>
      <c r="B70" t="inlineStr">
        <is>
          <t>Senior Applied Scientist</t>
        </is>
      </c>
      <c r="C70" t="inlineStr">
        <is>
          <t>Microsoft</t>
        </is>
      </c>
      <c r="D70" t="inlineStr">
        <is>
          <t>linkedin</t>
        </is>
      </c>
      <c r="E70" t="inlineStr"/>
      <c r="F70" t="inlineStr"/>
      <c r="G70" t="inlineStr">
        <is>
          <t>Redmond, WA</t>
        </is>
      </c>
      <c r="H70" t="inlineStr"/>
      <c r="I70" t="inlineStr">
        <is>
          <t>**Overview**
 The Field Service Scheduling team within Business \&amp; Industry Copilots (BIC) seeks a Senior Applied Scientist to help realize our vision of building a state\-of\-the\-art scheduling service that sets the standard for our industry.
 We are looking for someone who combines technical excellence with innovation and impact, and who will drive the development of advanced scheduling solutions for our customers.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The candidate should have:
* Optimization experience with scheduling algorithms
* Stay abreast of state\-of\-the\-art approaches (including deep learning models) to address vehicle routing problems.
* You will be a member of the product team, designing experiments, creating benchmarks and identifying success metrics, and writing production code to implement the scheduling algorithm(s) with high quality.
* Collaborate closely with research organizations to bridge the gap between research and practice.
**Qualifications**
**Required Qualifications:**
* Bachelor's Degree in Statistics, Econometrics, Computer Science, Electrical or Computer Engineering, or related field AND 4\+ years related experience (e.g., statistics predictive analytics, research)
+ OR Master's Degree in Statistics, Econometrics, Computer Science, Electrical or Computer Engineering, or related field AND 3\+ years related experience (e.g., statistics, predictive analytics, research)
+ OR Doctorate in Statistics, Econometrics, Computer Science, Electrical or Computer Engineering, or related field AND 1\+ year(s) related experience (e.g., statistics, predictive analytics, research)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 Travel: Occasional travel (0% to 25%) is expected in this role.
**Preferred Qualifications**
* Master’s or PhD focus in Artificial Intelligence (Planning and Scheduling), Operations Research
+ (OR) or a related field.
* Background in Multi\-agent Planning and Scheduling and/or Operations Research.
* Experience running your algorithms in a production environment and responding to customer inquiries.
* Experience in reinforcement learning.
* Experience in Genetic / heuristic scheduling algorithms.
* Proven experience in solving vehicle routing problems.
* Demonstrated analytical abilities to dissect complex problems and propose effective solutions.
 \#BICJOBS
 Applied Sciences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1">
      <c r="A71" t="inlineStr">
        <is>
          <t>li-4312551449</t>
        </is>
      </c>
      <c r="B71" t="inlineStr">
        <is>
          <t>Sr. Applied Scientist, Prime Video - Personalization and Discovery Science</t>
        </is>
      </c>
      <c r="C71" t="inlineStr">
        <is>
          <t>Prime Video &amp; Amazon MGM Studios</t>
        </is>
      </c>
      <c r="D71" t="inlineStr">
        <is>
          <t>linkedin</t>
        </is>
      </c>
      <c r="E71" t="inlineStr"/>
      <c r="F71" t="inlineStr"/>
      <c r="G71" t="inlineStr">
        <is>
          <t>Seattle, WA</t>
        </is>
      </c>
      <c r="H71" t="inlineStr"/>
      <c r="I7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
**Basic Qualifications**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
**Company** 
 \- Amazon.com Services LLC
 Job ID: A3084479</t>
        </is>
      </c>
    </row>
    <row r="72">
      <c r="A72" t="inlineStr">
        <is>
          <t>li-4372995882</t>
        </is>
      </c>
      <c r="B72" t="inlineStr">
        <is>
          <t>Principal Applied Scientist</t>
        </is>
      </c>
      <c r="C72" t="inlineStr">
        <is>
          <t>Microsoft</t>
        </is>
      </c>
      <c r="D72" t="inlineStr">
        <is>
          <t>linkedin</t>
        </is>
      </c>
      <c r="E72" t="inlineStr"/>
      <c r="F72" t="inlineStr"/>
      <c r="G72" t="inlineStr">
        <is>
          <t>Redmond, WA</t>
        </is>
      </c>
      <c r="H72" t="inlineStr"/>
      <c r="I72" t="inlineStr">
        <is>
          <t>**Overview**
 The Microsoft Content Product team is looking for a passionate ML scientist to join our Core Recommendation and Content Generation team. This opportunity truly is exciting as the project we're working on has the potential to define the future of content services for Microsoft. Imagine a scenario where billions of users around the world can discover content they care about and start new conversations with their friends, family, and colleagues \- this is what we're creating! Today, Windows has close to 1 billion monthly active users, and Outlook, Teams, Edge, and Bing also have hundreds of millions of users plus the partnership with third party, the presents a huge opportunity to engage users with content worldwide.
 Are you an experienced ML scientist who is seeking an opportunity to expand and apply your existing knowledge in LLM and NLP? Do you want to challenge yourself and pursue the latest ideas while changing the way millions of people do local search every day? Do you want to build scalable services using state of art deep learning that can truly help users using Windows/Bing in mobile and desktop? If so, this is a great opportunity with real customer impact for you.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Participate in design, implementation, and execution across a variety of features, including directly building SOTA LLM models.
* Drive architectural changes into the product to expand our footprint and increase developer agility.
* Invest in others’ growth, mentor team members, and help build a highly capable team.
* Regularly communicate team progress internally and evangelize progress and opportunities to a wider audience including management and leadership.
* Drive innovations in AIGC applications, ranking and recommendation algorithms.
**Qualifications**
**Required Qualifications:**
* Bachelor's Degree in Statistics, Econometrics, Computer Science, Electrical or Computer Engineering, or related field AND 6\+ years related experience (e.g., statistics, predictive analytics, research)
+ OR Master's Degree in Statistics, Econometrics, Computer Science, Electrical or Computer Engineering, or related field AND 4\+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**Additional Or Preferred Qualifications**
 2\+ years experience presenting at conferences or other events in the outside research/industry community as an invited speaker.
* Master's Degree in Statistics, Econometrics, Computer Science, Electrical or Computer Engineering, or related field AND 9\+ years related experience (e.g., statistics, predictive analytics, research)
+ OR Doctorate in Statistics, Econometrics, Computer Science, Electrical or Computer Engineering, or related field AND 6\+ years related experience (e.g., statistics, predictive analytics, research)
+ OR equivalent experience.
+ 5\+ years experience creating publications (e.g., patents, libraries, peer\-reviewed academic papers).
 5\+ years experience conducting research as part of a research program (in academic or industry settings).
 3\+ years experience developing and deploying live production systems, as part of a product team.
 3\+ years experience developing and deploying products or systems at multiple points in the product cycle from ideation to shipping.
* At least 8\+ years of industry software development experience coding in C/C\+\+, C\#, Java and/or Python.
* Solid knowledge in deep learning computational graph frameworks, such as TensorFlow/Pytorch.
* Experience in LLM including fine tuning, evaluation for product scenarios
* Experience working through full product cycles from initial design to final product delivery.
* Experience developing and designing backgrounds in multi\-tiered distributed services.
* Experience with data structures, algorithms, asynchronous programming, and data processing
* Experience developing end to end ML/DL systems.
* Knowledge and experience in large scale data analytics, such as Spark.
* An undergraduate or graduate degree in computer science or related technical discipline.
* At least 6\+ years of industry software development experience coding in C/C\+\+, C\#, Java and/or Python.
* Experience applying LLM techniques or Recommendation system.
* Tech lead on critical project related to recommendation or AIGC scenarios.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\#MicrosoftAI
 Applied Sciences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3">
      <c r="A73" t="inlineStr">
        <is>
          <t>li-4343356776</t>
        </is>
      </c>
      <c r="B73" t="inlineStr">
        <is>
          <t>Data Scientist, Algorithms, Optimization - Fulfillment</t>
        </is>
      </c>
      <c r="C73" t="inlineStr">
        <is>
          <t>Lyft</t>
        </is>
      </c>
      <c r="D73" t="inlineStr">
        <is>
          <t>linkedin</t>
        </is>
      </c>
      <c r="E73">
        <f>HYPERLINK("https://www.linkedin.com/jobs/view/4343356776", "https://www.linkedin.com/jobs/view/4343356776")</f>
        <v/>
      </c>
      <c r="F73">
        <f>HYPERLINK("http://boards.greenhouse.io/lyft/jobs/8335733002?gh_src=dd08aaff2us&amp;source=LinkedIn&amp;urlHash=kDkw", "http://boards.greenhouse.io/lyft/jobs/8335733002?gh_src=dd08aaff2us&amp;source=LinkedIn&amp;urlHash=kDkw")</f>
        <v/>
      </c>
      <c r="G73" t="inlineStr">
        <is>
          <t>New York, NY</t>
        </is>
      </c>
      <c r="H73" t="inlineStr"/>
      <c r="I73" t="inlineStr">
        <is>
          <t>At Lyft, our purpose is to serve and connect. We aim to achieve this by cultivating a work environment where all team members belong and have the opportunity to thrive.
 Data Science is central to Lyft's products and decision\-making. As a Data Scientist on the cross\-functional team, you will work in a dynamic environment, tackling a variety of problems from shaping critical business decisions to building algorithms that power our products. We seek passionate, driven Data Scientists to address some of the most interesting and impactful problems in ridesharing.
 As a Data Scientist specializing in Algorithms, you will develop mathematical models for the platform's core services, addressing diverse problems in optimization, prediction, machine learning, and inference. On the Fulfillment team, you will collaborate with cross\-functional teammates and stakeholders to enhance algorithms for matching rideshare supply and demand in real time and develop product offerings to improve the experiences of Lyft Riders and Drivers.
**Responsibilities:**
* Leverage data and analytic frameworks to direct creations and improvements of algorithms and models underpinning the team’s systems and products
* Partner with Engineers, Product Managers, and Business Partners to frame problems, both mathematically and within the business context.
* Perform exploratory data analysis to gain a deeper understanding of the problem
* Construct and fit statistical, machine learning, or optimization models
* Write production modeling code; collaborate with Software Engineers to implement algorithms in production
* Design and implement both simulated and live traffic experiments
* Analyze experimental and observational data; communicate findings; facilitate launch decisions
* Develop measurement methodologies to monitor the health of our products, as well as the impacts on user outcomes and marketplace outcomes
* Drive collaboration and coordination with cross\-functional teams
**Experience:**
* M.S. or Ph.D. in Machine Learning, Statistics, Operations Research, Computer Science, Mathematics, or other quantitative fields
* 2\+ years professional experience in a technology company setting
* Proven experience with building and evaluating machine learning models
* Proficiency with Python and working in a production coding environment
* Passion for solving unstructured and non\-standard mathematical problems
* End\-to\-end experience with data, including querying, aggregation, analysis, and visualization
* Strong oral and written communication skills, and ability to collaborate and communicate with others to solve a problem
**Benefits:**
* Great medical, dental, and vision insurance options with additional programs available when enrolled
* Mental health benefits
* Family building benefits
* Child care and pet benefits
* 401(k) plan to help save for your future
* In addition to 12 observed holidays, salaried team members have discretionary paid time off, hourly team members have 15 days paid time off
* 18 weeks of paid parental leave. Biological, adoptive, and foster parents are all eligible
* Subsidized commuter benefits
* Lyft Pink \- Lyft team members get an exclusive opportunity to test new benefits of our Ridership Program
*Lyft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
*Lyft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
*The expected base pay range for this position in the New York City area is $128,000 \-$160,000\. Salary ranges are dependent on a variety of factors, including qualifications, experience and geographic location. Range is not inclusive of potential equity offering, bonus or benefits. Your recruiter can share more information about the salary range specific to your working location and other factors during the hiring process.*</t>
        </is>
      </c>
    </row>
    <row r="74">
      <c r="A74" t="inlineStr">
        <is>
          <t>li-4343396636</t>
        </is>
      </c>
      <c r="B74" t="inlineStr">
        <is>
          <t>Data Scientist, Algorithms, Optimization - Fulfillment</t>
        </is>
      </c>
      <c r="C74" t="inlineStr">
        <is>
          <t>Lyft</t>
        </is>
      </c>
      <c r="D74" t="inlineStr">
        <is>
          <t>linkedin</t>
        </is>
      </c>
      <c r="E74">
        <f>HYPERLINK("https://www.linkedin.com/jobs/view/4343396636", "https://www.linkedin.com/jobs/view/4343396636")</f>
        <v/>
      </c>
      <c r="F74" t="inlineStr"/>
      <c r="G74" t="inlineStr">
        <is>
          <t>Seattle, WA</t>
        </is>
      </c>
      <c r="H74" t="inlineStr"/>
      <c r="I74" t="inlineStr">
        <is>
          <t>At Lyft, our purpose is to serve and connect. We aim to achieve this by cultivating a work environment where all team members belong and have the opportunity to thrive.
 Data Science is central to Lyft's products and decision\-making. As a Data Scientist on the cross\-functional team, you will work in a dynamic environment, tackling a variety of problems from shaping critical business decisions to building algorithms that power our products. We seek passionate, driven Data Scientists to address some of the most interesting and impactful problems in ridesharing.
 As a Data Scientist specializing in Algorithms, you will develop mathematical models for the platform's core services, addressing diverse problems in optimization, prediction, machine learning, and inference. On the Fulfillment team, you will collaborate with cross\-functional teammates and stakeholders to enhance algorithms for matching rideshare supply and demand in real time and develop product offerings to improve the experiences of Lyft Riders and Drivers.
**Responsibilities:**
* Leverage data and analytic frameworks to direct creations and improvements of algorithms and models underpinning the team’s systems and products
* Partner with Engineers, Product Managers, and Business Partners to frame problems, both mathematically and within the business context.
* Perform exploratory data analysis to gain a deeper understanding of the problem
* Construct and fit statistical, machine learning, or optimization models
* Write production modeling code; collaborate with Software Engineers to implement algorithms in production
* Design and implement both simulated and live traffic experiments
* Analyze experimental and observational data; communicate findings; facilitate launch decisions
* Develop measurement methodologies to monitor the health of our products, as well as the impacts on user outcomes and marketplace outcomes
* Drive collaboration and coordination with cross\-functional teams
**Experience:**
* M.S. or Ph.D. in Machine Learning, Statistics, Operations Research, Computer Science, Mathematics, or other quantitative fields
* 2\+ years professional experience in a technology company setting
* Proven experience with building and evaluating machine learning models
* Proficiency with Python and working in a production coding environment
* Passion for solving unstructured and non\-standard mathematical problems
* End\-to\-end experience with data, including querying, aggregation, analysis, and visualization
* Strong oral and written communication skills, and ability to collaborate and communicate with others to solve a problem
**Benefits:**
* Great medical, dental, and vision insurance options with additional programs available when enrolled
* Mental health benefits
* Family building benefits
* Child care and pet benefits
* 401(k) plan to help save for your future
* In addition to 12 observed holidays, salaried team members have discretionary paid time off, hourly team members have 15 days paid time off
* 18 weeks of paid parental leave. Biological, adoptive, and foster parents are all eligible
* Subsidized commuter benefits
* Lyft Pink \- Lyft team members get an exclusive opportunity to test new benefits of our Ridership Program
*Lyft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
*Lyft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
*The expected base pay range for this position in the Seattle area is $128,000 \-$160,000\. Salary ranges are dependent on a variety of factors, including qualifications, experience and geographic location. Range is not inclusive of potential equity offering, bonus or benefits. Your recruiter can share more information about the salary range specific to your working location and other factors during the hiring process.*</t>
        </is>
      </c>
    </row>
    <row r="75">
      <c r="A75" t="inlineStr">
        <is>
          <t>li-4373217872</t>
        </is>
      </c>
      <c r="B75" t="inlineStr">
        <is>
          <t>Data Scientist - Product</t>
        </is>
      </c>
      <c r="C75" t="inlineStr">
        <is>
          <t>Trezmo.</t>
        </is>
      </c>
      <c r="D75" t="inlineStr">
        <is>
          <t>linkedin</t>
        </is>
      </c>
      <c r="E75">
        <f>HYPERLINK("https://www.linkedin.com/jobs/view/4373217872", "https://www.linkedin.com/jobs/view/4373217872")</f>
        <v/>
      </c>
      <c r="F75" t="inlineStr"/>
      <c r="G75" t="inlineStr"/>
      <c r="H75" t="inlineStr"/>
      <c r="I75" t="inlineStr">
        <is>
          <t>We are currently partnered with a
 **well progressed scale\-up** 
 that is building out a
 **product focused data science team.** 
 Due to their
 **recent series E raise and** 
**rapidly growing ARR,** 
 this is one of the
 **fastest growing** 
 healthcare tech product companies globally.
 This
 **newly created role** 
 sits within a
 **newly created, product focused data science team** 
 focused on helping drive their product strategy.
**The role:** 
* Driving product strategy \- looking at how the users (doctors, nurses etc.) use their product to help identify new product lines
* Design, execute and analyze A/B tests to evaluate the effectiveness of new product features and design changes
* Tech stack: SQL, Python, R, Tableau, Looker \&amp; Sigma
* Hybrid working model \- 3 days a week in SF office
**The must haves:** 
* Minimum of 4 years of experience working in a product focused data science position (this is not an ML focused role)
* Experience working in either a rapidly scaling start\-up or in a consumer app company (huge bonus if you've done both)
* Experience designing, executing and analyzing A/B tests
* SQL mastery and Python and/or R
**The company:** 
* Healthcare tech scale\-up
* Great stability and runway with amazing ARR, recent \~$300M raise and a rapidly growing valuation
* Great working culture and benefits (worth mentioning they have a 4\.6 rating on Glassdoor)
**What's in it for you:** 
* Cash compensation of \~$200 to $230K
* Equity on top of cash compensation (with a high chance of paying off due to their growth \&amp; stage)
* Great benefits \- 13 holidays, flexible PTO, health coverage with 100% premium coverage, 16 weeks paid parental leave etc.
 If this role sounds like you, please don't hesitate to
 **apply now here via LinkedIn.**</t>
        </is>
      </c>
    </row>
    <row r="76">
      <c r="A76" t="inlineStr">
        <is>
          <t>li-4349823783</t>
        </is>
      </c>
      <c r="B76" t="inlineStr">
        <is>
          <t>Data Scientist</t>
        </is>
      </c>
      <c r="C76" t="inlineStr">
        <is>
          <t>FanDuel</t>
        </is>
      </c>
      <c r="D76" t="inlineStr">
        <is>
          <t>linkedin</t>
        </is>
      </c>
      <c r="E76">
        <f>HYPERLINK("https://www.linkedin.com/jobs/view/4349823783", "https://www.linkedin.com/jobs/view/4349823783")</f>
        <v/>
      </c>
      <c r="F76" t="inlineStr"/>
      <c r="G76" t="inlineStr">
        <is>
          <t>Jersey City, NJ</t>
        </is>
      </c>
      <c r="H76" t="inlineStr"/>
      <c r="I76" t="inlineStr">
        <is>
          <t>**THE POSITION**
 Our roster has an opening with your name on it
 FanDuel is looking for a Data Scientist, to drive our Sportsbook customer generosity distribution and bonus spend optimization. In this role you will be responsible for customer segmentation, modeling, automation, reporting and data analysis across all areas of Sportsbook generosity distribution. Using your numerical and technology capabilities you will play a key role in bonus spend research, optimization and communication of results to CRM and Commercial senior management.
 This is a great opportunity for somebody who wants to work in an environment where curiosity is rewarded, and people are empowered to make decisions. The ideal candidate will have a passion for continual learning and developing innovative solutions to business problems.
**THE GAME PLAN**
 Everyone on our team has a part to play
* Take on data science projects from start to finish, including working with stakeholders to agree project KPIs, and reporting on progress and outcomes throughout projects at agreed cadence
* Deliver high\-quality analysis, customer segmentation and predictive models which help drive incremental revenue through optimal automated bonus spend distribution
* Improve our understanding of customer behaviors, efficiency of promotions, and effectiveness of bonus spend
* Through idea generation and exploratory analysis, develop new and innovative ways to turn behaviors into features for use in analysis, segmentation and predictive modeling
* Create, modify, and evolve models which solve business problems, and show demonstrable improvements to department KPIs
* Demonstrate accurate insights and predictions using easy to interpret visualizations and clear explanations of results, recommendations, methods, biases and limitations
* Work with Data Engineering and Analytics Engineer to optimize data quality and data modeling pipelines
* Take responsibility to learn the necessary skills and techniques, to develop ability to work with independence, integrity and accuracy
* Collaborate with key stakeholders to help in identifying areas for improvement, and support their strategic objectives
* Assist in coaching, developing and performance managing less experienced team members
* Contribute new ideas for data science projects which have demonstrable potential to improve revenue performance or customer experience
**THE STATS**
 What we're looking for in our next teammate
* Minimum of 3\+ years of previous Data Science or Analytics Experience
* Minimum 1\+ years building and deploying complex machine learning models with real world applications
* Have a developed technical skill set which facilitates high\-quality, efficient \&amp; comprehensive quantitative analysis
* Proficient in SQL and experience of manipulating large datasets in Microsoft Excel
* Proficient in statistical or programming software and techniques (e.g. in Python, R, C\#, VBA, etc.)
* Strong communication and presentation skills, experienced in explaining technical projects to non\-technical stakeholders
* Experience working with data visualization tools like Tableau an advantage
* Undergraduate degree in a numerate or technical discipline
* Interest in sports is a plus
* Interest or experience in the Sports betting industry is an advantage
**About Fanduel**
 FanDuel Group is the premier mobile gaming company in the United States. FanDuel Group consists of a portfolio of leading brands across mobile wagering including: America’s \#1 Sportsbook, FanDuel Sportsbook; its leading iGaming platform, FanDuel Casino; the industry’s unquestioned leader in horse racing and advance\-deposit wagering, FanDuel Racing; and its daily fantasy sports product.
 In addition, FanDuel Group operates FanDuel TV, its broadly distributed linear cable television network and FanDuel TV\+, its leading direct\-to\-consumer OTT platform. FanDuel Group has a presence across all 50 states and Puerto Rico.
 The company is based in New York with US offices in Los Angeles, Atlanta, and Jersey City, as well as global offices in Canada and Scotland. The company’s affiliates have offices worldwide, including in Ireland, Portugal, Romania, and Australia.
 FanDuel Group is a subsidiary of Flutter Entertainment, the world's largest sports betting and gaming operator with a portfolio of globally recognized brands and traded on the New York Stock Exchange (NYSE: FLUT).
**Player Benefits**
 We treat our team right
 We offer amazing benefits above and beyond the basics. We have an array of health plans to choose from (some as low as $0 per paycheck) that include programs for fertility and family planning, mental health support, and fitness benefits. We offer generous paid time off (PTO \&amp; sick leave), annual bonus and long\-term incentive opportunities (based on performance), 401k with up to a 5% match, commuter benefits , pet insurance, and more \- check out all our benefits here:
 **FanDuel Total Rewards** 
 . \*Benefits differ across location, role, and level.
 FanDuel is an equal opportunities employer and we believe, as one of our principles states, “We are One Team!”. As such, we are committed to equal employment opportunity regardless of race, color, ethnicity, ancestry, religion, creed, sex, national origin, sexual orientation, age, citizenship status, marital status, disability, gender identity, gender expression, veteran status, or another other characteristic protected by state, local or federal law. We believe FanDuel is strongest and best able to compete if all employees feel valued, respected, and included.
***The applicable salary range for this position is $116,000 \- $145,000 USD, which is dependent on a variety of factors including relevant experience, location, business needs and market demand. This role may offer the following benefits: medical, vision, and dental insurance; life insurance; disability insurance; a 401(k) matching program; among other employee benefits. This role may also be eligible for short\-term or long\-term incentive compensation, including, but not limited to, cash bonuses and stock program participation. This role includes paid personal time off and 14 paid company holidays. FanDuel offers paid sick time in accordance with all applicable state and federal laws.***</t>
        </is>
      </c>
    </row>
    <row r="77">
      <c r="A77" t="inlineStr">
        <is>
          <t>li-4371584235</t>
        </is>
      </c>
      <c r="B77" t="inlineStr">
        <is>
          <t>Data Scientist, Online</t>
        </is>
      </c>
      <c r="C77" t="inlineStr">
        <is>
          <t>The Home Depot</t>
        </is>
      </c>
      <c r="D77" t="inlineStr">
        <is>
          <t>linkedin</t>
        </is>
      </c>
      <c r="E77">
        <f>HYPERLINK("https://www.linkedin.com/jobs/view/4371584235", "https://www.linkedin.com/jobs/view/4371584235")</f>
        <v/>
      </c>
      <c r="F77">
        <f>HYPERLINK("https://homedepot.contacthr.com/151022066&amp;urlHash=MU7E", "https://homedepot.contacthr.com/151022066&amp;urlHash=MU7E")</f>
        <v/>
      </c>
      <c r="G77" t="inlineStr">
        <is>
          <t>Atlanta, GA</t>
        </is>
      </c>
      <c r="H77" t="inlineStr"/>
      <c r="I77" t="inlineStr">
        <is>
          <t>Req167506
**Position Purpose**
 The Data Scientist is responsible for supporting data science initiatives that drive business profitability, increased efficiencies and improved customer experience. This role applies industry\-leading analytical methodologies for working with large datasets to extract meaningful business insight and creatively solve business problems. Data Scientists are also responsible for ensuring that developed codes are documented into a library of reusable algorithms. Based on the specific data science team, this role would need to be knowledgeable in one or more data science specializations, such as optimization, computer vision, recommendation, search or NLP.
 As a Data Scientist, you will apply advanced analytics methods and algorithms for identifying trends and providing business solutions. This role is expected to present insights and recommendations to non\-technical audiences and explain the benefits and impacts of the recommended solutions. In addition, Data Scientists collaborate with business partners and cross\-functional teams, requiring effective communication skills, building relationships, and focus on understanding the overall business area being supported.
**Key Responsibilities**
* 55% Solution Development \- Design and develop algorithms and models to use against large datasets to create business insights; Participates in large data analytics project teams by serving as a technical lead for analytics projects; May lead small projects and work independently on solution development; Execute tasks with high levels of efficiency and quality; Make appropriate selection, utilization and interpretation of advanced analytical methodologies
* 20% Communicating Results \- Effectively communicate insights and recommendations to both technical and non\-technical leaders and business customers/partners; Present recommendations in a confident manner in order to influence execution of recommendation; Prepare reports, updates and/or presentations related to progress made on a project or solution; Clearly communicate impacts of recommendations to drive alignment and appropriate implementation
* 10% Business Collaboration \- Incorporate business knowledge into solution approach; Effectively develop trust and collaboration with internal customers and cross\-functional teams; Work with project teams and business partners to determine project goals
* 15% Technical Exploration \&amp; Development \- Seek further knowledge on key developments within data science, technical skill sets, and additional data sources; Participate in the continuous improvement of data science and analytics by developing replicable solutions (for example, codified data products, project documentation, process flowcharts) to ensure solutions are leveraged for future projects; Build and maintain library of reusable algorithms for future use, ensuring developed codes are documented
**Direct Manager/Direct Reports**
* This position typically reports to Manager or above
* This position has 0 Direct Reports
**Travel Requirements**
* Typically requires overnight travel less than 10% of the time.
**Physical Requirements**
* Most of the time is spent sitting in a comfortable position and there is frequent opportunity to move about. On rare occasions there may be a need to move or lift light articles.
**Working Conditions**
* Located in a comfortable indoor area. Any unpleasant conditions would be infrequent and not objectionable.
**Minimum Qualifications**
* Must be eighteen years of age or older.
* Must be legally permitted to work in the United States.
**Preferred Qualifications**
* Masters in a quantitative field (Computer Science, Math, Statistics, etc.) or equivalent work experience
* 4\+ years of experience in business intelligence and analytics
* Working knowledge of Microsoft Excel and Power Point
* Experience in a modern scripting language (preferably Python)
* Proficient running queries against data (preferably with Google BigQuery or SQL)
* Proficient with data visualization software (preferably Tableau)
* Proficient utilizing statistical techniques to identify key insights that help solve business problems
* Knowledgeable in Prescriptive Modeling like optimization, computer vision, recommendation, search or NLP
* Demonstrated experience in predictive modeling, data mining and data analysis
**Minimum Education**
* The knowledge, skills and abilities typically acquired through the completion of a bachelor's degree program or equivalent degree in a field of study related to the job.
**Preferred Education**
* No additional education
**Minimum Years Of Work Experience**
* 3
**Preferred Years Of Work Experience**
* No additional years of experience
**Minimum Leadership Experience**
* None
**Preferred Leadership Experience**
* None
**Certifications**
* None
**Competencies**
* Action Oriented: Taking on new opportunities and tough challenges with a sense of urgency, high energy, and enthusiasm
* Business Insight: Applying knowledge of the business and the marketplace to advance the organization's goals
* Collaborates: Building partnerships and working collaboratively with others to meet shared objectives
* Communicates Effectively: Developing and delivering multi\-mode communications that convey a clear understanding of the unique needs of different audiences
* Customer Focus: Building strong customer relationships and delivering customer\-centric solutions
* Drives Results: Consistently achieving results, even under tough circumstances
* Nimble Learning: Actively learning through experimentation when tackling new problems, using both successes and failures as learning fodder
* Optimizes Work Processes: Knowing the most efficient and effective processes to get things done, with a focus on continuous improvement
* Plans and Aligns: Planning and prioritizing work to meet commitments aligned with organizational goals
* Self\-Development: Actively seeking new ways to grow and be challenged using both formal and informal development channels</t>
        </is>
      </c>
    </row>
    <row r="78">
      <c r="A78" t="inlineStr">
        <is>
          <t>li-4341945333</t>
        </is>
      </c>
      <c r="B78" t="inlineStr">
        <is>
          <t>Senior Data Scientist - Financial Platform</t>
        </is>
      </c>
      <c r="C78" t="inlineStr">
        <is>
          <t>Square</t>
        </is>
      </c>
      <c r="D78" t="inlineStr">
        <is>
          <t>linkedin</t>
        </is>
      </c>
      <c r="E78">
        <f>HYPERLINK("https://www.linkedin.com/jobs/view/4341945333", "https://www.linkedin.com/jobs/view/4341945333")</f>
        <v/>
      </c>
      <c r="F78" t="inlineStr"/>
      <c r="G78" t="inlineStr"/>
      <c r="H78" t="inlineStr"/>
      <c r="I78" t="inlineStr">
        <is>
          <t>Since we opened our doors in 2009, the world of commerce has evolved immensely, and so has Block. After enabling anyone to take payments and never miss a sale, we saw sellers stymied by disparate, outmoded products and tools that wouldn’t work together.
 So we expanded into software and started building integrated, omnichannel solutions – to help sellers sell online, manage inventory, offer buy now, pay later functionality,  book appointments, engage loyal buyers, and hire and pay staff. Across it all, we’ve embedded financial services tools at the point of sale, so merchants can access a business loan and manage their cash flow in one place. Afterpay furthers our goal to provide omnichannel tools that unlock meaningful value and growth, enabling sellers to capture the next generation shopper, increase order sizes, and compete at a larger scale.
 Today, we are a partner to sellers of all sizes – large, enterprise\-scale businesses with complex operations, sellers just starting, as well as merchants who began selling with Square and have grown larger over time. As our sellers grow, so do our solutions. There is a massive opportunity in front of us. We’re building a significant, meaningful, and lasting business, and we are helping sellers worldwide do the same.
**The Role** 
 We are looking for an experienced Data scientist to join Block’s AI, Data, and Analytics (AiDA) team. This role will support the Financial Platform (FinPlat) organization, focusing on “acquiring side” A\|B testing, reporting, strategic analysis, and automation. FinPlat is the “central nervous system” of Block, enabling the movement and ledgering of funds for our three main businesses: Square, Cash App, and AfterPay. Additionally, FinPlat provides significant financial impact through optimization of transaction costs and authorization rates.
**You Will** 
* Establish subject\-matter expertise in payment rails, focusing on cards (pre\-paid, debit, credit, etc.) and bank rails (wire, ACH, direct deposit, etc.)
* Influence product roadmaps and guide the Financial Operations (FinOps) team to navigate through product opportunities and problem ambiguities.
* Build “soup to nuts” data products, taking raw eventing data from engineering teams and turning into actionable analyses and ML models.
* Partner with Engineering and Operations leadership to drive a culture of data\-driven financial impact.
* Expand your influence in the Block Data Science community by developing and evangelizing data solutions to improve analytics insightfulness and actionability.
**You Have** 
* 8\+ years of related experience (data science, preferably in payment analytics, chargebacks, or related fields) with Bachelor's degree; or 6 years and a Master’s degree; or a PhD with 3 years experience; or equivalent experience
* At least a bachelor's degree in a technical field such as Engineering, Physics, mathematics, computer science, etc.
* Experience working on ambiguous problems with high business impact and resolving complex issues in innovative and efficient ways.
* Expertise in hypothesis testing and causal inference.
* A strong understanding and willingness to be hands\-on in building data pipelines and architecture.
* Ability to build strong relationships with cross\-functional stakeholders, clearly communicating findings and influencing product designs.
* Advanced proficiency with data, analytics, and visualization technologies (we use SQL, Looker, and Python).
**Even better** 
* Experience working in Fintech or banking.
* Have an advanced degree.
 We’re working to build a more inclusive economy where our customers have equal access to opportunity, and we strive to live by these same values in building our workplace. Block is an equal opportunity employer evaluating all employees and job applicants without regard to identity or any legally protected class. We will consider qualified applicants with arrest or conviction records for employment in accordance with state and local laws and “fair chance” ordinances.
 We believe in being fair, and are committed to an inclusive interview experience, including providing reasonable accommodations to disabled applicants throughout the recruitment process. We encourage applicants to share any needed accommodations with their recruiter, who will treat these requests as confidentially as possible.
 **Want to learn more about what we’re doing to build a workplace that is fair and square? Check out our** 
 I\+D page.
 While there is no specific deadline to apply for this role, U.S. roles are typically open for an average of 55 days before being filled by a successful candidate. Please refer to the date listed at the top of this job page for when this role was first posted.
  Block takes a market\-based approach to pay, and pay may vary depending on your location. U.S. locations are categorized into one of four zones based on a cost of labor index for that geographic area. The successful candidate’s starting pay will be determined based on job\-related skills, experience, qualifications, work location, and market conditions. These ranges may be modified in the future.To find a location’s zone designation, please refer to this resource. If a location of interest is not listed, please speak with a recruiter for additional information.  
 Zone A:: $198,000 USD \- $297,000 USD
 Zone B: : $188,100 USD \- $282,100 USD
 Zone C:: $178,200 USD \- $267,400 USD
 Zone D:: $168,300 USD \- $252,500 USD
**Use of AI in Our Hiring Process** 
 We may use automated AI tools to evaluate job applications for efficiency and consistency. These tools comply with local regulations, including bias audits, and we handle all personal data in accordance with state and local privacy laws. 
 Contact us at privacy@block.xyz with hiring practice or data usage questions.
*Every benefit we offer is designed with one goal: empowering you to do the best work of your career while building the life you want. Remote work, medical insurance, flexible time off, retirement savings plans, and modern family planning are just some of our offering.* 
*Check out our other benefits at Block.* 
*Block, Inc. (NYSE: XYZ) builds technology to increase access to the global economy. Each of our brands unlocks different aspects of the economy for more people. 
 **Square** 
  makes commerce and financial services accessible to sellers. 
 **Cash App** 
  is the easy way to spend, send, and store money. 
 **Afterpay** 
  is transforming the way customers manage their spending over time. 
 **TIDAL** 
  is a music platform that empowers artists to thrive as entrepreneurs. 
 **Bitkey** 
  is a simple self\-custody wallet built for bitcoin. 
 **Proto** 
  is a suite of bitcoin mining products and services. Together, we’re helping build a financial system that is open to everyone.* 
 Privacy Policy</t>
        </is>
      </c>
    </row>
    <row r="79">
      <c r="A79" t="inlineStr">
        <is>
          <t>li-4346897333</t>
        </is>
      </c>
      <c r="B79" t="inlineStr">
        <is>
          <t>Senior Data Scientist, Rider New Products</t>
        </is>
      </c>
      <c r="C79" t="inlineStr">
        <is>
          <t>Lyft</t>
        </is>
      </c>
      <c r="D79" t="inlineStr">
        <is>
          <t>linkedin</t>
        </is>
      </c>
      <c r="E79">
        <f>HYPERLINK("https://www.linkedin.com/jobs/view/4346897333", "https://www.linkedin.com/jobs/view/4346897333")</f>
        <v/>
      </c>
      <c r="F79">
        <f>HYPERLINK("http://boards.greenhouse.io/lyft/jobs/8355960002?gh_src=dd08aaff2us&amp;urlHash=vqRj", "http://boards.greenhouse.io/lyft/jobs/8355960002?gh_src=dd08aaff2us&amp;urlHash=vqRj")</f>
        <v/>
      </c>
      <c r="G79" t="inlineStr">
        <is>
          <t>New York, NY</t>
        </is>
      </c>
      <c r="H79" t="inlineStr"/>
      <c r="I79" t="inlineStr">
        <is>
          <t>At Lyft, our purpose is to serve and connect. We aim to achieve this by cultivating a work environment where all team members belong and have the opportunity to thrive.
 The Rider team is the heartbeat of Lyft business. Every feature you build translates to a better experience for millions of riders globally. The Rider New Product team is the engine of innovation for Lyft's business. The Rider New Product science team’s mission is to rigorously quantify the value of innovation by applying advanced causal inference to unlock Lyft’s next generation of growth. You will have the autonomy of a startup lead with the data scale of a global tech giant.
 This is a high\-impact, highly technical role within a core business line. The ideal candidate brings strong applied causal inference intuition, hands\-on experience with advanced measurement techniques, and the ability to write clean, efficient production code. You will play a critical role in shaping the future of the Lyft rideshare experience by rigorously measuring the true incremental impact of new product features, shaping critical business decisions, and bridging the gap between cutting\-edge applied science research and production\-scale product impact.
**Responsibilities**
* Own complex, open\-ended incrementality measurement problems. Translate ambiguous product launches into concrete causal frameworks and experimental designs.
* Lead high\-impact Causal Inference initiatives. Drive innovation by introducing advanced measurement techniques to quantify the incremental impact of new rider features.
* Partner deeply with Product, Engineering, and Finance. Define the technical vision for how Lyft evaluates innovation, ensuring that we move beyond simple correlations to understand the long\-term drivers of rider behavior and value.
* Design and build production\-grade measurement systems. Develop and deploy robust causal models pipelines that balance high scientific rigor with the practical constraints.
* Establish robust evaluation frameworks. Ensure that the "engine of innovation" is steering the business toward sustainable, incremental growth.
* Build reusable science infrastructure. Create internal libraries and best practices for causal discovery and automated measurement.
* Mentor and guide junior/mid\-level scientists. Serve as a technical advisor on experimental design, statistical modeling, and fostering a culture of scientific excellence.
**Experience:** 
* Advanced Quantitative Background: Master’s or PhD in Economics, Statistics, Applied Math, Computer Science or equivalent high\-impact industry experience.
* 3\+ Years of Applied Experience: Proven track record in applied science or data science, with a focus on deploying causal models that drive measurable business outcomes.
* Deep product intuition and hands\-on experience with causal methods
* Strong proficiency in Python and SQL.
* Experienced in defining and executing sophisticated evaluation strategies, including advanced experiment design and counterfactual analysis to isolate incrementality.
* Proven ability to align cross\-functional partners, influence technical architecture, and challenge scientific assumptions to guide high\-level product strategy.
* Excellent ability to articulate complex causal concepts, trade\-offs between rigor and speed, and scientific findings to both technical peers and executive stakeholders.
* Preferred Qualifications
+ Demonstrated ability to own high\-stakes, open\-ended problem spaces, translating vague business questions into rigorous scientific roadmaps.
+ Experience in mentoring other scientists, elevating the bar for technical quality, and establishing best practices for modeling and scientific reasoning.
**Benefits:**
* Great medical, dental, and vision insurance options with additional programs available when enrolled
* Mental health benefits
* Family building benefits
* Child care and pet benefits
* 401(k) plan to help save for your future
* In addition to 12 observed holidays, salaried team members have discretionary paid time off, hourly team members have 15 days paid time off
* 18 weeks of paid parental leave. Biological, adoptive, and foster parents are all eligible
* Subsidized commuter benefits
* Lyft Pink \- Lyft team members get an exclusive opportunity to test new benefits of our Ridership Program
 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
 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
 The expected base pay range for this position in the New York City area is $148,000 \- $185,000, not inclusive of potential equity offering, bonus or benefits. Salary ranges are dependent on a variety of factors, including qualifications, experience and geographic location. Your recruiter can share more information about the salary range specific to your working location and other factors during the hiring process.</t>
        </is>
      </c>
    </row>
    <row r="80">
      <c r="A80" t="inlineStr">
        <is>
          <t>li-4329966693</t>
        </is>
      </c>
      <c r="B80" t="inlineStr">
        <is>
          <t>Data Scientist</t>
        </is>
      </c>
      <c r="C80" t="inlineStr">
        <is>
          <t>Kikoff</t>
        </is>
      </c>
      <c r="D80" t="inlineStr">
        <is>
          <t>linkedin</t>
        </is>
      </c>
      <c r="E80">
        <f>HYPERLINK("https://www.linkedin.com/jobs/view/4329966693", "https://www.linkedin.com/jobs/view/4329966693")</f>
        <v/>
      </c>
      <c r="F80" t="inlineStr"/>
      <c r="G80" t="inlineStr">
        <is>
          <t>San Francisco, CA</t>
        </is>
      </c>
      <c r="H80" t="inlineStr"/>
      <c r="I80" t="inlineStr">
        <is>
          <t>**Responsibilities**
 As a Data Scientist at Kikoff, you work closely with cross functional teams incl. Product, Engineering, Data Engineering, Marketing, Operation. By applying your technical skills, analytical mindset, and product intuition, you will help our customers improve their financial security. You will use data to identify and solve product development’s biggest challenges. Your responsibilities includes:
* Product leadership: use data to shape product development, quantify new opportunities, set goals, identify upcoming challenges, and ensure the products we build bring value to our customers.
* Analytics: develop hypotheses and employ a diverse toolkit of rigorous analytical approaches, different methodologies, frameworks, and technical approaches to test them.
* Communication and influence: convince and influence your partners by telling clear data stories.
**Qualifications**
* Bachelors’ or above in quantitative discipline: Statistics, Applied Mathematics, Economics, Computer Science, Engineering, or related field
* A minimum of 2 years of work experience in analytics
* Expert knowledge of SQL and experience with Python
* Deep understanding of statistical analysis, experimentation design, and common analytical techniques like regression, decision trees
* Strong verbal and written communication skills
* A humble collaborative can\-do attitude and natural curiosity
**Kikoff: A FinTech Unicorn Powering Financial Progress with AI**
 At Kikoff, our mission is to provide radically affordable financial tools to help consumers achieve financial security. We're a profitable, high growth FinTech unicorn serving millions of people, many of whom are building credit or navigating life paycheck to paycheck. With innovative technology and AI, we simplify credit building, reduce debt, and expand access to financial opportunities to those who need them the most. Founded in 2019, Kikoff is headquartered in San Francisco and backed by top\-tier VC investors and NBA star Stephen Curry.
**Why Kikoff**
 This is a consumer fintech startup, and you will be working with serial entrepreneurs who have built strong consumer brands and innovative products. We value extreme ownership, clear communication, a strong sense of craftsmanship, and the desire to create lasting work and work relationships. Yes, you can build an exciting business AND have real\-life real\-customer impact.
**Competitive Pay Based On Experience**
 🏥 Medical, dental, and vision coverage \- Kikoff covers the full cost of health insurance for the employee!
 📈 Stock Options
 🏝 Flexible vacation policy to help you recharge
 💰 US salary range for this full\-time position consists of base \+ equity \+ benefits
 Location: Hybrid San Francisco, CA
**Visa sponsorship available: Kikoff is willing to provide sponsorship for H1\-B visas and U.S. green cards for exceptional talent.**
 Equal Employment Opportunity Statement
 Kikoff Inc. is an equal opportunity employer. We are committed to complying with all federal, state, and local laws providing equal employment opportunities and considers qualified applicants without regard to race, color, religion, creed, gender, national origin, age, disability, veteran status, marital status, pregnancy, sex, gender expression or identity, sexual orientation, citizenship, or any other legally protected class.
**Please Reference The Following Information For More Information**
 https://www.eeoc.gov/sites/default/files/migrated\_files/employers/poster\_screen\_reader\_optimized.pdfhttps://www.dol.gov/ofccp/regs/compliance/posters/pdf/OFCCP\_EEO\_Supplement\_Final\_JRF\_QA\_508c.pdf</t>
        </is>
      </c>
    </row>
    <row r="81">
      <c r="A81" t="inlineStr">
        <is>
          <t>li-4363426142</t>
        </is>
      </c>
      <c r="B81" t="inlineStr">
        <is>
          <t>Growth Data Scientist</t>
        </is>
      </c>
      <c r="C81" t="inlineStr">
        <is>
          <t>Docusign</t>
        </is>
      </c>
      <c r="D81" t="inlineStr">
        <is>
          <t>linkedin</t>
        </is>
      </c>
      <c r="E81">
        <f>HYPERLINK("https://www.linkedin.com/jobs/view/4363426142", "https://www.linkedin.com/jobs/view/4363426142")</f>
        <v/>
      </c>
      <c r="F81" t="inlineStr"/>
      <c r="G81" t="inlineStr">
        <is>
          <t>San Francisco, CA</t>
        </is>
      </c>
      <c r="H81" t="inlineStr"/>
      <c r="I81" t="inlineStr">
        <is>
          <t>**Company Overview**
 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
 What you'll do
 We’re looking for a strategic, execution\-minded Growth Data Scientist to be the data science engine behind Docusign’s self\-serve retention motion — ensuring our customers stay active, get value, and renew through intuitive, data\-driven product and lifecycle experiences. Partnering closely with a cross\-functional squad — including Growth, Product, Lifecycle Marketing, Customer Success, Engineering, and Strategy \&amp; Ops — you will use data and insights to help build and scale the systems that prevent churn and drive durable customer value.
 You will lead strategic analyses and hands\-on experimentation to uncover, validate, and scale new ways to reduce active and partial churn by improving usage, value realization, plan fit, and save\-flows. You will sit at the center of Docusign’s retention strategy, translating behavioral signals, product telemetry, and customer intent into decisions that shape how customers stay, downgrade, upgrade, or renew.
 In this high\-impact, hands\-on role, you will own retention performance readouts, design and analyze cancel\-save and customer lifecycle experiments, and deliver clear, compelling insights that directly inform product, marketing, and go\-to\-market execution. You will help Docusign evolve to a proactive, intelligent, and customer\-centric retention engine — where the right intervention happens at the right moment in the customer journey.
 Our ideal candidate combines best\-in\-class analytical skills, a strong strategic mindset with a bias for execution, a passion for experimentation and continuous learning, and a proven record of turning usage, churn signals, and customer behavior into measurable retention and revenue impact.
 This position is an individual contributor role reporting to the Director, Growth Analytics.
**Responsibility**
* Translate complex data and analyses into clear, data‑backed recommendations for senior leadership, influencing strategic direction across Growth, Product, Marketing, Sales, and Customer Success
* Provide regular reporting on key metrics to executive leadership, highlighting successes, identifying risks, and recommending proactive solutions
* Design, implement, and analyze experiments (A/B tests, causal inference) that inform product and GTM decisions and quantify business impact
* Identify growth opportunities and risks, using forecasting and scenario modeling to guide resource allocation and prioritization
* Apply advanced analytical techniques (e.g., predictive modeling, customer segmentation, LTV analysis) to understand customer behavior, forecast outcomes, and inform strategic initiatives
 Job Designation
**Hybrid:** 
 Employee divides their time between in\-office and remote work. Access to an office location is required. (Frequency: Minimum 2 days per week; may vary by team but will be weekly in\-office expectation)
 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
 What you bring
**Basic**
* 2\+ years of experience in Analytics, Data Science, or related roles \- ideally spanning product/growth analytics, strategic/consulting analytics, or sales‑operations analytics in a SaaS environment
* Experience with experimentation frameworks (A/B testing, causal inference) and strategic analysis
* Experience with SQL plus Python or R, and strong command of visualization tools such as Tableau, Looker, or equivalent
* Demonstrated ability to distill complex analytical findings into concise, actionable recommendations for executive audiences
**Preferred**
* Excellent communication and presentation skills with the ability to present complex data analysis, insights, and recommendations to senior leadership
* Prior partnership with Growth Product Management or Marketing, influencing strategy through data‑driven insights.
* Experience operating in hybrid self‑serve / sales‑assisted SaaS business models
* MBA, MS, or PhD in a quantitative discipline (e.g., Statistics, Computer Science, Economics)
 Wage Transparency
 Pay for this position is based on a number of factors including geographic location and may vary depending on job\-related knowledge, skills, and experience.
 Based on applicable legislation, the below details pay ranges in the following locations:
 California: $100,300\.00 \- $154,900\.00 base salary
**This Role Is Also Eligible For The Following**
* Bonus: Sales personnel are eligible for variable incentive pay dependent on their achievement of pre\-established sales goals. Non\-Sales roles are eligible for a company bonus plan, which is calculated as a percentage of eligible wages and dependent on company performance.
* Stock: This role is eligible to receive Restricted Stock Units (RSUs).
**Benefits**
 Global benefits provide options for the following:
* Paid Time Off: earned time off, as well as paid company holidays based on region
* Paid Parental Leave: take up to six months off with your child after birth, adoption or foster care placement
* Full Health Benefits Plans: options for 100% employer paid and minimum employee contribution health plans from day one of employment
* Retirement Plans: select retirement and pension programs with potential for employer contributions
* Learning and Development: options for coaching, online courses and education reimbursements
* Compassionate Care Leave: paid time off following the loss of a loved one and other life\-changing events
**Work Authorization Notice:** 
 Please note that we do not provide visa sponsorship or immigration support for this position. Applicants must already be authorized to work in the United States on a full\-time, permanent basis without the need for current or future sponsorship.
 Life at Docusign
**Working here**
 Docusign is committed to building trust and making the world more agreeable for our employees, customers and the communities in which we live and work. You can count on us to listen, be honest, and try our best to do what’s right, every day. At Docusign, everything is equal.
 We each have a responsibility to ensure every team member has an equal opportunity to succeed, to be heard, to exchange ideas openly, to build lasting relationships, and to do the work of their life. Best of all, you will be able to feel deep pride in the work you do, because your contribution helps us make the world better than we found it. And for that, you’ll be loved by us, our customers, and the world in which we live.
**Accommodation**
 Docusign is committed to providing reasonable accommodations for qualified individuals with disabilities in our job application procedures. If you need such an accommodation, or a religious accommodation, during the application process, please contact us at accommodations@docusign.com.
 If you experience any issues, concerns, or technical difficulties during the application process please get in touch with our Talent organization at taops@docusign.com for assistance.
 Applicant and Candidate Privacy Notice
 States Not Eligible for Employment
 This position is not eligible for employment in the following states: Alaska, Hawaii, Maine, Mississippi, North Dakota, South Dakota, Vermont, West Virginia and Wyoming.
 Equal Opportunity Employer
 It's important to us that we build a talented team that is as diverse as our customers and where all employees feel a deep sense of belonging and thrive. We encourage great talent who bring a range of perspectives to apply for our open positions. Docusign is an Equal Opportunity Employer and makes hiring decisions based on experience, skill, aptitude and a can\-do approach. We will not discriminate based on race, ethnicity, color, age, sex, religion, national origin, ancestry, pregnancy, sexual orientation, gender identity, gender expression, genetic information, physical or mental disability, registered domestic partner status, caregiver status, marital status, veteran or military status, or any other legally protected category.
 EEO Know Your Rights poster</t>
        </is>
      </c>
    </row>
    <row r="82">
      <c r="A82" t="inlineStr">
        <is>
          <t>li-4341865253</t>
        </is>
      </c>
      <c r="B82" t="inlineStr">
        <is>
          <t>Staff Data Scientist - Financial Platform</t>
        </is>
      </c>
      <c r="C82" t="inlineStr">
        <is>
          <t>Square</t>
        </is>
      </c>
      <c r="D82" t="inlineStr">
        <is>
          <t>linkedin</t>
        </is>
      </c>
      <c r="E82">
        <f>HYPERLINK("https://www.linkedin.com/jobs/view/4341865253", "https://www.linkedin.com/jobs/view/4341865253")</f>
        <v/>
      </c>
      <c r="F82" t="inlineStr"/>
      <c r="G82" t="inlineStr"/>
      <c r="H82" t="inlineStr"/>
      <c r="I82" t="inlineStr">
        <is>
          <t>Since we opened our doors in 2009, the world of commerce has evolved immensely, and so has Block. After enabling anyone to take payments and never miss a sale, we saw sellers stymied by disparate, outmoded products and tools that wouldn’t work together.
 So we expanded into software and started building integrated, omnichannel solutions – to help sellers sell online, manage inventory, offer buy now, pay later functionality,  book appointments, engage loyal buyers, and hire and pay staff. Across it all, we’ve embedded financial services tools at the point of sale, so merchants can access a business loan and manage their cash flow in one place. Afterpay furthers our goal to provide omnichannel tools that unlock meaningful value and growth, enabling sellers to capture the next generation shopper, increase order sizes, and compete at a larger scale.
 Today, we are a partner to sellers of all sizes – large, enterprise\-scale businesses with complex operations, sellers just starting, as well as merchants who began selling with Square and have grown larger over time. As our sellers grow, so do our solutions. There is a massive opportunity in front of us. We’re building a significant, meaningful, and lasting business, and we are helping sellers worldwide do the same.
**The Role** 
 We are looking for an experienced Data scientist to join Block’s AI, Data, and Analytics (AiDA) team. This role will support the Financial Platform (FinPlat) organization, focusing on “acquiring side” A\|B testing, reporting, strategic analysis, and automation. FinPlat is the “central nervous system” of Block, enabling the movement and ledgering of funds for our three main businesses: Square, Cash App, and AfterPay. Additionally, FinPlat provides significant financial impact through optimization of transaction costs and authorization rates.
**You Will** 
* Establish subject\-matter expertise in payment rails, focusing on cards (pre\-paid, debit, credit, etc.) and bank rails (wire, ACH, direct deposit, etc.)
* Influence product roadmaps and guide the Financial Operations (FinOps) team to navigate through product opportunities and problem ambiguities.
* Build “soup to nuts” data products, taking raw eventing data from engineering teams and turning into actionable analyses and ML models.
* Partner with Engineering and Operations leadership to drive a culture of data\-driven financial impact.
* Expand your influence in the Block Data Science community by developing and evangelizing data solutions to improve analytics insightfulness and actionability.
**You Have** 
* 12\+ years of related experience (data science, preferably in payment analytics, chargebacks, or related fields) with Bachelor's degree; or 8 years and a Master’s degree; or a PhD with 5 years experience; or equivalent experience
* At least a bachelor's degree in a technical field such as Engineering, Physics, mathematics, computer science, etc.
* Experience working on ambiguous problems with high business impact and resolving complex issues in innovative and efficient ways.
* Expertise in hypothesis testing and causal inference.
* A strong understanding and willingness to be hands\-on in building data pipelines and architecture.
* Ability to build strong relationships with cross\-functional stakeholders, clearly communicating findings and influencing product designs.
* Advanced proficiency with data, analytics, and visualization technologies (we use SQL, Looker, and Python).
**Even Better** 
* Experience working in Fintech or banking.
* Have an advanced degree.
 We’re working to build a more inclusive economy where our customers have equal access to opportunity, and we strive to live by these same values in building our workplace. Block is an equal opportunity employer evaluating all employees and job applicants without regard to identity or any legally protected class. We will consider qualified applicants with arrest or conviction records for employment in accordance with state and local laws and “fair chance” ordinances.
 We believe in being fair, and are committed to an inclusive interview experience, including providing reasonable accommodations to disabled applicants throughout the recruitment process. We encourage applicants to share any needed accommodations with their recruiter, who will treat these requests as confidentially as possible.
 **Want to learn more about what we’re doing to build a workplace that is fair and square? Check out our** 
 I\+D page.
 While there is no specific deadline to apply for this role, U.S. roles are typically open for an average of 55 days before being filled by a successful candidate. Please refer to the date listed at the top of this job page for when this role was first posted.
  Block takes a market\-based approach to pay, and pay may vary depending on your location. U.S. locations are categorized into one of four zones based on a cost of labor index for that geographic area. The successful candidate’s starting pay will be determined based on job\-related skills, experience, qualifications, work location, and market conditions. These ranges may be modified in the future.To find a location’s zone designation, please refer to this resource. If a location of interest is not listed, please speak with a recruiter for additional information.  
 Zone A:: $239,600 USD \- $359,400 USD
 Zone B: : $239,600 USD \- $359,400 USD
 Zone C:: $239,600 USD \- $359,400 USD
 Zone D:: $239,600 USD \- $359,400 USD
**Use of AI in Our Hiring Process** 
 We may use automated AI tools to evaluate job applications for efficiency and consistency. These tools comply with local regulations, including bias audits, and we handle all personal data in accordance with state and local privacy laws. 
 Contact us at privacy@block.xyz with hiring practice or data usage questions.
*Every benefit we offer is designed with one goal: empowering you to do the best work of your career while building the life you want. Remote work, medical insurance, flexible time off, retirement savings plans, and modern family planning are just some of our offering.* 
*Check out our other benefits at Block.* 
*Block, Inc. (NYSE: XYZ) builds technology to increase access to the global economy. Each of our brands unlocks different aspects of the economy for more people. 
 **Square** 
  makes commerce and financial services accessible to sellers. 
 **Cash App** 
  is the easy way to spend, send, and store money. 
 **Afterpay** 
  is transforming the way customers manage their spending over time. 
 **TIDAL** 
  is a music platform that empowers artists to thrive as entrepreneurs. 
 **Bitkey** 
  is a simple self\-custody wallet built for bitcoin. 
 **Proto** 
  is a suite of bitcoin mining products and services. Together, we’re helping build a financial system that is open to everyone.* 
 Privacy Policy</t>
        </is>
      </c>
    </row>
    <row r="83">
      <c r="A83" t="inlineStr">
        <is>
          <t>li-4372074712</t>
        </is>
      </c>
      <c r="B83" t="inlineStr">
        <is>
          <t>Data Scientist</t>
        </is>
      </c>
      <c r="C83" t="inlineStr">
        <is>
          <t>Haystack</t>
        </is>
      </c>
      <c r="D83" t="inlineStr">
        <is>
          <t>linkedin</t>
        </is>
      </c>
      <c r="E83">
        <f>HYPERLINK("https://www.linkedin.com/jobs/view/4372074712", "https://www.linkedin.com/jobs/view/4372074712")</f>
        <v/>
      </c>
      <c r="F83">
        <f>HYPERLINK("https://us.haystackapp.io/roles/697f9834ef1758ea64b8740c?src=linkedin&amp;urlHash=ASgH", "https://us.haystackapp.io/roles/697f9834ef1758ea64b8740c?src=linkedin&amp;urlHash=ASgH")</f>
        <v/>
      </c>
      <c r="G83" t="inlineStr"/>
      <c r="H83" t="inlineStr"/>
      <c r="I83" t="inlineStr">
        <is>
          <t>**Data Scientist \| $77,600 \- 176,000** 
 We're working with Booz Allen Hamilton on this exciting opportunity.
 Unleash the power of data to solve global challenges! As a Data Scientist, you'll transform complex datasets into actionable insights, leveraging cutting\-edge technologies like IoT, machine learning, and AI. This is your chance to make a real\-world impact across diverse sectors, from fraud detection to national intelligence.
**The Role** 
 • Partner with clients to understand their needs and solve complex data puzzles.
 • Develop advanced algorithms and systems to extract meaningful information from vast datasets.
 • Utilize Python, R, or SQL for statistical analysis and general\-purpose programming.
 • Design and develop automated analytic software, techniques, and algorithms.
 • Create impactful data visualizations using tools like Tableau, PowerBI, or FOSS libraries like seaborn and matplotlib.
**What You'll Need** 
 • Proven experience in data exploration, cleaning, analysis, visualization, and mining.
 • Expertise in creating robust ETL pipelines, including API querying and schema design.
 • Strong knowledge of version control tools such as Git, GitLab, GitHub, or Bitbucket.
 • Solid understanding of statistical analysis, predictive modeling, and machine learning methods.
 • Bachelor's degree in Data Science or Computer Science, or 4\+ years of relevant experience.
 • TS/SCI clearance is required.
**What's On Offer** 
 • Be part of a team that uses data science for good, tackling critical global issues.
 • Engage with a collaborative environment where continuous learning and development are highly valued.
 • Comprehensive benefits package including health, retirement, and professional growth opportunities.
 • A flexible work model that prioritizes your well\-being, with hybrid work options.
**Apply via Haystack today!**</t>
        </is>
      </c>
    </row>
    <row r="84">
      <c r="A84" t="inlineStr">
        <is>
          <t>li-4373227213</t>
        </is>
      </c>
      <c r="B84" t="inlineStr">
        <is>
          <t>Data Scientist II</t>
        </is>
      </c>
      <c r="C84" t="inlineStr">
        <is>
          <t>Wiraa</t>
        </is>
      </c>
      <c r="D84" t="inlineStr">
        <is>
          <t>linkedin</t>
        </is>
      </c>
      <c r="E84">
        <f>HYPERLINK("https://www.linkedin.com/jobs/view/4373227213", "https://www.linkedin.com/jobs/view/4373227213")</f>
        <v/>
      </c>
      <c r="F84" t="inlineStr"/>
      <c r="G84" t="inlineStr"/>
      <c r="H84" t="inlineStr"/>
      <c r="I84" t="inlineStr">
        <is>
          <t>**About The Company**
 Coinbase is a leading global cryptocurrency platform dedicated to increasing economic freedom worldwide. Our mission is to create an open financial system that provides access to anyone, anywhere, and at any time. We are committed to building a secure, user\-friendly, and innovative onchain platform that supports the future of global finance. With a focus on transparency, security, and customer\-centricity, Coinbase strives to empower individuals and institutions to participate in the digital economy. Our team comprises passionate professionals dedicated to transforming traditional financial systems through blockchain technology and cryptocurrency solutions. As part of our growth, we foster a dynamic work environment that encourages continuous learning, collaboration, and innovation, aiming to make a lasting impact on the world’s financial landscape.
**About The Role**
 We are seeking a highly skilled Data Scientist II to join our Platform Data Science team at Coinbase. In this role, you will work at the intersection of product, engineering, and design to enhance core systems and user journeys that are critical to our platform’s success. Your primary focus will be on improving safety, reliability, and user experience across key areas such as Payments, Risk \&amp; Trust, Identity \&amp; Onboarding, Compliance, Customer Support, and Experimentation. You will leverage your expertise in data analysis, experimentation, and modeling to produce actionable insights that influence product development and strategic decision\-making. This position offers an exciting opportunity to tackle high\-impact, cross\-functional challenges, including diagnosing funnel drop\-offs, optimizing user onboarding processes, and designing metrics systems to track progress. Your work will directly contribute to making Coinbase more secure, reliable, and user\-friendly, while also unlocking growth opportunities through data\-driven initiatives.
**Qualifications**
* Bachelor’s degree or higher in a quantitative field such as Mathematics, Statistics, Physics, Computer Science, or related disciplines.
* Minimum of 2\+ years of relevant experience in data science or analytics roles.
* Proven experience driving impact for digital products within iterative development environments.
* Strong understanding of statistical concepts and practical application skills, including A/B testing, causal inference, and machine learning.
* Proficiency in SQL for data analysis and querying.
* Experience programming and modeling in Python or similar languages.
* Excellent communication skills with the ability to convey complex insights clearly and effectively.
* Demonstration of core cultural values: clear communication, positive energy, continuous learning, and efficient execution.
**Responsibilities**
* Perform comprehensive analyses on product data to answer open\-ended questions and provide strategic insights.
* Design, execute, and interpret experiments and analyses to measure impact and inform product improvements.
* Develop, maintain, and enhance key metrics and reports to support ongoing data\-driven decision making.
* Collaborate closely with cross\-functional teams including product managers, engineers, and designers to identify opportunities for optimization.
* Build and refine data infrastructure to facilitate more effective analysis and reporting capabilities.
* Diagnose issues within critical user journeys such as onboarding, payments, and authentication, proposing solutions to improve reliability and user experience.
* Implement advanced modeling techniques and causal inference methods to evaluate product changes and their impact.
* Stay current with industry trends and best practices in data science to continuously improve analytical approaches.
**Benefits**
* Competitive base salary within the range of $152,405—$179,300 USD, commensurate with experience and location.
* Eligibility for performance\-based bonuses and equity awards.
* Comprehensive health benefits including medical, dental, and vision coverage.
* Retirement savings plan options such as 401(k).
* Paid time off and holidays to support work\-life balance.
* Opportunities for professional development and continuous learning.
* Participation in a collaborative and innovative work environment focused on building the future of finance.
* Flexible work arrangements with a remote\-first approach complemented by in\-person team events and offsites.
 Equal Opportunity
 Coinbase is proud to be an Equal Opportunity Employer. We are committed to fostering a diverse and inclusive workplace where all qualified applicants receive consideration regardless of race, color, religion, creed, gender, national origin, age, disability, veteran status, sex, gender expression or identity, sexual orientation, or any other protected characteristic under applicable law. We consider qualified applicants with criminal histories in accordance with federal, state, and local laws. Coinbase also provides reasonable accommodations for individuals with disabilities throughout the hiring process. If you require an accommodation, please contact us at accommodations\[at]coinbase.com. We value diversity and are dedicated to creating an environment where everyone can thrive and contribute to our mission of increasing economic freedom worldwide.</t>
        </is>
      </c>
    </row>
    <row r="85">
      <c r="A85" t="inlineStr">
        <is>
          <t>li-4319472169</t>
        </is>
      </c>
      <c r="B85" t="inlineStr">
        <is>
          <t>Principal Data Scientist - Machine Learning</t>
        </is>
      </c>
      <c r="C85" t="inlineStr">
        <is>
          <t>AvePoint</t>
        </is>
      </c>
      <c r="D85" t="inlineStr">
        <is>
          <t>linkedin</t>
        </is>
      </c>
      <c r="E85">
        <f>HYPERLINK("https://www.linkedin.com/jobs/view/4319472169", "https://www.linkedin.com/jobs/view/4319472169")</f>
        <v/>
      </c>
      <c r="F85" t="inlineStr"/>
      <c r="G85" t="inlineStr">
        <is>
          <t>Seattle, WA</t>
        </is>
      </c>
      <c r="H85" t="inlineStr"/>
      <c r="I85" t="inlineStr">
        <is>
          <t>**About AvePoint**
 Beyond Secure. AvePoint is the global leader in data security, governance, and resilience, going beyond traditional solutions to ensure a robust data foundation and enable organizations everywhere to collaborate with confidence. Over 25,000 customers worldwide rely on the AvePoint Confidence Platform to prepare, secure, and optimize their critical data across Microsoft, Google, Salesforce, and other collaboration environments. AvePoint’s global channel partner program includes approximately 5,000 managed service providers, value\-added resellers, and systems integrators, with our solutions available in more than 100 cloud marketplaces. To learn more, visit
 **www.avepoint.com** 
 .
 At AvePoint, we are committed to investing in our people. Agility, passion and teamwork set us up to do our best work and foster a culture where you are empowered to craft your career, make an impact, and own (y)our future. Unleash the power of you!
**What You'll Be Doing**
 We are seeking an analytical and innovative Data Scientist to join our Data \&amp; AI team. You will play a key role in developing and deploying advanced machine learning models to solve real\-world business challenges. Your efforts will help optimize data pipelines, extract actionable insights, and shape the future of intelligent solutions at AvePoint.
**Your Key Responsibilities**
* Design, build, and deploy machine learning models leveraging structured and unstructured data.
* Shape and engineer data pipelines for optimal model performance and production\-grade scalability.
* Collaborate cross\-functionally with engineers, researchers, and product teams to define requirements and deliver impactful AI/ML solutions.
* Analyze experimental data, conduct model validation, and continuously improve accuracy and robustness.
* Document methodologies and results, presenting findings to both technical and non\-technical stakeholders.
* Stay up\-to\-date with the latest advancements in machine learning and data science best practices.
* Support operationalizing models within AvePoint’s ecosystem, ensuring responsible data handling and compliance.
**Preferred Qualifications**
* Bachelor’s or Master’s degree in Computer Science, Data Science, Engineering, Statistics, or related field (PhD not required, but a strong plus).
* 10\+ years of hands\-on machine learning experience, including building, evaluating, and streamlining data\-driven models for business use.
* Proficiency with Python and major ML/data libraries (e.g., Pandas, Scikit\-learn, TensorFlow, PyTorch).
* Strong background in data wrangling, cleansing, feature engineering, and ETL pipeline development.
* Practical experience deploying models in a cloud or distributed environment.
**What We Value**
* Commitment to excellence and continual professional development.
* Excellent analytical, problem\-solving, and communication skills.
* Initiative and ownership in research and project execution.
* Collaboration with diverse, global teams.
* Clarity in communicating technical information to varied audiences.
**Benefits We Offer**
* Competitive market\-based compensation (salary, yearly bonus \+ equity).
* Career progression and internal mobility opportunities.
* Work\-life balance through a hybrid working model.
* Unlimited PTO.
 This role offers the opportunity to work at the intersection of machine learning innovation and industry impact, contributing to AvePoint’s vision for secure, intelligent, and data\-driven workplaces.
 If you are passionate about transforming data into actionable solutions and want to be part of a global tech leader, we want to hear from you!
 The Salary Range for this role is $200,000 \- $245,000\. At AvePoint, we strive to offer competitive, fair, and equitable total rewards. The listed salary range represents a good faith estimate, with final offers based on location, experience, skills, and qualifications. The listed range reflects base salary only; our total rewards include base salary, comprehensive benefits (medical, dental, vision, 401(k) with match, unlimited PTO), and depending on the role, bonuses, commissions, or equity (RSUs). We welcome compensation discussions—apply even if your expectations fall outside the range.
 Any personal data you share with us during the application process will be processed strictly in compliance with applicable data protection laws and our Privacy Notice.</t>
        </is>
      </c>
    </row>
    <row r="86">
      <c r="A86" t="inlineStr">
        <is>
          <t>li-4373228175</t>
        </is>
      </c>
      <c r="B86" t="inlineStr">
        <is>
          <t>Data Scientist, Associate</t>
        </is>
      </c>
      <c r="C86" t="inlineStr">
        <is>
          <t>Wiraa</t>
        </is>
      </c>
      <c r="D86" t="inlineStr">
        <is>
          <t>linkedin</t>
        </is>
      </c>
      <c r="E86">
        <f>HYPERLINK("https://www.linkedin.com/jobs/view/4373228175", "https://www.linkedin.com/jobs/view/4373228175")</f>
        <v/>
      </c>
      <c r="F86">
        <f>HYPERLINK("https://www.wiraa.com/job-description2/gg3070510636?source=Linkedin&amp;urlHash=M6m9", "https://www.wiraa.com/job-description2/gg3070510636?source=Linkedin&amp;urlHash=M6m9")</f>
        <v/>
      </c>
      <c r="G86" t="inlineStr"/>
      <c r="H86" t="inlineStr"/>
      <c r="I86" t="inlineStr">
        <is>
          <t>**About The Company**
 Activision Blizzard Media is a leading cross\-platform gaming company that connects brands with a global audience of hundreds of millions of players across over 190 countries. With an impressive portfolio of iconic franchises such as Candy Crush, Call of Duty, Overwatch, World of Warcraft, and StarCraft, the company offers a diverse range of gaming experiences on mobile, PC, and console platforms. Activision Blizzard Media is committed to creating engaging and innovative game experiences that also serve as powerful marketing platforms, enabling brands to reach and connect with gamers worldwide. The company's mission centers on making the world more playful by fostering creativity, inclusivity, and community through its games and initiatives.
**About The Role**
 We are seeking an Associate Principal Data Scientist to join our team and lead high\-impact data science initiatives. This role is ideal for an experienced and technically proficient individual who excels in a collaborative environment and influences through expertise. As an Associate Principal Data Scientist, you will own critical projects related to experimentation, modeling, and data\-driven solutions that shape the future of our gaming and monetization strategies. You will work closely with cross\-functional teams including Product, Engineering, and Game Studios to solve ambiguous problems, develop innovative methodologies, and set strategic direction. Your leadership will drive scientific excellence and ensure that data science practices are scalable, interpretable, and actionable across the organization.
**Qualifications**
* Master's degree or PhD in Statistics, Mathematics, Computer Science, Economics, Engineering, Operations Research, or a related quantitative field.
* 14\+ years of industry experience in data science, experimentation, statistical modeling, and machine learning, with a focus on large\-scale systems.
* Proficiency in Python and SQL, with familiarity in big data tools such as Spark and Hive, and cloud platforms like GCP or AWS.
* Strong systems thinking capabilities, able to strategize at a high level while also diving into detailed analysis and coding.
* Excellent communication, collaboration, and stakeholder management skills, demonstrated through cross\-team partnerships.
* Experience mentoring and influencing data science teams, elevating technical standards and best practices.
**Responsibilities**
* Lead the design, development, and execution of large\-scale data science projects, establishing the roadmap for experimentation and modeling efforts.
* Apply advanced statistical, optimization, and machine learning techniques—including time\-series analysis, regression, classification, recommendation engines, reinforcement learning, and generative AI—to develop data\-powered solutions.
* Own the design, implementation, and evaluation of experiments aimed at optimizing systems and processes.
* Provide technical guidance and mentorship to senior data scientists, fostering a culture of scientific rigor, reproducibility, and innovation.
* Collaborate with Product, Engineering, and Game Studios to define problem statements, scope solutions, and influence strategic decision\-making.
* Evaluate and incorporate new methodologies, tools, and frameworks to enhance data science capabilities and scalability.
**Benefits**
* Comprehensive health benefits including medical, dental, and vision coverage, along with health savings and reimbursement accounts.
* Financial security through 401(k) plan with company match, tuition reimbursement, and charitable donation matching programs.
* Paid time off including holidays, vacation, sick leave, floating holidays, and parental leave.
* Support for mental health and well\-being via dedicated programs and initiatives.
* Access to fitness programs, employee discounts, and voluntary benefits such as legal services and identity protection.
* Relocation assistance may be available for candidates required to move geographically for the role.
 Equal Opportunity
 Activision Blizzard Media is an equal opportunity employer committed to fostering a diverse and inclusive workplace. We do not discriminate on the basis of race, religion, color, national origin, gender, sexual orientation, gender identity, age, marital status, veteran status, disability, or any other characteristic protected by law. We encourage candidates from all backgrounds to apply and are dedicated to providing reasonable accommodations to applicants with disabilities throughout the hiring process.</t>
        </is>
      </c>
    </row>
    <row r="87">
      <c r="A87" t="inlineStr">
        <is>
          <t>li-4365478715</t>
        </is>
      </c>
      <c r="B87" t="inlineStr">
        <is>
          <t>Data Scientist II</t>
        </is>
      </c>
      <c r="C87" t="inlineStr">
        <is>
          <t>Microsoft</t>
        </is>
      </c>
      <c r="D87" t="inlineStr">
        <is>
          <t>linkedin</t>
        </is>
      </c>
      <c r="E87">
        <f>HYPERLINK("https://www.linkedin.com/jobs/view/4365478715", "https://www.linkedin.com/jobs/view/4365478715")</f>
        <v/>
      </c>
      <c r="F87" t="inlineStr"/>
      <c r="G87" t="inlineStr">
        <is>
          <t>Redmond, WA</t>
        </is>
      </c>
      <c r="H87" t="inlineStr"/>
      <c r="I87" t="inlineStr">
        <is>
          <t>**Overview**
 Are you passionate about applying cutting\-edge science to solve real\-world problems at scale? Do you thrive in environments where you work with massive datasets and advanced machine learning techniques? Are you excited by the challenge of building intelligent systems that process trillions of records to deliver impactful experiences for millions of users?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Own and execute end‑to‑end data analysis for Bing scenarios, apply analytics techniques to tackle complex problems such as fraud/anomaly detection, opportunities and business impact analytics.
* Design and analyze experiments to validate hypotheses and measure impact on products.
* Communicate findings and recommendations to technical and business stakeholders through clear, actionable insights.
**Qualifications**
**Required Qualifications:**
* Doctorate in Data Science, Mathematics, Statistics, Econometrics, Economics, Operations Research, Computer Science, or related field
+ OR Master's Degree in Data Science, Mathematics, Statistics, Econometrics, Economics, Operations Research, Computer Science, or related field AND 1\+ year(s) data\-science experience (e.g., managing structured and unstructured data, applying statistical techniques and reporting results) or consulting experience
+ OR Bachelor's Degree in Data Science, Mathematics, Statistics, Econometrics, Economics, Operations Research, Computer Science, or related field AND 2\+ years data\-science experience (e.g., managing structured and unstructured data, applying statistical techniques and reporting results)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 Have a track record of innovative thinking and problem\-solving skills using Big Data.
* Have the ability to deliver on ambiguous projects with incomplete data.
* 3\+ years leveraging the practical uses of statistics (i.e. experimentation, statistical modeling).
* 3\+ years of experience in SQL, R, Python, or related tools for large\-scale analysis.
* Ability to clearly explain ideas and communicate complex analysis \&amp; insights to a non\-technical audience.
* Experience as a data scientist for an online service, app, or Web site with millions of users. Experience working on an online collaboration, video conference, or messaging product.
 \#MicrosoftAI
 Data Science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88">
      <c r="A88" t="inlineStr">
        <is>
          <t>li-4372084689</t>
        </is>
      </c>
      <c r="B88" t="inlineStr">
        <is>
          <t>Data Scientist</t>
        </is>
      </c>
      <c r="C88" t="inlineStr">
        <is>
          <t>RemoteHunter</t>
        </is>
      </c>
      <c r="D88" t="inlineStr">
        <is>
          <t>linkedin</t>
        </is>
      </c>
      <c r="E88">
        <f>HYPERLINK("https://www.linkedin.com/jobs/view/4372084689", "https://www.linkedin.com/jobs/view/4372084689")</f>
        <v/>
      </c>
      <c r="F88" t="inlineStr"/>
      <c r="G88" t="inlineStr"/>
      <c r="H88" t="inlineStr"/>
      <c r="I88" t="inlineStr">
        <is>
          <t>About the Opportunity:
 This team is focused on revolutionizing healthcare by leveraging data to uncover key insights, shape product development, and promote a culture of data\-informed decision\-making. The Product Data Scientist role involves working cross\-functionally to guide product creation and ensure solutions deliver real\-world impact in telehealth.
 Responsibilities:
 • Uncover actionable insights through data analysis
 • Challenge assumptions and reveal stories hidden in data to guide decisions
 • Apply analytical, statistical, and technical expertise to influence product and business strategy
 • Utilize regression analysis, segmentation, and A/B testing for product optimization and improvement
 • Collaborate across teams to shape innovative telehealth solutions
 Requirements:
 • Bachelor’s degree in Data Science, Computer Science, Statistics, Mathematics, or related field; advanced degrees preferred
 • 3\+ years of experience in data analysis or data science with a proven impact on product decisions
 • Experience working with cross\-functional teams including product managers, engineers, and designers
 • Healthcare or telehealth industry experience is desirable but not required
 • Proficiency in Python and SQL for data manipulation and analysis
 • Strong experience with data visualization tools such as Tableau or Looker
 • At least 1 year of experience with Alteryx
 • Skilled in statistical techniques including regression analysis, hypothesis testing, clustering, and segmentation
 • Experience designing and analyzing A/B tests
 • Familiarity with data tools like Segment and Snowflake, ETL processes, and cloud platforms such as AWS or Google Cloud is a plus
 • Ability to extract actionable insights from complex datasets
 • Strong problem\-solving skills and curiosity
 • Experience with machine learning techniques is a plus
 • Excellent communication skills to convey complex data insights to non\-technical stakeholders
 • Strong project management skills and ability to prioritize tasks and meet deadlines
 • Collaborative and proactive mindset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89">
      <c r="A89" t="inlineStr">
        <is>
          <t>li-4373229539</t>
        </is>
      </c>
      <c r="B89" t="inlineStr">
        <is>
          <t>Data Scientist</t>
        </is>
      </c>
      <c r="C89" t="inlineStr">
        <is>
          <t>Haystack</t>
        </is>
      </c>
      <c r="D89" t="inlineStr">
        <is>
          <t>linkedin</t>
        </is>
      </c>
      <c r="E89">
        <f>HYPERLINK("https://www.linkedin.com/jobs/view/4373229539", "https://www.linkedin.com/jobs/view/4373229539")</f>
        <v/>
      </c>
      <c r="F89" t="inlineStr"/>
      <c r="G89" t="inlineStr">
        <is>
          <t>California, United States</t>
        </is>
      </c>
      <c r="H89" t="inlineStr"/>
      <c r="I89" t="inlineStr">
        <is>
          <t>**Data Scientist, Prime Video Sports Science \| California**
 We're working with Amazon on this exciting opportunity.
 Join Prime Video as a Data Scientist and revolutionize customer experiences through Search and Recommendations. Leverage cutting\-edge Machine Learning to personalize content discovery for millions, driving significant impact on how customers interact with their entertainment.
**The Role**
* Design and implement metrics frameworks, evaluation systems, and A/B tests to measure algorithmic quality and validate product hypotheses.
* Lead the analysis of experimental results, communicating key insights and recommendations to both technical and business stakeholders.
* Partner with Applied Scientists and Software Engineers to define requirements and drive data\-informed product decisions.
* Act as a subject matter expert for data structures, metric definitions, and analytical best practices.
* Conduct deep\-dive analyses on user behavior and algorithm performance to identify opportunities for customer experience improvements.
**What You'll Need**
* Bachelor's degree or above in a quantitative field such as statistics, mathematics, or computer science.
* Proven experience applying analytics to solve complex product or business problems.
* Proficiency in Python for data analysis and machine learning.
* Solid experience with SQL, including Redshift, SparkSQL, and Athena.
* Demonstrated experience designing and evaluating A/B tests in a product environment.
**What's On Offer**
* Opportunity to work on a high\-impact product with a massive global reach.
* Collaborate with a diverse team of experts in a dynamic and innovative environment.
* Shape the future of entertainment content discovery for millions of customers.
**Apply via Haystack today!**</t>
        </is>
      </c>
    </row>
    <row r="90">
      <c r="A90" t="inlineStr">
        <is>
          <t>li-4363574665</t>
        </is>
      </c>
      <c r="B90" t="inlineStr">
        <is>
          <t>Senior Product Data Scientist</t>
        </is>
      </c>
      <c r="C90" t="inlineStr">
        <is>
          <t>Microsoft</t>
        </is>
      </c>
      <c r="D90" t="inlineStr">
        <is>
          <t>linkedin</t>
        </is>
      </c>
      <c r="E90">
        <f>HYPERLINK("https://www.linkedin.com/jobs/view/4363574665", "https://www.linkedin.com/jobs/view/4363574665")</f>
        <v/>
      </c>
      <c r="F90" t="inlineStr"/>
      <c r="G90" t="inlineStr">
        <is>
          <t>Redmond, WA</t>
        </is>
      </c>
      <c r="H90" t="inlineStr"/>
      <c r="I90" t="inlineStr">
        <is>
          <t>**Overview**
 Microsoft’s Path team helps customers along their journey from the initial idea to the final realization of their goals – from Idea 💡to Plan 📋to Done ✅
 We are responsible for collaborative work management products including Microsoft Project, Planner, To Do, Whiteboard, and Visio. We are actively working to envision and create “The Future of Work” leveraging large language models (LLMs) and Agentic artificial intelligence (AI) to provide utility and value to our customers.
 As a
 **Senior Product Data Scientist** 
 in Path you will help us measure what matters, surface actionable insights, run rigorous experiments, and help deliver transformative AI capabilities that customers love and trust.  You will help drive the analysis and quality and direction of Microsoft Planner, including our agentic experiences such as Project Manager agent. In this role you will have the opportunity to apply \- and advance \- your data science skills and have real impact on millions of customers. This role requires Microsoft Campus presence, where you will get to interact with many of your co\-workers in person.
 If this sounds like a great fit, we look forward to meeting you!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Create customer and business impact by identifying and leading high\-leverage data science and analytics opportunities across product areas.
* Measurement: Define, invent, and deliver metrics which accurately measure user and business value across various products.
* Experimental Design: Think critically about sampling and experimental design across User and Demand dimensions.
* Product Iteration: Interpret the results of analyses, validate approaches, and learn to monitor, analyze, and iterate to continuously improve.
* Cooperation: Partner effectively and drive alignment with executives, product management, engineers, and other areas of business.
* Influence: engage with stakeholders to produce clear, compelling, measurable, and actionable insights and data\-science driven workflows that influence product and service improvements.
**Qualifications**
**Required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 OR Master's Degree in Data Science, Mathematics, Statistics, Econometrics, Economics, Operations Research, Computer Science, or related field AND 3\+ years data\-science experience (e.g., managing structured and unstructured data, applying statistical techniques and reporting results)
+ OR Bachelor's Degree in Data Science, Mathematics, Statistics, Econometrics, Economics, Operations Research, Computer Science, or related field AND 5\+ years data\-science experience (e.g., managing structured and unstructured data, applying statistical techniques and reporting results)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 This position will be required to pass the Microsoft Cloud background check upon hire/transfer and every two years thereafter.
**Preferred Qualifications**
* Doctorate in Data Science, Mathematics, Statistics, Econometrics, Economics, Operations Research, Computer Science, or related field AND 3\+ years data\-science experience (e.g., managing structured and unstructured data, applying statistical techniques and reporting results)
+ OR Master's Degree in Data Science, Mathematics, Statistics, Econometrics, Economics, Operations Research, Computer Science, or related field AND 5\+ years data\-science experience (e.g., managing structured and unstructured data, applying statistical techniques and reporting results)
+ OR Bachelor's Degree in Data Science, Mathematics, Statistics, Econometrics, Economics, Operations Research, Computer Science, or related field AND 7\+ years data\-science experience (e.g., managing structured and unstructured data, applying statistical techniques and reporting results)
+ OR equivalent experience.
 Data Science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91">
      <c r="A91" t="inlineStr">
        <is>
          <t>li-4333180262</t>
        </is>
      </c>
      <c r="B91" t="inlineStr">
        <is>
          <t>Data Scientist (Hybrid/Remote)</t>
        </is>
      </c>
      <c r="C91" t="inlineStr">
        <is>
          <t>Selective Insurance</t>
        </is>
      </c>
      <c r="D91" t="inlineStr">
        <is>
          <t>linkedin</t>
        </is>
      </c>
      <c r="E91">
        <f>HYPERLINK("https://www.linkedin.com/jobs/view/4333180262", "https://www.linkedin.com/jobs/view/4333180262")</f>
        <v/>
      </c>
      <c r="F91" t="inlineStr"/>
      <c r="G91" t="inlineStr">
        <is>
          <t>Charlotte, NC</t>
        </is>
      </c>
      <c r="H91" t="inlineStr"/>
      <c r="I91" t="inlineStr">
        <is>
          <t>**About Us**
*At Selective, we don't just insure uniquely, we employ uniqueness.*
 Selective is a midsized U.S. domestic property and casualty insurance company with a history of strong, consistent financial performance for nearly 100 years. Selective's unique position as both a leading insurance group and an employer of choice is recognized in a wide variety of awards and honors, including listing in Forbes Best Midsize Employers in 2025 and certification as a Great Place to Work® in 2025 for the sixth consecutive year.
 Employees are empowered and encouraged to Be Uniquely You by being their true, unique selves and contributing their diverse talents, experiences, and perspectives to our shared success. Together, we are a high\-performing team working to serve our customers responsibly by helping to mitigate loss, keep them safe, and restore their lives and businesses after an insured loss occurs.
***Applicants must be authorized to work for any employer in the United States. Selective will not sponsor or assume the sponsorship of an employment visa at this time* 
 .**
**Overview**
 Responsible for development and maintenance of analytical solutions through applications of Data Mining, Machine Learning, Predictive Modeling, Generative AI and other emerging technologies for current and future business needs. Lead the supervised and unsupervised model development efforts in partnership with business and Information Technology (IT) stakeholders from diverse functional areas. Proactively monitor outcome post installation and report actionable insights. All job duties and responsibilities must be carried out in compliance with applicable legal and regulatory requirements.
*Note: (For NJ candidates) This role will be located at our future headquarters in Short Hills, N.J. Until the new headquarters is operational, the successful candidate will be offered the ability to work in our Branchville, N.J. location during this interim period.*
**Responsibilities**
* Understand the competitive marketplace, business issues, and data challenges to deliver actionable insights, recommendations, and business processes.
* Manipulate high\-volume, high\-dimensionality data from varying sources to highlight patterns, anomalies, relationships, and trends.
* Perform descriptive and diagnostics analysis to provide actionable insights for a range of business customers via effective visualization.
* Perform prescriptive analysis seeking for statistical inference providing information that will drive strategic decision making related to marketing, claims and underwriting.
* Develop predictive models and machine learning solutions to investigate problems, detect patterns and recommend solutions. Work with Information Technology to integrate the model into production environment.
* Perform model maintenance and post installation monitoring, including performance tracking, model refit/refresh, documentation, and version control.
* Research and prototype advanced data science techniques like Text Mining, Natural Language Processing (NLP), Image Recognition, Generative AI and Robotic Process Automation (RPA).
* Research and recommend new data, tools, modeling techniques to enrich analytics solutions in alignment to policy lifecycle.
* Participate in the broader community to stay current with industry trends including cutting\-edge methodology, software, platform and recommend best practices.
**Qualifications**
**Knowledge and Requirements**
* Professional statistics/quantitative skills.
* Hands\-on experience of solving business problem with various multi variate statistical methods including generalized linear model, survival model, time series, mixed effects model etc.
* Familiar with the whole life cycle of predictive modeling, including data provision, model development, validation and testing, model deployment.
* Proficient with manipulating data with enterprise\-scale database systems (SQL, SAS).
* Proficient with at least one scripting language such as R, Python, or Java.
* Experience with BI tools such as Tableau, Spotfile etc. is preferred.
* Knowledge of HTML for web app development is preferred.
* Hands on experience with Big Data / Hadoop / Spark is preferred.
* Experience with version control workflow such as Git is plus.
**Education And Experience**
* PhD with 1 year of Predictive Modeling Experience, or Masters with 2\-3 years of Predictive Modeling Experience or Bachelors with 4\-5 Years of Data Science Experience and education in Statistics, Economics, Computer Science, Mathematics or related field preferred.
* Property \&amp; Casualty Insurance experience highly preferred.
**Total Rewards**
 Selective Insurance offers a total rewards package that includes a competitive base salary, incentive plan eligibility at all levels, and a wide array of benefits designed to help you and your family stay healthy, achieve your financial goals, and balance the demands of your work and personal life. These benefits include comprehensive health care plans, retirement savings plan with company match, discounted Employee Stock Purchase Program, tuition assistance and reimbursement programs, and 20 days of paid time off. Additional details about our total rewards package can be found by visiting our benefits page.
 The actual base salary is based on geographic location, and the range is representative of salaries for this role throughout Selective's footprint. Additional considerations include relevant education, qualifications, experience, skills, performance, and business needs.
**Pay Range**
 USD $97,000\.00 \- USD $146,000\.00 /Yr.
**Additional Information**
*Selective is an Equal Employment Opportunity employer. That means we respect and value every individual’s unique opinions, beliefs, abilities, and perspectives. We are committed to promoting a welcoming culture that celebrates diverse talent, individual identity, different points of view and experiences – and empowers employees to contribute new ideas that support our continued and growing success. Building a highly engaged team is one of our core strategic imperatives, which we believe is enhanced by diversity, equity, and inclusion. We expect and encourage all employees and all of our business partners to embrace, practice, and monitor the attitudes, values, and goals of acceptance; address biases; and foster diversity of viewpoints and opinions.
 For Massachusetts Applicants
 It is unlawful in Massachusetts to require or administer a lie detector test as a condition of employment or continued employment. An employer who violates this law shall be subject to criminal penalties and civil liability.*</t>
        </is>
      </c>
    </row>
    <row r="92">
      <c r="A92" t="inlineStr">
        <is>
          <t>li-4373230705</t>
        </is>
      </c>
      <c r="B92" t="inlineStr">
        <is>
          <t>Senior Data Scientist, Data Management</t>
        </is>
      </c>
      <c r="C92" t="inlineStr">
        <is>
          <t>Nextrials, Inc.</t>
        </is>
      </c>
      <c r="D92" t="inlineStr">
        <is>
          <t>linkedin</t>
        </is>
      </c>
      <c r="E92">
        <f>HYPERLINK("https://www.linkedin.com/jobs/view/4373230705", "https://www.linkedin.com/jobs/view/4373230705")</f>
        <v/>
      </c>
      <c r="F92" t="inlineStr"/>
      <c r="G92" t="inlineStr">
        <is>
          <t>Raleigh, NC</t>
        </is>
      </c>
      <c r="H92" t="inlineStr"/>
      <c r="I92" t="inlineStr">
        <is>
          <t>Senior Data Scientist, Data Management \- Office Based in Blue Bell, PA or Raleigh, NC
 ICON plc is a world\-leading healthcare intelligence and clinical research organization. We’re proud to foster an inclusive environment driving innovation and excellence, and we welcome you to join us on our mission to shape the future of clinical development.
 Symphony Health, part of the ICON plc family, is a team of curious thinkers and intellectual problem solvers driving the healthcare data industry forward. We leverage our large, integrated healthcare data repository and our analytic expertise to build customized, agile data solutions which answer the questions our clients \-\- life science manufacturers, payers, and providers \-\- have today, as well as those they’ll have tomorrow. Together, we can help patients get the right drugs at the right times.
 We are currently seeking a Senior Data Scientist, Data Management to join our diverse and dynamic team. As a Senior Data Scientist at ICON Plc, you will play a crucial role in leveraging advanced analytical techniques and machine learning models to derive actionable insights from complex data sets. You will contribute to the success of our data\-driven initiatives by developing sophisticated models, performing in\-depth analyses, and guiding strategic decision\-making across the organization.
**What You Will Be Doing**
* Designing and implementing advanced data models and algorithms to solve complex business problems and drive strategic insights.
* Conducting in\-depth analyses of large and diverse data sets to uncover patterns, trends, and correlations that inform decision\-making.
* Collaborating with cross\-functional teams to understand business needs, translate them into analytical solutions, and communicate findings effectively.
* Developing and deploying machine learning models and statistical techniques to enhance predictive capabilities and optimize business processes.
* Providing thought leadership on data science best practices and emerging technologies to drive innovation and continuous improvement.
**Your Profile**
* Domain expertise in one or more targeted areas of the Revenue Cycle Management processes
* Proficient in deterministic and probabilistic linkage concepts/methodologies to support patient journeys derived from anonymized RCM data
* Advanced degree in a relevant field such as data science, statistics, computer science, or mathematics.
* Extensive experience in data science, with a strong track record of developing and implementing complex models and analyses.
* Proficiency in statistical analysis, machine learning techniques, and data visualization tools, with expertise in programming languages such as Python or R.
* Excellent problem\-solving skills and the ability to manage multiple projects and priorities effectively.
* Outstanding communication and interpersonal skills, with the ability to present complex data insights clearly and collaborate with stakeholders across the organization.
* Located in or around Blue Bell, PA or Raleigh, NC
**What ICON Can Offer You**
 Our success depends on the quality of our people. That’s why we’ve made it a priority to build a diverse culture that rewards high performance and nurtures talent.
 In addition to your competitive salary, ICON offers a range of additional benefits. Our benefits are designed to be competitive within each country and are focused on well\-being and work life balance opportunities for you and your family.
**Our Benefits Examples Include**
* Various annual leave entitlements
* A range of health insurance offerings to suit you and your family’s needs.
* Competitive retirement planning offerings to maximize savings and plan with confidence for the years ahead.
* Global Employee Assistance Programme, LifeWorks, offering 24\-hour access to a global network of over 80,000 independent specialized professionals who are there to support you and your family’s well\-being.
* Life assurance
* Flexible country\-specific optional benefits, including childcare vouchers, bike purchase schemes, discounted gym memberships, subsidized travel passes, health assessments, among others.
 Visit our careers site to read more about the benefits ICON offers.
 At ICON, inclusion \&amp; belonging are fundamental to our culture and values. We’re dedicated to providing an inclusive and accessible environment for all candidates. ICON is committed to providing a workplace free of discrimination and harassment. All qualified applicants will receive equal consideration for employment without regard to race, color, religion, sex, sexual orientation, gender identity, national origin, disability or protected veteran status.
 If, because of a medical condition or disability, you need a reasonable accommodation for any part of the application process, or in order to perform the essential functions of a position, please let us know or submit a request here
 Interested in the role, but unsure if you meet all of the requirements? We would encourage you to apply regardless – there’s every chance you’re exactly what we’re looking for here at ICON whether it is for this or other roles.
 Are you a current ICON Employee? Please click here to apply</t>
        </is>
      </c>
    </row>
    <row r="93">
      <c r="A93" t="inlineStr">
        <is>
          <t>li-4373231393</t>
        </is>
      </c>
      <c r="B93" t="inlineStr">
        <is>
          <t>Data Scientist</t>
        </is>
      </c>
      <c r="C93" t="inlineStr">
        <is>
          <t>Haystack</t>
        </is>
      </c>
      <c r="D93" t="inlineStr">
        <is>
          <t>linkedin</t>
        </is>
      </c>
      <c r="E93">
        <f>HYPERLINK("https://www.linkedin.com/jobs/view/4373231393", "https://www.linkedin.com/jobs/view/4373231393")</f>
        <v/>
      </c>
      <c r="F93" t="inlineStr"/>
      <c r="G93" t="inlineStr"/>
      <c r="H93" t="inlineStr"/>
      <c r="I93" t="inlineStr">
        <is>
          <t>**Associate Principal Data Scientist (Remote)**
 We're working with Blizzard Entertainment on this exciting opportunity.
 Are you a seasoned Associate Principal Data Scientist with a passion for gaming? Blizzard Entertainment is seeking a highly experienced and technically profound individual contributor to lead high\-impact initiatives and drive scientific excellence across experimentation and modeling. If you're ready to leverage your expertise in machine learning, statistical modeling, and large\-scale data systems in a dynamic environment, this is the role for you.
**The Role**
* Lead the design and execution of large\-scale data science initiatives, shaping the roadmap for experimentation and modeling across teams.
* Apply advanced statistical, optimization, and machine learning techniques (e.g., time\-series, regression/classification, recommendation engines, reinforcement learning, and GenAI) to drive system understanding and develop data\-powered solutions.
* Own design and evaluation of experimentation for optimization systems.
* Provide technical direction, mentor senior data scientists, and set high standards for scientific rigor, communication, and reproducibility.
* Partner cross\-functionally with Product, Engineering, and Game Studios to frame ambiguous problems, scope solutions, and influence strategy.
**What You'll Need**
* Master's degree or PhD in a quantitative field (e.g., Statistics, Mathematics, Computer Science, Economics, Engineering, Operations Research).
* 14\+ years of industry experience in data science, experimentation, statistical modeling, and machine learning, including work with large\-scale systems.
* Proficient in Python and SQL; familiarity with big data tools (e.g., Spark, Hive) and cloud computing platforms (e.g., GCP, AWS).
* Strong systems thinking—able to zoom out and define strategy while also diving deep into code and analysis.
* Excellent communication and collaboration skills, with demonstrated experience partnering across Product, Engineering, and Business teams.
**What's On Offer**
* Comprehensive benefits including medical, dental, vision, and 401(k) with Company match.
* Tuition reimbursement and charitable donation matching.
* Paid holidays, vacation, sick time, and parental leave.
* Mental health \&amp; wellbeing programs, fitness programs, and free/discounted games.
**Apply via Haystack today!**</t>
        </is>
      </c>
    </row>
    <row r="94">
      <c r="A94" t="inlineStr">
        <is>
          <t>li-4373233326</t>
        </is>
      </c>
      <c r="B94" t="inlineStr">
        <is>
          <t>Data Scientist</t>
        </is>
      </c>
      <c r="C94" t="inlineStr">
        <is>
          <t>Haystack</t>
        </is>
      </c>
      <c r="D94" t="inlineStr">
        <is>
          <t>linkedin</t>
        </is>
      </c>
      <c r="E94">
        <f>HYPERLINK("https://www.linkedin.com/jobs/view/4373233326", "https://www.linkedin.com/jobs/view/4373233326")</f>
        <v/>
      </c>
      <c r="F94">
        <f>HYPERLINK("https://us.haystackapp.io/roles/698e53c4f831cd7fa4e1cc37?src=linkedin&amp;urlHash=UYPk", "https://us.haystackapp.io/roles/698e53c4f831cd7fa4e1cc37?src=linkedin&amp;urlHash=UYPk")</f>
        <v/>
      </c>
      <c r="G94" t="inlineStr"/>
      <c r="H94" t="inlineStr"/>
      <c r="I94" t="inlineStr">
        <is>
          <t>**Senior Data Scientist \| United States \| Remote**
 We're working with Plum on this exciting opportunity.
 Join Plum, a cutting\-edge fintech company, and lead the development of scalable Generative AI pipelines to power their AI\-driven products. You'll play a pivotal role in shaping our GenAI platform, utilizing your deep expertise in machine learning and hands\-on experience with production\-grade systems to drive innovation and impact.
**The Role**
* Design and architect end\-to\-end Generative AI pipelines using LLMs to process and generate context\-aware results.
* Integrate open\-source and proprietary LLMs (e.g., GPT, LLaMA) via APIs and custom orchestration, building and optimizing workflows with frameworks like LangChain.
* Design and implement robust RAG (Retrieval\-Augmented Generation) architectures to inject relevant, contextual data into generation prompts.
* Build automated and scalable LLM evaluation pipelines using embedding\-based similarity, scoring metrics, and human\-in\-the\-loop feedback, ensuring reliability in production with monitoring and observability.
**What You'll Need**
* Master's degree in Computer Science, Engineering, Physics, or a related technical field.
* 5\+ years of experience developing and deploying machine learning pipelines in production, with 2\+ years specifically in Generative AI or LLM\-based applications.
* Strong Python programming skills and hands\-on experience with ML/AI frameworks like LangChain, Transformers, and LLM APIs, coupled with expertise in LLM evaluation and prompt engineering.
* Hands\-on experience with Databricks, MLflow, AWS, and MLOps practices, demonstrating strong problem\-solving and communication skills.
**What's On Offer**
* A fast\-paced, collaborative startup culture with high visibility and the opportunity to make a meaningful impact.
* Autonomy, flexibility, and a flat corporate structure, offering direct input and the opportunity to build a company and culture.
* Equity in a financial technology startup, along with a competitive compensation package and bonus potential.
* Generous health, dental, and vision coverage, 401K, eleven paid holidays, and unlimited discretionary vacation days.
**Apply via Haystack today!**</t>
        </is>
      </c>
    </row>
    <row r="95">
      <c r="A95" t="inlineStr">
        <is>
          <t>li-4337620232</t>
        </is>
      </c>
      <c r="B95" t="inlineStr">
        <is>
          <t>Staff Data Scientist - Loss Forecasting &amp; Portfolio Analytics</t>
        </is>
      </c>
      <c r="C95" t="inlineStr">
        <is>
          <t>SoFi</t>
        </is>
      </c>
      <c r="D95" t="inlineStr">
        <is>
          <t>linkedin</t>
        </is>
      </c>
      <c r="E95">
        <f>HYPERLINK("https://www.linkedin.com/jobs/view/4337620232", "https://www.linkedin.com/jobs/view/4337620232")</f>
        <v/>
      </c>
      <c r="F95" t="inlineStr"/>
      <c r="G95" t="inlineStr"/>
      <c r="H95" t="inlineStr"/>
      <c r="I95"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We are looking for a Credit Risk Manager/Staff Data Scientist to join our Loss Forecasting and Risk Analytics Team within Sofi’s Credit team. This team member will work in the team that is responsible for forecasting losses across various SoFi lending products, including Personal Loans, Student Loan Refinances and Private Student Loans. The Staff Data Scientist will contribute to the performance analysis of SoFi lending products using empirical measurements, develop quantitative and machine learning models to forecast losses and provide insights into the drivers for losses. She/He will also collaborate with the Business Unit, Finance, Accounting, Credit, and Independent Risk Management groups. This position requires knowledge of data analytics and modeling using Python and machine learning/analytical packages, as well as strong problem\-solving and communication skills. The ideal candidate will have expertise in analyzing large datasets and developing models using Python, SQL, and other statistical analysis packages to get to the truth behind the data.
 By joining SoFi, you'll become part of a forward\-thinking company that is transforming financial services for the better. We offer the excitement of a rapidly growing startup with the stability of an industry\-leading leadership team.
**What you’ll do:**
* Develop loss projections for SoFi’s lending products, including Personal Loans, Student Loan Refinances, and Private Student Loans.
* Draw strategic insights from data using statistical analysis tools to inform decisions and support SoFi’s overarching strategic goals relative to loss prevention and profit optimization. Bring new ways of thinking, data sources, technologies, and capabilities to SoFi.
* Develop stress testing framework using macroeconomic data to provide insights into the business and enable the company to plan proactively for economic downturns.
* Improve forecasting accuracy and productivity. Ensure good documentation and control of forecasting methodologies and procedures.
* Explore external credit data to identify trends in the market and industry.
* Work with Business Units, Operations, Product, Capital Markets, Finance, Accounting, and Risk partners to ensure correct loss expectations and trends of losses are communicated effectively and executed appropriately.
* Be inspired by dynamic leaders and our rapidly growing business. We are recruiting the best, brightest, and most passionately quantitative team members.
**What you’ll need:**
* 7\+ years of related experience with a Master’s or PhD degree
* Proven advanced analytical and technical skills in conducting sophisticated data analysis and building loss forecasting models and projections
* Business acumen and work experience in the consumer lending business (loans or credit cards)
* Proficient in Python, SQL \&amp; Tableau
* Strong communication and presentation skills. Demonstrated ability to synthesize and communicate analysis to business partners and senior management
* High motivation to drive results, eager to learn, and able to work collaboratively in a fluid environment
* Prior experience in credit loss forecasting is a must
**Nice to have:**
* Experience using credit bureau sandbox data
* Experience in developing credit risk strategies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96">
      <c r="A96" t="inlineStr">
        <is>
          <t>li-4337650165</t>
        </is>
      </c>
      <c r="B96" t="inlineStr">
        <is>
          <t>Staff Data Scientist - Loss Forecasting &amp; Portfolio Analytics</t>
        </is>
      </c>
      <c r="C96" t="inlineStr">
        <is>
          <t>SoFi</t>
        </is>
      </c>
      <c r="D96" t="inlineStr">
        <is>
          <t>linkedin</t>
        </is>
      </c>
      <c r="E96">
        <f>HYPERLINK("https://www.linkedin.com/jobs/view/4337650165", "https://www.linkedin.com/jobs/view/4337650165")</f>
        <v/>
      </c>
      <c r="F96" t="inlineStr"/>
      <c r="G96" t="inlineStr">
        <is>
          <t>New York, NY</t>
        </is>
      </c>
      <c r="H96" t="inlineStr"/>
      <c r="I96"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We are looking for a Credit Risk Manager/Staff Data Scientist to join our Loss Forecasting and Risk Analytics Team within Sofi’s Credit team. This team member will work in the team that is responsible for forecasting losses across various SoFi lending products, including Personal Loans, Student Loan Refinances and Private Student Loans. The Staff Data Scientist will contribute to the performance analysis of SoFi lending products using empirical measurements, develop quantitative and machine learning models to forecast losses and provide insights into the drivers for losses. She/He will also collaborate with the Business Unit, Finance, Accounting, Credit, and Independent Risk Management groups. This position requires knowledge of data analytics and modeling using Python and machine learning/analytical packages, as well as strong problem\-solving and communication skills. The ideal candidate will have expertise in analyzing large datasets and developing models using Python, SQL, and other statistical analysis packages to get to the truth behind the data.
 By joining SoFi, you'll become part of a forward\-thinking company that is transforming financial services for the better. We offer the excitement of a rapidly growing startup with the stability of an industry\-leading leadership team.
**What you’ll do:**
* Develop loss projections for SoFi’s lending products, including Personal Loans, Student Loan Refinances, and Private Student Loans.
* Draw strategic insights from data using statistical analysis tools to inform decisions and support SoFi’s overarching strategic goals relative to loss prevention and profit optimization. Bring new ways of thinking, data sources, technologies, and capabilities to SoFi.
* Develop stress testing framework using macroeconomic data to provide insights into the business and enable the company to plan proactively for economic downturns.
* Improve forecasting accuracy and productivity. Ensure good documentation and control of forecasting methodologies and procedures.
* Explore external credit data to identify trends in the market and industry.
* Work with Business Units, Operations, Product, Capital Markets, Finance, Accounting, and Risk partners to ensure correct loss expectations and trends of losses are communicated effectively and executed appropriately.
* Be inspired by dynamic leaders and our rapidly growing business. We are recruiting the best, brightest, and most passionately quantitative team members.
**What you’ll need:**
* 7\+ years of related experience with a Master’s or PhD degree
* Proven advanced analytical and technical skills in conducting sophisticated data analysis and building loss forecasting models and projections
* Business acumen and work experience in the consumer lending business (loans or credit cards)
* Proficient in Python, SQL \&amp; Tableau
* Strong communication and presentation skills. Demonstrated ability to synthesize and communicate analysis to business partners and senior management
* High motivation to drive results, eager to learn, and able to work collaboratively in a fluid environment
* Prior experience in credit loss forecasting is a must
**Nice to have:**
* Experience using credit bureau sandbox data
* Experience in developing credit risk strategies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97">
      <c r="A97" t="inlineStr">
        <is>
          <t>li-4343472841</t>
        </is>
      </c>
      <c r="B97" t="inlineStr">
        <is>
          <t>Applied Scientist II</t>
        </is>
      </c>
      <c r="C97" t="inlineStr">
        <is>
          <t>Microsoft</t>
        </is>
      </c>
      <c r="D97" t="inlineStr">
        <is>
          <t>linkedin</t>
        </is>
      </c>
      <c r="E97">
        <f>HYPERLINK("https://www.linkedin.com/jobs/view/4343472841", "https://www.linkedin.com/jobs/view/4343472841")</f>
        <v/>
      </c>
      <c r="F97" t="inlineStr"/>
      <c r="G97" t="inlineStr">
        <is>
          <t>Redmond, WA</t>
        </is>
      </c>
      <c r="H97" t="inlineStr"/>
      <c r="I97" t="inlineStr">
        <is>
          <t>**Overview**
 Our team focuses on understanding and predicting how the user interacts with the ads on the search results page. The probability that a user will click on an ad is one of the most critical inputs used in ranking the ads. Similarly, the probability of interacting with the advertiser’s page is important for measuring advertiser and user satisfaction. This position as an
 **Applied Scientist II** 
 is for the modeling team, which builds machine learned models for predicting such events. The team looks at all aspects of modeling including training data, features, the actual model (neural nets, linear models, decision trees etc.) and offline and online evaluation of those models. Engineers and scientists on our team work at the edge of machine learning and economics developing in the online stack as well as offline workflows. At its core, our team utilizes signals of user and advertiser intent to determine which ads are allocated and at what price.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Designing and building efficient models for predicting user interactions with ads and advertiser’s pages.
* Designing and overseeing large\-scale, long\-term experiments to improve the health of the marketplace using advanced statistics and machine learning.
* Designing automation algorithms for advertisers using techniques from AI and ML to improve advertiser’s return on investment.
* Develop models for causal reasoning using techniques from AI, ML, and statistics.
**Qualifications**
**Required Qualifications:**
* Bachelor's Degree in Statistics, Econometrics, Computer Science, Electrical or Computer Engineering, or related field AND 2\+ years related experience (e.g., statistics, predictive analytics, research) OR Master's Degree in Statistics, Econometrics, Computer Science, Electrical or Computer Engineering, or related field AND 1\+ year(s) related experience (e.g., statistics, predictive analytics, research) OR Doctorate in Statistics, Econometrics, Computer Science, Electrical or Computer Engineering, or related field OR equivalent experience.
**Preferred Qualifications**
* Bachelor's Degree in Statistics, Econometrics, Computer Science, Electrical or Computer Engineering, or related field AND 2\+ years related experience (e.g., statistics, predictive analytics, research)
* OR Master's Degree in Statistics, Econometrics, Computer Science, Electrical or Computer Engineering, or related field AND 1\+ year(s) related experience (e.g., statistics, predictive analytics, research)
* OR Doctorate in Statistics, Econometrics, Computer Science, Electrical or Computer Engineering, or related field
* Experience in any of the following areas statistical machine learning, deep learning, data mining, causal inference, information retrieval, game theory, mechanism design, optimization and Bayesian inference.
* Excellent problem solving and data analysis skills, effective communication skills, both verbal and written.
* Solid software design and development skills/experience.
* 1\+ year(s) experience creating publications (e.g., patents, peer\-reviewed academic papers).
* Research experience (publications) in the following areas is preferred statistical machine learning, deep learning, data mining, causal inference, information retrieval, and Bayesian inference.
 \#MicrosoftAI
 Applied Sciences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98">
      <c r="A98" t="inlineStr">
        <is>
          <t>li-4333061758</t>
        </is>
      </c>
      <c r="B98" t="inlineStr">
        <is>
          <t>Data Scientist, Merchandising Analytics</t>
        </is>
      </c>
      <c r="C98" t="inlineStr">
        <is>
          <t>Tractor Supply Company</t>
        </is>
      </c>
      <c r="D98" t="inlineStr">
        <is>
          <t>linkedin</t>
        </is>
      </c>
      <c r="E98">
        <f>HYPERLINK("https://www.linkedin.com/jobs/view/4333061758", "https://www.linkedin.com/jobs/view/4333061758")</f>
        <v/>
      </c>
      <c r="F98" t="inlineStr"/>
      <c r="G98" t="inlineStr">
        <is>
          <t>Brentwood, TN</t>
        </is>
      </c>
      <c r="H98" t="inlineStr"/>
      <c r="I98" t="inlineStr">
        <is>
          <t>**Overall Job Summary**
 The Data Scientist, Merchandising Analytics at Tractor Supply Company will play a key role in leveraging data to address complex business challenges. The role will develop advanced statistical methods using Machine Learning, AI, statistical modeling, and optimization techniques to support the merchandising strategies and broader organizational goals of TSC. Additionally, the role will contribute to setting objectives to enhance the overall data architecture and data governance within the Merchandising team. Key areas of focus within Merchandising will be Space Planning and Pricing.
 The Data Scientist will lead cross\-functional projects, design and implement predictive models, and promote data\-driven decision\-making throughout the organization. Strong communication skills are essential as this role will translate complex analytical results into clear, actionable insights for both technical and non\-technical stakeholders. This role work will ensure that Tractor Supply Company remains at the forefront of industry trends and emerging technologies in the data science field.
**Essential Duties and Responsibilities (Min 5%)**
* Work closely with key business partners to fully explore and frame a business question including objectives, goals, KPIs, decisions the analysis will support and required timing for deliverables.
* Extracting available and relevant data from internal and external data sources to perform data science solution development.
* Develop, maintain, and improve predictive models using R, Python, and Databricks to enhance business knowledge and processes.
* Contribute and assist the team with best practices in data governance, data engineering, and data architecture.
* Identify opportunities for automation and continuous improvement within data pipelines, processes, and systems.
* Maintain a broad exposure to the wider ecosystem of AI / Machine Learning and ensure our team is pushing toward the most optimal solutions.
* Manage multiple projects simultaneously with limited oversight including development of new technologies and maintenance of existing framework.
* Foster a culture of data\-driven decision making and collaborate with cross\-functional teams and senior leadership to define the long\-term vision and goals for data science and engineering within the organization.
* Design and execute A/B tests to evaluate the effectiveness of various data\-driven solutions, including designing appropriate sample sizes, metrics for evaluation, and statistical analysis plans.
* Use proven, predictive science to right\-size every store with localized plans that balance individual store space allocations with your top\-down and bottom\-up strategies.
* Be a ‘Go\-To’ person for any data analytical needs ranging from data extraction/ manipulations, long term trend analysis, statistical analysis, and modeling techniques. Perform code\-review and debug with the team and assist during implementation where necessary.
**Required Qualifications**
*Experience* 
 : 3\-5 years proven experience as a Data Scientist, preferably in the retail or e\-commerce industry. Prefer 2\+ years of experience in predictive modeling utilizing CRM or transaction information.
*Education* 
 : Bachelor’s Degree in Mathematics, Statistics, or Econometrics. Master’s Degree prefered. Any combination of education and experiencce will be considered.
*Professional Certifications* 
 : None
**Preferred Knowledge, Skills Or Abilities**
* Intermediate\-advanced in one or more programming language (Python, PySpark, R).
* Deep expertise in writing and debugging complex SQL queries.
* Ability to frame business questions and create an analytics solution using statistical or other advanced analytics methodologies.
* Proven advanced modeling experience in leading data\-driven projects from definition to execution, driving and influencing project roadmaps.
* Experience using Azure, AWS, or another cloud compute platform a plus.
* Familiarity with visualization tools such as Power BI and Tableau.
* Must possess high degree of aptitude in communicating both verbally and written complex analysis results to Senior \&amp; Executive Leadership.
* Knowledge of A/ B testing methods; capable of designing a controlled test design, running the test and providing measurement post\-hoc.
* Proficiency with managing data repository and version control systems like Git.
* Speak, read and write effectively in the English language.
**Working Conditions**
* Hybrid / Flexible working conditions
**Physical Requirements**
* Sitting
* Standing (not walking)
* Walking
* Kneeling/Stooping/Bending
* Lifting up to 10 pounds
**Disclaimer**
*This job description represents an overview of the responsibilities for the above referenced position. It is not intended to represent a comprehensive list of responsibilities. A team member should perform all duties as assigned by his/ her supervisor.*
**Company Info**
 At Tractor Supply and Petsense by Tractor Supply, our Team Members are the heart of our success. Their dedication, passion, and hard work drive everything we do, and we are committed to supporting them with a comprehensive and accessible total reward package. We understand the evolving needs of our Team Members and their families, and we strive to offer meaningful, competitive, and sustainable benefits that support their well\-being today and in the future.
 Our benefits extend beyond medical, dental, and vision coverage, including company\-paid life and disability insurance, paid parental leave, tuition reimbursement, and family planning resources such as adoption and surrogacy assistance, for all full\-time Team Members and all part\-time Team Members. Part time new hires gain eligibility for TSC Benefits by averaging at least 15 hours per week during their 90\-day lookback period. The lookback period starts the first of the month following the date of hire. If the 15\-hour requirement was met, the benefits eligibility date will be the first day of the month following 4 months of continuous service.
 Please visit this link for more specific information about the benefits and leave policies applicable to the position you’re applying for.</t>
        </is>
      </c>
    </row>
    <row r="99">
      <c r="A99" t="inlineStr">
        <is>
          <t>li-4343312651</t>
        </is>
      </c>
      <c r="B99" t="inlineStr">
        <is>
          <t>Applied Scientist, AWS Agentic AI</t>
        </is>
      </c>
      <c r="C99" t="inlineStr">
        <is>
          <t>Amazon Web Services (AWS)</t>
        </is>
      </c>
      <c r="D99" t="inlineStr">
        <is>
          <t>linkedin</t>
        </is>
      </c>
      <c r="E99">
        <f>HYPERLINK("https://www.linkedin.com/jobs/view/4343312651", "https://www.linkedin.com/jobs/view/4343312651")</f>
        <v/>
      </c>
      <c r="F99" t="inlineStr"/>
      <c r="G99" t="inlineStr">
        <is>
          <t>Santa Clara, CA</t>
        </is>
      </c>
      <c r="H99" t="inlineStr"/>
      <c r="I99" t="inlineStr">
        <is>
          <t>**Description**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 Web Services, Inc.
 Job ID: A3141517</t>
        </is>
      </c>
    </row>
    <row r="100">
      <c r="A100" t="inlineStr">
        <is>
          <t>li-4365628431</t>
        </is>
      </c>
      <c r="B100" t="inlineStr">
        <is>
          <t>Senior Marketing Data Scientist</t>
        </is>
      </c>
      <c r="C100" t="inlineStr">
        <is>
          <t>SoFi</t>
        </is>
      </c>
      <c r="D100" t="inlineStr">
        <is>
          <t>linkedin</t>
        </is>
      </c>
      <c r="E100">
        <f>HYPERLINK("https://www.linkedin.com/jobs/view/4365628431", "https://www.linkedin.com/jobs/view/4365628431")</f>
        <v/>
      </c>
      <c r="F100" t="inlineStr"/>
      <c r="G100" t="inlineStr">
        <is>
          <t>Frisco, TX</t>
        </is>
      </c>
      <c r="H100" t="inlineStr"/>
      <c r="I100"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SoFi is seeking a highly motivated Senior Data Scientist to join the Marketing Data Science (MDS) team. The MDS team plays a crucial role in enabling data\-driven decisions across SoFi's Marketing organization through robust analytics, modeling, experimentation, and measurement.
 This new role will be working with senior data scientists to develop, optimize and implement the marketing strategies for Sofi SIPS(Save, Invest, Protect and Spend).
 Marketing Data Scientists will partner closely with marketing managers and leadership to design, analyze, and optimize marketing strategies that drive member growth and revenue. If you are interested in working with highly quantitative teammates and elevating how data and analytics drives marketing and business decisions, this role is for you.
**What you’ll do:**
* Drive the growth of business and member products by developing comprehensive marketing strategies, which includes data analysis, model creation, strategy development, and performance monitoring across all channels.
* Collaborate with marketing managers, channel owners, and external partners to identify and strategize on new opportunities and initiatives.
* Analyze and measure the effectiveness of the marketing strategies, including funnel efficiency (click to convert), CPA (cost per acquisition) and ROI (return on investment), to provide data\-driven recommendations and drive informed actions.
* Design, analyze, and interpret experiments (A/B tests, quasi\-experiments) to inform marketing and growth decisions.
* Design and validate the complete campaign lifecycle, including process flow, data pipeline, model scoring, and execution, in collaboration with the campaign execution team to ensure timely and accurate campaign selections.
* Define key performance indicators (KPIs), design reporting framework and develop self\-service dashboards that provide clear visibility into product and business performance.
* Perform deep\-dive analyses across funnels, user behavior, monetization, and retention to identify growth and efficiency opportunities.
* Transform business objectives into data\-driven, actionable tactics and campaigns that generate immediate results and establish a robust foundation for sustained growth.
* Fulfill partner requests promptly by providing timely analysis, adeptly navigating ambiguity, and focusing on solution\-oriented approaches..
* Communicate insights clearly to senior leadership and partners, converting complex data into compelling narratives.
**What you’ll need:**
* Bachelor's degree in Computer Science, Math, Physics, Engineering, or a quantitative field required; Master's degree preferred.
* 5\+ years of experience in data science/analytics role
* Strong communication skills and comfort working directly with Product and Business leaders
* Strong programming skills in SQL, Python/R and proficiency in Tableau
* Experience in growth, lifecycle, or funnel optimization problems
* Experience building data pipelines with Airflow, preferably in Snowflake.
* Demonstrated experience with experimentation design, hypothesis testing, and statistical analysis
* Knowledge of statistical modeling or machine learning is a plus.
* Ability to operate effectively in ambiguous, fast\-moving product environments
* Ability to thrive in a dynamic, cross\-functional environment with keen attention to detail.
* Ability to work independently and as part of a team. You should be able to initiate and drive projects to completion
* Knowledge of experimentation platforms (e.g., Statsig or similar)
* Demonstrate strong business acumen and curiosity, with excellent communication and presentation skills, including the ability to present to leadership
* Strong preference for industry experience in financial service and familiarity with banking products and marketing channels.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101">
      <c r="A101" t="inlineStr">
        <is>
          <t>li-4365580096</t>
        </is>
      </c>
      <c r="B101" t="inlineStr">
        <is>
          <t>Senior Staff Data Scientist, Borrow</t>
        </is>
      </c>
      <c r="C101" t="inlineStr">
        <is>
          <t>SoFi</t>
        </is>
      </c>
      <c r="D101" t="inlineStr">
        <is>
          <t>linkedin</t>
        </is>
      </c>
      <c r="E101">
        <f>HYPERLINK("https://www.linkedin.com/jobs/view/4365580096", "https://www.linkedin.com/jobs/view/4365580096")</f>
        <v/>
      </c>
      <c r="F101" t="inlineStr"/>
      <c r="G101" t="inlineStr">
        <is>
          <t>San Francisco, CA</t>
        </is>
      </c>
      <c r="H101" t="inlineStr"/>
      <c r="I101"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The Borrow Data Science team is seeking a Senior Staff Data Scientist who will help support growth in our Home Loans business by improving SoFi’s ability to execute with data. This is an exciting role for someone to leverage their analytical skills to create robust reporting, identify growth opportunities and insights, and build ML models using Snowflake, Airflow, dbt, and Sagemaker.
 As a Senior Staff Data Scientist, you will serve as a data leader, balancing urgent requests, and delivering high quality projects to key stakeholders, through a clear and repeatable data informed approach. You will be a technical leader, helping the team build reliable, efficient, and scalable data foundations. You will create a culture of strong technical ownership, documenting your approach and ideas to socialize, resulting in strategies that have a wide impact within the organization. You will perform analytical deep\-dives to proactively identify most impactful opportunities, and inform future experimentation design and product roadmaps.
 In this role, you'll use your expertise in data analysis, statistical modeling, and machine learning to uncover insights that will directly influence product strategy and revenue growth. This role demands a strong technical foundation (SQL, Python/R, Tableau, Statistics), a deep understanding of business metrics, A/B testing, causal inference analysis, and exceptional collaboration skills.
 Additionally, you are expected to work cross\-functionally, including: engineering, product managers, lifecycle marketing, data science, design, operations, finance, risk, legal, compliance, and executive teams to set business objectives, define product strategy, prioritize features, and execute on them.
****What you’ll do:****
* Identify high impact business opportunities to help members achieve their financial goals
* Mentor and guide data scientists in the team by promoting best practices, strong technical decisions, coding standards, and thorough documentation.
* Develop and apply machine learning models to solve business problems
* Evaluate and interpret the results of data analysis
* Build strong relationships with stakeholders and present insights on a regular cadence communicating findings to both technical and non\-technical stakeholders.
* Design and implement data collection. Build data pipelines to deploy production level datasets.
* Collaborate with cross\-functional teams and business leaders to understand needs and offer data\-driven solutions
* Act as a technical leader by mentoring and supporting the growth of less experienced team members.
****What you’ll need:****
* Masters’ or above in quantitative areas: Statistics, Applied Mathematics, Economics, Computer Science, Engineering, or related field
* 10\+ years of relevant experience leveraging data\-driven analysis to influence key decisions, preferably in a Tech or Finance company
* Proven track record of being able to work independently, and proactively engaging with business stakeholders with minimal direction and drive measurable business impact.
* Experience with using Airflow and DBT to build Data Pipelines in Snowflake
* Strong programming skills in SQL and Python
* Experience with building data visualizations with Tableau, Looker or other BI tools
* Knowledge of varied ML algorithms, applicability to different business problems, and experience in deploying ML models at scale in production with monitoring metrics.
* Ability to work in a dynamic, cross\-functional environment, with a strong attention to detail;
* Effective communication and presentation skills and ability to explain complex analyses in simple terms to business leaders;
* Strong relationship building and collaborative skills;
* Exceptional problem\-solving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102">
      <c r="A102" t="inlineStr">
        <is>
          <t>li-4333058264</t>
        </is>
      </c>
      <c r="B102" t="inlineStr">
        <is>
          <t>Senior Data Scientist (Hybrid/Remote)</t>
        </is>
      </c>
      <c r="C102" t="inlineStr">
        <is>
          <t>Selective Insurance</t>
        </is>
      </c>
      <c r="D102" t="inlineStr">
        <is>
          <t>linkedin</t>
        </is>
      </c>
      <c r="E102">
        <f>HYPERLINK("https://www.linkedin.com/jobs/view/4333058264", "https://www.linkedin.com/jobs/view/4333058264")</f>
        <v/>
      </c>
      <c r="F102" t="inlineStr"/>
      <c r="G102" t="inlineStr">
        <is>
          <t>Hartford, CT</t>
        </is>
      </c>
      <c r="H102" t="inlineStr"/>
      <c r="I102" t="inlineStr">
        <is>
          <t>**About Us**
*At Selective, we don't just insure uniquely, we employ uniqueness.*
 Selective is a midsized U.S. domestic property and casualty insurance company with a history of strong, consistent financial performance for nearly 100 years. Selective's unique position as both a leading insurance group and an employer of choice is recognized in a wide variety of awards and honors, including listing in Forbes Best Midsize Employers in 2025 and certification as a Great Place to Work® in 2025 for the sixth consecutive year.
 Employees are empowered and encouraged to Be Uniquely You by being their true, unique selves and contributing their diverse talents, experiences, and perspectives to our shared success. Together, we are a high\-performing team working to serve our customers responsibly by helping to mitigate loss, keep them safe, and restore their lives and businesses after an insured loss occurs.
***Applicants must be authorized to work for any employer in the United States. Selective will not sponsor or assume the sponsorship of an employment visa at this time* 
 .**
**Overview**
 Responsible for data science, machine learning algorithms, statistical analysis, complex data analysis and the development of quantitative models that are designed to solve key business problems in claims, marketing, underwriting, and many other insurance\-based functions. Work directly with business partners and stakeholders to lead the thought process to identify opportunities for applying advanced analytics solutions while ensuring business benefits are realized. The candidate will drive the maturity of the organization's analytical capabilities by progressing from supervised learning to true Artificial Intelligence. Detects, trouble\-shoots, and foresees data and analysis issues and implements creative solutions. All job duties and responsibilities must be carried out in compliance with applicable legal and regulatory requirements.
*Note: (For NJ candidates) This role will be located at our future headquarters in Short Hills, N.J. Until the new headquarters is operational, the successful candidate will be offered the ability to work in our Branchville, N.J. location during this interim period.*
**Responsibilities**
* Understand the competitive marketplace, business issues, and data challenges to deliver actionable insights, recommendations, and business processes.
* Manipulate high\-volume, high\-dimensionality data from varying sources to highlight patterns, anomalies, relationships, and trends.
* Perform descriptive and diagnostics analysis to provide actionable insights for a range of business customers via effective visualization.
* Perform prescriptive analysis seeking for statistical inference providing information that will drive strategic decision making related to marketing, claims and underwriting.
* Develop predictive models and machine learning solutions to investigate problems, detect patterns and recommend solutions. Work with Information Technology (IT) to integrate the model into production environment.
* Performs model maintenance and post installation monitoring, including performance tracking, model refit/refresh, documentation, and version control.
* Design best in class sophisticated analytical solutions using advanced data science techniques like Text Mining, Natural Language Processing (NLP), Image Recognition, Generative AI and Robotic Process Automation (RPA).
* Research and recommend new data, tools, modeling techniques, and vendor solutions to enrich analytics solutions in alignment to policy lifecycle.
* Provide training and mentorship to junior analysts and other coworkers. Structure session for the broader community to stay current with industry trends including cutting\-edge methodology, software, and platforms while helping evolve best practices.
**Qualifications**
**Knowledge and Requirements**
* Professional statistics/quantitative skills.
* Hands\-on experience of solving business problem with various multi variate statistical methods including generalized linear model, survival model, time series, mixed effects model etc.
* Deep understanding and practical experience of applying machine learning techniques and algorithms, such as SVM, GBM etc.
* Familiar with the whole life cycle of predictive modeling, including data provision, model development, validation and testing, model deployment.
* Strong Communication and Presentation
* Skills in front of diverse audience. Proficient with manipulating data with enterprise\-scale database systems (SQL, SAS).
* Experience with BI tools such as Tableau, Spotfile etc. is required.
* Hands on experience with Big Data / Hadoop / Spark for 2\-3 years is required.
* Proficient with at least one scripting language such as R, Python, or Java.
* Experience with version control workflow such as Git is preferred.
* Experience with web app development is preferred.
**Education And Experience**
* PhD with 2\-3 years of experience, or Master’s with 5 years of experience or Bachelors with 7 years of experience and education in Statistics, Economics, Computer Science, Mathematics or related field preferred.
* At least 5 years of progressive experience in data science, statistical analysis, and data modeling; 5 years of experience with statistical software.
* Property \&amp; Casualty Insurance experience highly preferred.
**Total Rewards**
 Selective Insurance offers a total rewards package that includes a competitive base salary, incentive plan eligibility at all levels, and a wide array of benefits designed to help you and your family stay healthy, achieve your financial goals, and balance the demands of your work and personal life. These benefits include comprehensive health care plans, retirement savings plan with company match, discounted Employee Stock Purchase Program, tuition assistance and reimbursement programs, and 20 days of paid time off. Additional details about our total rewards package can be found by visiting our benefits page.
 The actual base salary is based on geographic location, and the range is representative of salaries for this role throughout Selective's footprint. Additional considerations include relevant education, qualifications, experience, skills, performance, and business needs.
**Pay Range**
 USD $121,000\.00 \- USD $184,000\.00 /Yr.
**Additional Information**
*Selective is an Equal Employment Opportunity employer. That means we respect and value every individual’s unique opinions, beliefs, abilities, and perspectives. We are committed to promoting a welcoming culture that celebrates diverse talent, individual identity, different points of view and experiences – and empowers employees to contribute new ideas that support our continued and growing success. Building a highly engaged team is one of our core strategic imperatives, which we believe is enhanced by diversity, equity, and inclusion. We expect and encourage all employees and all of our business partners to embrace, practice, and monitor the attitudes, values, and goals of acceptance; address biases; and foster diversity of viewpoints and opinions.
 For Massachusetts Applicants
 It is unlawful in Massachusetts to require or administer a lie detector test as a condition of employment or continued employment. An employer who violates this law shall be subject to criminal penalties and civil liability.*</t>
        </is>
      </c>
    </row>
    <row r="103">
      <c r="A103" t="inlineStr">
        <is>
          <t>li-4279726755</t>
        </is>
      </c>
      <c r="B103" t="inlineStr">
        <is>
          <t>Senior Data Scientist</t>
        </is>
      </c>
      <c r="C103" t="inlineStr">
        <is>
          <t>LSEG</t>
        </is>
      </c>
      <c r="D103" t="inlineStr">
        <is>
          <t>linkedin</t>
        </is>
      </c>
      <c r="E103">
        <f>HYPERLINK("https://www.linkedin.com/jobs/view/4279726755", "https://www.linkedin.com/jobs/view/4279726755")</f>
        <v/>
      </c>
      <c r="F103">
        <f>HYPERLINK("https://lseg.wd3.myworkdayjobs.com/Careers/job/United-States/Senior-Data-Scientist_R0104576-1?source=Linkedin&amp;urlHash=lcP5", "https://lseg.wd3.myworkdayjobs.com/Careers/job/United-States/Senior-Data-Scientist_R0104576-1?source=Linkedin&amp;urlHash=lcP5")</f>
        <v/>
      </c>
      <c r="G103" t="inlineStr">
        <is>
          <t>Mountain Home, TX</t>
        </is>
      </c>
      <c r="H103" t="inlineStr"/>
      <c r="I103" t="inlineStr">
        <is>
          <t>**Job Summary**
 As a Senior Data Scientist, you will leverage cutting\-edge technologies and methodologies to deliver data\-driven insights and solutions for complex customer needs. You will work on end\-to\-end solutions, including building Proof of Concepts (POCs), professional services, and integrating third\-party technologies with client systems. This role is pivotal to ensuring the successful implementation of data science\-driven products and capabilities, with a key focus on AI, machine learning, and Natural Language Processing (NLP). You will collaborate closely with cross\-functional teams, delivering innovative solutions to customers in highly dynamic, data\-intensive environments.
 Role \&amp; Responsibilities
* Lead and execute complex customer engagements, utilizing specialized expertise in AI, Machine Learning, and NLP, including building POCs, integrations, and deployments with customer workflows.
* Apply a combination of technical, product, and data science expertise to co\-create solutions that address specific customer needs, including ideation, clarification, technical design, and documentation.
* Lead detailed customer presentations for complex technical propositions, focusing on explaining advanced data science concepts and AI/ML solutions in an accessible way.
* Manage relationships with internal and external stakeholders, ensuring that project and customer\-specific technical requirements are captured, refined, and translated into actionable solutions.
* Oversee and contribute to the development of Proof of Concepts, ensuring integration with customer workflows and systems.
* Lead the technical design and implementation of AI and machine learning solutions that integrate with existing client infrastructure.
* Drive the adoption of advanced data science and AI technologies to deliver high\-value solutions.
* Develop and present strategies for scaling AI solutions, utilizing cloud platforms (Azure, AWS, GCP) for production\-ready deployments.
* Lead and mentor junior team members, fostering a collaborative environment for continuous learning and technical growth.
**Qualifications And Experience Required**
* 10\+ years of experience in data science or a related field, with a focus on AI, machine learning, and NLP, preferably in a senior technical or leadership role.
* Bachelor’s or Master’s degree in Computer Science, Engineering, Data Science, or related field. A Ph.D. in a relevant field is a plus.
* Expertise in Natural Language Processing (NLP) with a deep understanding of the latest NLP stack, including transformer\-based architectures such as BERT, GPT, T5, and newer models like GPT\-4, PaLM, and other state\-of\-the\-art large language models (LLMs) that are driving the evolution of NLP applications.
* Extensive experience with advanced machine learning and deep learning frameworks such as TensorFlow 2\.x, PyTorch, Hugging Face, and JAX for NLP and other advanced AI tasks.
* Deep knowledge of cloud services (AWS, GCP, Azure) and their use in data science workflows, particularly for deploying machine learning models at scale.
* Expertise in Python, with advanced knowledge of modern data science and machine learning libraries such as Pandas, NumPy, SciPy, scikit\-learn, spaCy, as well as cutting\-edge NLP frameworks like Hugging Face Transformers, Datasets, and NLTK for efficient model training, fine\-tuning, and data preprocessing.
* Strong programming skills in Python, R, and SQL, with advanced proficiency in handling large\-scale data using distributed data systems like Apache Spark, cloud\-native NoSQL databases such as MongoDB, Cassandra, and DynamoDB, as well as search engines like Elasticsearch and vector databases for semantic search (e.g., Pinecone, Weaviate).
* Hands\-on experience with data ingestion, data wrangling, and data pipeline orchestration using tools like Apache Kafka, Apache Spark, Airflow, and distributed computing frameworks like Dask and Ray.
* Experience with advanced data science methodologies, including ensemble learning, deep reinforcement learning, transfer learning, and deploying large pre\-trained models for real\-time inference and production.
* Ability to design, prototype, and deploy NLP models for a range of applications, from information retrieval to sentiment analysis, chatbots, and question answering systems.
* Demonstrated success in delivering solutions in complex, fast\-paced environments with a focus on customer satisfaction and technical excellence.
* Strong communication skills, with the ability to explain complex technical concepts to both technical and non\-technical stakeholders.
* Proven experience in customer\-facing roles is highly valued, particularly in the enterprise tech or financial sectors.
* Familiarity with AI\-powered product development in industries such as finance, healthcare, or e\-commerce.
* Experience with data visualization tools like Tableau, Power BI, or Plotly to present data science findings effectively.
* Knowledge of regulatory requirements in finance, including experience working with financial data feeds and APIs.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You will be part of a collaborative and creative culture where we encourage new ideas and are committed to sustainability across our global business. You will experience the critical role we have in helping to re\-engineer the financial ecosystem to support and drive sustainable economic growth. Together, we are aiming to achieve this growth by accelerating the just transition to net zero, enabling growth of the green economy and creating inclusive economic opportunity.
 LSEG offers a range of tailored benefits and support, including healthcare, retirement planning, paid volunteering days and wellbeing initiatives.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is>
      </c>
    </row>
    <row r="104">
      <c r="A104" t="inlineStr">
        <is>
          <t>li-4365643079</t>
        </is>
      </c>
      <c r="B104" t="inlineStr">
        <is>
          <t>Senior Marketing Data Scientist</t>
        </is>
      </c>
      <c r="C104" t="inlineStr">
        <is>
          <t>SoFi</t>
        </is>
      </c>
      <c r="D104" t="inlineStr">
        <is>
          <t>linkedin</t>
        </is>
      </c>
      <c r="E104">
        <f>HYPERLINK("https://www.linkedin.com/jobs/view/4365643079", "https://www.linkedin.com/jobs/view/4365643079")</f>
        <v/>
      </c>
      <c r="F104" t="inlineStr"/>
      <c r="G104" t="inlineStr">
        <is>
          <t>Seattle, WA</t>
        </is>
      </c>
      <c r="H104" t="inlineStr"/>
      <c r="I104" t="inlineStr">
        <is>
          <t>**Employee Applicant Privacy Notice**
**Who we are:**
 Shape a brighter financial future with us.
 Together with our members, we’re changing the way people think about and interact with personal finance.
 We’re a next\-generation financial services company and national bank using innovative, mobile\-first technology to help our millions of members reach their goals. The industry is going through an unprecedented transformation, and we’re at the forefront. We’re proud to come to work every day knowing that what we do has a direct impact on people’s lives, with our core values guiding us every step of the way.
 **Join us to invest in yourself, your career, and the financial world.**
**The role:**
 SoFi is seeking a highly motivated Senior Data Scientist to join the Marketing Data Science (MDS) team. The MDS team plays a crucial role in enabling data\-driven decisions across SoFi's Marketing organization through robust analytics, modeling, experimentation, and measurement.
 This exciting new role will focus on supporting the development and execution of top\-tier marketing strategies specifically within the Direct Mail (DM) channel. The DM channel is a key driver of revenue and new account acquisition for SoFi, encompassing all lending products—including Personal Loans, Home Loans, Student Loan Refinance, In\-school Loans, and Credit Cards—as well as Checking \&amp; Savings, Small Medium Business Loans, and future products.
 This position is ideal for someone passionate about utilizing data for problem\-solving in a fast\-paced environment. It requires direct interface with marketing managers, channel owners, and third\-party partners to collaboratively identify opportunities for improvement and enhanced efficiency.
**What you’ll do:**
* Manage the end\-to\-end Direct Mail (DM) campaigns, including pre\-screened (PS) and invitation\-to\-apply (ITA) across products. This encompasses identifying the underwriting, marketing and suppression rules, clearly defining the data source and logic, executing the code, validating the result and file ingestion, managing the approval process and tracking the campaign performance.
* Ensure a clear understanding of campaign schedules and deliverables. Diligently manage the status of each step, noting any dependencies, delays, or challenges. Escalate issues to business partners or upper management as necessary and propose actions for resolution.
* Serve as the primary liaison between the onshore and offshore teams. This includes communicating onshore needs to the offshore team and collaborating on campaign execution, validation, performance readouts and analysis.
* Partner with channel owners and marketing managers to develop strategies for optimizing and expanding target audiences, improving conversion rates, and maximizing return on investment (ROI).
* Support ad\-hoc campaign execution or analytics requests outside of the BAU schedule, demonstrating flexibility to accommodate business needs, focusing on solutioning, and finding ways to optimize efficiency and cost.
* Work with Bureau and 3rd party partners to explore new data, models or ideas to drive business growth besides campaign execution.
* Proactively measure and analyze the effectiveness and ROI of marketing campaigns and strategies, providing data\-driven recommendations and driving informed actions.
* Translate complex business objectives into actionable, data\-driven tactics and campaigns that deliver immediate results and build a strong foundation for sustained growth.
* Convert complex data into clear, compelling narratives and concise presentations to inform and guide senior management decision\-making.
**What you’ll need:**
* Bachelor's degree in Computer Science, Math, Physics, Engineering, or a quantitative field required; Master's degree preferred.
* 5\+ years of relevant marketing experience in the financial services industry, with a focus on pre\-screened/pre\-approved campaigns.
* Proficiency in SQL, Python, and Tableau.
* Experience building data pipelines with Airflow, preferably in Snowflake.
* Demonstrated experience with experimentation and hypothesis testing.
* Knowledge of statistical modeling or machine learning is a plus.
* High intellectual curiosity and a quick learner of new technical skills.
* Ability to initiate and drive projects independently to completion, and ability to clearly communicate technical information to diverse audiences.
* Strong relationship\-building and collaborative skills.
* Ability to thrive in a dynamic, cross\-functional environment with keen attention to detail.
**Compensation And Benefits**
 The base pay range for this role is listed below. Final base pay offer will be determined based on individual factors such as the candidate’s experience, skills, and location.
 To view all of our comprehensive and competitive benefits, visit our
 **Benefits at SoFi** 
 page!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
 The Company hires the best qualified candidate for the job, without regard to protected characteristics.
 Pursuant to the San Francisco Fair Chance Ordinance, we will consider for employment qualified applicants with arrest and conviction records.
 New York applicants: Notice of Employee Rights
 SoFi is committed to an inclusive culture. As part of this commitment, SoFi offers reasonable accommodations to candidates with physical or mental disabilities. If you need accommodations to participate in the job application or interview process, please let your recruiter know or email accommodations@sofi.com.
 Due to insurance coverage issues, we are unable to accommodate remote work from Hawaii or Alaska at this time.
**Internal Employees**
 If you are a current employee, do not apply here \- please navigate to our Internal Job Board in Greenhouse to apply to our open roles.</t>
        </is>
      </c>
    </row>
    <row r="105">
      <c r="A105" t="inlineStr">
        <is>
          <t>li-4364790217</t>
        </is>
      </c>
      <c r="B105" t="inlineStr">
        <is>
          <t>Data Scientist, AWS Infrastructure Services Science</t>
        </is>
      </c>
      <c r="C105" t="inlineStr">
        <is>
          <t>myGwork - LGBTQ+ Business Community</t>
        </is>
      </c>
      <c r="D105" t="inlineStr">
        <is>
          <t>linkedin</t>
        </is>
      </c>
      <c r="E105">
        <f>HYPERLINK("https://www.linkedin.com/jobs/view/4364790217", "https://www.linkedin.com/jobs/view/4364790217")</f>
        <v/>
      </c>
      <c r="F105" t="inlineStr"/>
      <c r="G105" t="inlineStr">
        <is>
          <t>Herndon, VA</t>
        </is>
      </c>
      <c r="H105" t="inlineStr"/>
      <c r="I105" t="inlineStr">
        <is>
          <t>**This job is with Amazon, an inclusive employer and a member of myGwork – the largest global platform for the LGBTQ\+ business community. Please do not contact the recruiter directly.**
**Description**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
**Basic Qualifications**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
 USA, VA, Herndon \- 108,300\.00 \- 160,000\.00 USD annually
 USA, WA, Seattle \- 108,300\.00 \- 160,000\.00 USD annually]]\&gt;</t>
        </is>
      </c>
    </row>
    <row r="106">
      <c r="A106" t="inlineStr">
        <is>
          <t>li-4301524058</t>
        </is>
      </c>
      <c r="B106" t="inlineStr">
        <is>
          <t>Data Scientist III</t>
        </is>
      </c>
      <c r="C106" t="inlineStr">
        <is>
          <t>Systems Planning &amp; Analysis</t>
        </is>
      </c>
      <c r="D106" t="inlineStr">
        <is>
          <t>linkedin</t>
        </is>
      </c>
      <c r="E106">
        <f>HYPERLINK("https://www.linkedin.com/jobs/view/4301524058", "https://www.linkedin.com/jobs/view/4301524058")</f>
        <v/>
      </c>
      <c r="F106">
        <f>HYPERLINK("https://careers-spa.icims.com/jobs/20361/data-scientist-iii/job?hub=6&amp;mode=apply&amp;iis=LinkedIn&amp;iisn=LinkedIn&amp;urlHash=2Y-c", "https://careers-spa.icims.com/jobs/20361/data-scientist-iii/job?hub=6&amp;mode=apply&amp;iis=LinkedIn&amp;iisn=LinkedIn&amp;urlHash=2Y-c")</f>
        <v/>
      </c>
      <c r="G106" t="inlineStr">
        <is>
          <t>San Diego, CA</t>
        </is>
      </c>
      <c r="H106" t="inlineStr"/>
      <c r="I106" t="inlineStr">
        <is>
          <t>**Overview**
 Systems Planning and Analysis, Inc. (SPA) delivers high\-impact, technical solutions to complex national security issues. With over 50 years of business expertise and consistent growth, we are known for continuous innovation for our government customers, in both the US and abroad. Our exceptionally talented team is highly collaborative in spirit and practice, producing Results that Matter . Come work with the best! We offer opportunity, unique challenges, and clear\-sighted commitment to the mission. SPA: Objective. Responsive. Trusted.
 \#MC
 SPA is seeking a Data Scientist III in San Diego. \#KS
**Responsibilities**
 The Data Scientist III position will develop and implement a set of techniques or analytics applications to transform raw data into meaningful information using data\-oriented programming languages and visualization software. They may also perform data mining, data modeling, natural language processing, and machine learning to extract and analyze information from lage structured and unstruture datasets, as well as visualize, interpret, and report data findings and create dynamic data reports.
 Other responsibilities may include: 1\) Apply data mining, data modeling, natural language processing, and machine learning to extract and analyze information from large structured and unstructured datasets, 2\) Visualize, interpret, and report data findings, and 3\) Create dynamic data reports.
 CA Pay Transparency Salary Range: $140K \- $165K.
**Required**
**Qualifications**
* Master’s Degree
* 10 (ten) or more years of professional experience with data science
* Professional experience with DoD acquisition organizations spanning ACAT I/II to ACAT III/IV \&amp; AAPs, Projects, and Adaptive Acquisition Framework Pathways (to include Software Acquisition Pathway, Middle Tier Acquisition Pathway, etc.)
* Data management and data visualization experience with leveraging the Navy or comparable DoD databases (i.e. Odin, NMCI, N\-ERP, Flankspeed, etc.)
* Three (3\) years of this experience in direct support of a Navy or DoD data visualization products
* Strong interpersonal and leadership skills and ability to communicate effectively, both verbally and in writing
* DoD Secret Clearance and the ability to maintain it throughout employment</t>
        </is>
      </c>
    </row>
    <row r="107">
      <c r="A107" t="inlineStr">
        <is>
          <t>li-4343484580</t>
        </is>
      </c>
      <c r="B107" t="inlineStr">
        <is>
          <t>Senior Data Scientist, Full Stack</t>
        </is>
      </c>
      <c r="C107" t="inlineStr">
        <is>
          <t>SentiLink</t>
        </is>
      </c>
      <c r="D107" t="inlineStr">
        <is>
          <t>linkedin</t>
        </is>
      </c>
      <c r="E107">
        <f>HYPERLINK("https://www.linkedin.com/jobs/view/4343484580", "https://www.linkedin.com/jobs/view/4343484580")</f>
        <v/>
      </c>
      <c r="F107" t="inlineStr"/>
      <c r="G107" t="inlineStr">
        <is>
          <t>Los Angeles, CA</t>
        </is>
      </c>
      <c r="H107" t="inlineStr"/>
      <c r="I107" t="inlineStr">
        <is>
          <t>SentiLink provides innovative identity and risk solutions, empowering institutions and individuals to transaction with confidence. We’re building the future of identity verification in the United States replacing a clunky, ineffective, and expensive status quo with solutions that are 10x faster, smarter, and more accurate.
 We’ve seen tremendous traction and are growing extremely quickly. Our real\-time APIs have helped verify hundreds of millions of identities, starting with financial services and rapidly expanding into new markets. SentiLink is backed by world\-class investors including Craft Ventures, Andreessen Horowitz, NYCA, and Max Levchin.
 We’ve earned recognition from TechCrunch, CNBC, Bloomberg, Forbes, Business Insider, PYMNTS, American Banker, LendIt, and have been named to the Forbes Fintech 50 list every year since 2023\. Last but not least, we’ve even made history \- we were the first company to go live with the eCBSV and testified before the United States House of Representatives on the future of identity.
 SentiLink supports a variety of ways to work, ranging from fully remote to in\-office. We operate as a digital\-first company with strong collaboration across the U.S. and India. We maintain physical offices in Austin, San Francisco, New York City, Seattle, Los Angeles, and Chicago in the U.S., and in Gurugram (Delhi) and Bengaluru in India. If you’re located near one of these offices, we would love for you to spend time in the office regularly. Some roles are hybrid or in\-office by design. For example, our engineering team in India works primarily from our Gurugram office.
**Role**
 As a Senior Data Scientist at SentiLink, you will build our core products: models that identify fraudsters and also advance our growing suite of products in financial risk. As an experienced researcher you will be relied upon to be technically capable and the definitive owner of your respective domain. You will often work on projects with high visibility and impact that require deep domain understanding, critical thinking and strong technical abilities. You will work with teams across the company to research new types of fraud, develop new products, and provide analysis to drive sales and marketing. This is a full\-stack data science role, involving model development, analysis, and writing production code. You should be interested in having end\-to\-end ownership and a fast\-moving environment where deep domain understanding drives development and unusual insights drive our competitive advantage rather than optimization of new machine learning methodologies.
**Technologies:** 
 Python 3, PostgreSQL, and AWS infrastructure (EC2, S3, RDS, Redshift, etc.)
**Responsibilities**
* Develop and maintain SentiLink’s fraud detection models through the full model development lifespan: from data acquisition decisions through featurization, focusing labeling resources, model training, experimentation, productionalization, and monitoring.
* Build foundational modeling to drive SentiLink’s expanding suite of Fraud and Financial Risk products.
* Research new types of fraud and develop new SentiLink products around identity verification.
* Achieve success by researching / developing through iteration, integration of new data sources and inventive feature engineering.
* Write production\-ready code that can be relied on for real\-time decision making by our partners.
* Design, perform, and present analyses that will inform data acquisition, product development, risk operations priorities, marketing, and sales efforts.
* Work with engineering, risk operations, and data acquisitions to access necessary data, maintain data quality, and support data access
**Requirements**
* 4\+ years relevant work experience \&amp; relevant PhD or 6\+ years \&amp; relevant Masters
* Proven track record of solving complex / high profile business problems with DS / ML solutions
* Experience in communicating outcomes / progress to senior management / stakeholders
* Very strong in “end to end” DS development: Planning, fleshing out success criteria / metrics, getting buy\-in, developing the solution, delivering the solution (prod / deck / strategy doc / etc)
* Strong practical ML / Stats knowledge, i.e. can easily employ the suite of standard ML / stats tools to quickly scope out solutions, and double down where needed. Experience with SOTA ML solutions is a plus
* Interest in developing deep domain expertise for product\-focused work: a background in fraud is not required, but willingness to learn is
* Experience writing production code and tests
* Detail oriented and thoughtful \- someone we can rely on to make business\-changing decisions
* Bonus for familiarity with: identity solutions, fintech, or adjacent industries
* Experience working at a startup strongly preferred
* Thrive in a fast paced environment characterized by the need to solve extremely varied, high impact, open ended problems.
* Candidates must be legally authorized to work in the United States and must live in the United States
**Salary Range**
* $180,000/year \- $230,000/year \+ equity \+ benefits
**Perks**
* Employer paid group health insurance for you and your dependents
* 401(k) plan with employer match (or equivalent for non US\-based roles)
* Flexible paid time off
* Regular company\-wide in\-person events
* Home office stipend, and more!
**Corporate Values**
* Follow Through
* Deep Understanding
* Whatever It Takes
* Do Something Smart</t>
        </is>
      </c>
    </row>
    <row r="108">
      <c r="A108" t="inlineStr">
        <is>
          <t>li-4349800773</t>
        </is>
      </c>
      <c r="B108" t="inlineStr">
        <is>
          <t>Senior Data Scientist, Sales Operations</t>
        </is>
      </c>
      <c r="C108" t="inlineStr">
        <is>
          <t>CoreWeave</t>
        </is>
      </c>
      <c r="D108" t="inlineStr">
        <is>
          <t>linkedin</t>
        </is>
      </c>
      <c r="E108">
        <f>HYPERLINK("https://www.linkedin.com/jobs/view/4349800773", "https://www.linkedin.com/jobs/view/4349800773")</f>
        <v/>
      </c>
      <c r="F108" t="inlineStr"/>
      <c r="G108" t="inlineStr">
        <is>
          <t>Livingston, NJ</t>
        </is>
      </c>
      <c r="H108" t="inlineStr"/>
      <c r="I108" t="inlineStr">
        <is>
          <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 www.coreweave.com.
****What You’ll Do****
**About the Team**
 The Sales Operations \&amp; GTM Analytics team empowers our Sales, Revenue Operations, Marketing, and Finance organizations with the data, insights, and frameworks required to accelerate growth. We build the analytical foundation that informs strategy, optimizes execution, and ensures every customer\-facing motion is guided by accurate, timely, and actionable intelligence.
****About The Role****
 As a Senior Data Scientist, Sales Operations, you will play a pivotal role in shaping our commercial strategy and enabling data\-driven decision making across the GTM organization. You will architect the data foundations for Sales, build advanced analytical and machine\-learning models, and translate complex datasets into clear, strategic insights. Your work will directly guide forecasting, planning, segmentation, quota design, and GTM investments. You’ll collaborate closely with cross\-functional leaders and influence decisions at the highest levels.
****What You’ll Do****
* Partner with Sales, Revenue Operations, Marketing, and Finance to define the data foundation for GTM, including instrumentation, metric definitions, pipelines, dashboards, and reporting.
* Design, build, and maintain scalable data models and statistical/ML frameworks (e.g., segmentation, lead scoring, win/loss analysis, churn prediction, propensity modeling).
* Transform complex datasets into actionable commercial insights, identifying growth levers, bottlenecks, competitive dynamics, and customer behavior patterns — and convert them into strategic recommendations.
* Lead GTM planning cycles: develop forecasting models, scenario planning, “what\-if” analyses, target\-setting methodologies, and playbooks.
* Produce executive\-level reporting and communicate insights and recommendations clearly to senior leadership and cross\-functional stakeholders.
* Partner with data engineering/analytics teams to ensure data integrity, governance, and readiness for advanced analytics; uphold best practices in modeling, documentation, and reproducibility.
* Drive experimentation: design A/B tests, pilots, and measurement frameworks for new GTM initiatives, product launches, and sales motions.
* Own the end\-to\-end analytics lifecycle: data collection → modeling → insight generation → strategy → execution → measurement.
* Mentor junior data scientists, analytics engineers, and BI professionals; help cultivate a data\-driven culture within Sales Operations.
****Who You Are****
* 6–10\+ years of experience in data science, sales operations analytics, business intelligence, or commercial strategy roles within SaaS, cloud, infrastructure, or high\-growth technology environments.
* Expertise with SQL, Python/R, large\-scale datasets, statistical modeling, machine\-learning methods, and data visualization tools.
* Demonstrated ability to translate analytical outputs into strategic GTM recommendations and influence Sales/RevOps leadership.
* Experience building forecasting models, segmentation frameworks, propensity models, or other advanced analytics used to drive revenue outcomes.
* Strong understanding of GTM motions, sales funnel mechanics, segmentation and targeting, territory/quota design, pipeline generation, and churn/expansion dynamics.
* Proven ability to communicate data and analysis clearly to senior leadership, using structured narratives and decision\-ready insights.
* Bachelor’s degree in data science, statistics, mathematics, economics, engineering, business, or related field; advanced degree (MS/PhD) preferred.
****Preferred****
* Experience with experimentation frameworks (A/B testing, causal inference, uplift modeling).
* Familiarity with modern data stacks (dbt, Snowflake, Looker, etc.).
* Background supporting high\-velocity enterprise or cloud infrastructure GTM teams.
**Wondering if you’re a good fit?**
 We Believe In Investing In Our People And Value Candidates Who Bring Diverse Experiences — Even If You’re Not a Perfect Match On Every Requirement. If Some Of The Below Describes You, We’d Love To Talk:
* You love uncovering insights in messy datasets and turning them into strategic action.
* You’re curious about how GTM engines work and how data can unlock revenue growth.
* You’re an expert in building models that meaningfully shape business decisions.
**Why CoreWeave?**
 At CoreWeave, We Work Hard, Have Fun, And Move Fast! We’re In An Exciting Stage Of Hyper\-growth You Won’t Want To Miss. We’re Not Afraid Of a Little Chaos, And We’re Constantly Learning. Our Team Cares Deeply About How We Build Our Product And How We Work Together, Which Is Represented Through Our Core Values:
* Be Curious at Your Core
* Act Like an Owner
* Empower Employees
* Deliver Best\-in\-Class Client Experiences
* Achieve More Together
 We support and encourage an entrepreneurial outlook and independent thinking. Our environment fosters collaboration and empowers you to develop innovative solutions to complex problems. As we prepare for takeoff, growth opportunities across the organization are rapidly expanding. You’ll be surrounded by some of the best talent in the industry — who will want to learn from you, too.
 **Come join us!**
 The base salary range for this role is $135,000 to $198,000\. The starting salary will be determined based on job\-related knowledge, skills, experience, and market location. We strive for both market alignment and internal equity when determining compensation. In addition to base salary, our total rewards package includes a discretionary bonus, equity awards, and a comprehensive benefits program (all based on eligibility).
****What We Offer****
 The range we’ve posted represents the typical compensation range for this role. To determine actual compensation, we review the market rate for each candidate which can include a variety of factors. These include qualifications, experience, interview performance, and location.
 In addition to a competitive salary, we offer a variety of benefits to support your needs, including:
* Medical, dental, and vision insurance \- 100% paid for by CoreWeave
* Company\-paid Life Insurance
* Voluntary supplemental life insurance
* Short and long\-term disability insurance
* Flexible Spending Account
* Health Savings Account
* Tuition Reimbursement
* Ability to Participate in Employee Stock Purchase Program (ESPP)
* Mental Wellness Benefits through Spring Health
* Family\-Forming support provided by Carrot
* Paid Parental Leave
* Flexible, full\-service childcare support with Kinside
* 401(k) with a generous employer match
* Flexible PTO
* Catered lunch each day in our office and data center locations
* A casual work environment
* A work culture focused on innovative disruption
**Our Workplace**
 While we prioritize a hybrid work environment, remote work may be considered for candidates located more than 30 miles from an office, based on role requirements for specialized skill sets. New hires will be invited to attend onboarding at one of our hubs within their first month. Teams also gather quarterly to support collaboration
 California Consumer Privacy Act \- California applicants only
*CoreWeave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
*As part of this commitment and consistent with the* 
*Americans with Disabilities Act (ADA)* 
*, CoreWeave will ensure that qualified applicants and candidates with disabilities are provided reasonable accommodations for the hiring process, unless such accommodation would cause an undue hardship. If reasonable accommodation is needed, please contact: careers@coreweave.com.*
**Export Control Compliance**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CoreWeave may, for legitimate business reasons, decline to pursue any export licensing process.</t>
        </is>
      </c>
    </row>
    <row r="109">
      <c r="A109" t="inlineStr">
        <is>
          <t>li-4373239055</t>
        </is>
      </c>
      <c r="B109" t="inlineStr">
        <is>
          <t>Data Scientist</t>
        </is>
      </c>
      <c r="C109" t="inlineStr">
        <is>
          <t>Haystack</t>
        </is>
      </c>
      <c r="D109" t="inlineStr">
        <is>
          <t>linkedin</t>
        </is>
      </c>
      <c r="E109">
        <f>HYPERLINK("https://www.linkedin.com/jobs/view/4373239055", "https://www.linkedin.com/jobs/view/4373239055")</f>
        <v/>
      </c>
      <c r="F109" t="inlineStr"/>
      <c r="G109" t="inlineStr"/>
      <c r="H109" t="inlineStr"/>
      <c r="I109" t="inlineStr">
        <is>
          <t>**Data Scientist, Applied AI \| Remote**
 We're working with Azumo on this exciting opportunity.
 Are you a passionate Data Scientist/Machine Learning Engineer ready to revolutionize data and analytics infrastructure? Join Azumo and dive into cutting\-edge AI, designing and implementing advanced machine learning and deep learning models, especially in the Generative AI space, using Python and PyTorch.
**The Role**
* Design, train, and validate supervised and unsupervised models (e.g., anomaly detection, classification, forecasting).
* Architect and implement deep learning solutions (CNNs, Transformers) with PyTorch, developing and fine\-tuning Large Language Models (LLMs).
* Implement Retrieval Augmented Generation (RAG) pipelines, integrating with vector databases and building robust deployment pipelines (Docker, Kubernetes, CI/CD).
* Ingest, clean, and transform large datasets using pandas, NumPy, and Spark, automating training and serving workflows with Airflow.
* Implement LLMOps practices for automated testing, evaluation, and monitoring of LLMs, writing production\-grade Python code following SOLID principles.
**What You'll Need**
* Bachelor's or Master's in Computer Science, Data Science, or related field with 5\+ years of professional experience in Python production environments.
* Solid background in machine learning \&amp; deep learning (CNNs, Transformers, LLMs) with hands\-on experience with PyTorch.
* Proven track record deploying ML solutions and expertise in pandas, NumPy, and scikit\-learn.
* Familiarity with Agile/Scrum practices and tooling (JIRA, Confluence) and a strong foundation in statistics and experimental design.
**What's On Offer**
* Opportunity to work remotely from Latin America with a dynamic team, focusing on professional and personal growth.
* Access to Udemy Premium for continuous learning and mentored career development.
* Competitive remuneration in US dollars, along with paid time off and U.S. holidays.
**Apply via Haystack today!**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2026-02-14T21:07:41Z</dcterms:created>
  <dcterms:modified xsi:type="dcterms:W3CDTF">2026-02-14T21:07:41Z</dcterms:modified>
</cp:coreProperties>
</file>