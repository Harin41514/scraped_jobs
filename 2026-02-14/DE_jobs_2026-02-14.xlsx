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in-444dce4acfa60de1</t>
        </is>
      </c>
      <c r="B2" t="inlineStr">
        <is>
          <t>Data Engineer</t>
        </is>
      </c>
      <c r="C2" t="inlineStr">
        <is>
          <t>Narvee Technologies</t>
        </is>
      </c>
      <c r="D2" t="inlineStr">
        <is>
          <t>indeed</t>
        </is>
      </c>
      <c r="E2" t="inlineStr"/>
      <c r="F2" t="inlineStr"/>
      <c r="G2" t="inlineStr">
        <is>
          <t>Chicago, IL, US</t>
        </is>
      </c>
      <c r="H2" s="2" t="n">
        <v>46066</v>
      </c>
      <c r="I2" t="inlineStr">
        <is>
          <t>Chicago, IL
**Min Experience:** 3\+ years
**Skills:** Python, SQL, Apache Airflow, Kubeflow, AWS (S3, EMR, Glue, EC2, Lambda), Data Quality, ETL/ELT, Version Control (Bitbucket).
**Education:** Bachelor's degree in Computer Science or related field.
**Posted Date:** 09/02/2026
**Tentative Project Start Date:** Immediate
**Job Summary :** Seeking a Data Engineer to collaborate with Data Science teams, integrate machine learning models into the enterprise data platform, and support the full lifecycle of data pipelines. This role focuses on model implementation, workflow orchestration, data quality validation, and production deployment using modern cloud technologies and Agile methodologies.
**Key Responsibilities:**
1\. Collaborate closely with Data Science teams to receive insurance\-related analytical and predictive models, understand business requirements, model logic, and expected outcomes prior to implementation.
2\. Review and refactor DS\-provided model code to remove hardcoded values and environment\-specific logic, and parameterize configurations using Python, SQL, and shell scripting for portability and scalability.
3\. Standardize model inputs, configuration parameters, and execution workflows to ensure consistent behavior across development, testing, and production environments.
4\. Integrate validated Data Science models into the GBD (Global Business Data) enterprise data platform, ensuring adherence to data architecture, security, and governance standards.
5\. Design, develop, and maintain Apache Airflow DAGs to orchestrate data pipelines, model execution schedules, and upstream/downstream dependencies.
6\. Support model lifecycle management and experimentation using Kubeflow, enabling reproducible, version\-controlled, and scalable machine learning workflows.
7\. Perform end\-to\-end model testing and validation using enterprise datasets stored in AWS S3 and processed via AWS EMR and AWS Glue, ensuring data accuracy, performance, and reliability.
8\. Conduct data quality checks, output validation, reconciliation, and performance analysis, and document results for Data Science review and approval.
9\. Collaborate with Data Science teams during validation cycles, address feedback, resolve issues, and finalize model implementations prior to production release.
10\. Prepare and deploy approved models into production environments, following established release management and change control processes.
11\. Deploy, monitor, and support production workflows using AWS services including EC2 instances, Lambda functions, S3 buckets, and Glue jobs.
12\. Track development tasks, enhancements, defects, and production issues using Jira, ensuring timely resolution and transparent communication across teams.
13\. Troubleshoot pipeline failures, model execution issues, and infrastructure\-related incidents, and implement corrective actions to maintain system stability.
14\. Use VS Code for development and debugging, Bitbucket for version control and code reviews, Confluence for documentation, and Jira for Agile project tracking and sprint management.
15\. Participate in Agile ceremonies such as sprint planning, stand\-ups, and retrospectives, providing technical updates and supporting cross\-functional collaboration.
**Required Skills and Qualifications:**
1\. Minimum 3 years of relevant experience in data engineering.
2\. Strong proficiency in Python, SQL, and shell scripting.
3\. Experience with Apache Airflow for workflow orchestration.
4\. Knowledge of Kubeflow for machine learning lifecycle management.
5\. Hands\-on experience with AWS services (S3, EMR, Glue, EC2, Lambda).
6\. Experience with data quality validation and testing frameworks.
7\. Proficiency in VS Code, Bitbucket, Confluence, and Jira.
8\. Understanding of data architecture, security, and governance principles.
9\. Experience with Agile methodologies and ceremonies.
10\. Strong problem\-solving and troubleshooting skills.
11\. Excellent collaboration and communication abilities.
**Preferred Qualifications:**
1\. Experience working with Data Science teams and machine learning models.
2\. Proven track record of deploying and maintaining production data pipelines.
3\. Experience in the insurance or financial services domain is a plus.
***Send resumes to*** ***hr@narveetech.com***</t>
        </is>
      </c>
    </row>
    <row r="3">
      <c r="A3" t="inlineStr">
        <is>
          <t>in-1d468a276bf2528e</t>
        </is>
      </c>
      <c r="B3" t="inlineStr">
        <is>
          <t>Analytics Engineer</t>
        </is>
      </c>
      <c r="C3" t="inlineStr">
        <is>
          <t>Atrium Health</t>
        </is>
      </c>
      <c r="D3" t="inlineStr">
        <is>
          <t>indeed</t>
        </is>
      </c>
      <c r="E3" t="inlineStr"/>
      <c r="F3" t="inlineStr"/>
      <c r="G3" t="inlineStr">
        <is>
          <t>Winston-Salem, NC, US</t>
        </is>
      </c>
      <c r="H3" s="2" t="n">
        <v>46066</v>
      </c>
      <c r="I3" t="inlineStr">
        <is>
          <t>**Department:**
85000 Wake Forest University Health Sciences \- Academic Deans Office **Status:**
Full time **Benefits Eligible:**
Yes **Hou****rs Per Week:**
40 **Schedule Details/Additional Information:**
To achieve excellence and guide strategy, **Wake Forest University School of Medicine** **(WFUSM)** seeks to have measurable, transparent, and scalable indicators of our growth and performance in core missions of education, research, and academically integrated clinical care. The **CAPTURE (Centralized Analytic Platform for Performance, Transparency, Utilization, and Real\-Time Excellence)** initiative will develop a series of integrated data dashboards across our core missions, enabling faculty, staff, and leadership to continuously monitor and improve their performance and effectiveness at the School and across the clinical enterprise.
The **DIVE team** (**Data, Integration, Visualization, Evaluation**) is seeking an **analytics engineer** to drive growth and maintenance of education and research data warehouses, academic applications, and the informatics components of strategic projects. This role will specifically support the CAPTURE initiative under the leadership of the inaugural **Office of Institutional Learning and Transformation** at WFUSM.
The **analytics engineer** will be responsible for transforming raw data into robust, high\-level models that support reporting and dashboard creation. This role emphasizes model design and implementation, data quality, standardization, and documentation. The analytics engineer will collaborate closely with data engineers and BI/reporting teams, apply strong SQL and dimensional modeling skills, and may develop subject matter expertise in specific data domains while maintaining broad familiarity to ensure cross\-team support and avoid silos.
**Proficiency in Python required, Snowflake and dbt core preferred.**
**Pay Range**
$30\.70 \- $46\.05
EDUCATION/EXPERIENCE: Bachelor's degree with computer courses. Two years' experience in computer programming or operations research; or, an equivalent combination of education and experience in computer programming. LICENSURE, CERTIFICATION, and/or REGISTRATION: N/A ESSENTIAL FUNCTIONS: 1\. Oversees all phases of database design, development, management and reporting for medium\-sized projects. 2\. Consults with users on project design needs. Maintains a professional relationship with project personnel. 3\. Maintains software and troubleshoot simple software products. 4\. Performs a range of ad hoc queries to databases and the implementation of automated reporting schemes. Analyzes quality control needs of moderate sized projects. 5\. Performs a wide variety of data transfers and conversions. 6\. Creates and maintains user manuals and documentation of software products. 7\. Design and implements a comprehensive software testing plan for software products. 8\. Performs other related duties incidental to work described herein. SKILLS/QUALIFICATIONS: Strong initiative and proven ability to work independently Ability to communicate on a professional level with customers and staff Superior problem solving skills WORK ENVIRONMENT: Comfortable, well\-lit office setting Occasionally subject to long and/or irregular hours Subject to interruptions PHYSICAL REQUIREMENTS: 0% 35% 65% to to to 35% 65% 100% N/A Activity X Standing X Walking X Sitting X Bending X Reaching with arms X Finger and hand dexterity X Talking X Hearing X Seeing Lifting, carrying, pushing and or pulling: X 20 lbs. maximum X 50 lbs. maximum X 100 lbs. maximum
**Our Commitment to You:**
Advocate Health offers a comprehensive suite of Total Rewards: benefits and well\-being programs, competitive compensation, generous retirement offerings, programs that invest in your career development and so much more – so you can live fully at and away from work, including:
**Compensation**
* Base compensation listed within the listed pay range based on factors such as qualifications, skills, relevant experience, and/or training
* Premium pay such as shift, on call, and more based on a teammate's job
* Incentive pay for select positions
* Opportunity for annual increases based on performance
**Benefits and more**
* Paid Time Off programs
* Health and welfare benefits such as medical, dental, vision, life, and Short\- and Long\-Term Disability
* Flexible Spending Accounts for eligible health care and dependent care expenses
* Family benefits such as adoption assistance and paid parental leave
* Defined contribution retirement plans with employer match and other financial wellness programs
* Educational Assistance Program
 **About Advocate Health**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155,000 teammates across 69 hospitals and over 1,000 care locations, and offers one of the nation’s largest graduate medical education programs with over 2,000 residents and fellows across more than 200 programs. Committed to providing equitable care for all, Advocate Health provides more than $6 billion in annual community benefits.
Under general supervision, designs and implements medium\-sized research information systems. Exhibits ability to learn to use a variety of research computer software tools and operating system environments.</t>
        </is>
      </c>
    </row>
    <row r="4">
      <c r="A4" t="inlineStr">
        <is>
          <t>in-644cc0321e1adc88</t>
        </is>
      </c>
      <c r="B4" t="inlineStr">
        <is>
          <t>Data engineer</t>
        </is>
      </c>
      <c r="C4" t="inlineStr">
        <is>
          <t>Stacklogy</t>
        </is>
      </c>
      <c r="D4" t="inlineStr">
        <is>
          <t>indeed</t>
        </is>
      </c>
      <c r="E4" t="inlineStr"/>
      <c r="F4" t="inlineStr"/>
      <c r="G4" t="inlineStr">
        <is>
          <t>US</t>
        </is>
      </c>
      <c r="H4" s="2" t="n">
        <v>46066</v>
      </c>
      <c r="I4"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5">
      <c r="A5" t="inlineStr">
        <is>
          <t>in-7ae26d4afddac4fc</t>
        </is>
      </c>
      <c r="B5" t="inlineStr">
        <is>
          <t>Senior Data Engineer</t>
        </is>
      </c>
      <c r="C5" t="inlineStr">
        <is>
          <t>Goldbelt, Inc.</t>
        </is>
      </c>
      <c r="D5" t="inlineStr">
        <is>
          <t>indeed</t>
        </is>
      </c>
      <c r="E5" t="inlineStr"/>
      <c r="F5" t="inlineStr"/>
      <c r="G5" t="inlineStr">
        <is>
          <t>Remote, US</t>
        </is>
      </c>
      <c r="H5" s="2" t="n">
        <v>46065</v>
      </c>
      <c r="I5" t="inlineStr">
        <is>
          <t>Overview:
A leader in cutting\-edge research and technology in the cyber arena, CPMG focuses on using business drivers to guide cybersecurity activities and manage risk. CPMG offers flexible, integrative solutions for Department of Defense (DoD) contractors, among others, and specializes in cybersecurity, information and operational technology, electronic security surveillance, and support services. **Summary**
CPMG is seeking a Senior Data Engineer. Customer location is in Washington, D.C., but this is a 100% remote position.
Responsibilities:
**Essential Job Functions*** Design and develop high\-quality software and data architectures for batch and streaming data pipelines
* Design databases to support business applications, ensuring system scalability, security, performance, and reliability
* Set up database clusters, backup, or recovery processes
* Design database applications, such as interfaces, data transfer mechanisms, global temporary tables, data partitions, and function\-based indexes to enable efficient access of the generic database structure
* Document and communicate database schemas, using accepted notations
* Identify, evaluate, and recommend hardware or software technologies to achieve desired database performance
* Demonstrate database technical functionality, such as performance, security, and reliability
* Develop load\-balancing processes to eliminate downtime for backup processes
* Plan and install upgrades of database management system software to enhance database performance
Qualifications:
**Necessary Skills and Knowledge*** Experience with cloud development (AWS (Preferred), Azure, etc.)
* Experience with data modeling, data warehousing, and building ETL pipelines
* Experience using SQL
* Ability to multi\-task, ability to troubleshoot problems in real\-time, and diagnose the root cause
* Experience using Python (Preferred), R, Scala, SAS, or other analytical focused programming language
* Strong understanding of networking, identity management, monitoring, logging vulnerability management, and concepts
* Depth of understanding with security concepts, protocols, and configuration (authentication authorization, encryption, PKI) with knowledge of IT operating models and processes and experience hardening infrastructures \&amp; systems and developing highly available \&amp; scalable systems is a plus
* Knowledge and experience with data engineering
* Possess excellent oral, written, and interpersonal communication skills
* Possess high moral and ethical standards
* Individual must be a self\-starter, able to work without direction
* Must be proficient in the use of Microsoft Office products (Word, Outlook, Excel, and PowerPoint)
**Minimum Qualifications*** Bachelor’s degree in the field of computer science, information science, information systems or a related field and 5\+ years of relevant work experience; or a master’s or higher degree and 2\+ years of relevant work experience
* Pass an employer background check
**Preferred Qualifications*** Master’s degree in Computer Science or related IT field
 **Pay and Benefits**
The annual salary range for this position is $135,000 \- $140,000\.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row>
    <row r="6">
      <c r="A6" t="inlineStr">
        <is>
          <t>in-fa2d7fc21af1719a</t>
        </is>
      </c>
      <c r="B6" t="inlineStr">
        <is>
          <t>AWS Data engineer - Lead</t>
        </is>
      </c>
      <c r="C6" t="inlineStr">
        <is>
          <t>Cognizant Technology Solutions</t>
        </is>
      </c>
      <c r="D6" t="inlineStr">
        <is>
          <t>indeed</t>
        </is>
      </c>
      <c r="E6" t="inlineStr"/>
      <c r="F6" t="inlineStr"/>
      <c r="G6" t="inlineStr">
        <is>
          <t>Boston, MA, US</t>
        </is>
      </c>
      <c r="H6" s="2" t="n">
        <v>46065</v>
      </c>
      <c r="I6" t="inlineStr">
        <is>
          <t>**Job Summary**
As a Sr. Developer you will play a crucial role in optimizing our digital presence through advanced search engine strategies. Your expertise in Google Search Console Screaming Frog and SEO will drive our online visibility. You will collaborate with cross\-functional teams to enhance asset management solutions ensuring seamless integration and functionality.
**Responsibilities**
Work with internal team as well as customer to support data requirements and POCs on cloud platform.
Deliver cost effective automated data engineering solutions to include orchestration of data acquisition and processing pipelines between source systems and AWS lake and mart.
Design build and support batch and streaming data pipeline for both batch and near real time data reporting request from data analytics and science team on AWS.
Enable monitoring and alert mechanism around AWS ecosystem building robust and highly available data pipeline.
Experienced building unit tests integration tests system tests and acceptance tests for quality delivery.
Affluent with Agile delivery model.
Ability to articulate well.
Proactive and self\-driven.
Hands on experience with Spark programming (Scala or Python) writing data ingestion/transformation pipeline handling structured semi\-structured and un\-structured data format.
Experience of cloud techniques and tools (such as Kinesis Athena Glue S3 SQS SNS Lambda Step Functions DynamoDB Postgres Redshift).
Advance SQL data modelling and data warehouse experience.
Experience in Data DevOps using continuous integration and continuous development (we use Jenkins Nexus Git) and ensure AWS Cost optimization techniques.
Hands on experience orchestrating jobs using tools like Airflow etc.
Experience with ETL or ELT tool on cloud ecosystem is a plus.
Strong problem solving and troubleshooting skills.
Salary and Other Compensation:
Applications will be accepted until Feb 16th 2026
The annual salary for this position is between $90\-97Kdepending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7">
      <c r="A7" t="inlineStr">
        <is>
          <t>in-36e55699cfd21b36</t>
        </is>
      </c>
      <c r="B7" t="inlineStr">
        <is>
          <t>Senior Data Engineer</t>
        </is>
      </c>
      <c r="C7" t="inlineStr">
        <is>
          <t>Mastercard</t>
        </is>
      </c>
      <c r="D7" t="inlineStr">
        <is>
          <t>indeed</t>
        </is>
      </c>
      <c r="E7" t="inlineStr"/>
      <c r="F7" t="inlineStr"/>
      <c r="G7" t="inlineStr">
        <is>
          <t>Arlington, VA, US</t>
        </is>
      </c>
      <c r="H7" s="2" t="n">
        <v>46065</v>
      </c>
      <c r="I7"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Overview:
Mastercard Services Technology is seeking a Senior Data Engineer to contribute to the data management aspects of client engagements for Test \&amp; Learn and other Services products. In this role, you will develop robust data pipelines, implement scalable data solutions, and collaborate with cross\-functional teams. Engineers work in small, flexible teams. Every team member contributes to designing, building, and testing features.
The Test \&amp; Learn team aims to build industry\-leading business experimentation software that brings sophisticated analytic techniques to business users around the world. We are rapidly expanding our product offerings and innovating on how we deliver Test \&amp; Learn solutions to our clients.
This is a hybrid role based in Arlington, VA, with an expectation of three days per week onsite.
Role:
* Independently lead projects through design, implementation, automation, and maintenance of large\-scale enterprise ETL processes for a global client base.
* Act as an expert technical resource within the team and region
* Deliver on\-time, accurate, high\-value, and robust data solutions across multiple clients, solutions, and industry sectors.
* Apply strong analytical skills to understand business questions, translate them into data requirements, and design datasets that support reporting, experimentation, and advanced analytics use cases.
* Implement best practices and collaborate in the design of effective streamlined processes for a complex global solutions group.
* Leverage industry best practices including proper use of source control, participation in code reviews, data validation, and testing.
* Collaborate with and support junior Data Engineers, ensuring efficient execution of their tasks while providing mentorship and guidance.
* Partner with analytics and business stakeholders to validate data, interpret results, and ensure data solutions are fit for decision\-making.
* Build trust\-based working relationships with peers and clients across local and global teams.
* Comply and uphold all Mastercard internal policies and external regulations.
All About You:
* Experience as a Data Engineer or in a similar role, with a strong understanding of data engineering concepts and methodologies, including data modeling and database design to support scalable data solutions.
* Proven self\-motivated professional with experience working with collaborative teams.
* Expertise writing and optimizing SQL queries to retrieve, manipulate, and analyze data efficiently.
* Experience with Relational Databases (RDBMS), with strong hands\-on expertise in Microsoft SQL Server and related technologies.
* Familiarity with ETL frameworks and the ability to design, implement, and maintain data pipelines.
* Experience with Databricks and Spark is a plus, but not required.
* Demonstrates curiosity about emerging developer productivity tools (e.g., GitHub Copilot); prior experience is not required, but a willingness to learn and experiment is highly valued.
* Demonstrated skills in the ability to innovate, think critically and disaggregate problems. Able to provide oversight, validation, and quality control to own work product.
* Able to easily move between business, data management, and technical teams. Able to quickly intuit the business use case and identify technical solutions.
* Able to manage multiple projects and differing project priorities.
* Excellent verbal and written communication skills, with the ability to articulate complex ideas clearly and concisely to both technical and non\-technical stakeholders.
* Bachelor's degree in a quantitative discipline such as Engineering, Mathematics, Finance, Business, or a related field. Equivalent practical experience may also be considered.
This role is not eligible for Mastercard’s work authorization sponsorship. As such, candidates must be eligible to work in the United States, now as well as in the future, without employer sponsorship.  
\#LI\-NF1  
\#AI3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Arlington, Virginia: $132,000 \- $212,000 USD</t>
        </is>
      </c>
    </row>
    <row r="8">
      <c r="A8" t="inlineStr">
        <is>
          <t>in-4f3e2af163093e11</t>
        </is>
      </c>
      <c r="B8" t="inlineStr">
        <is>
          <t>Principal Data Engineer</t>
        </is>
      </c>
      <c r="C8" t="inlineStr">
        <is>
          <t>CleanChoice Energy</t>
        </is>
      </c>
      <c r="D8" t="inlineStr">
        <is>
          <t>indeed</t>
        </is>
      </c>
      <c r="E8" t="inlineStr"/>
      <c r="F8" t="inlineStr"/>
      <c r="G8" t="inlineStr">
        <is>
          <t>Remote, US</t>
        </is>
      </c>
      <c r="H8" s="2" t="n">
        <v>46065</v>
      </c>
      <c r="I8" t="inlineStr">
        <is>
          <t>**Job Description**
===================
We are seeking a Principal Data Engineer to lead our Data Engineering team and architect the scalable data infrastructure powering our clean energy mission. In this senior technical leadership role, you will mentor a team of talented engineers, design enterprise\-grade data solutions supporting strategic clean energy initiatives, and establish technical standards across the organization. You'll work with agile teams across Analytics, Business Intelligence, and Product to transform business requirements into robust, efficient data platforms using industry\-leading technologies. If you're passionate about solving complex technical challenges while contributing to environmental impact, we want to hear from you.
**Responsibilities**
====================
**Technical Leadership \&amp; Architecture**
* Design, develop, and optimize data architecture and pipelines that adhere to ETL/ELT principles and business goals in support of strategic clean energy initiatives
* Architect complex workflows using DBT (Data Build Tool) to transform raw data into business\-ready analytics and insights
* Build and maintain production data pipelines using Python, DBT, Matillion, and Snowflake with a systematic approach to planning, creating, and maintaining data architectures
* Leverage AI tools (such as ChatGPT, Claude, and other LLM\-based assistants) extensively to accelerate development, improve code quality, troubleshoot issues, and enhance team productivity
* Establish technical standards, patterns, and best practices for data engineering across the organization, including responsible AI tool integration
* Lead technical design reviews and provide architectural guidance on data projects
* Optimize data warehouse performance, query efficiency, and cost management within Snowflake
* Evaluate and recommend new tools and technologies (including AI\-powered solutions) to enhance our data platform capabilities
**People Management \&amp; Mentorship**
* Lead, mentor, and develop a team of data engineers, fostering a culture of continuous learning and technical excellence
* Conduct performance evaluations, career development discussions, and create meaningful growth opportunities for team members
* Promote knowledge sharing through documentation, code reviews, and technical mentoring sessions, including best practices for using AI tools responsibly and effectively
* Collaborate with engineering leadership on hiring, onboarding, and team development initiatives
* Lead by example in code quality, testing practices, testing frameworks, and adherence to engineering standards
* Model effective use of AI tools (ChatGPT, Claude, and similar) to enhance productivity while maintaining code quality and security standards
**Data Quality \&amp; Governance**
==============================
* Implement and maintain data quality frameworks and comprehensive monitoring to ensure reliability and trust in critical data assets
* Develop systematic approaches to data governance and establish data modeling standards across teams, and supporting efforts around Metadata Management
* Ensure alignment on data access policies and best practices for data management
 **Cross\-Functional Collaboration**
* Partner with Analytics, Business Intelligence, Data Science, Product, and business teams to understand data requirements and translate them into technical specifications
* Communicate complex technical concepts effectively to both technical and non\-technical stakeholders
* Work with agile teams to drive alignment on data initiatives and strategic priorities
* Champion best practices in data engineering and foster a collaborative work environment
**Qualifications and Skills**
=============================
* 8\+ years of professional data engineering experience, with at least 3 years in a senior or lead role
* Demonstrated expertise in Snowflake data warehouse architecture and optimization
* Advanced proficiency in Python for data engineering, pipeline development, and software engineering practices
* Advanced experience with DBT (Data Build Tool) for building and maintaining production data models and transformation logic
* Hands\-on production experience with Matillion for ETL/ELT orchestration and data integration
* Proven track record leading and developing engineering teams, mentoring engineers, and driving technical initiatives
* Deep understanding of data modeling, dimensional design, and ETL/ELT patterns and best practices
* Strong knowledge of SQL with ability to write optimized, complex queries and analyze query performance
* Experience with version control systems (Git) and CI/CD pipelines in production environments
* Excellent problem\-solving and debugging skills for complex data infrastructure issues
* Strong communication, collaboration, and mentoring abilities
* Experience with relational database management and data transformation
* Proficiency with AI tools (such as ChatGPT, Claude, and other LLM\-based assistants) for code development, documentation, problem\-solving, and productivity enhancement
* Knowledge of energy retail and/or power generation is a plus (but not required)
 **Preferred Qualifications**
* DBT Certification is highly desired
* Experience implementing comprehensive data quality testing and monitoring solutions
* Background in Agile/Scrum development methodologies
* Knowledge of streaming data platforms and real\-time data processing
* Contributions to open\-source data engineering projects
* Experience with additional ETL/ELT tools and platforms
 **Technical Skills**
* **Required:** Snowflake, DBT, Python, SQL, Matillion, ETL/ELT Architecture, Data Modeling, Git, Software Engineering Best Practices, AI Tools (ChatGPT, Claude, LLM\-based assistants)
* **Preferred:** DBT Certification, Additional ETL/ELT Platforms
 **Travel**
* Minimal travel for team off\-site meetings approximately 2x/year.
**Physical Demands**
* Office Normal
**Compensation**
================
This position offers compensation commensurate with experience and skills and a robust benefits package.  
**About CleanChoice Energy**
Our mission is to transform the U.S. electricity market by switching homes and businesses to 100% clean, pollution\-free energy. We are working toward a world free of catastrophic climate change with pure, clean air and abundant renewable energy by providing renewable energy to everyone everywhere.
**How to Apply**
================
CleanChoice Energy is an Equal Opportunity Employer. Our staff's diverse, multidisciplinary background drives our success, and we are committed to ensuring that all qualified applicants will receive consideration for employment without regard to race, color, religion, sex, sexual orientation, gender identity, national origin, disability status, or any other characteristic protected by law. To apply, please submit a resume and cover letter via www.cleanchoicenergy.com/careers.
ixlCz7qW5B</t>
        </is>
      </c>
    </row>
    <row r="9">
      <c r="A9" t="inlineStr">
        <is>
          <t>in-ffbef1b72215ebdf</t>
        </is>
      </c>
      <c r="B9" t="inlineStr">
        <is>
          <t>Junior Data Engineer- Snowflake - US citizens/Federal Project</t>
        </is>
      </c>
      <c r="C9" t="inlineStr">
        <is>
          <t>Oran Inc</t>
        </is>
      </c>
      <c r="D9" t="inlineStr">
        <is>
          <t>indeed</t>
        </is>
      </c>
      <c r="E9" t="inlineStr"/>
      <c r="F9" t="inlineStr"/>
      <c r="G9" t="inlineStr">
        <is>
          <t>Remote, US</t>
        </is>
      </c>
      <c r="H9" s="2" t="n">
        <v>46065</v>
      </c>
      <c r="I9" t="inlineStr">
        <is>
          <t>**Overview**  
Oran Inc. is seeking a Junior Snowflake Data Engineer to support a federal data modernization initiative. This role focuses on migrating legacy SAS ETL processes into a Snowflake ELT architecture on AWS. You will collaborate with senior engineers to develop ingestion frameworks, ensure data quality, and support production environments.
### **Key Responsibilities**
**Snowflake Development**
* Develop and maintain tables (RAW, TARGET), views, stored procedures, tasks, and streams
* Implement COPY INTO for file ingestion
* Support incremental and historical data loads
* Assist with schema validation and evolution
**AWS \&amp; Data Integration**
* Work with Amazon S3 for data ingestion and storage
* Understand IAM role basics
* Support file processing (CSV, pipe\-delimited, fixed\-width, GZIP/ZIP)
**Data Engineering \&amp; ELT**
* Load and transform data across Bronze (RAW), Silver, and Gold layers
* Perform data validation (row counts, duplicates, schema checks)
* Support metadata tracking and run documentation
**Data Quality \&amp; Support**
* Reconcile Snowflake outputs against legacy SAS datasets
* Troubleshoot data discrepancies and load failures
**DevOps \&amp; Deployment**
* Use Azure DevOps Git for version control
* Support deployments across DEV, STG, and PROD
* Follow structured branching and folder standards
### **Required Qualifications**
* 1–3 years of data engineering or ETL experience
* Strong SQL skills (joins, aggregations, window functions)
* Experience with Snowflake or similar cloud data warehouse
* Experience with AWS S3
* Understanding of incremental load concepts and relational modeling  
\*\*\*must be an USC
**Preferred**
* Experience migrating legacy ETL (SAS, Informatica)
* Snowflake Tasks, Streams, and Stored Procedures
* AWS Glue familiarity
* Exposure to CI/CD and data quality frameworks</t>
        </is>
      </c>
    </row>
    <row r="10">
      <c r="A10" t="inlineStr">
        <is>
          <t>in-fcff03c3d521d2f3</t>
        </is>
      </c>
      <c r="B10" t="inlineStr">
        <is>
          <t>Senior Data Engineer, AWS Infrastructure Supply Chain Automation</t>
        </is>
      </c>
      <c r="C10" t="inlineStr">
        <is>
          <t>Amazon.com</t>
        </is>
      </c>
      <c r="D10" t="inlineStr">
        <is>
          <t>indeed</t>
        </is>
      </c>
      <c r="E10" t="inlineStr"/>
      <c r="F10" t="inlineStr"/>
      <c r="G10" t="inlineStr">
        <is>
          <t>Seattle, WA, US</t>
        </is>
      </c>
      <c r="H10" s="2" t="n">
        <v>46062</v>
      </c>
      <c r="I1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You’ll experience an inclusive culture that welcomes bold ideas and empowers you to own them to completion.  
We’re looking for Senior Data Engineer to help us grow our Data Lake and Data Warehouse Systems, which is being built using a serverless architecture, with 100% native AWS components including Redshift Spectrum, Athena, S3, Lambda, Glue, EMR, Kinesis, SNS, CloudWatch and more! We own a world\-class data lake that is used to drive multi\-billion dollar decisions on a regular cadence and we're looking to improve on filling the lake quickly, with as little human intervention needed and democratize the data in the lake.  
Our Data Engineers build the ETL and analytics solutions for our internal customers to answer questions with data and drive critical improvements for the business. Our Data Engineers use best practices in software engineering, data management, data storage, data compute, and distributed systems. We are passionate about solving business problems with data!  
Key job responsibilities  
* Develop and maintain automated ETL pipelines (with monitoring) using scripting languages such as Python, Spark, SQL and AWS services such as S3, Glue, Lambda, SNS, SQS, KMS.
* Implement and support reporting and analytics infrastructure for internal business customers.
* Develop and maintain data security and permissions solutions for enterprise scale data warehouse and data lake implementations including data encryption and database user access controls and logging.
* Develop data objects for business analytics using data modeling techniques.
* Develop and optimize data warehouse and data lake tables using best practices for DDL, physical and logical tables, data partitioning, compression, and parallelization.
* Develop and maintain data warehouse and data lake metadata, data catalog, and user documentation for internal business customers.
* Work with internal business customers and software development teams to gather and document requirements for data publishing and data consumption via data warehouse, data lake, and analytics solutions.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5\+ years of data engineering experience
* Experience with data modeling, warehousing and building ETL pipelines
* Experience with SQL
* Experience in at least one modern scripting or programming language, such as Python, Java, Scala, or NodeJS
* Bachelor's degree in Computer Science, Computer Engineering, Information Technology, or related fields
**PREFERRED QUALIFICATIONS**
----------------------------
* Experience with big data technologies such as: Hadoop, Hive, Spark, EMR
* Experience operating large data warehouses
* Experience coaching managers and supervisors to use company best practices for maximum effectiveness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\- 154,600\.00 \- 209,100\.00 USD annually</t>
        </is>
      </c>
    </row>
    <row r="11">
      <c r="A11" t="inlineStr">
        <is>
          <t>in-1b1fd49e3a1dccb4</t>
        </is>
      </c>
      <c r="B11" t="inlineStr">
        <is>
          <t>Data Engineer, Denied Party Screening, AWS Compliance &amp; Security Assurance</t>
        </is>
      </c>
      <c r="C11" t="inlineStr">
        <is>
          <t>Amazon.com</t>
        </is>
      </c>
      <c r="D11" t="inlineStr">
        <is>
          <t>indeed</t>
        </is>
      </c>
      <c r="E11" t="inlineStr"/>
      <c r="F11" t="inlineStr"/>
      <c r="G11" t="inlineStr">
        <is>
          <t>Dallas, TX, US</t>
        </is>
      </c>
      <c r="H11" s="2" t="n">
        <v>46029</v>
      </c>
      <c r="I1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2">
      <c r="A12" t="inlineStr">
        <is>
          <t>in-8c4ef91e50b04e98</t>
        </is>
      </c>
      <c r="B12" t="inlineStr">
        <is>
          <t>Data Engineer, Denied Party Screening, AWS Compliance &amp; Security Assurance</t>
        </is>
      </c>
      <c r="C12" t="inlineStr">
        <is>
          <t>Amazon.com</t>
        </is>
      </c>
      <c r="D12" t="inlineStr">
        <is>
          <t>indeed</t>
        </is>
      </c>
      <c r="E12" t="inlineStr"/>
      <c r="F12" t="inlineStr"/>
      <c r="G12" t="inlineStr">
        <is>
          <t>Seattle, WA, US</t>
        </is>
      </c>
      <c r="H12" s="2" t="n">
        <v>46029</v>
      </c>
      <c r="I1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3">
      <c r="A13" t="inlineStr">
        <is>
          <t>in-331f4680223e2f4c</t>
        </is>
      </c>
      <c r="B13" t="inlineStr">
        <is>
          <t>Data Engineer</t>
        </is>
      </c>
      <c r="C13" t="inlineStr">
        <is>
          <t>Amazon.com</t>
        </is>
      </c>
      <c r="D13" t="inlineStr">
        <is>
          <t>indeed</t>
        </is>
      </c>
      <c r="E13" t="inlineStr"/>
      <c r="F13" t="inlineStr"/>
      <c r="G13" t="inlineStr">
        <is>
          <t>Seattle, WA, US</t>
        </is>
      </c>
      <c r="H13" s="2"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4">
      <c r="A14" t="inlineStr">
        <is>
          <t>in-606576b42fe34800</t>
        </is>
      </c>
      <c r="B14" t="inlineStr">
        <is>
          <t>Data Engineer</t>
        </is>
      </c>
      <c r="C14" t="inlineStr">
        <is>
          <t>Amazon.com</t>
        </is>
      </c>
      <c r="D14" t="inlineStr">
        <is>
          <t>indeed</t>
        </is>
      </c>
      <c r="E14" t="inlineStr"/>
      <c r="F14" t="inlineStr"/>
      <c r="G14" t="inlineStr">
        <is>
          <t>San Francisco, CA, US</t>
        </is>
      </c>
      <c r="H14" s="2" t="n">
        <v>46001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5">
      <c r="A15" t="inlineStr">
        <is>
          <t>in-86666ad63fd3a8ce</t>
        </is>
      </c>
      <c r="B15" t="inlineStr">
        <is>
          <t>Delivery Consultant - Data Engineer, Data and Machine Learning, WWPS US Federal</t>
        </is>
      </c>
      <c r="C15" t="inlineStr">
        <is>
          <t>Amazon Web Services</t>
        </is>
      </c>
      <c r="D15" t="inlineStr">
        <is>
          <t>indeed</t>
        </is>
      </c>
      <c r="E15" t="inlineStr"/>
      <c r="F15" t="inlineStr"/>
      <c r="G15" t="inlineStr">
        <is>
          <t>Herndon, VA, US</t>
        </is>
      </c>
      <c r="H15" s="2"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in-9c595d18aa257ff0</t>
        </is>
      </c>
      <c r="B16" t="inlineStr">
        <is>
          <t>Delivery Consultant - Data Engineer, Data and Machine Learning, WWPS US Federal</t>
        </is>
      </c>
      <c r="C16" t="inlineStr">
        <is>
          <t>Amazon Web Services</t>
        </is>
      </c>
      <c r="D16" t="inlineStr">
        <is>
          <t>indeed</t>
        </is>
      </c>
      <c r="E16" t="inlineStr"/>
      <c r="F16" t="inlineStr"/>
      <c r="G16" t="inlineStr">
        <is>
          <t>Arlington, VA, US</t>
        </is>
      </c>
      <c r="H16" s="2" t="n">
        <v>45991</v>
      </c>
      <c r="I1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in-ed4b49cd26dc4021</t>
        </is>
      </c>
      <c r="B17" t="inlineStr">
        <is>
          <t>Data Engineering- Compromise &amp; Fraud Prevention</t>
        </is>
      </c>
      <c r="C17" t="inlineStr">
        <is>
          <t>Microsoft</t>
        </is>
      </c>
      <c r="D17" t="inlineStr">
        <is>
          <t>indeed</t>
        </is>
      </c>
      <c r="E17" t="inlineStr"/>
      <c r="F17" t="inlineStr"/>
      <c r="G17" t="inlineStr">
        <is>
          <t>Redmond, WA, US</t>
        </is>
      </c>
      <c r="H17" s="2" t="n">
        <v>46063</v>
      </c>
      <c r="I17" t="inlineStr">
        <is>
          <t>**Overview** **Team Description:**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**HM Team Description:**  
Our team focuses on protecting Azure Active Directory and Microsoft Account from various categories of fraud. We build using a variety of technologies such as machine learning and other cutting\-edge service technologies in the cloud. Every day, our platform evaluates billions of transactions and petabytes of telemetry in online and offline fashion, blocking fraudulent account creation and usage. Users on Office 365, Xbox, OneDrive, Outlook, Azure, and at millions of enterprise desks around the world rely on us to keep their identities and their data safe from cyber criminals by detecting and blocking the malicious requests. We build new services and extend existing services that perform critical part of the threat detection and deflection process. Security, availability, performance, efficiency and scale are essential for us. We partner with teams across Microsoft to keep users, enterprises and services safe. We are a collaborative, closely\-knit team with emphasis on customer empathy and growth mind\-set. We are looking for a Software Engineer II who is focused and passionate about making an impact in the fraud and abuse landscape. The rewards make this space very appealing for our adversaries to constantly evolve making this a fast\-paced environment with quick iteration cycles and plenty of exploration in new areas.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\#MSFTSecurity, \#RepMAP, \#MicrosoftFraudPrevention, \#MicrosoftIdentityProtection
 **Responsibilities** **Responsibilities:**
* Design and develop large scale distributed software services and solutions.
* Designs and maintains assigned data tools that are used to transform, manage, and access data, scaling with efficiency and reduced time to new data insights.
* Deliver novel and innovative features for detecting and blocking accounts, applications and other entities indulging in fraudulent activities towards our users and services.
* Building and leveraging reputation models for entities.
* Opportunity to design and integrate machine learning models in production systems to identify and block abuse patterns to deliver real\-time and near\-real time protection.
* Adhere to and drive modern software engineering practices through design reviews.
* System design through well\-defined interfaces across multiple components, code reviews, leveraging data/telemetry to make decisions.
* Develop “best\-in\-class” engineering for our services by ensuring that the services and the components are well\-defined and modularized, secure, reliable, diagnosable, actively monitored and reusable.
* Gain a working understanding of Microsoft businesses and collaborate with mentors and leaders to contribute to cohesive, end\-to\-end experiences for our users.
* Collaborate with teams across Microsoft to deliver customer\-facing features.
* Focus on customer/partner needs through a data driven approach.
* Improve test coverage for services, organize and implement integration tests, and resolve problem areas.
* Troubleshoot and optimize automation, reliability and monitoring for LiveSite.
* Debug issues in production and respond to them quickly to mitigate customer impact.
* Embody our culture and values
 **Qualifications** **Qualifications \- Required:**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**Qualifications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 OR equivalent experience.
* 1\+ year(s) experience with data governance, data compliance and/or data security.
* Knowledge of AI/ML/GenAI data workflows and analytics.
* Exposure to large\-scale telemetry, customer health, enterprise data platform/warehouse or business intelligence systems.
* Experience with Microsoft data stack (Azure, Fabric, Synapse, Data Factory, Databricks, Power BI, GenAI, Copilot, Agent).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in-ba692bd3af651b30</t>
        </is>
      </c>
      <c r="B18" t="inlineStr">
        <is>
          <t>Lead Data Engineer</t>
        </is>
      </c>
      <c r="C18" t="inlineStr">
        <is>
          <t>Capital One</t>
        </is>
      </c>
      <c r="D18" t="inlineStr">
        <is>
          <t>indeed</t>
        </is>
      </c>
      <c r="E18" t="inlineStr"/>
      <c r="F18" t="inlineStr"/>
      <c r="G18" t="inlineStr">
        <is>
          <t>McLean, VA, US</t>
        </is>
      </c>
      <c r="H18" s="2" t="n">
        <v>46065</v>
      </c>
      <c r="I18"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$179,400 \- $204,700 for Lead Data Engineer  
McLean, VA: $197,300 \- $225,100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in-2c1a6565652fae34</t>
        </is>
      </c>
      <c r="B19" t="inlineStr">
        <is>
          <t>Senior Data Engineer</t>
        </is>
      </c>
      <c r="C19" t="inlineStr">
        <is>
          <t>Capital One</t>
        </is>
      </c>
      <c r="D19" t="inlineStr">
        <is>
          <t>indeed</t>
        </is>
      </c>
      <c r="E19" t="inlineStr"/>
      <c r="F19" t="inlineStr"/>
      <c r="G19" t="inlineStr">
        <is>
          <t>McLean, VA, US</t>
        </is>
      </c>
      <c r="H19" s="2" t="n">
        <v>46065</v>
      </c>
      <c r="I19"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
      <c r="A20" t="inlineStr">
        <is>
          <t>in-62d139d5e403f3d4</t>
        </is>
      </c>
      <c r="B20" t="inlineStr">
        <is>
          <t>Senior Data Engineer</t>
        </is>
      </c>
      <c r="C20" t="inlineStr">
        <is>
          <t>Capital One</t>
        </is>
      </c>
      <c r="D20" t="inlineStr">
        <is>
          <t>indeed</t>
        </is>
      </c>
      <c r="E20" t="inlineStr"/>
      <c r="F20" t="inlineStr"/>
      <c r="G20" t="inlineStr">
        <is>
          <t>McLean, VA, US</t>
        </is>
      </c>
      <c r="H20" s="2" t="n">
        <v>46065</v>
      </c>
      <c r="I20"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
      <c r="A21" t="inlineStr">
        <is>
          <t>in-f00c8910db7c7528</t>
        </is>
      </c>
      <c r="B21" t="inlineStr">
        <is>
          <t>Lead Data Engineer</t>
        </is>
      </c>
      <c r="C21" t="inlineStr">
        <is>
          <t>Capital One</t>
        </is>
      </c>
      <c r="D21" t="inlineStr">
        <is>
          <t>indeed</t>
        </is>
      </c>
      <c r="E21" t="inlineStr"/>
      <c r="F21" t="inlineStr"/>
      <c r="G21" t="inlineStr">
        <is>
          <t>McLean, VA, US</t>
        </is>
      </c>
      <c r="H21" s="2" t="n">
        <v>46065</v>
      </c>
      <c r="I21"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$179,400 \- $204,700 for Lead Data Engineer  
McLean, VA: $197,300 \- $225,100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
      <c r="A22" t="inlineStr">
        <is>
          <t>in-8946b7f50b5ccd04</t>
        </is>
      </c>
      <c r="B22" t="inlineStr">
        <is>
          <t>Senior Data Engineer (Bank Tech)</t>
        </is>
      </c>
      <c r="C22" t="inlineStr">
        <is>
          <t>Capital One</t>
        </is>
      </c>
      <c r="D22" t="inlineStr">
        <is>
          <t>indeed</t>
        </is>
      </c>
      <c r="E22" t="inlineStr"/>
      <c r="F22" t="inlineStr"/>
      <c r="G22" t="inlineStr">
        <is>
          <t>McLean, VA, US</t>
        </is>
      </c>
      <c r="H22" s="2" t="n">
        <v>46065</v>
      </c>
      <c r="I22" t="inlineStr">
        <is>
          <t>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New York, NY: $176,500 \- $201,400 for Senior Data Engineer  
Wilmington, DE: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
      <c r="A23" t="inlineStr">
        <is>
          <t>in-eef9a121acea16e7</t>
        </is>
      </c>
      <c r="B23" t="inlineStr">
        <is>
          <t>Senior Data Engineer (Bank Tech)</t>
        </is>
      </c>
      <c r="C23" t="inlineStr">
        <is>
          <t>Capital One</t>
        </is>
      </c>
      <c r="D23" t="inlineStr">
        <is>
          <t>indeed</t>
        </is>
      </c>
      <c r="E23" t="inlineStr"/>
      <c r="F23" t="inlineStr"/>
      <c r="G23" t="inlineStr">
        <is>
          <t>McLean, VA, US</t>
        </is>
      </c>
      <c r="H23" s="2" t="n">
        <v>46065</v>
      </c>
      <c r="I23" t="inlineStr">
        <is>
          <t>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Wilmington, DE: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
      <c r="A24" t="inlineStr">
        <is>
          <t>in-f5738152f949f4b2</t>
        </is>
      </c>
      <c r="B24" t="inlineStr">
        <is>
          <t>DATA ENGINEER</t>
        </is>
      </c>
      <c r="C24" t="inlineStr">
        <is>
          <t>police department</t>
        </is>
      </c>
      <c r="D24" t="inlineStr">
        <is>
          <t>indeed</t>
        </is>
      </c>
      <c r="E24" t="inlineStr"/>
      <c r="F24" t="inlineStr"/>
      <c r="G24" t="inlineStr">
        <is>
          <t>New York, NY, US</t>
        </is>
      </c>
      <c r="H24" s="2" t="n">
        <v>46066</v>
      </c>
      <c r="I24" t="inlineStr">
        <is>
          <t>**DATA ENGINEER**
=================
* POLICE DEPARTMENT
Posted On: 02/14/2026
* Full\-Time
Location
NYC\-ALL BOROS
* No Exam Required
Department
Office Mgmt Analysis \&amp; Plan/CV
Salary Range:
$109,565\.00 – $142,112\.00
**Save**
**Job Description**
-------------------
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skilled and highly motivated Data Engineer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designing and developing data\-intensive applications to strengthen the Department data foundation. Key responsibilities include development work in Python and database management, working with both structured and unstructured datasets, and writing clean code to integrate with analysis tools and support data science services. Strong interpersonal and project management skills are required.  
Work Location:  
1 Police Plaza, N.Y.  
To Apply:  
Please visit: https://cityjobs.nyc.gov and search for Job ID (\#769743\)  
Hours/Shift:  
Monday \-Friday 8 x 4 or 10 x 6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CITY RESEARCH SCIENTIST \- 21744
 **Minimum Qualifications**
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Experience designing and developing data driven applications using Python and SOL. \- Develop ETL pipelines to prepare department data for analysis and improve overall data governance (e.g. Pandas, Cask). \- Develop data infrastructure to support statistical and machine reaming models e.g. Docker). \- Conduct complex data analysis to inform design and development decisions. \- Ability to write clean code that integrates data sources with PowerBI. \- Ability to write advanced SQL queries to support analytic projects is required. \- Ability to work with unstructured data, such as text, geospatial, and network data is preferred (e.g. nltk, geopy, networkx). \- Excellent oral, written, analytic, organizational, and interpersonal skills and attention to detail are required. \- Ability to manage multiple projects simultaneously and meet tight deadlines. \- Ability to work both independently and on a team. \- Ability to work cross\-functionally to strengthen the department data foundation.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769743
Posted until
02/27/2026
Title code
21744
Civil service title
CITY RESEARCH SCIENTIST
Title classification
Non\-Competitive\-5
Business title
DATA ENGINEER
* Experience Level: Experienced (Non\-Manager)
Job level
4A
Number of positions
1
Work location
1 Police Plaza, N.Y.
* Category: Administration \&amp; Human Resources
DATA ENGINEER</t>
        </is>
      </c>
    </row>
    <row r="25">
      <c r="A25" t="inlineStr">
        <is>
          <t>in-0b1351ea297f252e</t>
        </is>
      </c>
      <c r="B25" t="inlineStr">
        <is>
          <t>Senior Data Engineer - People Analytics (Temporary Position)</t>
        </is>
      </c>
      <c r="C25" t="inlineStr">
        <is>
          <t>Terumo</t>
        </is>
      </c>
      <c r="D25" t="inlineStr">
        <is>
          <t>indeed</t>
        </is>
      </c>
      <c r="E25" t="inlineStr"/>
      <c r="F25" t="inlineStr"/>
      <c r="G25" t="inlineStr">
        <is>
          <t>Lakewood, CO, US</t>
        </is>
      </c>
      <c r="H25" s="2" t="n">
        <v>46066</v>
      </c>
      <c r="I25" t="inlineStr">
        <is>
          <t>Senior Data Engineer \- People Analytics (Temporary Position)
**Date:** Feb 14, 2026
**Location:** Lakewood, CO, US
**Company:** Terumo BCT, Inc.
**Requisition ID:** 34708  
At Terumo Blood and Cell Technologies, our 8,000\+ global associates proud to come to work each day, knowing that what we do impacts the lives of patients around the world. **For Terumo, for Everyone, Everywhere.**  
We make medical devices and related products that are used to collect, separate, manufacture and process various components of blood and cells. With our innovative technologies and service offerings, we touch a patient’s life every second of every day and are committed to continuing to increase the number of patients we serve. **Advancing healthcare with heart.**  
With some of the best and brightest minds in the industry, an unmatched global footprint, comprehensive benefits and a distinct culture, Terumo Blood and Cell Technologies is a great place to work, grow and be part of a team that is focused on making a difference. **Join us and help shape wherever we go next. You create your future and ours.**  
As a **Senior Data Engineer**, you'll design, build, and/or modify existing data pipeline(s) for Analytics use, with eye toward best practices in enterprise data architecture. Build solutions including real\-time data ingestion, storage, and analytics in alignment with best practices for optimizing performance as well as automated integration with dashboarding products. Ensures that our data ecosystem is reliable, secure, and capable of supporting increasingly complex workflows and global metric initiatives. Design and build systems for both batch and real\-time data ingestion, storage, and analytics, for structured and unstructured data.  
**ESSENTIAL DUTIES**
* Maintaining, improving, and building data pipelines that add to regular reporting and analytics products to support business decision making.
* Work hand\-in\-hand with business stakeholders/ analysts/ business partners to deliver data solutions in the form of dashboarding, automated reporting, and automated dashboard updates that will support Terumo’s global digital strategy and strategic vision.
* Use state\-of\-the\-art tools and technologies to enable full cloud optimization, seamless elasticity and end\-to\-end automation with considerations for both performance and architecture.
* Make modifications and updates to existing data pipelines as necessary.
* Implement automated data pipeline and transformation capabilities using cloud\-native ETL tools.
* Critically review current and future data structures with an eye towards simplicity, performance, and scalability.
* Implement and add to system of monitoring, logging, and alerting systems to ensure pipeline reliability and rapid issue resolution.
* Help to foster the data\-driven and technology\-savvy culture across our business by serving as a tech evangelist and encourage forward thinking development.
* Participate in SAAS technology evaluations and/or collaborate with other areas of business on technology strategy—and with an enterprise mindset.
**MINIMUM QUALIFICATION REQUIREMENTS**
**Education**
Bachelor’s degree in Computer Science, Statistics and/or related field, equivalent of education and experience sufficient to successfully perform the essential functions of the job may be considered. Master’s preferred.  
**Experience**
* Minimum 5 years experience.
* Experience with Python, Java, C\+\+, Scala or similar object\-oriented programming languages and using software automation/CICD tools.
* Experience with Tableau, R Shiny, Microsoft BI and/or modern data visualization technologies.
**Skills**
* Ability to transform data using one or more modern cloud\-native ETL/ELT tools.
* Able to design solutions that scale globally.
* Experience with HR or people data systems – or experience with highly secure, role\-based access, and data privacy across systems.
* Building an maintaining automations using: APIs, SFTP file transfers, event\-based triggers, pipeline schedules.
* Familiarity in working with cloud native technologies, such as Microsoft Azure or AWS, and in building data systems on cloud.
* Familiarity with data validation and integrity controls.
* Demonstrated ability to communicate effectively both verbally and in writing.
* Exposure to/ Experience with Alteryx Server a plus.
* Exposure to/ experience with Lean Six Sigma preferred.
\-Or\-
An equivalent competency level acquired through a variation of these qualifications may be considered.  
**LOCATION**
Lakewood, Colorado or Remote  
**PHYSICAL REQUIREMENTS**
* Typical Office Environment requirements, may include reading, speaking, hearing, close vision, walking, bending, sitting, and occasional lifting up to 20 pounds.
* The physical demands described here are representative of those that must be met by an associate to successfully perform the essential duties of this job.
* Reasonable accommodations may be made to enable individuals with disabilities to perform the essential duties.
**Target Pay Range:** $117,079\.20 to $146,349\.00 \- Salary to be determined by the education, experience, knowledge, skills, and abilities of the applicant, internal equity, and alignment with market data  
**Target Bonus on Base:** 0\.0%  
At Terumo Blood and Cell Technologies, we provide competitive total reward offerings that consist of compensation, benefits, recognition, along with a wealth of other well\-being, work\-life and recognition programs which support in unlocking the potential for you and your family. Included in our expansive list of benefits offerings are multiple group medical, dental and vision plans, a robust wellness program, life insurance and disability coverages, also a variety of voluntary programs such as group accident, hospital indemnity, critical illness, pet insurance and much more. To help you save for retirement, we offer a 401(k) plan with a matching contribution and for work\-life balance we have vacation and sick time programs for associates. For us, it’s about protecting the personal welfare of our associates and their families, helping to achieve personal goals and offering those extra touches for convenience, security and overall peace of mind.  
* Terumo Blood and Cell Technologies is part of Terumo Group, founded in 1921 and headquartered in Tokyo, Japan.
* In 2024, Terumo Blood and Cell Technologies reached $1\.5 billion in revenue.
* We employ nearly 8,000 associates globally, with global headquarters in Lakewood, CO, U.S., and regional headquarters in Brussels, Buenos Aires, Singapore and Tokyo.
* We manufacture devices, disposable sets and solutions at our facilities in Belgium, India, Japan, Northern Ireland, the U.S. and Vietnam. Our global presence enables us to serve customers in more than 130 countries.
* Our core values help set our direction, guide our actions and keep us true to our corporate mission of contributing to society through healthcare.
	+ Respect – Appreciative of others
	+ Integrity – Guided by our mission
	+ Care – Empathetic to patients
	+ Quality – Committed to excellence
	+ Creativity – Striving for innovation
* We contribute to the Leukemia and Lymphoma Society (LLS), raising $2\.4 million USD since 2025\.
**We are proud to be an Equal Opportunity Affirmative Action Employer. All applicants will be afforded equal opportunity without discrimination because of race, color, religion, sex, gender identity or expression, sexual orientation, marital status, order of protection status, national origin or ancestry, citizenship status, age, physical or mental disability unrelated to ability, military status or an unfavorable discharge from military service.**  
Terumo Blood and Cell Technologies is committed to providing a safe, healthy and secure working environment. Our Colorado campus locations are tobacco\-free workplaces, and we maintain a drug\-free workplace and perform pre\-employment substance abuse testing and detailed background verification.  
**Nearest Major Market:** Denver
**Job Segment:** Cloud, Behavioral Health, Substance Abuse, Six Sigma, Lean Six Sigma, Technology, Healthcare, Management</t>
        </is>
      </c>
    </row>
    <row r="26">
      <c r="A26" t="inlineStr">
        <is>
          <t>in-df34fdf6adddb0a3</t>
        </is>
      </c>
      <c r="B26" t="inlineStr">
        <is>
          <t>Data Engineer</t>
        </is>
      </c>
      <c r="C26" t="inlineStr">
        <is>
          <t>Oracle</t>
        </is>
      </c>
      <c r="D26" t="inlineStr">
        <is>
          <t>indeed</t>
        </is>
      </c>
      <c r="E26" t="inlineStr"/>
      <c r="F26" t="inlineStr"/>
      <c r="G26" t="inlineStr">
        <is>
          <t>US</t>
        </is>
      </c>
      <c r="H26" s="2" t="n">
        <v>46065</v>
      </c>
      <c r="I26" t="inlineStr">
        <is>
          <t>NetSuite Customer Success is seeking a highly skilled Data Engineer specializing in ERP data migration, with proven experience designing and executing secure, accurate, and efficient migrations from legacy systems such as QuickBooks and Sage to NetSuite. Adept in SQL, ETL development, and data quality management, this professional ensures seamless transitions through strong technical execution and adherence to data governance and compliance standards. This role requires deep expertise in data extraction, transformation, and loading processes, with a strong focus on data strategy development and data hygiene optimization. Known for collaboration and client\-focused delivery, they work closely with stakeholders to resolve migration challenges, optimize data integrity, and support post\-migration success. Combining technical precision and customer engagement, they help organizations modernize and maximize the value of their ERP platforms.  
**The Ideal Candidate has experience in:**
**ERP Data Migration Expertise:** Lead end\-to\-end data migration efforts, including **hands\-on** data extraction, transformation, mapping, and validation between legacy and NetSuite systems.
**Technical Proficiency:** Apply deep technical knowledge of data structures, ETL processes, and data quality principles to maintain accuracy and integrity throughout migration. **Strong capability in building and executing complex data transformations and data manipulation workflows.**
**Data Strategy \&amp; Hygiene Expertise: Provide strategic guidance on data quality, data governance, and migration planning. Conduct data assessments, identify data cleansing requirements, and develop comprehensive data migration strategies.**
**Cross\-Functional Collaboration:** Partner with consultants, analysts, and business stakeholders to clarify requirements, resolve migration challenges, and deliver seamless integrations.
**Client\-Focused Delivery:** Support customers throughout the entire migration lifecycle—communicating complex processes clearly, providing user training, and ensuring a positive post\-migration experience.
**Data Integrity \&amp; Security:** Ensure all migration activities adhere to enterprise data governance, security, and compliance standards.  
This position is ideal for a data\-driven professional who thrives at the intersection of technical precision and customer success, helping organizations modernize and optimize their business operations through successful ERP data migrations.
**Data Migration Expertise**
* **Analyze and Design:** Analyze source systems (QuickBooks, Sage **, and other legacy ERP platforms** ) and target NetSuite data models to design comprehensive, end\-to\-end data migration **strategies** , ensuring accurate field mapping and seamless integration.
* **Data Extraction \&amp; Transformation: Execute complex data extraction from source systems and perform sophisticated data transformations to align with NetSuite data models. Develop custom scripts and processes to handle diverse data formats and structures.**
* **Develop and Maintain ETL Processes:** Build, test, and maintain robust ETL (Extract, Transform, Load) pipelines to support large\-scale data sets, ensuring performance, scalability, and reliability.
* **Data Cleansing, Transformation \&amp; Validation:** Assess, **Measure,** and execute data cleansing, transformation, and validation activities to ensure data quality **and** integrity. **Identify and remediate data quality issues including duplicates, inconsistencies, and structural problems. Data Mapping \&amp; Transformation:** Collaborate with clients and business analysts to **develop detailed** data **mappings** from legacy systems, providing expert guidance on data structure and optimization. **Design and implement transformation logic to meet business requirements.**
* **Monitor \&amp; Troubleshoot Migration Issues:** Perform data reconciliation, proactively identify migration issues, and resolve discrepancies through root\-cause analysis and effective collaboration with technical teams.
* **Documentation \&amp; Compliance:** Document all migration processes, mappings, and scripts while ensuring strict adherence to data security and privacy standards.
* **Cutover \&amp; Post\-Migration Activities:** Support cutover planning, data validation, and user acceptance testing (UAT) to ensure a successful transition and accurate migrated data.
**Data Strategy \&amp; Advisory Services**
* **Data Hygiene Assessment: Conduct comprehensive data quality assessments of client source systems, identifying data cleansing requirements, duplicate records, incomplete data, and structural issues that could impact migration success.**
* **Migration Strategy Development: Develop tailored data migration strategies and roadmaps, including phased migration approaches, risk mitigation plans, and data archival recommendations.**
* **Data Governance Consulting: Advise clients on data governance best practices, master data management strategies, and ongoing data maintenance protocols to ensure long\-term ERP success.**
* **Data Profiling \&amp; Analysis: Perform detailed data profiling on source systems to understand data patterns, volumes, relationships, and quality metrics. Use findings to inform migration approach and transformation requirements.**
* **Pre\-Migration Planning: Work with clients during the discovery phase to scope migration complexity, assess data readiness, and establish clear success criteria and acceptance standards.**
**Customer Success and Relationship Management**
* **Client Onboarding \&amp; Support:** Guide clients through the data migration journey, setting expectations, explaining processes, and addressing questions or concerns.
* **Project Management:** Coordinate with stakeholders to ensure projects stay within scope, budget, and timelines, delivering high\-quality outcomes.
* **User Training \&amp; Enablement:** Train clients on NetSuite data management best practices to build confidence and autonomy post\-migration.
* **Post\-Migration Support:** Provide ongoing post\-migration assistance, troubleshoot issues, and help clients fully leverage their NetSuite environment.
**Team Collaboration \&amp; Communication**
* **Cross\-Functional Collaboration:** Partner with business analysts, functional consultants, technical teams, and application owners to align on requirements and ensure smooth migration execution.
* **Effective Communication:** Act as a liaison between technical and non\-technical stakeholders, translating complex data migration concepts into clear, actionable information.
* **Customer Education:** Develop and deliver documentation, FAQs, and presentations to help customers understand NetSuite data models and migration best practices.
* **Collaborative Problem Solving:** Engage with internal teams to create innovative solutions for complex migration and data integrity challenges.
**Continuous Improvement \&amp; Process Optimization**
* **Process Improvement:** Identify areas for efficiency gains within migration methodologies and contribute to continuous process optimization.
* **Knowledge Sharing:** Maintain detailed documentation of migration frameworks, tools, and lessons learned to enhance future projects and team knowledge.
* **Customer Feedback Loop:** Gather feedback from clients post\-migration to refine processes and improve service delivery.
**Required Skills \&amp; Qualifications:**
**Technical Skills**
* **ERP Data Migration Expertise:** Proven hands\-on experience (5\+ years) executing complex data migrations for ERP systems (e.g., NetSuite, Oracle, SAP, Sage **, QuickBooks** ), including data extraction, transformation, and loading (ETL). **Must demonstrate strong technical execution capabilities in building and running data migration processes.**
* **Strong NetSuite \&amp; ERP Knowledge:** Deep understanding of NetSuite data structures, SuiteAnalytics, SuiteCloud, and third\-party migration tools, as well as experience migrating data to/from other ERP platforms.
* **SQL \&amp; Data Transformation Proficiency:** Advanced SQL, analytics, and data transformation skills, including experience with PL/SQL and scripting languages such as Python for data manipulation and automation. **Ability to write complex transformation logic, data cleansing scripts, and validation queries.**
* **ETL Tools \&amp; Processes:** Practical experience with industry\-standard ETL tools (e.g., Oracle Data Integrator, Informatica, Talend **, Celigo, Dell Boomi** ) and strong understanding of data pipelines and workflow design. **Hands\-on experience building end\-to\-end ETL workflows.**
* **Data Governance \&amp; Quality Management:** Solid knowledge of data governance principles, data quality assurance, **master data management,** and best practices in enterprise data management. **Ability to assess data quality and develop remediation strategies.**
* **Security \&amp; Compliance:** Familiarity with key data security and compliance standards (e.g., GDPR, SOX **, CCPA** ) and proven ability to apply them during migration and integration activities.
* **Data Mapping \&amp; Validation:** Skilled in interpreting, mapping, and reconciling data between source and target systems to ensure accuracy and consistency. **Strong ability to design complex field\-level mappings and transformation specifications.**
* **Data Profiling \&amp; Analysis: Expert in data profiling techniques, data pattern recognition, and statistical analysis of data quality. Ability to extract insights from source data to inform migration strategy.**</t>
        </is>
      </c>
    </row>
    <row r="27">
      <c r="A27" t="inlineStr">
        <is>
          <t>in-b84773cd505d89ad</t>
        </is>
      </c>
      <c r="B27" t="inlineStr">
        <is>
          <t>Director, Data Engineering</t>
        </is>
      </c>
      <c r="C27" t="inlineStr">
        <is>
          <t>Premise Health</t>
        </is>
      </c>
      <c r="D27" t="inlineStr">
        <is>
          <t>indeed</t>
        </is>
      </c>
      <c r="E27" t="inlineStr"/>
      <c r="F27" t="inlineStr"/>
      <c r="G27" t="inlineStr">
        <is>
          <t>Brentwood, TN, US</t>
        </is>
      </c>
      <c r="H27" s="2" t="n">
        <v>46065</v>
      </c>
      <c r="I27" t="inlineStr">
        <is>
          <t>Premise Health is Different on Purpose
Premise Health serves large organizations and their people with exceptional healthcare. The result? Better experiences, better health, and better value, all while helping organizations lower their healthcare costs.
Premise's mission is to help people get, stay, and be well. Come join us and see for yourself why amazing health starts with amazing healthcare. For more information, visit www.jobs.premisehealth.com.
The Data Engineering Director will shape enterprise data engineering strategy, define platform modernization roadmaps, and serve as a recognized technical leader across the organization. This role sets best practices, leads multi\-region scale and disaster recovery initiatives, and guides enterprise portfolio decisions while mentoring senior data engineers and influencing broader technical direction.
This is a Full Time, hybrid, **Director, Data Engineering** role located in Brentwood, TN.
 **What You'll Do**
 Technical Leadership \&amp; Strategy
* Shape enterprise data engineering strategy and platform modernization roadmaps
* Define future\-state platform architecture including multi\-region scale, high availability, and disaster recovery
* Lead platform vendor selection and tool decisions aligned to enterprise objectives
* Articulate point\-of\-view on value and applicability of emerging methodologies and technologies
Enterprise Standards \&amp; Governance
* Set data engineering best practices and standards across the organization
* Lead development of reference architectures and implementation patterns
* Maintain enterprise knowledge base and technical documentation
* Guide M\&amp;A platform integration playbooks and strategies
Cross\-Functional Influence
* Work beyond local boundaries to influence broader enterprise technical direction
* Guide enterprise portfolio decisions in partnership with Architecture and leadership
* Advise stakeholders on trade\-offs between cost, performance, reliability, and time\-to\-delivery
* Communicate exec\-level technical narratives on platform evolution and investment
Mentorship \&amp; Technical Excellence
* Mentor senior data engineers and build communities of practice
* Quickly develop SME\-level understanding of emerging methodologies and technologies
* Demonstrate a track record of technical innovation
Maintain currency in technology and recognized as technical leader across the enterprise  
* 
**What You'll Bring**
* Bachelor's degree required; Master's degree in Computer Science, Engineering, or related field preferred
* 10\+ years of experience in data engineering with demonstrated enterprise influence
* Deep expertise in cloud data platforms, Databricks, Spark, and lakehouse architecture
* Experience with multi\-region deployment, high availability, and disaster recovery design
* Track record of platform modernization and vendor/tool selection decisions
* Recognized as technical leader across multiple parts of the enterprise
* Experience with M\&amp;A technical integration and platform consolidation
* Deep understanding of streaming architectures (Kafka, Spark Streaming)
* Experience with infrastructure\-as\-code (Terraform) and DataOps practices
* Background in healthcare data platforms and compliance requirements (HIPAA)
* Track record of technical innovation and implementing novel engineering approaches
* Experience publishing internal standards or external technical content
Work\-life balance is at the foundation of how decisions are made and where Premise is headed. We can only help people get, stay, and be well if we do the same for ourselves. In addition to competitive pay, Premise offers full\-time team members benefits including medical, dental, vision, life and disability insurance, a 401(k) program with company match, paid holidays and vacation time, a company\-sponsored wellness program, EAP, access to virtual primary care and virtual behavioral health at no cost for team members and their dependents. Additional benefits can be viewed here: https://jobs.premisehealth.com/benefits.
Premise is an equal opportunity employer; we value inclusion and do not discriminate based on race, color, religion, creed, national origin or ancestry, ethnicity, sex (including pregnancy and related conditions), gender identity or expression, sexual orientation, age, physical or mental disability, genetic information, past, current or prospective service in the uniformed services, or any other characteristic protected under applicable federal, state, or local law.
Street Address:</t>
        </is>
      </c>
    </row>
    <row r="28">
      <c r="A28" t="inlineStr">
        <is>
          <t>in-9651fd9f049da8b0</t>
        </is>
      </c>
      <c r="B28" t="inlineStr">
        <is>
          <t>Staff Data Engineer - AIOps</t>
        </is>
      </c>
      <c r="C28" t="inlineStr">
        <is>
          <t>American Express</t>
        </is>
      </c>
      <c r="D28" t="inlineStr">
        <is>
          <t>indeed</t>
        </is>
      </c>
      <c r="E28" t="inlineStr"/>
      <c r="F28" t="inlineStr"/>
      <c r="G28" t="inlineStr">
        <is>
          <t>Phoenix, AZ, US</t>
        </is>
      </c>
      <c r="H28" s="2" t="n">
        <v>46062</v>
      </c>
      <c r="I28"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**Key Responsibilities**
* Leads and mentors engineers across Data Engineering, ML Engineering, and AI Ops, fostering a culture of technical excellence, experimentation, and production\-grade AI delivery at scale
* Designs, builds, and operates end\-to\-end AI Ops platforms supporting machine learning, generative AI, and agentic workflows, from data ingestion and feature engineering through model training, deployment, monitoring, and lifecycle management
* Hands\-on development of AI\-enabled systems, including ML pipelines, LLM\-based applications, retrieval\-augmented generation (RAG), prompt pipelines, agent orchestration, and model inference services
* Defines and implements scalable data and feature pipelines optimized for AI/ML workloads, ensuring high data quality, lineage, reproducibility, and compliance with enterprise governance standards
* Leads MLOps and LLMOps practices, including CI/CD for models, automated testing and validation, model versioning, experiment tracking, drift detection, performance monitoring, and rollback strategies
* Oversees integration of diverse structured and unstructured data sources (batch and streaming) to support analytics, ML, and GenAI use cases across global infrastructure operations
* Partners closely with infrastructure, platform, security, and product teams to embed AI capabilities into operational systems, observability platforms, reliability engineering, and automation workflows
* Conducts architecture and design reviews for AI platforms, data systems, and ML pipelines, ensuring solutions meet scalability, reliability, security, and cost\-efficiency requirements
* Drives AI Ops automation initiatives, leveraging ML and GenAI to improve incident detection, root cause analysis, capacity forecasting, anomaly detection, and self\-healing infrastructure
* Monitors and optimizes AI and data workflows, ensuring adherence to delivery timelines, sprint commitments, and best practices in DevOps, DataOps, and AI Ops
* Influences enterprise AI strategy by evaluating emerging AI/ML technologies, frameworks, and platforms, and guiding their adoption in a regulated, production environment
**Education and Knowledge**
* Bachelor’s degree in Computer Science, Engineering, Data Science, or equivalent practical experience; advanced degree preferred
* Strong knowledge of machine learning fundamentals, including supervised/unsupervised learning, time\-series, NLP, and model evaluation techniques
* Hands\-on knowledge of Generative AI and LLM ecosystems, including transformers, embeddings, vector databases, prompt engineering, RAG patterns, and agentic frameworks
* Deep understanding of data platform and storage technologies, including relational, NoSQL, columnar, graph, and vector stores
* Knowledge of distributed systems and cloud\-native architectures, including containerization, orchestration, and service\-based design
* Familiarity with model governance, explainability, bias detection, and AI risk management in enterprise environments
* Strong understanding of data formats and APIs (JSON, Parquet, Avro, XML), schema management, and metadata systems
**Work Experience**
* Significant experience in data engineering, ML engineering, or AI platform engineering roles
* Strong hands\-on programming experience in Python (required); experience with Java, Scala, or similar languages is a plus
* Experience building and operating ML pipelines and AI platforms using tools such as Airflow, Kubeflow, MLflow, SageMaker, Vertex AI, or equivalent
* Experience with GenAI frameworks and tooling (e.g., LangChain, LlamaIndex, OpenAI/Vertex APIs, vector databases like Pinecone, FAISS, or similar)
* Experience designing and scaling large\-scale data systems across technologies such as BigQuery, Spanner, Hive, HBase, NoSQL stores, relational databases, and streaming platforms
* Experience with cloud\-based data and AI platforms (AWS, GCP, Azure), including cost optimization and performance tuning for AI workloads
* Proven experience leading, mentoring, and influencing senior engineers and cross\-functional teams
* Experience integrating AI solutions into infrastructure, observability, reliability engineering, or operational platforms is strongly preferred
* Experience with production\-grade CI/CD, monitoring, and automation for data and AI systems
Salary Range: $144,250\.00 to $256,250\.00 annually \+ bonus \+ equity (if applicable)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29">
      <c r="A29" t="inlineStr">
        <is>
          <t>in-a08d96a788848f73</t>
        </is>
      </c>
      <c r="B29" t="inlineStr">
        <is>
          <t>Staff Analytics Engineer</t>
        </is>
      </c>
      <c r="C29" t="inlineStr">
        <is>
          <t>Intrado</t>
        </is>
      </c>
      <c r="D29" t="inlineStr">
        <is>
          <t>indeed</t>
        </is>
      </c>
      <c r="E29">
        <f>HYPERLINK("https://www.indeed.com/viewjob?jk=a08d96a788848f73", "https://www.indeed.com/viewjob?jk=a08d96a788848f73")</f>
        <v/>
      </c>
      <c r="F29">
        <f>HYPERLINK("https://careers.intrado.com/jobs/4457/job?utm_source=indeed_integration&amp;iis=Job%20Board&amp;iisn=Indeed&amp;indeed-apply-token=73a2d2b2a8d6d5c0a62696875eaebd669103652d3f0c2cd5445d3e66b1592b0f", "https://careers.intrado.com/jobs/4457/job?utm_source=indeed_integration&amp;iis=Job%20Board&amp;iisn=Indeed&amp;indeed-apply-token=73a2d2b2a8d6d5c0a62696875eaebd669103652d3f0c2cd5445d3e66b1592b0f")</f>
        <v/>
      </c>
      <c r="G29" t="inlineStr">
        <is>
          <t>Remote, US</t>
        </is>
      </c>
      <c r="H29" s="3" t="n">
        <v>46066</v>
      </c>
      <c r="I29"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
We are seeking an exceptional **Staff Analytics Engineer** to transform our raw data into trusted business insights. In this pivotal role, you will partner with a newly hired Staff Data Engineer to architect the end\-to\-end delivery of our data ecosystem, ensuring that our leadership team has the timely, actionable insights they need to make informed decisions.  
You will not just build tables; you will own the gold layer, transforming technical complexity into clear, reliable business logic. Your work will directly impact our ability to execute on our strategic plan by ensuring that metrics are defined consistently, trusted, and available quickly to leadership. You will champion a "data as a product" mindset, ensuring that the Business Operations team provides insights that power data\-driven decisions across the company.  
This is a demanding role in a results\-oriented environment with high expectations for agency, speed, and ownership. **Key Responsibilities*** End\-to\-End Data Architecture: You will partner with the Staff Data Engineer to architect the complete data lifecycle. While they build the infrastructure, you will own the gold layer, designing the semantic layer and transforming silver level data in Databricks into optimized fact and dimension tables that serve as the single source of truth for the company.
* Business Logic \&amp; Strategy: Translate complex, ambiguous business questions into concrete technical definitions. You will act as the key technical liaison to build consensus on enterprise\-wide metric definitions, ensuring consistent logic across all reports.
* Data as a Product: Champion a product\-oriented mindset by setting the standard for robust documentation, testing, and data model design.
* Mentorship \&amp; Standards: You will lead by example on best practices and code quality to ensure engineering rigor.
* Performance Tuning: Optimize the connection between Databricks and Power BI, designing models that balance computational load with query latency to ensure dashboards perform.
**Required Qualifications*** **Experience:** 10\+ years of relevant, progressive experience in Analytics Engineering, Software Engineering, or Data Engineering, with at least 4 years working in large\-scale data lake/warehouse environments (e.g., Databricks). Prior ownership of large\-scale data systems and business\-critical metrics.
* **Data Modeling Expertise:** Mastery of dimensional modeling best practices. You must be an expert in designing modular, reusable, and performant data models (Star Schema, Snowflake Schema) that serve as the foundation for analytics
* **Advanced SQL \&amp; Optimization:** Proficiency in advanced SQL techniques and performance tuning.
* **LLM Application:** Experience leveraging LLMs and AI\-assisted development tools to accelerate data engineering workflows, improve code quality, and automate repetitive technical tasks.
* **Intermediate to Advanced Python:** Strong expertise in Python for scripting, automation, and data manipulation (Pandas).
* **Data Visualization Architecture:** Deep proficiency in Power BI or Tableau, understanding how to architect semantic models that enable polished, high\-performance dashboards for executive stakeholders.
* **Business Acumen \&amp; Communication:** Strong ability to translate technical concepts into business value. You must be able to partner with non\-technical stakeholders to define gold level metrics and manage projects across teams.
* **Education:** Bachelor’s degree in Computer Science, Software Engineering, Data Engineering, or a closely related technical field.
**Preferred Qualifications*** Master’s or equivalent in Computer Science, Data Science, Analytics or Engineering
* Prior experience working in a technology company or SaaS environment
Total Rewards:
Want to love where you work? At Intrado, we offer a comprehensive benefits package that includes what you’d expect (medical, dental, vision, life and disability coverage, paid time off, a 401(k) retirement plan, and several that go above and beyond – paid parental leave, access to a robust library of personal and professional training resources, employee discounts, critical illness, hospital indemnity, access to legal support, pet insurance, identity theft protection, an EAP (Employee Assistance Program) that includes free mental health resources/support, and more! Apply today to join us in ***work worth doing***!  
The starting salary is anticipated between $210,000 and $225,000 and will be commensurate with experience. This position is bonus eligible.  
Intrado is an Equal Opportunity Employer – Veterans/Disabled and Other Protected Categories. Our Company welcomes and encourages applications of individuals with disabilities. Accommodations are available on request for candidates taking part in all aspects of the selection process. Intrado maintains a Drug Free Workplace.</t>
        </is>
      </c>
    </row>
    <row r="30">
      <c r="A30" t="inlineStr">
        <is>
          <t>in-0e21339192c561d7</t>
        </is>
      </c>
      <c r="B30" t="inlineStr">
        <is>
          <t>Staff Data Engineer</t>
        </is>
      </c>
      <c r="C30" t="inlineStr">
        <is>
          <t>Intrado</t>
        </is>
      </c>
      <c r="D30" t="inlineStr">
        <is>
          <t>indeed</t>
        </is>
      </c>
      <c r="E30">
        <f>HYPERLINK("https://www.indeed.com/viewjob?jk=0e21339192c561d7", "https://www.indeed.com/viewjob?jk=0e21339192c561d7")</f>
        <v/>
      </c>
      <c r="F30">
        <f>HYPERLINK("https://careers.intrado.com/jobs/4455/job?utm_source=indeed_integration&amp;iis=Job%20Board&amp;iisn=Indeed&amp;indeed-apply-token=73a2d2b2a8d6d5c0a62696875eaebd669103652d3f0c2cd5445d3e66b1592b0f", "https://careers.intrado.com/jobs/4455/job?utm_source=indeed_integration&amp;iis=Job%20Board&amp;iisn=Indeed&amp;indeed-apply-token=73a2d2b2a8d6d5c0a62696875eaebd669103652d3f0c2cd5445d3e66b1592b0f")</f>
        <v/>
      </c>
      <c r="G30" t="inlineStr">
        <is>
          <t>Remote, US</t>
        </is>
      </c>
      <c r="H30" s="3" t="n">
        <v>46066</v>
      </c>
      <c r="I30"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
We looking for an exceptional Staff Data Engineer to build the high\[1]performance foundation that powers our company’s internal business analytics. In this pivotal role, you will partner with a newly hired Staff Analytics Engineer to design and build the end\-to\[1]end delivery of our data ecosystem, ensuring that our leadership team has the timely, actionable insights they need to make informed decisions.  
You will be responsible for building “the plumbing” of this data ecosystem, including the ingestion of data from diverse sources into our Azure data lake, transformation of data in Databricks, and delivery of gold layer data to visualization tools. You will enable the seamless flow of financial and operational data from source systems to decision\-makers, eliminating the technical bottlenecks that delay critical business insights.  
This is a demanding role in a results\-oriented environment with high expectations for agency, speed, and ownership. **Key Responsibilities*** **Infrastructure Architecture:** Design and implement the core architecture for the company’s data ecosystem that will be used for business analytics. This includes the end\-to\-end architecture from the data in source systems to delivery in visualizations.
* **High\-Scale Ingestion:** Build robust Azure Data Factory pipelines to pull data from disparate "Source A" systems (Salesforce, ServiceNow, D365\) to "Sink B" (Azure data lake).
* **Standards \&amp; Governance:** Set the technical standards for the Business Operations engineering team. You will define how the team handles CI/CD, version control, and data quality testing at the ingestion level.
* **System Reliability:** Ensure the raw and bronze data layers are available and up to date, minimizing downtime.
**Required Qualifications*** **Experience:** 10\+ years of progressive experience in Data Engineering, with a specific focus on designing and building cloud infrastructure and high\-volume data movement.
* **Cloud Infrastructure Architecture:** Deep expertise in architecting the Azure Data Stack (Azure Data Factory, Azure Data Lake Storage, Databricks).
* **High\-Scale Data Ingestion:** Proven ability to build robust, scalable ELT/ETL pipelines using Azure Data Factory and Databricks.
* **Advanced Python \&amp; Spark:** Expert\-level proficiency in Python and Apache Spark for distributed data processing.
* **Governance \&amp; Security:** Experience implementing enterprise\-grade data governance, and data lineage.
* **DevOps \&amp; CI/CD:** Strong experience implementing CI/CD pipelines (Azure DevOps or GitHub Actions) for data infrastructure.
* **LLM Application:** Experience leveraging LLMs and AI\-assisted development tools to accelerate data engineering workflows, improve code quality, and automate repetitive technical tasks.
* **Education:** Bachelor’s degree in Computer Science, Software Engineering, Data Engineering, or a closely related technical discipline.
**Preferred Qualifications*** Master’s or equivalent in Computer Science, Engineering, or Cloud/Data Systems
* Prior experience working in a technology company or SaaS environment
Total Rewards:
Want to love where you work? At Intrado, we offer a comprehensive benefits package that includes what you’d expect (medical, dental, vision, life and disability coverage, paid time off, a 401(k) retirement plan, and several that go above and beyond – paid parental leave, access to a robust library of personal and professional training resources, employee discounts, critical illness, hospital indemnity, access to legal support, pet insurance, identity theft protection, an EAP (Employee Assistance Program) that includes free mental health resources/support, and more! Apply today to join us in ***work worth doing***!  
The starting salary is anticipated between $210,000 and $225,000 and will be commensurate with experience. This position is bonus eligible.  
Intrado is an Equal Opportunity Employer – Veterans/Disabled and Other Protected Categories. Our Company welcomes and encourages applications of individuals with disabilities. Accommodations are available on request for candidates taking part in all aspects of the selection process. Intrado maintains a Drug Free Workplace.</t>
        </is>
      </c>
    </row>
    <row r="31">
      <c r="A31" t="inlineStr">
        <is>
          <t>in-6b2a5a8c0bc2f157</t>
        </is>
      </c>
      <c r="B31" t="inlineStr">
        <is>
          <t>Data Engineer</t>
        </is>
      </c>
      <c r="C31" t="inlineStr">
        <is>
          <t>Intrado</t>
        </is>
      </c>
      <c r="D31" t="inlineStr">
        <is>
          <t>indeed</t>
        </is>
      </c>
      <c r="E31">
        <f>HYPERLINK("https://www.indeed.com/viewjob?jk=6b2a5a8c0bc2f157", "https://www.indeed.com/viewjob?jk=6b2a5a8c0bc2f157")</f>
        <v/>
      </c>
      <c r="F31">
        <f>HYPERLINK("https://careers.intrado.com/jobs/4454/job?utm_source=indeed_integration&amp;iis=Job%20Board&amp;iisn=Indeed&amp;indeed-apply-token=73a2d2b2a8d6d5c0a62696875eaebd669103652d3f0c2cd5445d3e66b1592b0f", "https://careers.intrado.com/jobs/4454/job?utm_source=indeed_integration&amp;iis=Job%20Board&amp;iisn=Indeed&amp;indeed-apply-token=73a2d2b2a8d6d5c0a62696875eaebd669103652d3f0c2cd5445d3e66b1592b0f")</f>
        <v/>
      </c>
      <c r="G31" t="inlineStr">
        <is>
          <t>Remote, US</t>
        </is>
      </c>
      <c r="H31" s="3" t="n">
        <v>46066</v>
      </c>
      <c r="I31"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
We are seeking an exceptional **Data Engineer** to build the robust data pipelines that will power our company’s internal business analytics. Working under the guidance of the Staff Data Engineer, you will ensure that the raw data from multiple systems is consistently ingested, cleaned, and made ready for analysis. By building stable and efficient pipelines, you will directly support the timely generation of visualizations that leadership relies on to make informed decisions.  
This is a demanding role in a results\-oriented environment with high expectations for agency, speed, and ownership. **Key Responsibilities*** **Pipeline Execution:** Build and maintain Azure Data Factory pipelines to ingest data from multiple sources.
* **Silver Layer Transformation:** Write the Python code in Databricks to clean raw data and move it into the silver layer, handling deduplication, type casting, and validation.
* **Reliability:** Monitor daily jobs and troubleshoot failures. You are the first line of defense in ensuring that pipelines are stable and do not break.
* **Data Quality:** Implement automated checks to verify that data arriving in the lake matches the source systems.
**Required Qualifications*** **Experience:** 5\+ years of experience in Data Engineering, specifically focused on building and maintaining ETL/ELT pipelines of large\-scale operational and financial data in a cloud environment.
* **Pipeline Development:** Proficiency in building and optimizing data pipelines using Azure Data Factory and Databricks.
* **Technical Proficiency (SQL \&amp; Python):** Strong proficiency in SQL for data analysis and Python for scripting and transformation.
* **Data Quality Assurance:** Experience implementing automated data quality checks (e.g., schema validation, null checks). A proactive approach to identifying pipeline failures and implementing fixes to prevent recurrence.
* **Platform \&amp; Data Familiarity:** Experience working with data schemas and APIs from common enterprise platforms like Microsoft Dynamics 365 F\&amp;O, Salesforce, ServiceNow.
* **LLM Application:** Demonstrated experience using LLMs to streamline data engineering workflows and improve development efficiency.
* **Education:** Bachelor’s degree in Computer Science, Software Engineering, Data Engineering, or a closely related technical field.
**Preferred Qualifications*** Prior experience working in a technology company or SaaS environment
Total Rewards:
Want to love where you work? At Intrado, we offer a comprehensive benefits package that includes what you’d expect (medical, dental, vision, life and disability coverage, paid time off, a Registered Retirement Savings Plan (RRSP), and several that go above and beyond – tuition reimbursement, paid parental leave, access to a comprehensive library of personal and professional training resources, employee discounts, insurance coverage and more! Apply today to join us in work worth doing!
The starting salary is anticipated between $185,000 and $200,000 and will be commensurate with experience. This position is bonus eligible.</t>
        </is>
      </c>
    </row>
    <row r="32">
      <c r="A32" t="inlineStr">
        <is>
          <t>in-f5499876b043b01c</t>
        </is>
      </c>
      <c r="B32" t="inlineStr">
        <is>
          <t>AWS Data Engineer</t>
        </is>
      </c>
      <c r="C32" t="inlineStr">
        <is>
          <t>Openkyber</t>
        </is>
      </c>
      <c r="D32" t="inlineStr">
        <is>
          <t>indeed</t>
        </is>
      </c>
      <c r="E32">
        <f>HYPERLINK("https://www.indeed.com/viewjob?jk=f5499876b043b01c", "https://www.indeed.com/viewjob?jk=f5499876b043b01c")</f>
        <v/>
      </c>
      <c r="F32">
        <f>HYPERLINK("https://candidateportalnew.ceipal.com/job-details/HAa_aMCBVWcxo8_M6exZhc-cIHXe9nw0u_vNPCOwH2Q#.job_boards.Indeed", "https://candidateportalnew.ceipal.com/job-details/HAa_aMCBVWcxo8_M6exZhc-cIHXe9nw0u_vNPCOwH2Q#.job_boards.Indeed")</f>
        <v/>
      </c>
      <c r="G32" t="inlineStr">
        <is>
          <t>MD, US</t>
        </is>
      </c>
      <c r="H32" s="3" t="n">
        <v>46066</v>
      </c>
      <c r="I32" t="inlineStr">
        <is>
          <t>**Title :** AWS Data Engineer/DBA \- Hybrid Location: Baltimore,MD Length: Long term Restriction: W2 Only  
**JOB DESCRIPTION:** Client seeks Senior Database Management Specialist to design, develop, optimize, administer, govern, and maintain complex databases and provide various database operational support services for the Maryland Health Benefit Exchange (HBX) and other systems.  
Duties / Responsibilities
* Design, develop, and maintain complex enterprise databases, data lakes, and data warehouses.
* Design complex database architecture, including data modeling, database schema design, and database security.
* Design, develop and implement plans for migrating data.
* Support implementation of data\-centric, integrated software, hardware, cloud, and mobile solutions to meet system requirements.
* Provide database maintenance and operations recommendations for implementing complex web applications, data\-sharing initiatives, reports, and dashboards.
* Review and provide expert support for database integrations to ensure operational and security compliance.
* Determine usage details and perform supporting tasks for implementing optimizations and cost\-reduction strategies for database infrastructure, batches, and product deployments.
* Collaborate and consult with applications, infrastructure, and system operations teams to help automate the end\-to\-end operations of applications and systems in AWS Cloud.
* Develop standards and data scripts to monitor and alert various cloud\-based systems and applications to help ensure Service Level Agreements and other performance metrics are met.
* Design, develop, and support Extract Transform and Load (ETL) processes to extract data from various sources, transform it to meet the needs of the organization, and load complex data elements into multiple databases, data lakes, and data warehouses.
* Monitor database performance, troubleshoot errors, and debug.
* Perform tasks in implementing complex data strategies, system development processes, architectural planning, system integration testing, operations, and implementation.
* Administer HBX databases, including monitoring, backup and recovery, and database security, and optimize the database performance, including identifying and resolving performance issues and ensuring that the database meets performance requirements.
* Perform tasks ensuring data quality and governance, including creating data validation rules, data quality checks, and metadata management and understanding the unique data requirements and challenges of the health insurance marketplace.
* Provide innovative ideas for data extraction, data sharing, and data development approaches, and support database and application integration efforts.
* Provide data\-related support for all system testing efforts, including unit testing, load testing, end\-to\-end testing, validation testing, and user acceptance testing.
* Perform PostgreSQL Server database administration, manage role\-based (RBAC) user and system accounts, patch Management, and maintain Replication and Disaster Recovery (DR) Environments.
* Perform Database migration for PostgreSQL and Mongo DB databases between various environments, including data centers and cloud environments such as Amazon Web Services (AWS).
* Monitor all production database activity for operational improvements, including CPU, Disk and memory, and space utilization.
* Evaluate and Perform security hardening on PostgreSQL and MongoDB databases, including configurations related to access control, authorizations, OS(Linux) Configuration parameters, and file system encryption.
* Evaluate Security infractions and overall performance of databases to develop and implement corrective measures for database issues/problems found during monitoring.
* Analyze performance issues in the application and database tiers.
* Perform disaster recovery principles and practices, including planning and testing backup and restore.
* Perform hands\-on maintenance activities such as vacuum, and full vacuum, and Analyze the PostgreSQL Database.
* Perform database server maintenance, including upgrades of the PostgreSQL Database and storage management of PostgreSQL and MongoDB.
* Perform Installation and maintenance of MongoDB database for high availability.
* Develop SQL queries for optimal performance on PostgreSQL, create and manage indices and develop No SQL queries on MongoDB and create and manage indices.
* Actively participate in the deployment playbook development, sequencing and executing batches, and monitoring system health activities.
* Work collaboratively with developers and other database team members to define, build consensus around, and implement enterprise systems and application architectures to ensure performance, scalability, maintainability, extensibility, and application integration with external systems.
* Work closely with cross\-functional teams, including developers, data analysts, and business stakeholders, to ensure that the database environment meets the needs of the business, and supports the long\-term IT strategy.
* Adhere to all security, change control, and MHBE Project Management Office (PMO) policies, processes, and methodologies.
**Minimum Qualifications:**
* A minimum of six (6\) years of experience designing databases, queries, reports, and/or providing solutions for large\-scale enterprise database requirements.
* A minimum of four (4\) years of experience in a complex environment building complex data extractions, queries, or databases utilizing PostgreSQL, Informatica, and MongoDB.
* A minimum of four (4\) years of experience with tools such as Bamboo, Jenkins, Maven, Bitbucket, Jira, GIT, etc.
* A minimum of four (4\) years of experience in document management systems.
* A minimum of four (4\) years of experience with supporting applications in a Cloud infrastructure on AWS (Amazon Web Services) and computing AMI virtual machines on Elastic Compute Cloud (EC2\), continuous integration (CI), and Continuous deployment (CD) processes.
* A minimum of four (4\) years of experience monitoring production database activities and batch jobs for operational improvements.
* A minimum of two (2\) years of experience in large\-volume database migration efforts.
* A minimum of four (4\) years of experience in PostgreSQL Server database administration, patch management, maintenance, and/or writing complex SQL codes, stored procedures, and performing data extractions.
* A minimum of four (4\) years of hands\-on experience with performing database maintenance activities in production and/or lower environments.
* Experience with supporting installation and maintenance of databases for high availability.
* Strong understanding of database architecture and design, including normalization, indexing, partitioning, and replication.
* Experience managing and optimizing large databases, including performance tuning and capacity planning.
* Experience in data modeling, ETL processes, and data warehousing.
* Experience in SQL complex queries and batch performance optimizations.
**Preferred Qualifications:**
* A minimum of five (5\) years of experience as a database expert or equivalent designing, developing, performing data extractions, developing reports, and/or supporting federal or state\-based marketplace systems or complex health and human services systems or applications.
* A minimum of five (5\) years of experience with processing EDI transaction sets such as 834, 820, 999, etc.
* A minimum of four (4\) years of experience working with 270/271 Health Care Eligibility Benefit Inquiry and Response transactions.
* A minimum of four (4\) years of experience working with complex databases, systems, and applications hosted on Amazon Web Services (AWS).
* A minimum of four (4\) years of experience in developing and implementing best practices, data fixes for database issues, and problems found during performance tuning of PostgreSQL DB and MongoDB.
* Experience with or strong knowledge of disaster recovery principles and practices, including planning and validating backup and restoring database backups in production and lower environments.
* A minimum of five (5\) years of experience with Integrated Eligibility, Affordable Care Act, or similar large Health and Human Service enterprise level Applications.
* Strong knowledge of Corticon implementations catering to complex business rules.
* Experience optimizing large databases, including performance tuning through complex SQL queries and capacity planning.
* Experience in data modeling, ETL processes, and EDI transaction sets.
* Hands\-on experience with PostgreSQL, MongoDB, and SQL complex queries designing, developing, and maintaining large\-scale databases, developing complex reports or data extractions.
* Experience with NoSQL database or equivalent, as well as experience in analytics tools such as Tableau, QlikSense, or Power BI.
* Familiarity with the operations of a Health Insurance Exchange (HIX) marketplace, including knowledge of healthcare policies, benefits packages, plan design, eligibility, and enrollment processes and understanding the unique data requirements and challenges of this industry.
* Experience working closely with business stakeholders and other data professionals to establish governance policies and procedures, monitor compliance, and implement data quality checks and controls.
* Experience in developing and maintaining a data dictionary or metadata repository and data governance program to align with best practices and regulatory requirements.
* Experience working with the Project Management Office (PMO) processes, policies, and procedures.
**For applications and inquiries, contact:** hirings@openkyber.com</t>
        </is>
      </c>
    </row>
    <row r="33">
      <c r="A33" t="inlineStr">
        <is>
          <t>in-f13cdaf5afff4db9</t>
        </is>
      </c>
      <c r="B33" t="inlineStr">
        <is>
          <t>AWS Data Engineer</t>
        </is>
      </c>
      <c r="C33" t="inlineStr">
        <is>
          <t>Openkyber</t>
        </is>
      </c>
      <c r="D33" t="inlineStr">
        <is>
          <t>indeed</t>
        </is>
      </c>
      <c r="E33">
        <f>HYPERLINK("https://www.indeed.com/viewjob?jk=f13cdaf5afff4db9", "https://www.indeed.com/viewjob?jk=f13cdaf5afff4db9")</f>
        <v/>
      </c>
      <c r="F33">
        <f>HYPERLINK("https://candidateportalnew.ceipal.com/job-details/S80ObZE5ViGmb0j6cXe5NROl7BdqR8HmR6E8Gxj4ovU#.job_boards.Indeed", "https://candidateportalnew.ceipal.com/job-details/S80ObZE5ViGmb0j6cXe5NROl7BdqR8HmR6E8Gxj4ovU#.job_boards.Indeed")</f>
        <v/>
      </c>
      <c r="G33" t="inlineStr">
        <is>
          <t>GA, US</t>
        </is>
      </c>
      <c r="H33" s="3" t="n">
        <v>46066</v>
      </c>
      <c r="I33" t="inlineStr">
        <is>
          <t>**Title:** Healthcare Data Analytics \&amp; BI Developer Power BI, AWS  
**Location:** 100% Remote. Duration: Long Term contract (Extendable)  
**Duties :** As a Data Analytics Developer/Business intelligence Software Developer , you will have the opportunity to tap into your curiosity and collaborate with some of the most innovative and diverse people around the world. Here, you will make an impact by:
* Leading Power BI and QuickSight data solutions for healthcare analytic solutions for HIS products and customers.
* Working with agile teams of engineers and builders.
* Implementing published data assets, data processing pipelines, and reporting solutions.
* Determining the design, coding, and delivery of Data Analytics/BI to address customer solutions.
* Supporting product development for customers across the US and the globe.
* Working closely with other teams to deliver our data driven products.
**Skills :** Skills include Product planning, requirements gathering, documenting voice of customer, strong teamwork (2\+) years Data and Business Intelligence Development Experience (2\+) years Data Engineering Experience (3\+) Years MSFT PowerBI development with creating custom measures, data moideling and table relationships, visualizations with slicers, DAX and M\-language scripts (1\+) years Amazon Quicksight Development for Enterprise solutions (2\+) years developing with Amazon Web Services data products (2\+) years working in an agile development environment Healthcare data analysis : Healthcare Claims, Clinical Documents, FHIR, HL7/ X12 formatted data
**For applications and inquiries, contact:** hirings@openkyber.com</t>
        </is>
      </c>
    </row>
    <row r="34">
      <c r="A34" t="inlineStr">
        <is>
          <t>in-95db0cf13cfff2e0</t>
        </is>
      </c>
      <c r="B34" t="inlineStr">
        <is>
          <t>AWS Data Engineer</t>
        </is>
      </c>
      <c r="C34" t="inlineStr">
        <is>
          <t>Openkyber</t>
        </is>
      </c>
      <c r="D34" t="inlineStr">
        <is>
          <t>indeed</t>
        </is>
      </c>
      <c r="E34">
        <f>HYPERLINK("https://www.indeed.com/viewjob?jk=95db0cf13cfff2e0", "https://www.indeed.com/viewjob?jk=95db0cf13cfff2e0")</f>
        <v/>
      </c>
      <c r="F34">
        <f>HYPERLINK("https://candidateportalnew.ceipal.com/job-details/B5yax7geznzByp65mojvbkBQDsyq7tiglSPkbKP6JTE#.job_boards.Indeed", "https://candidateportalnew.ceipal.com/job-details/B5yax7geznzByp65mojvbkBQDsyq7tiglSPkbKP6JTE#.job_boards.Indeed")</f>
        <v/>
      </c>
      <c r="G34" t="inlineStr">
        <is>
          <t>GA, US</t>
        </is>
      </c>
      <c r="H34" s="3" t="n">
        <v>46066</v>
      </c>
      <c r="I34" t="inlineStr">
        <is>
          <t>Role: AWS Data Engineer Location: Remote Exp:\- 12\+ years of experience Role Summary: The Data Engineer will build and maintain secure, scalable, and automated data pipelines to support the ingestion, transformation, and curation of data products. This role will focus on implementing CI/CD pipelines, automated testing, and monitoring solutions.
**Key Responsibilities:**
* Data Pipelines: Develop configuration\-driven ingestion and transformation pipelines using AWS Glue, Lambda, and Redshift.
* Automation: Implement CI/CD pipelines for automated build, test, and deployment of data products.
* Testing: Establish automated test frameworks for schema validation, data quality, and performance testing.
* Monitoring: Set up monitoring and observability dashboards for product\-level metrics (CloudWatch, custom metrics).
* Collaboration: Work with data modelers and architects to ensure alignment with business requirements.
**Required Skills:**
* Programming: Proficiency in Python, SQL, and shell scripting.
* AWS Expertise: Hands\-on experience with AWS services (Glue, Redshift, S3, Lambda, CloudWatch).
* Automation: Experience with CI/CD tools (Terraform, Jenkins, AWS CodePipeline).
* Data Integration: Strong knowledge of ETL/ELT processes and frameworks.
* Soft Skills: Strong problem\-solving, collaboration, and communication skills.
**Qualifications:**
Bachelor s degree in computer science, Data Engineering, or related field. 5\+ years of experience in data engineering and pipeline development. AWS Certified Data Analytics or AWS Certified Developer is a plus. Thanks
**For applications and inquiries, contact:** hirings@openkyber.com</t>
        </is>
      </c>
    </row>
    <row r="35">
      <c r="A35" t="inlineStr">
        <is>
          <t>in-78ff06faf283a092</t>
        </is>
      </c>
      <c r="B35" t="inlineStr">
        <is>
          <t>Staff Data Engineer</t>
        </is>
      </c>
      <c r="C35" t="inlineStr">
        <is>
          <t>HCA Healthcare</t>
        </is>
      </c>
      <c r="D35" t="inlineStr">
        <is>
          <t>indeed</t>
        </is>
      </c>
      <c r="E35">
        <f>HYPERLINK("https://www.indeed.com/viewjob?jk=78ff06faf283a092", "https://www.indeed.com/viewjob?jk=78ff06faf283a092")</f>
        <v/>
      </c>
      <c r="F35">
        <f>HYPERLINK("https://careers.hcahealthcare.com/en/jobs/16846850-staff-data-engineer?tm_job=1-INFOR-3819724&amp;tm_event=view&amp;tm_company=2537", "https://careers.hcahealthcare.com/en/jobs/16846850-staff-data-engineer?tm_job=1-INFOR-3819724&amp;tm_event=view&amp;tm_company=2537")</f>
        <v/>
      </c>
      <c r="G35" t="inlineStr">
        <is>
          <t>Nashville, TN, US</t>
        </is>
      </c>
      <c r="H35" s="3" t="n">
        <v>46066</v>
      </c>
      <c r="I35"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In addition, the Staff Data Engineer will be expected to leverage AI\-native workflows to accelerate solution delivery. This includes the ability to use AI\-assisted development tools for rapid software engineering, apply modern AI building blocks such as prompting, retrieval\-augmented generation (RAG), evaluation frameworks, agentic workflows, and machine learning, and to rapidly prototype and iterate on data\-driven applications.
What you will do: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 Apply AI\-native engineering practices to design, implement, and optimize data and software systems, accelerating time\-to\-value.
* Incorporate prompt engineering, RAG pipelines, and automated evaluation techniques into data solutions and workflows.
* Prototype, test, and iterate rapidly using AI\-assisted development approaches, ensuring scalable and reliable production systems.
* Explore and integrate agentic workflows and emerging AI/ML capabilities to enhance automation and decision\-making across platforms.
**What you will need to have:**
* Bachelor's degree in computer science, related technical field, or equivalent experience required
* Master's degree in computer science or related field preferred
* 5\+ years of experience as a Data Engineer required
* 1\+ year(s) of experience in healthcare preferred
* 7\+ years of experience in information technology required
* Demonstrates an empathetic and growth mindset with a willingness to learn new skills, technologies, and methodologies. required
* Strong knowledge of public cloud best practices and design patterns used in creating, automating, and supporting data pipelines. required
* Strong ability to assemble large, complex sets of data that meet functional and non\-functional product requirements. required
* Strong ability to identify, design, and implement internal process improvements including redesigning data platforms for greater scalability, optimized data delivery, and automating manual processes. required
* Strong ability to create and use analytical tools to monitor data pipeline metrics and provide actionable intelligence to increase operational efficiency and valuable data outcomes. required
* Strong ability to present and facilitate technical ideas. required
* Expert ability using source control management tools such as Git/GitHub. required
* Expert ability using CI/CD automation tools. required
* Strong understanding of SQL and analytical data warehouses. required
* Strong understanding of Agile methodologies and how to apply Agile within the team. required
* Helps coach and mentor junior team members and others external to the team. required
* Proven ability to complete work, make sound decisions, and plan and accomplish goals without explicit direction/guidance from leadership. required
* Builds and nurtures healthy relationships with all colleagues. required
* Stays abreast of public cloud technologies, capabilities, and industry use of public cloud to help guide HCA’s strategy and adoption. required
* Demonstrates productive and inclusive communication skills with all colleagues. required
* Excellent problem\-solving and analytical skills. required
* Experience applying prompt engineering techniques to improve accuracy and efficiency of AI\-assisted solutions. required
* Strong ability to prototype and iterate using AI\-assisted development tools (e.g., Copilot, ChatGPT, or equivalent). required
* 2\+ years hands\-on experience with GCP platform and experience with many of the following components:
Cloud Run, GKE, Cloud Functions
Pub/Sub,Bigtable, Cloud SQL, Cloud Spanner
BigQuery, Dataflow, Data Fusion
Cloud Composer, DataProc, CI/CD, Cloud Logging
Vertex AI, NLP, GitHub
* 4\+ Years of hands\-on experience with many of the following components:
Spark Streaming, Kafka
SQL, JSON, Avro, Parquet
Java, Python, or Scala
* 18\+ months of hands\-on experience with many of the following components:
Hands\-on experience with AI\-assisted development tools (e.g., Copilot, ChatGPT, or equivalent) to accelerate engineering tasks.
* Familiarity with modern AI application patterns such as prompting strategies, RAG, evals, and agent\-based systems.
* Demonstrated ability to rapidly prototype and iterate with AI/ML technologies to deliver practical, production\-ready solutions.
* A growth mindset with curiosity to experiment with emerging AI frameworks and incorporate them into engineering practices.
Certifications (a plus, but not required):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li-4372059069</t>
        </is>
      </c>
      <c r="B2" t="inlineStr">
        <is>
          <t>Product Owner - Data Engineering &amp; Business Insights</t>
        </is>
      </c>
      <c r="C2" t="inlineStr">
        <is>
          <t>Swire Coca-Cola, USA</t>
        </is>
      </c>
      <c r="D2" t="inlineStr">
        <is>
          <t>linkedin</t>
        </is>
      </c>
      <c r="E2" t="inlineStr"/>
      <c r="F2" t="inlineStr"/>
      <c r="G2" t="inlineStr">
        <is>
          <t>Draper, UT</t>
        </is>
      </c>
      <c r="H2" t="inlineStr"/>
      <c r="I2"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6
**What does a Product Owner do at Swire Coca\-Cola?**
 As a Product Owner specializing in Data Engineering and Business Insights within our IT organization, you will play a pivotal role in enabling data\-driven product delivery and continuous improvement. You will manage product backlogs with a focus on data solutions, gather requirements for analytics initiatives, and coordinate product\-led activities to drive actionable business insights. Working closely with stakeholders and cross\-functional teams, you will facilitate agile ceremonies, maintain data\-centric product documentation, and analyze data to enhance product offerings and business performance. This role is ideal for an early\-career professional with strong analytical, data engineering, and communication skills, ready to contribute to impactful technology solutions in a dynamic IT environment.
**Responsibilities:**
* Align technology capabilities and product initiatives with business unit objectives, identifying opportunities for innovation and technical improvements that deliver value to stakeholders and users
* Build and maintain strong relationships with business unit managers and internal stakeholders, collaborating to understand needs, gather requirements, and support strategic IT planning
* Oversee the end\-to\-end lifecycle of IT products, from ideation and planning through launch, assessment, and iteration, ensuring products meet business goals and user expectations
* Lead product design and implementation, applying product management principles to coordinate cross\-functional teams and ensure timely completion of product milestones
* Implement agile methodologies, manage sprints, drive continuous improvement through iterative solutions, and facilitate agile ceremonies to enhance team performance
* Leverage emerging technology trends and conduct market analysis to propose enhancements that maximize business impact and user satisfaction.
* Manage product documentation to ensure accuracy, accessibility, and support for users and enablement initiatives
* Collaborate with internal teams, vendors, and suppliers to coordinate efforts, resolve issues, and deliver high\-quality outcomes aligned with business needs
* Track and optimize key performance indicators (KPIs) such as business value delivery (e.g., revenue, customer lifetime value, churn), user adoption rates, customer satisfaction, on\-time delivery, return on investment, product strategy alignment, intake\-to\-solution time, time\-to\-market, team engagement scores, career progression tracking, documentation discoverability, and cross\-functional collaboration
**Requirements:**
* Bachelor's Degree Engineering, Information Technology, Business Management, or a related field required
* Master's Degree Master's Degree or MBA a plus
* 4\+ years in product management or technology management roles, with a demonstrated history of leading initiatives, products, or services that drive organizational technology evolution, preferably supporting business units or operations functions required
* Product lifecycle management and market analysis
* Proficiency in agile methodologies and product management
* Strong analytical skills for data\-driven decision\-making and KPI tracking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3">
      <c r="A3" t="inlineStr">
        <is>
          <t>li-4367641536</t>
        </is>
      </c>
      <c r="B3" t="inlineStr">
        <is>
          <t>Data Engineer</t>
        </is>
      </c>
      <c r="C3" t="inlineStr">
        <is>
          <t>MasterClass</t>
        </is>
      </c>
      <c r="D3" t="inlineStr">
        <is>
          <t>linkedin</t>
        </is>
      </c>
      <c r="E3" t="inlineStr"/>
      <c r="F3" t="inlineStr"/>
      <c r="G3" t="inlineStr"/>
      <c r="H3" t="inlineStr"/>
      <c r="I3" t="inlineStr">
        <is>
          <t>**Who we are:** 
 MasterClass is
 *the* 
 streaming platform where the world’s best come together so anyone, anywhere, can access and be inspired by their knowledge and stories. We put you in the room with the creators, thinkers, makers and leaders who have changed the world, so that you can change yours.
 Members get unprecedented access to 150\+ instructors and classes across a wide variety of fields, including Arts \&amp; Entertainment, Business, Design \&amp; Style, Sports \&amp; Gaming, Writing and more. Step into Nas’ recording studio and Gordon Ramsay’s kitchen, and go behind the big screen with James Cameron. Design your career with Elaine Welteroth, get ready to win with Lewis Hamilton, perfect your pitch with Shonda Rhimes and discover your inner negotiator with Chris Voss.
 It's a pivotal time for MasterClass – and we want you to be a part of the journey. With offices in San Francisco (HQ) and Waterloo, Ontario plus a studio in Los Angeles, we are looking to expand our team to support the business.
 If you want to help make an impact on our members' lives – we want to hear from you!
**Summary of The Role:** 
 Data, and how they are used, play a central role at MasterClass and are at the heart of how we make business, product, content, and operational decisions. At MasterClass, data is pivotal to our decision\-making processes, influencing business strategies, product development, content creation, and operational efficiency. Our growing Data teams sit at the core of the company and collaborate with various departments to drive decisions and provide direction for future growth at MasterClass. Our expanding Data teams are central to the company, collaborating across multiple departments to drive decisions and steer future growth at MasterClass. Our Data engineering team tackles challenging problems across many technical disciplines, including data warehouse, cloud infrastructure, data orchestration systems, critical integrations (and more.) We seek an exceptional Data Engineer to help design, build, and operate our data platform to scale the business and enable the Data organization and teams to solve challenges.
**What You Will Do:** 
* Design, build, and manage our data warehouse, data storage, and data ingestion solutions.
* Implement robust and fault\-tolerant systems for data ingestion and processing.
* Develop canonical datasets to track key product metrics, including user growth, engagement, and revenue.
* Understand and translate business needs into data models to support long\-term, scalable, and reliable data pipelines
* Enhance and maintain the Data Infrastructure using best practices and latest features to ensure high data quality.
* Define and manage SLA’s for data sets and processes running in production
* Continuously improve our data infrastructure and empower teams with the best data tooling and systems.
* Build strong cross\-functional partnerships with Data Analysts, Product Managers, and Software Engineers to understand data needs and deliver on those needs.
* Participate in data architecture and engineering decisions, leveraging your strong experience and knowledge.
* Build lineage and auditability into data pipelines
* Be part of a data engineering team that is also responsible for the reliability of the data systems that are built and be available to respond to critical incidents as needed
* Ensure the security, integrity, and compliance of data in accordance with industry and company standards.
**About You (Requirements):** 
* 4\+ years of experience in Data Engineering and Data Warehousing
* Experience scaling data environments with distributed processing technologies and frameworks.
* Advanced proficiency with SQL, Python, Postgres, and  integrations via APIs
* Experience working in an AWS cloud environment in designing and implementing cloud data warehouses, other types of storage, and developing ETL/ELT pipelines
* Experience integrating and building a data platform in support of BI, Analytics, and Data Science
* Expertise with ETL schedulers such as Airflow, Dagster, Prefect, or similar frameworks.
* AI tools knowledge that includes an understanding of prompt engineering and how data impacts LLM performance in RAG pipelines; familiarity with modern AI technology stacks; ensuring high\-quality data inputs for AI models; and integrating AI capabilities into business intelligence solutions.
* Strong communication skills, with the ability to initiate and drive projects proactively and accurately
* Eligible to work in the United States legally
**At MasterClass, we believe we put our best work forward when our employees bring together ideas that are diverse in thought.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In addition, MasterClass will provide reasonable accommodations for qualified individuals with disabilities.  If you have a disability or special need, we would like to know how we can better accommodate you.** 
 The salary range listed is for NYC/CA/WA. As a company, we have a location based strategy, which means the disclosed range estimate has not been adjusted for any applicable geographic differential associated with the location where the position may be filled.MasterClass’s salary ranges are based on paying competitively for our size and industry. In addition to salary, we also offer equity and comprehensive benefits (medical, dental, vision, flexible PTO, and more). The range listed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Salary Range: $142,000 USD \- $170,000 USD</t>
        </is>
      </c>
    </row>
    <row r="4">
      <c r="A4" t="inlineStr">
        <is>
          <t>li-4264934170</t>
        </is>
      </c>
      <c r="B4" t="inlineStr">
        <is>
          <t>Senior Data Engineer</t>
        </is>
      </c>
      <c r="C4" t="inlineStr">
        <is>
          <t>StubHub</t>
        </is>
      </c>
      <c r="D4" t="inlineStr">
        <is>
          <t>linkedin</t>
        </is>
      </c>
      <c r="E4" t="inlineStr"/>
      <c r="F4" t="inlineStr"/>
      <c r="G4" t="inlineStr">
        <is>
          <t>New York, NY</t>
        </is>
      </c>
      <c r="H4" t="inlineStr"/>
      <c r="I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a talented Senior Data Engineer to join StubHub's Data team. In this role you will be responsible for designing and building the underlying systems and pipelines for centralizing StubHub’s internal plus third\-party data. Our team's goal is to empower organizations across the company to transform data for analysis and reporting, new product development, experimentation, and machine learning. This includes developing the core infrastructure for the data lake and data warehouse, creating foundational data models and data pipelines, and building shared tooling to ease the process of creating high\-quality, trustworthy data assets.
 As a Senior Data Engineer on the Data Platform team, you will contribute to core infrastructure, frameworks, and analytical data layers. You will also play a key role in defining the culture and expectations of what great data engineering looks like, and mentoring others on the team to reach that bar. We are looking for the right person that is passionate about the power of both data and software development fundamentals, and can use them in tandem to create a data ecosystem that is principled, maintainable, and extensible to the hypergrowth happening at StubHub.You will specialize in one or more business domains, building deep expertise and anticipating the needs of that business vertical.
*Location: Hybrid (3 days in office/2 days remote) – New York, NY or
 *Century City* 
 , CA*
**What You'll Do**
* Build and operate scalable data pipelines with robust QA, monitoring, and alerting
* Create shared tooling to improve data practitioner (data engineering, analytics engineering, data science) productivity and quality across the company
* Influence the direction for key infrastructure and framework choices for data pipelining and data management
* Contribute to core cross\-functional data models
* Launch data platform features that have immediate impact on the velocity of innovation and ultimately growth of the business
* Manage individual initiatives—Setting priorities, deadlines, and deliverables based on your technical expertise
* Foster a culture of inclusion, results\-oriented execution, open innovation, and limitless creativity in your team
* Specialize in one or more business domains, building deep expertise and anticipating the needs of that business vertical
**What You've Done** 
* 7\+ years of relevant development experience—in data platform or data engineering—in fast paced environments
* Very high SQL proficiency, with experience in both transactional RDBMS systems and distributed systems
* Strong programming and system design skills
* Experience designing and developing large\-scale, efficient batch and streaming data processing
* Ability to analyze and reason about large datasets to identify data quality issues and other contextual insights
* Experience mentoring, delegating to, and reviewing the work of junior team members
* Passion for great data end\-user experience and stewardship
* Experience with:
+ Data pipeline management and orchestration tools, such as Airflow
+ Cloud\-based data warehousing solutions, such as Snowflake, BigQuery, and Redshift
+ Batch processing systems, such as Spark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5">
      <c r="A5" t="inlineStr">
        <is>
          <t>li-4365572972</t>
        </is>
      </c>
      <c r="B5" t="inlineStr">
        <is>
          <t>Data Engineer</t>
        </is>
      </c>
      <c r="C5" t="inlineStr">
        <is>
          <t>Planned Parenthood Federation of America</t>
        </is>
      </c>
      <c r="D5" t="inlineStr">
        <is>
          <t>linkedin</t>
        </is>
      </c>
      <c r="E5" t="inlineStr"/>
      <c r="F5" t="inlineStr"/>
      <c r="G5" t="inlineStr">
        <is>
          <t>New York, NY</t>
        </is>
      </c>
      <c r="H5" t="inlineStr"/>
      <c r="I5" t="inlineStr">
        <is>
          <t>**Planned Parenthood** 
 is the nation’s leading provider and advocate of high\-quality, affordable sexual and reproductive health care for all people, as well as the nation’s largest provider of sex education. Planned Parenthood organizations serve all people with care and compassion, with respect, and without judgment, striving to create equitable access to health care. Through health centers, programs in schools and communities, and online resources, Planned Parenthood is a trusted source of reliable education and information that allows people to make informed health decisions. We do all this because we care passionately about helping people lead healthier lives.
**Planned Parenthood Federation of America** 
 (PPFA) is a 501(c)(3\) charitable organization that supports the independently incorporated Planned Parenthood affiliates, which operate non\-profit health centers across the USA. PPFA also works to educate the public on and advocate for issues of sexual and reproductive health. Formed as the advocacy and political arm of Planned Parenthood Federation of America,
 **Planned Parenthood Action Fund** 
 is a separate non\-profit membership organization tax\-exempt under section 501(c)(4\). The Action Fund engages in educational, advocacy, and limited electoral activity, including grassroots organizing, legislative advocacy, and voter education in furtherance of the Planned Parenthood mission.
 PPFA and the Action Fund seek an innovative and detail\-oriented
 **Data Engineer** 
 . This job reports to theAssociate Director, Data Architecture in the Data Strategy and Analytics (DSA) division of PPFA. The DSA division provides critical data infrastructure and analytics solutions to support fundraising and supporter engagement programs essential to achieving the organization’s mission through advocacy, education, and access to equitable care.
**Purpose:**
 The Data Engineer constructs and optimizes data systems to support campaign services and the Development organization and is an individual contributor position on a lean team, and is expected to primarily code. This role explores innovative solutions, highlights opportunities for improvement in data processes, and specifies strategies that ensure the reliability and scalability of data infrastructure to drive organizational success. This role ensures data engineering efforts align with departmental and divisional goals, supporting overall organizational objectives.
**Delivery:**
* Assess and implement data engineering frameworks that support campaign services and the Development organization, ensuring scalability and efficiency.
* Deliver platform\-agnostic data solutions, including the design and development of data warehouses and lakes, to enhance reporting and analytics capabilities.
* Organize and manage defect analysis and troubleshooting processes to quickly resolve issues and maintain operational continuity.
* Complete data pipeline optimization tasks to support campaign execution and ensure the accuracy and availability of data for strategic decision\-making.
* Set rigorous standards for data quality, integrity, and security, aligning with organizational objectives and compliance requirements.
* Establish technical workflows and performance metrics to measure the success and reliability of all deliverables.
* Other duties as assigned
**Engagement:**
* Works with cross\-functional teams to analyze data requirements for campaign services and development initiatives, ensuring alignment with organizational priorities.
* Advise stakeholders on innovative data strategies, engineering solutions, and design improvements to optimize campaign delivery and support strategic development goals.
* Communicate progress, insights, and challenges related to data solutions and campaign service integration, emphasizing opportunities for streamlining processes and improving outcomes.
* Build internal partnerships to align data engineering efforts with the evolving needs of campaign services and the Development organization, ensuring strategic initiatives are fully supported.
* Make teams and partners aware of industry best practices in data engineering, emphasizing streamlined code, efficient workflows, and improved reliability.
* Engage with external technical partners to resolve critical issues, integrate advanced solutions, and drive strategic engineering initiatives that enhance campaign and development outcomes.
**Knowledge, Skills, and Abilities (KSAs):**
* 5 years of related work experience
* Advanced expertise in data engineering, including data pipeline design, warehouse and lake development, and ETL frameworks.
* Proficiency in troubleshooting, defect analysis, and the resolution of technical issues in support of campaign and development initiatives.
* Strong ability to develop platform\-agnostic solutions that align with organizational needs and drive campaign success.
* Experience with metrics\-driven quality assurance practices and the implementation of data integrity standards.
* Advanced knowledge of SQL, Python
* Understanding of dbt, Redshift preferred
* Proven skills in collaborating with diverse teams and advising on technical frameworks to meet organizational goals.
* Strong analytical and communication skills to ensure alignment across stakeholders and initiatives.
* Self\-directed and can work alone or in a team.
* Commitment to PPFA’s mission and diversity, equity, and inclusion, particularly surrounding race equity
* A deep commitment to Planned Parenthood’s mission of promoting Sexual and Reproductive Health
**Travel:** 
 5\-10% Domestic
 $100,000 \- $110,000 a year
 Total offer package to include generous vacation \+ sick leave \+ paid holidays, individual/family\-provided medical, dental and vision benefits effective day 1, life insurance, short/long term disability, paid family leave and 401k. We also offer voluntary opt\-in for Flexible Spending Account (FSA) and Transportation/Commuter accounts.
 Planned Parenthood's cultural ethos, "In This Together", reflects our commitment to building a workplace culture that fosters belonging, promotes learning throughout the employee lifecycle, and recognizes individual contributions to our mission.
 Planned Parenthood Federation of America participates in the E\-Verify program. Planned Parenthood Federation of America is an equal employment opportunity employer and is committed to maintaining a non\-discriminatory work environment, and does not discriminate against any employee or applicant for employment on the basis of race, color, religion, sex, national origin, age, disability, veteran status, marital status, sexual orientation, gender identity, or any other characteristic protected by applicable law. Planned Parenthood Federation of America is committed to creating a dynamic work environment that values diversity and inclusion, respect and integrity, customer focus, and innovation.
 PDN\-HR
 Roles that are denoted as NYC, DC, or both will work a hybrid schedule and are expected to work in their assigned PPFA office a minimum 2 days per week unless the role is denoted as onsite, which requires working onsite full time or 5 days per week.</t>
        </is>
      </c>
    </row>
    <row r="6">
      <c r="A6" t="inlineStr">
        <is>
          <t>li-4364467296</t>
        </is>
      </c>
      <c r="B6" t="inlineStr">
        <is>
          <t>Data Engineer</t>
        </is>
      </c>
      <c r="C6" t="inlineStr">
        <is>
          <t>Intrado</t>
        </is>
      </c>
      <c r="D6" t="inlineStr">
        <is>
          <t>linkedin</t>
        </is>
      </c>
      <c r="E6" t="inlineStr"/>
      <c r="F6" t="inlineStr"/>
      <c r="G6" t="inlineStr"/>
      <c r="H6" t="inlineStr"/>
      <c r="I6"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**Responsibilities/Qualifications**
 We are seeking an exceptional
 **Data Engineer** 
 to build the robust data pipelines that will power our company’s internal business analytics. Working under the guidance of the Staff Data Engineer, you will ensure that the raw data from multiple systems is consistently ingested, cleaned, and made ready for analysis. By building stable and efficient pipelines, you will directly support the timely generation of visualizations that leadership relies on to make informed decisions.
 This is a demanding role in a results\-oriented environment with high expectations for agency, speed, and ownership.
**Key Responsibilities**
* Pipeline Execution: Build and maintain Azure Data Factory pipelines to ingest data from multiple sources.
* Silver Layer Transformation: Write the Python code in Databricks to clean raw data and move it into the silver layer, handling deduplication, type casting, and validation.
* Reliability: Monitor daily jobs and troubleshoot failures. You are the first line of defense in ensuring that pipelines are stable and do not break.
* Data Quality: Implement automated checks to verify that data arriving in the lake matches the source systems.
**Required Qualifications**
* Experience: 5\+ years of experience in Data Engineering, specifically focused on building and maintaining ETL/ELT pipelines of large\-scale operational and financial data in a cloud environment.
* Pipeline Development: Proficiency in building and optimizing data pipelines using Azure Data Factory and Databricks.
* Technical Proficiency (SQL \&amp; Python): Strong proficiency in SQL for data analysis and Python for scripting and transformation.
* Data Quality Assurance: Experience implementing automated data quality checks (e.g., schema validation, null checks). A proactive approach to identifying pipeline failures and implementing fixes to prevent recurrence.
* Platform \&amp; Data Familiarity: Experience working with data schemas and APIs from common enterprise platforms like Microsoft Dynamics 365 F\&amp;O, Salesforce, ServiceNow.
* LLM Application: Demonstrated experience using LLMs to streamline data engineering workflows and improve development efficiency.
* Education: Bachelor’s degree in Computer Science, Software Engineering, Data Engineering, or a closely related technical field.
**Preferred Qualifications**
* Prior experience working in a technology company or SaaS environment
**Total Rewards**
 Want to love where you work? At Intrado, we offer a comprehensive benefits package that includes what you’d expect (medical, dental, vision, life and disability coverage, paid time off, a Registered Retirement Savings Plan (RRSP), and several that go above and beyond – tuition reimbursement, paid parental leave, access to a comprehensive library of personal and professional training resources, employee discounts, insurance coverage and more! Apply today to join us in work worth doing!
 The starting salary is anticipated between $185,000 and $200,000 and will be commensurate with experience. This position is bonus eligible.</t>
        </is>
      </c>
    </row>
    <row r="7">
      <c r="A7" t="inlineStr">
        <is>
          <t>li-4373209006</t>
        </is>
      </c>
      <c r="B7" t="inlineStr">
        <is>
          <t>Data Engineer</t>
        </is>
      </c>
      <c r="C7" t="inlineStr">
        <is>
          <t>Acrisure Trade Credit</t>
        </is>
      </c>
      <c r="D7" t="inlineStr">
        <is>
          <t>linkedin</t>
        </is>
      </c>
      <c r="E7" t="inlineStr"/>
      <c r="F7" t="inlineStr"/>
      <c r="G7" t="inlineStr">
        <is>
          <t>Austin, Texas Metropolitan Area</t>
        </is>
      </c>
      <c r="H7" t="inlineStr"/>
      <c r="I7" t="inlineStr">
        <is>
          <t>**Austin, TX (Onsite 4 days per week)**
*****Note: This is a full\-time role and we do not offer C2C or C2H employment and are not able to sponsor visas for this position.*****
**About Acrisure**
 Acrisure Enterprise Technology Group is where human expertise meets advanced technology.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The Enterprise Data team’s mission is to unify data across the enterprise to optimize business decisions made at the strategic, tactical, and operational levels of the organization. We accomplish this by building a data foundation utilizing Palantir Foundry, AIP and Ontology that powers analytics and reporting platforms, and business processes that provide quality data, in a timely fashion, from any channel of the company and present them in such a manner as to maximize the value of that data for both internal and external customers.
 The Data Engineer is responsible for building technology and pipelines to rapidly onboard raw datasets into our data platform from a wide variety of data sources and associated technologies. Responsibility includes hands\-on contributions in a team environment. Ensuring high quality and best practices are maintained through the development cycle is key to this position.
 Our Data platform is transitioning to Palantir from a Google and Microsoft hybrid cloud tech stack. Our data storage layer includes BigQuery, Databricks, Azure, and Postgres. Across our broader tech stack, we code primarily in Python, Scala, Kotlin, Java, and JavaScript and make use of many frameworks including Dataflow, Apache Airflow, Apache Spark, dbt, Delta Lake, Apache Iceberg, Cloud AI Platform, Spring, and React.
**Responsibilities**
* Leverage established patterns and establish new patterns as required to rapidly onboard new data sets into the data platform
* Establish repeatable, automated data management processes for managing sensitive information
* Own deliverables while also collaborating with and supporting others in a team setting including conducting and participating in design and code reviews
* Collaborate with product on priorities and approach and with other engineering and AI teams who would consume raw data
**Requirements**
* 2\+ years of engineering experience with data warehouses, data lakes or software engineering with a data emphasis
* Strong SQL knowledge
* Proficient in Scala, Python, or Java
* Well versed in Data Lake \&amp; Delta Lake Concepts
* Understanding of data security best practices
* Well versed in Databricks/BigQuery/Palantir usage in building enterprise data platforms
* Familiarity with implementing end\-to\-end data pipeline and Ontology development using Palantir platform is a plus
* Familiarity with data orchestration technologies like Airflow, Dagster, or Fivetran
* Experience with cloud environments; (GCP, Azure) a definite plus
* Familiar with DevOps process
* Experience creating and sharing standards, best practices, documentation, and reference examples for data warehouse, integration/ETL systems
* Apply a disciplined approach to testing software and data
* Experience working with APIs
* Well versed in common data frameworks such as Spark \&amp; Polars
* Undergraduate degree in computer science or related discipline preferred or equivalent experience along with a demonstrated desire for continuing education and improvement
**Education And Experience**
 Required Qualifications
* Undergraduate degree in computer science or related discipline preferred or equivalent experience along with a demonstrated desire for continuing education and improvement
**Candidates should be comfortable with an on\-site presence to support collaboration, team leadership, and cross\-functional partnership.**
**Benefits And Perks**
* Competitive compensation
* Generous vacation policy, paid holidays, and paid sick time
* Medical Insurance, Dental Insurance, and Vision Insurance (employee\-paid)
* Company\-paid Short\-Term and Long\-Term Disability Insurance
* Company\-paid Group Life insurance
* Company\-paid Employee Assistance Program (EAP) and Calm App subscription
* Employee\-paid Pet Insurance and optional supplemental insurance coverage
* Vested 401(k) with company match and financial wellness programs
* Flexible Spending Account (FSA), Health Savings Account (HSA) and commuter benefits options
* Paid maternity leave, paid paternity leave, and fertility benefits
* Career growth and learning opportunities
* …and so much more!
*Please note: This list is not reflective of all benefits. Enrollment waiting periods or eligibility criteria may apply to certain benefits. Offerings may vary based on subsidiary entity or geographic location.*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At Acrisure, we firmly believe that an inclusive workforce drives innovation, creativity, and ultimately, our collective success.
 We recruit, hire, employ, train, promote, and compensate individuals based on job\-related qualifications and abilities. Acrisure also has a longstanding policy of providing a work environment that respects the dignity and worth of each individual and is free from all forms of employment discrimination.
 Acrisure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*leaves@acrisure.com.*
 California residents can learn more about our privacy practices for applicants by visiting the Acrisure California Applicant Privacy Policy available at www.Acrisure.com/privacy/caapplicant.
**Welcome, your new opportunity awaits you.**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8">
      <c r="A8" t="inlineStr">
        <is>
          <t>li-4363397652</t>
        </is>
      </c>
      <c r="B8" t="inlineStr">
        <is>
          <t>Data Engineer I (Databricks, AWS, Python)</t>
        </is>
      </c>
      <c r="C8" t="inlineStr">
        <is>
          <t>Travelers</t>
        </is>
      </c>
      <c r="D8" t="inlineStr">
        <is>
          <t>linkedin</t>
        </is>
      </c>
      <c r="E8" t="inlineStr"/>
      <c r="F8" t="inlineStr"/>
      <c r="G8" t="inlineStr">
        <is>
          <t>Hartford, CT</t>
        </is>
      </c>
      <c r="H8" t="inlineStr"/>
      <c r="I8"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Leverage Your AI Expertise: Utilize your experience with OpenAI and AWS Bedrock to drive innovative projects.
* Technical Proficiency: Showcase your skills in Python, SQL, AWS, Databricks, and more to develop robust AI applications.
* Terraform Experience: Bring your Terraform expertise to streamline infrastructure management and deployment.
* API Design Skills: Contribute to designing and implementing API's that power seamless integrations and functionalities.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9">
      <c r="A9" t="inlineStr">
        <is>
          <t>li-4364418709</t>
        </is>
      </c>
      <c r="B9" t="inlineStr">
        <is>
          <t>Senior Data Engineer</t>
        </is>
      </c>
      <c r="C9" t="inlineStr">
        <is>
          <t>Mastercard</t>
        </is>
      </c>
      <c r="D9" t="inlineStr">
        <is>
          <t>linkedin</t>
        </is>
      </c>
      <c r="E9" t="inlineStr"/>
      <c r="F9" t="inlineStr"/>
      <c r="G9" t="inlineStr">
        <is>
          <t>Arlington, VA</t>
        </is>
      </c>
      <c r="H9" t="inlineStr"/>
      <c r="I9"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**Overview**
 Mastercard Services Technology is seeking a Senior Data Engineer to contribute to the data management aspects of client engagements for Test \&amp; Learn and other Services products. In this role, you will develop robust data pipelines, implement scalable data solutions, and collaborate with cross\-functional teams. Engineers work in small, flexible teams. Every team member contributes to designing, building, and testing features.
 The Test \&amp; Learn team aims to build industry\-leading business experimentation software that brings sophisticated analytic techniques to business users around the world. We are rapidly expanding our product offerings and innovating on how we deliver Test \&amp; Learn solutions to our clients.
 This is a hybrid role based in Arlington, VA, with an expectation of three days per week onsite.
**Role**
* Independently lead projects through design, implementation, automation, and maintenance of large\-scale enterprise ETL processes for a global client base.
* Act as an expert technical resource within the team and region
* Deliver on\-time, accurate, high\-value, and robust data solutions across multiple clients, solutions, and industry sectors.
* Apply strong analytical skills to understand business questions, translate them into data requirements, and design datasets that support reporting, experimentation, and advanced analytics use cases.
* Implement best practices and collaborate in the design of effective streamlined processes for a complex global solutions group.
* Leverage industry best practices including proper use of source control, participation in code reviews, data validation, and testing.
* Collaborate with and support junior Data Engineers, ensuring efficient execution of their tasks while providing mentorship and guidance.
* Partner with analytics and business stakeholders to validate data, interpret results, and ensure data solutions are fit for decision\-making.
* Build trust\-based working relationships with peers and clients across local and global teams.
* Comply and uphold all Mastercard internal policies and external regulations.
**All About You**
* Experience as a Data Engineer or in a similar role, with a strong understanding of data engineering concepts and methodologies, including data modeling and database design to support scalable data solutions.
* Proven self\-motivated professional with experience working with collaborative teams.
* Expertise writing and optimizing SQL queries to retrieve, manipulate, and analyze data efficiently.
* Experience with Relational Databases (RDBMS), with strong hands\-on expertise in Microsoft SQL Server and related technologies.
* Familiarity with ETL frameworks and the ability to design, implement, and maintain data pipelines.
* Experience with Databricks and Spark is a plus, but not required.
* Demonstrates curiosity about emerging developer productivity tools (e.g., GitHub Copilot); prior experience is not required, but a willingness to learn and experiment is highly valued.
* Demonstrated skills in the ability to innovate, think critically and disaggregate problems. Able to provide oversight, validation, and quality control to own work product.
* Able to easily move between business, data management, and technical teams. Able to quickly intuit the business use case and identify technical solutions.
* Able to manage multiple projects and differing project priorities.
* Excellent verbal and written communication skills, with the ability to articulate complex ideas clearly and concisely to both technical and non\-technical stakeholders.
* Bachelor's degree in a quantitative discipline such as Engineering, Mathematics, Finance, Business, or a related field. Equivalent practical experience may also be considered.
 This role is not eligible for Mastercard’s work authorization sponsorship. As such, candidates must be eligible to work in the United States, now as well as in the future, without employer sponsorship.
 \#AI3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Arlington, Virginia: $132,000 \- $212,000 USD</t>
        </is>
      </c>
    </row>
    <row r="10">
      <c r="A10" t="inlineStr">
        <is>
          <t>li-4367658302</t>
        </is>
      </c>
      <c r="B10" t="inlineStr">
        <is>
          <t>Senior Data Engineer</t>
        </is>
      </c>
      <c r="C10" t="inlineStr">
        <is>
          <t>MasterClass</t>
        </is>
      </c>
      <c r="D10" t="inlineStr">
        <is>
          <t>linkedin</t>
        </is>
      </c>
      <c r="E10" t="inlineStr"/>
      <c r="F10" t="inlineStr"/>
      <c r="G10" t="inlineStr"/>
      <c r="H10" t="inlineStr"/>
      <c r="I10" t="inlineStr">
        <is>
          <t>**Who we are:**
 MasterClass is 
 *the* 
 streaming platform where the world’s best come together so anyone, anywhere, can access and be inspired by their knowledge and stories. We put you in the room with the creators, thinkers, makers and leaders who have changed the world, so that you can change yours.
 Members get unprecedented access to 150\+ instructors and classes across a wide variety of fields, including Arts \&amp; Entertainment, Business, Design \&amp; Style, Sports \&amp; Gaming, Writing and more. Step into Nas’ recording studio and Gordon Ramsay’s kitchen, and go behind the big screen with James Cameron. Design your career with Elaine Welteroth, get ready to win with Lewis Hamilton, perfect your pitch with Shonda Rhimes and discover your inner negotiator with Chris Voss.
 It's a pivotal time for MasterClass – and we want you to be a part of the journey. With offices in San Francisco (HQ) and Waterloo, Ontario plus a studio in Los Angeles, we are looking to expand our team to support the business.
 If you want to help make an impact on our members' lives – we want to hear from you!
**Summary of the Role:**
 Data plays a central role at MasterClass and is at the heart of how we make business, product, content, and operational decisions. Our Data teams sit at the core of the company, partnering closely with Product, Engineering, Finance, Marketing, and Content to drive insight, direction, and growth.
 We are seeking a Senior Data Engineer to play a key role in owning, evolving, and scaling our core data platform. This role operates with significant autonomy and influence, partnering closely with Analytics, Product, and Engineering to ensure our data systems are reliable, scalable, cost\-efficient, and aligned with how the business operates. You will help shape architectural decisions, raise engineering standards, and ensure our data platform enables analytics, experimentation, and emerging AI\-driven use cases.
**What You Will Do:**
* Design, build, and operate robust, fault\-tolerant, and observable data pipelines using Airflow and modern ELT best practices
* Architect, enhance and improve  data ingestion, AWS data infrastructure, including Redshift, S3 and monitoring
* Partner with Analytics, Product, Finance, Marketing, and Content teams to design canonical, analytics\-ready datasets that power key metrics such as growth, engagement, retention, and revenue
* Define, implement, and enforce SLAs, data quality checks, observability, and alerting for production data systems. Take shared ownership of data platform reliability, participating in on\-call rotations and driving root\-cause fixes for incidents
* Contribute to design reviews, raising engineering quality, and sharing best practices
* Evaluate and introduce data tooling that improves reliability, developer productivity, and analytics velocity
* Collaborate deeply with cross functional teams to align event design, source systems, and data contracts
**About You:** 
* 7\+ years of experience in Data Engineering, with ownership of production data platforms at scale
* Deep expertise designing and operating Airflow, AWS\-based data platforms, including Redshift, S3, IAM, and related services  in complex production environments
* Advanced proficiency in SQL and Python, with strong data modeling and systems design skills
* Strong understanding of distributed data processing ,  modern ELT architectures, analytics workflows and BI use cases, and experience partnering closely with Analytics and business stakeholders.
* AI tools knowledge that includes an understanding of prompt engineering and familiarity with modern AI technology stacks
* Strong communication skills, with the ability to lead technical discussions, influence architecture, and drive initiatives across teams
**At MasterClass, we believe we put our best work forward when our employees bring together ideas that are diverse in thought.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In addition, MasterClass will provide reasonable accommodations for qualified individuals with disabilities.  If you have a disability or special need, we would like to know how we can better accommodate you.** 
 The salary range listed is for NYC/CA/WA. As a company, we have a location based strategy, which means the disclosed range estimate has not been adjusted for any applicable geographic differential associated with the location where the position may be filled.MasterClass’s salary ranges are based on paying competitively for our size and industry. In addition to salary, we also offer equity and comprehensive benefits (medical, dental, vision, flexible PTO, and more). The range listed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Salary Range: $167,000 USD \- $200,000 USD</t>
        </is>
      </c>
    </row>
    <row r="11">
      <c r="A11" t="inlineStr">
        <is>
          <t>li-4364514313</t>
        </is>
      </c>
      <c r="B11" t="inlineStr">
        <is>
          <t>Data Engineer</t>
        </is>
      </c>
      <c r="C11" t="inlineStr">
        <is>
          <t>Oracle</t>
        </is>
      </c>
      <c r="D11" t="inlineStr">
        <is>
          <t>linkedin</t>
        </is>
      </c>
      <c r="E11" t="inlineStr"/>
      <c r="F11" t="inlineStr"/>
      <c r="G11" t="inlineStr"/>
      <c r="H11" t="inlineStr"/>
      <c r="I11" t="inlineStr">
        <is>
          <t>**Job Description**
 NetSuite Customer Success is seeking a highly skilled Data Engineer specializing in ERP data migration, with proven experience designing and executing secure, accurate, and efficient migrations from legacy systems such as QuickBooks and Sage to NetSuite. Adept in SQL, ETL development, and data quality management, this professional ensures seamless transitions through strong technical execution and adherence to data governance and compliance standards. This role requires deep expertise in data extraction, transformation, and loading processes, with a strong focus on data strategy development and data hygiene optimization. Known for collaboration and client\-focused delivery, they work closely with stakeholders to resolve migration challenges, optimize data integrity, and support post\-migration success. Combining technical precision and customer engagement, they help organizations modernize and maximize the value of their ERP platforms.
**The Ideal Candidate has experience in:**
**ERP Data Migration Expertise:** 
 Lead end\-to\-end data migration efforts, including
 **hands\-on** 
 data extraction, transformation, mapping, and validation between legacy and NetSuite systems.
**Technical Proficiency:** 
 Apply deep technical knowledge of data structures, ETL processes, and data quality principles to maintain accuracy and integrity throughout migration.
 **Strong capability in building and executing complex data transformations and data manipulation workflows.**
**Data Strategy \&amp; Hygiene Expertise: Provide strategic guidance on data quality, data governance, and migration planning. Conduct data assessments, identify data cleansing requirements, and develop comprehensive data migration strategies.**
**Cross\-Functional Collaboration:** 
 Partner with consultants, analysts, and business stakeholders to clarify requirements, resolve migration challenges, and deliver seamless integrations.
**Client\-Focused Delivery:** 
 Support customers throughout the entire migration lifecycle—communicating complex processes clearly, providing user training, and ensuring a positive post\-migration experience.
**Data Integrity \&amp; Security:** 
 Ensure all migration activities adhere to enterprise data governance, security, and compliance standards.
 This position is ideal for a data\-driven professional who thrives at the intersection of technical precision and customer success, helping organizations modernize and optimize their business operations through successful ERP data migrations.
**Responsibilities**
**Data Migration Expertise**
* Analyze and Design: Analyze source systems (QuickBooks, Sage, and other legacy ERP platforms) and target NetSuite data models to design comprehensive, end\-to\-end data migration strategies, ensuring accurate field mapping and seamless integration.
* Data Extraction \&amp; Transformation: Execute complex data extraction from source systems and perform sophisticated data transformations to align with NetSuite data models. Develop custom scripts and processes to handle diverse data formats and structures.
* Develop and Maintain ETL Processes: Build, test, and maintain robust ETL (Extract, Transform, Load) pipelines to support large\-scale data sets, ensuring performance, scalability, and reliability.
* Data Cleansing, Transformation \&amp; Validation: Assess, Measure, and execute data cleansing, transformation, and validation activities to ensure data quality and integrity. Identify and remediate data quality issues including duplicates, inconsistencies, and structural problems. Data Mapping \&amp; Transformation: Collaborate with clients and business analysts to develop detailed data mappings from legacy systems, providing expert guidance on data structure and optimization. Design and implement transformation logic to meet business requirements.
* Monitor \&amp; Troubleshoot Migration Issues: Perform data reconciliation, proactively identify migration issues, and resolve discrepancies through root\-cause analysis and effective collaboration with technical teams.
* Documentation \&amp; Compliance: Document all migration processes, mappings, and scripts while ensuring strict adherence to data security and privacy standards.
* Cutover \&amp; Post\-Migration Activities: Support cutover planning, data validation, and user acceptance testing (UAT) to ensure a successful transition and accurate migrated data.
**Data Strategy \&amp; Advisory Services**
* Data Hygiene Assessment: Conduct comprehensive data quality assessments of client source systems, identifying data cleansing requirements, duplicate records, incomplete data, and structural issues that could impact migration success.
* Migration Strategy Development: Develop tailored data migration strategies and roadmaps, including phased migration approaches, risk mitigation plans, and data archival recommendations.
* Data Governance Consulting: Advise clients on data governance best practices, master data management strategies, and ongoing data maintenance protocols to ensure long\-term ERP success.
* Data Profiling \&amp; Analysis: Perform detailed data profiling on source systems to understand data patterns, volumes, relationships, and quality metrics. Use findings to inform migration approach and transformation requirements.
* Pre\-Migration Planning: Work with clients during the discovery phase to scope migration complexity, assess data readiness, and establish clear success criteria and acceptance standards.
**Customer Success and Relationship Management**
* Client Onboarding \&amp; Support: Guide clients through the data migration journey, setting expectations, explaining processes, and addressing questions or concerns.
* Project Management: Coordinate with stakeholders to ensure projects stay within scope, budget, and timelines, delivering high\-quality outcomes.
* User Training \&amp; Enablement: Train clients on NetSuite data management best practices to build confidence and autonomy post\-migration.
* Post\-Migration Support: Provide ongoing post\-migration assistance, troubleshoot issues, and help clients fully leverage their NetSuite environment.
**Team Collaboration \&amp; Communication**
* Cross\-Functional Collaboration: Partner with business analysts, functional consultants, technical teams, and application owners to align on requirements and ensure smooth migration execution.
* Effective Communication: Act as a liaison between technical and non\-technical stakeholders, translating complex data migration concepts into clear, actionable information.
* Customer Education: Develop and deliver documentation, FAQs, and presentations to help customers understand NetSuite data models and migration best practices.
* Collaborative Problem Solving: Engage with internal teams to create innovative solutions for complex migration and data integrity challenges.
**Continuous Improvement \&amp; Process Optimization**
* Process Improvement: Identify areas for efficiency gains within migration methodologies and contribute to continuous process optimization.
* Knowledge Sharing: Maintain detailed documentation of migration frameworks, tools, and lessons learned to enhance future projects and team knowledge.
* Customer Feedback Loop: Gather feedback from clients post\-migration to refine processes and improve service delivery.
**Required Skills \&amp; Qualifications:**
**Technical Skills**
* ERP Data Migration Expertise: Proven hands\-on experience (5\+ years) executing complex data migrations for ERP systems (e.g., NetSuite, Oracle, SAP, Sage, QuickBooks), including data extraction, transformation, and loading (ETL). Must demonstrate strong technical execution capabilities in building and running data migration processes.
* Strong NetSuite \&amp; ERP Knowledge: Deep understanding of NetSuite data structures, SuiteAnalytics, SuiteCloud, and third\-party migration tools, as well as experience migrating data to/from other ERP platforms.
* SQL \&amp; Data Transformation Proficiency: Advanced SQL, analytics, and data transformation skills, including experience with PL/SQL and scripting languages such as Python for data manipulation and automation. Ability to write complex transformation logic, data cleansing scripts, and validation queries.
* ETL Tools \&amp; Processes: Practical experience with industry\-standard ETL tools (e.g., Oracle Data Integrator, Informatica, Talend, Celigo, Dell Boomi) and strong understanding of data pipelines and workflow design. Hands\-on experience building end\-to\-end ETL workflows.
* Data Governance \&amp; Quality Management: Solid knowledge of data governance principles, data quality assurance, master data management, and best practices in enterprise data management. Ability to assess data quality and develop remediation strategies.
* Security \&amp; Compliance: Familiarity with key data security and compliance standards (e.g., GDPR, SOX, CCPA) and proven ability to apply them during migration and integration activities.
* Data Mapping \&amp; Validation: Skilled in interpreting, mapping, and reconciling data between source and target systems to ensure accuracy and consistency. Strong ability to design complex field\-level mappings and transformation specifications.
* Data Profiling \&amp; Analysis: Expert in data profiling techniques, data pattern recognition, and statistical analysis of data quality. Ability to extract insights from source data to inform migration strategy.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$87,000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
      <c r="A12" t="inlineStr">
        <is>
          <t>li-4364582367</t>
        </is>
      </c>
      <c r="B12" t="inlineStr">
        <is>
          <t>Data Engineer (Python + PySpark)</t>
        </is>
      </c>
      <c r="C12" t="inlineStr">
        <is>
          <t>Techaxis, Inc</t>
        </is>
      </c>
      <c r="D12" t="inlineStr">
        <is>
          <t>linkedin</t>
        </is>
      </c>
      <c r="E12" t="inlineStr"/>
      <c r="F12" t="inlineStr"/>
      <c r="G12" t="inlineStr">
        <is>
          <t>Jacksonville, FL</t>
        </is>
      </c>
      <c r="H12" t="inlineStr"/>
      <c r="I12" t="inlineStr">
        <is>
          <t>We are looking for a
 **Data Engineer (Python \+ PySpark)** 
 Location : Jacksonville, FL (hybrid)
**Must Have Technical/Functional Skills** 
 \- Overall 8\+ years of experience as data engineer
 \- Experience with Model development
 \- Strong knowledge on Python \+ Pyspark
 \- Working experience on Smaragd is desirable
 \- Experience with Google Cloud and Big Query
**Company Description:** 
 Techaxis is a US\-based firm that specializes in discovering, engaging, and placing top talent globally, for full\-time or contract positions in leadership and mid to senior\-level positions for companies in the technology, healthcare, energy, and education space. Techaxis Inc. is headquartered in Northern Virginia, USA. We are ranked \#3294 in Inc 5000 and \#105 in Inc 5000 DC Metro Series, SWaM, and WBE Certified technology talent search firm.
**Equal Opportunities Employer:** 
 Our clients provide equal opportunities to all its employees and all qualified applicants for employment, without regard to their race, caste, religion, color, ancestry, marital status, sex, age, nationality, disability, and veteran status. Employees of our client shall be treated with dignity and in accordance with their policy to maintain a work environment free of sexual harassment, whether physical, verbal, or psychological. Employee policies and practices shall be administered in a manner that would ensure that in all matters equal opportunity is provided to those eligible and the decisions are merit\-based.</t>
        </is>
      </c>
    </row>
    <row r="13">
      <c r="A13" t="inlineStr">
        <is>
          <t>li-4372991677</t>
        </is>
      </c>
      <c r="B13" t="inlineStr">
        <is>
          <t>Data Engineer</t>
        </is>
      </c>
      <c r="C13" t="inlineStr">
        <is>
          <t>Wiraa</t>
        </is>
      </c>
      <c r="D13" t="inlineStr">
        <is>
          <t>linkedin</t>
        </is>
      </c>
      <c r="E13" t="inlineStr"/>
      <c r="F13" t="inlineStr"/>
      <c r="G13" t="inlineStr"/>
      <c r="H13" t="inlineStr"/>
      <c r="I13" t="inlineStr">
        <is>
          <t>**About The Company**
 First Citizens Bank is a leading financial institution committed to providing exceptional banking and financial services to its clients. With a strong focus on innovation, integrity, and customer satisfaction, the bank has established a reputation for delivering comprehensive financial solutions that meet the diverse needs of individuals, businesses, and communities. Our company values a collaborative and inclusive work environment, fostering growth and development opportunities for our employees. As a forward\-thinking organization, First Citizens Bank leverages advanced technology and data\-driven strategies to enhance operational efficiency and deliver
 superior service to our stakeholders.
**About The Role**
 We are seeking a highly skilled Data Engineer to join our remote team, primarily based in North Carolina (NC) and Arizona (AZ). This role is pivotal in managing end\-to\-end data solutions that encompass analytics data platforms, data integration, data quality, data lineage, metadata management, and data governance tools. The successful candidate will be responsible for ensuring the accuracy, integrity, and security of data to support business operations and strategic decision\-making. You will serve as a technical expert and mentor, guiding less experienced team members while collaborating with cross\-functional teams including architects and development teams. Your expertise will help streamline data processes, improve system performance, and ensure compliance with regulatory standards. This position involves vendor management, budget planning, and auditing to optimize resource allocation and project delivery.
**Qualifications**
* Bachelor's Degree in Computer Science, Information Technology, or related field with a minimum of 6 years of experience in software application development and maintenance, or High School Diploma/GED with at least 10 years of relevant experience
* Minimum of 5 years of hands\-on experience in data engineering and data integration technologies such as SQL, SAP BODS, Oracle, SQL Server, Informatica, DataStage, Netezza, SSIS
* At least 3 years of experience practicing agile engineering methodologies and leading multi\-time zone data teams
* 2 years of experience working with cloud platforms including AWS, Snowflake, and dbt
* 1 year of experience with cloud computing environments
* Knowledge of cloud data warehousing, transactional and analytical data modeling, data quality, and business reporting
* Proficiency in analytics tools such as Python, Power BI, SSAS, and SSRS
* Experience with finance and regulatory reporting is a plus
* Strong understanding of data management standards, big data management, and integration techniques
**Responsibilities**
* Lead efforts to evaluate and enhance existing systems, processes, and applications related to data management and analytics
* Design, develop, and implement data modules, test plans, and training materials to improve system functionality and user experience
* Provide technical support for production systems by troubleshooting complex issues, anticipating maintenance needs, and ensuring system reliability
* Mentor and train team members, sharing technical expertise to foster professional growth within the group
* Collect and analyze data related to user requests, system impacts, and project scope to inform development efforts
* Collaborate with architects and development teams to understand data requirements, design scalable data pipelines, and ensure compliance with organizational standards
* Develop complex solutions for data integration, transformation, and control, including building reusable frameworks and designing new database objects
* Coordinate with stakeholders to address data management gaps, negotiate solutions, and communicate technical strategies effectively
* Lead and participate in special projects and meetings, providing critical technical insights and innovative solutions
**Benefits**
* Competitive salary and comprehensive health benefits
* Retirement plans and financial wellness programs
* Paid time off and holiday leave
* Opportunities for professional development and continuous learning
* Flexible remote work arrangements within designated locations
* Supportive work environment that promotes diversity and inclusion
 Equal Opportunity
 First Citizens Bank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14">
      <c r="A14" t="inlineStr">
        <is>
          <t>li-4372986732</t>
        </is>
      </c>
      <c r="B14" t="inlineStr">
        <is>
          <t>Data Engineer</t>
        </is>
      </c>
      <c r="C14" t="inlineStr">
        <is>
          <t>Calyptus</t>
        </is>
      </c>
      <c r="D14" t="inlineStr">
        <is>
          <t>linkedin</t>
        </is>
      </c>
      <c r="E14" t="inlineStr"/>
      <c r="F14" t="inlineStr"/>
      <c r="G14" t="inlineStr">
        <is>
          <t>New York, United States</t>
        </is>
      </c>
      <c r="H14" t="inlineStr"/>
      <c r="I1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5">
      <c r="A15" t="inlineStr">
        <is>
          <t>li-4364562406</t>
        </is>
      </c>
      <c r="B15" t="inlineStr">
        <is>
          <t>Data Engineer I</t>
        </is>
      </c>
      <c r="C15" t="inlineStr">
        <is>
          <t>CyberCoders</t>
        </is>
      </c>
      <c r="D15" t="inlineStr">
        <is>
          <t>linkedin</t>
        </is>
      </c>
      <c r="E15" t="inlineStr"/>
      <c r="F15" t="inlineStr"/>
      <c r="G15" t="inlineStr">
        <is>
          <t>Glen Cove, NY</t>
        </is>
      </c>
      <c r="H15" t="inlineStr"/>
      <c r="I15" t="inlineStr">
        <is>
          <t>**Data Engineer I**
**Position Overview**
 The Data Engineer I will play a key role in the development and maintenance of data pipelines and architectures to support our data\-driven decision\-making processes. This position is ideal for someone who is passionate about data engineering and eager to work with cutting\-edge technologies in a collaborative team environment.
**Key Responsibilities** 
* Design, develop, and maintain robust data pipelines for ETL and ELT processes.
* Collaborate with data scientists and analysts to ensure data quality and accessibility.
* Work with SQL databases to manage and query large datasets efficiently.
* Utilize Power BI to create data visualizations and reports that inform business decisions.
* Implement data solutions in Azure cloud services to optimize performance and scalability.
* Participate in data modeling efforts to ensure effective data structures and governance.
**Qualifications** 
* Bachelor's degree in Computer Science, Information Technology, or a related field.
* 3\+ years of experience in data engineering or a related role.
* Strong proficiency in SQL and experience with relational database management systems.
* Familiarity with ETL and ELT processes and tools.
* Experience with Azure cloud services and data technologies.
* Knowledge of Power BI for data visualization.
* Excellent analytical and problem\-solving skills.
**Benefits** 
* Competitive salary ($115\-130k/yr)
* 401k
* Full health benefits (medical, dental, vision)
* Unlimited PTO
* Strong growth/advancement opportunities
* Much more!
**Email Your Resume In Word To**
 Nick.Valenti@CyberCoders.com
 Looking forward to receiving your resume through our website and going over the position with you. Clicking apply is the best way to apply.
 Please do NOT change the email subject line in any way. You must keep the JobID: linkedin : NV1\-1977787 \-\- in the email subject line for your application to be considered.
 Nick Valenti \- Lead Recruiter
 For this position, you must be currently authorized to work in the United States without the need for sponsorship for a non\-immigrant visa. This is a new role.
 This job was first posted by CyberCoders on 02/13/2026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6">
      <c r="A16" t="inlineStr">
        <is>
          <t>li-4372053633</t>
        </is>
      </c>
      <c r="B16" t="inlineStr">
        <is>
          <t>Data Engineer III</t>
        </is>
      </c>
      <c r="C16" t="inlineStr">
        <is>
          <t>RemoteHunter</t>
        </is>
      </c>
      <c r="D16" t="inlineStr">
        <is>
          <t>linkedin</t>
        </is>
      </c>
      <c r="E16" t="inlineStr"/>
      <c r="F16" t="inlineStr"/>
      <c r="G16" t="inlineStr"/>
      <c r="H16" t="inlineStr"/>
      <c r="I16"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li-4372051179</t>
        </is>
      </c>
      <c r="B17" t="inlineStr">
        <is>
          <t>Data Engineer</t>
        </is>
      </c>
      <c r="C17" t="inlineStr">
        <is>
          <t>Tata Consultancy Services</t>
        </is>
      </c>
      <c r="D17" t="inlineStr">
        <is>
          <t>linkedin</t>
        </is>
      </c>
      <c r="E17" t="inlineStr"/>
      <c r="F17" t="inlineStr"/>
      <c r="G17" t="inlineStr">
        <is>
          <t>Raleigh, NC</t>
        </is>
      </c>
      <c r="H17" t="inlineStr"/>
      <c r="I17" t="inlineStr">
        <is>
          <t>**Job Description**
 Data Engineer
* Data Pipelines \- Design, develop, and maintain data pipelines for efficient data processing and integration for real\-time and batch\-processing. Implement and optimize ETL processes to extract, load, transform and integrate data from various sources. Enhance data flows and storage solutions for improved performance
* Data Warehousing \- Design and implement data warehouse structures. Ensure data quality and consistency within the data warehouse. Apply data modeling techniques for efficient data storage and retrieval
* Data Governance, Quality \&amp; Compliance \- Implement data governance policies and procedures. Implement data quality frameworks, standards and documentation. Ensure compliance with relevant data regulations and standards
* Security \&amp; Access Management \- Implement data security measures and access controls. Maintain data protection protocols
* Performance Optimization and Troubleshooting \- Analyze and optimize system performance for large\-scale data operations. Troubleshoot data issues and implement robust solutions
* Testing \&amp; Automation – Write unit test cases, validate the data integrity \&amp; consistency requirements, adopt automated data pipelines using GitLab, Github, CICD tools.
* Code Deployment \&amp; Release Management \- Adopt release management processes to promote code deployment to various environments including production, disaster recovery, and support activities.
* Cross\-Functional Collaboration \- Collaborate with data scientists, analysts, and other teams to understand and meet data requirements. Participate in cross\-functional projects to support data\-driven initiatives
**Technical/Business Skills**
* Hands\-on experience in building robust metadata\-driven, automated data pipeline solutions leveraging modern cloud\-based data technologies, tools for large data platforms.
* Hands\-on experience leveraging data security, governance methodologies meeting data compliance requirements.
* Experience building automated ELT data pipelines, snowpipe frameworks leveraging Qlik Replicate, DBT Cloud, snowflake with CICD.
* Hands\-on experience building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 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Must have one or more certifications in the relevant technology fields.
* Nice to have Financial banking experience.
 Salary Range\- $100,000\-$110,000 a year
**Qualifications:** 
 BACHELOR OF COMPUTER SCIENCE</t>
        </is>
      </c>
    </row>
    <row r="18">
      <c r="A18" t="inlineStr">
        <is>
          <t>li-4372062544</t>
        </is>
      </c>
      <c r="B18" t="inlineStr">
        <is>
          <t>Analytics Engineer</t>
        </is>
      </c>
      <c r="C18" t="inlineStr">
        <is>
          <t>RemoteHunter</t>
        </is>
      </c>
      <c r="D18" t="inlineStr">
        <is>
          <t>linkedin</t>
        </is>
      </c>
      <c r="E18" t="inlineStr"/>
      <c r="F18" t="inlineStr"/>
      <c r="G18" t="inlineStr"/>
      <c r="H18" t="inlineStr"/>
      <c r="I18"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li-4364542982</t>
        </is>
      </c>
      <c r="B19" t="inlineStr">
        <is>
          <t>Staff Analytics Engineer</t>
        </is>
      </c>
      <c r="C19" t="inlineStr">
        <is>
          <t>Intrado</t>
        </is>
      </c>
      <c r="D19" t="inlineStr">
        <is>
          <t>linkedin</t>
        </is>
      </c>
      <c r="E19" t="inlineStr"/>
      <c r="F19" t="inlineStr"/>
      <c r="G19" t="inlineStr"/>
      <c r="H19" t="inlineStr"/>
      <c r="I19"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**Responsibilities/Qualifications**
 We are seeking an exceptional
 **Staff Analytics Engineer** 
 to transform our raw data into trusted business insights. In this pivotal role, you will partner with a newly hired Staff Data Engineer to architect the end\-to\-end delivery of our data ecosystem, ensuring that our leadership team has the timely, actionable insights they need to make informed decisions.
 You will not just build tables; you will own the gold layer, transforming technical complexity into clear, reliable business logic. Your work will directly impact our ability to execute on our strategic plan by ensuring that metrics are defined consistently, trusted, and available quickly to leadership. You will champion a "data as a product" mindset, ensuring that the Business Operations team provides insights that power data\-driven decisions across the company.
 This is a demanding role in a results\-oriented environment with high expectations for agency, speed, and ownership.
**Key Responsibilities**
* End\-to\-End Data Architecture: You will partner with the Staff Data Engineer to architect the complete data lifecycle. While they build the infrastructure, you will own the gold layer, designing the semantic layer and transforming silver level data in Databricks into optimized fact and dimension tables that serve as the single source of truth for the company.
* Business Logic \&amp; Strategy: Translate complex, ambiguous business questions into concrete technical definitions. You will act as the key technical liaison to build consensus on enterprise\-wide metric definitions, ensuring consistent logic across all reports.
* Data as a Product: Champion a product\-oriented mindset by setting the standard for robust documentation, testing, and data model design.
* Mentorship \&amp; Standards: You will lead by example on best practices and code quality to ensure engineering rigor.
* Performance Tuning: Optimize the connection between Databricks and Power BI, designing models that balance computational load with query latency to ensure dashboards perform.
**Required Qualifications**
* Experience: 10\+ years of relevant, progressive experience in Analytics Engineering, Software Engineering, or Data Engineering, with at least 4 years working in large\-scale data lake/warehouse environments (e.g., Databricks). Prior ownership of large\-scale data systems and business\-critical metrics.
* Data Modeling Expertise: Mastery of dimensional modeling best practices. You must be an expert in designing modular, reusable, and performant data models (Star Schema, Snowflake Schema) that serve as the foundation for analytics
* Advanced SQL \&amp; Optimization: Proficiency in advanced SQL techniques and performance tuning.
* LLM Application: Experience leveraging LLMs and AI\-assisted development tools to accelerate data engineering workflows, improve code quality, and automate repetitive technical tasks.
* Intermediate to Advanced Python: Strong expertise in Python for scripting, automation, and data manipulation (Pandas).
* Data Visualization Architecture: Deep proficiency in Power BI or Tableau, understanding how to architect semantic models that enable polished, high\-performance dashboards for executive stakeholders.
* Business Acumen \&amp; Communication: Strong ability to translate technical concepts into business value. You must be able to partner with non\-technical stakeholders to define gold level metrics and manage projects across teams.
* Education: Bachelor’s degree in Computer Science, Software Engineering, Data Engineering, or a closely related technical field.
**Preferred Qualifications**
* Master’s or equivalent in Computer Science, Data Science, Analytics or Engineering
* Prior experience working in a technology company or SaaS environment
**Total Rewards**
 Want to love where you work? At Intrado, we offer a comprehensive benefits package that includes what you’d expect (medical, dental, vision, life and disability coverage, paid time off, a 401(k) retirement plan, and several that go above and beyond – paid parental leave, access to a robust library of personal and professional training resources, employee discounts, critical illness, hospital indemnity, access to legal support, pet insurance, identity theft protection, an EAP (Employee Assistance Program) that includes free mental health resources/support, and more! Apply today to join us in
 ***work worth doing***
 !
 The starting salary is anticipated between $210,000 and $225,000 and will be commensurate with experience. This position is bonus eligible.
 Intrado is an Equal Opportunity Employer – Veterans/Disabled and Other Protected Categories. Our Company welcomes and encourages applications of individuals with disabilities. Accommodations are available on request for candidates taking part in all aspects of the selection process. Intrado maintains a Drug Free Workplace.</t>
        </is>
      </c>
    </row>
    <row r="20">
      <c r="A20" t="inlineStr">
        <is>
          <t>li-4372068015</t>
        </is>
      </c>
      <c r="B20" t="inlineStr">
        <is>
          <t>Data Engineer</t>
        </is>
      </c>
      <c r="C20" t="inlineStr">
        <is>
          <t>Tata Consultancy Services</t>
        </is>
      </c>
      <c r="D20" t="inlineStr">
        <is>
          <t>linkedin</t>
        </is>
      </c>
      <c r="E20" t="inlineStr"/>
      <c r="F20" t="inlineStr"/>
      <c r="G20" t="inlineStr">
        <is>
          <t>Charlotte, NC</t>
        </is>
      </c>
      <c r="H20" t="inlineStr"/>
      <c r="I20" t="inlineStr">
        <is>
          <t>**Job Description**
 Must Have Technical/Functional Skills
* Bachelor’s degree in information technology or related experience.
* 5\+ years of experience in field of data engineering involving analytics\-focused data warehouse environments
* such as Snowflake.
* 3\+ years of experience working in AWS utilizing services such as Amazon S3, AWS Glue, AWS Lambda, etc.
* Advanced knowledge of SQL and Python programming languages.
* Extensive experience in database development, data pipelines development, and ETL development.
* Experience using modern data processing/movement technologies such as Qlik, AWS Glue, Lambda, Python.
* Experience working in an Agile delivery environment.
* Hands on experience building and using DevSecOps pipelines and automation.
* Ability to work independently and drive solutions end to end leveraging various technologies to solve data
* problems and develop solutions.
* Promote and enforce design and development standards and best practices.
* Passionate about continuous learning, experimenting, applying, and contributing towards cutting edge open
* source technologies and software paradigms.
* Have a proven track record of customer satisfaction and delivery success and ability to establish and maintain
* appropriate relationships with business and IT stakeholders.
* Ability to supervise junior developers and make personnel decisions.
* Ability to manage multiple sophisticated software development projects
* Ability to debug complex applications during Production Incident triage.
 Roles \&amp; Responsibilities
* Design and develop data pipelines utilizing Data Vault 2\.0 on our cloud data warehouse in Snowflake.
* Design and develop ETL processes in our data lake in AWS using batch and streaming solutions.
* Develop test strategies, software testing frameworks, and test automation.
* Champion a modern engineering culture and best practices\-based software development.
* Leverage DevSecOps and documentation techniques and have working experience with modern tools such as
* Git, Jira, and Confluence.
* Engage in application design and data modeling discussions; participate in developing and enforcing data
* security policies.
* Drive delivery efficiency with automation and reusable components/solutions.
 Salary Range: $100,000 to $110,000 per year
**Qualifications:** 
 BACHELOR OF COMPUTER SCIENCE</t>
        </is>
      </c>
    </row>
    <row r="21">
      <c r="A21" t="inlineStr">
        <is>
          <t>li-2147622791</t>
        </is>
      </c>
      <c r="B21" t="inlineStr">
        <is>
          <t>Data Engineer, Support</t>
        </is>
      </c>
      <c r="C21" t="inlineStr">
        <is>
          <t>RemoteHunter</t>
        </is>
      </c>
      <c r="D21" t="inlineStr">
        <is>
          <t>linkedin</t>
        </is>
      </c>
      <c r="E21" t="inlineStr"/>
      <c r="F21" t="inlineStr"/>
      <c r="G21" t="inlineStr"/>
      <c r="H21" t="inlineStr"/>
      <c r="I21" t="inlineStr">
        <is>
          <t>About the Opportunity:
 The organization provides an end\-to\-end ecosystem designed to support Programs of All\-Inclusive Care for the Elderly (PACE) in delivering care, improving financial performance, and ensuring compliance. It replaces outdated technology with solutions for care coordination, risk adjustment, population health, and utilization management. The role focuses on supporting operations and improving outcomes for dual\-eligible seniors with complex healthcare needs.
 Responsibilities:
 • Own and maintain a legacy population health analytics product, focusing on backend data pipelines and the full\-stack application
 • Operate the production analytics product, managing data ingestion, transformation, orchestration, and the user interface
 • Build, maintain, and debug backend data pipelines using Airflow, Python (Pandas, Selenium), Snowflake, dbt, and Airbyte, emphasizing data quality and performance
 • Manage full\-stack analytics application, including backend services (Node.js) and frontend components (React)
 • Address bug fixes, operational issues, and production incidents, understanding system behavior and failure modes
 • Investigate and resolve data quality issues, pipeline failures, and application defects with durable fixes
 • Improve legacy codebases balancing speed, correctness, and maintainability
 • Communicate clearly about system health, root causes, and technical tradeoffs with teams and stakeholders
 Requirements:
 • Bachelor’s degree in Computer Science, Information Systems, or related field, or equivalent experience
 • 1 to 4 years of experience as a Software Engineer or Data Engineer
 • Proficiency in Python and experience with production data pipelines or ETL/ELT workflows
 • Working knowledge of SQL and relational or analytical databases
 • Exposure to backend or full\-stack development, including JavaScript and Node.js
 • Familiarity with frontend technologies like React or willingness to learn and maintain existing frontend code
 • Basic knowledge of modern data tools such as Airflow, dbt, Snowflake, and Airbyte
 • Ability to debug legacy systems and handle complex technical issues
 • Strong ownership and accountability for production systems
 • Clear written and verbal communication skills
 Preferred:
 • Experience maintaining legacy systems in production
 • Exposure to healthcare data, analytics platforms, or regulated environments
 • Experience working in small teams or fast\-paced environments
 Benefits \&amp; Perks:
 • Competitive salary and benefits package including uncapped PTO and health insurance
 • Professional development and growth opportunities
 • Flexible remote work environment
 Compensation:
 • Salary range for this role is $95,000 to $120,000 annually
 • Ideal candidate expected near midpoint of range; final pay based on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li-4373201392</t>
        </is>
      </c>
      <c r="B22" t="inlineStr">
        <is>
          <t>Lead Data Engineer</t>
        </is>
      </c>
      <c r="C22" t="inlineStr">
        <is>
          <t>Acrisure Trade Credit</t>
        </is>
      </c>
      <c r="D22" t="inlineStr">
        <is>
          <t>linkedin</t>
        </is>
      </c>
      <c r="E22" t="inlineStr"/>
      <c r="F22" t="inlineStr"/>
      <c r="G22" t="inlineStr">
        <is>
          <t>Oklahoma City, OK</t>
        </is>
      </c>
      <c r="H22" t="inlineStr"/>
      <c r="I22" t="inlineStr">
        <is>
          <t>**About Auris**
 Auris is the payroll and HR partner built for small and medium\-sized businesses who can’t afford to get it wrong. Trusted by over 50,000 businesses nationwide, Auris pairs easy\-to\-use technology with real human services to give leaders the confidence that every detail is done right \- so they can focus on growing their team and their business. Acquired by Acrisure in 2025, Auris formerly Heartland Payroll is accelerating its vision to deliver seamless human\-centered technology to help small businesses thrive.
**What You’ll Do**
 Data Platform \&amp; Engineering
* Lead the design and implementation of scalable data pipelines across Azure Data Factory, batch, streaming, messaging platforms (Kafka, Event Hub, or similar)
* Architect and optimize data models and storage patterns in Azure SQL, including performance tuning, partitioning, indexing, and workload optimization.
* Support and modernize legacy Oracle environments, including schema design, PL/SQL logic, and data extraction strategies.
* Drive the migration of data assets from Oracle to Azure SQL using tools such as SSMA, ADF, and custom ETL/ELT frameworks.
* Apply strong software engineering principles (CI/CD, version control, testing, code reviews, modular design) to all data engineering work.
* Build reusable frameworks, libraries, and automation to accelerate data ingestion, transformation, and quality checks.
* Ensure engineering best practices across the team, including coding standards, documentation, and observability.
 Real‑Time \&amp; Distributed Data Processing
* Design and implement streaming data pipelines using Spark Structured Streaming, Kafka, Event Hub, or similar technologies.
* Build and maintain high‑throughput, low‑latency data ingestion and processing systems.
* Integrate streaming and batch pipelines into unified, reliable data products.
 Data Quality, Governance \&amp; Security
* Implement data quality frameworks, monitoring, and observability across pipelines.
* Partner with data governance teams to ensure lineage, metadata, and compliance requirements are met.
* Enforce secure data access patterns and RBAC across Azure environments.
 Leadership \&amp; Collaboration
* Mentor and guide data engineers, promoting a culture of technical excellence and continuous learning.
* Collaborate with DBAs, analysts, architects, and business stakeholders to deliver high‑impact data solutions.
* Influence platform strategy, tooling decisions, and long‑term data architecture.
**What Are We Looking for in this Role?**
**Qualifications**
* 10\+ years of experience in data engineering with a strong foundation in software engineering.
* Deep expertise in Azure SQL (performance tuning, T‑SQL, security, optimization).
* Strong experience with Oracle (PL/SQL, schema design, performance tuning, data extraction).
* Hands‑on experience with Spark (Databricks, PySpark, or Scala Spark) is preferred.
* Experience building streaming pipelines using Kafka, Event Hub, or similar platforms.
* Strong proficiency in Python, SQL, and at least one general‑purpose programming language (Java, Scala, C\#, etc.).
* Experience with CI/CD, Git, DevOps practices, and infrastructure‑as‑code (Terraform, ARM, Bicep).
* Strong understanding of distributed systems, data modeling, and data architecture patterns.
**What We Offer**
* Competitive compensation and performance incentives.
* Comprehensive benefits package.
* Collaborative, mission\-driven culture with high visibility and impact.
 \#Auris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23">
      <c r="A23" t="inlineStr">
        <is>
          <t>li-4372051181</t>
        </is>
      </c>
      <c r="B23" t="inlineStr">
        <is>
          <t>Qlik Data Engineer</t>
        </is>
      </c>
      <c r="C23" t="inlineStr">
        <is>
          <t>Tata Consultancy Services</t>
        </is>
      </c>
      <c r="D23" t="inlineStr">
        <is>
          <t>linkedin</t>
        </is>
      </c>
      <c r="E23" t="inlineStr"/>
      <c r="F23" t="inlineStr"/>
      <c r="G23" t="inlineStr">
        <is>
          <t>Raleigh, NC</t>
        </is>
      </c>
      <c r="H23" t="inlineStr"/>
      <c r="I23" t="inlineStr">
        <is>
          <t>**Job Description**
 Qlik Data Engineer/Developer
 Qlik Replicate Automation for Data Ingestion role for a professional with 3\-7 years of experience generally focuses on the design, development, and maintenance of robust, automated data pipelines using Qlik's suite of tools (Qlik Replicate, Qlik Compose, Qlik Sense, and Qlik Automate). This role requires a strong mix of data engineering skills, Qlik platform expertise, and collaboration with business stakeholders.
 Roles and Responsibilities
* Design and Implementation:
* Design, develop, and maintain efficient and scalable data integration and ETL/ELT (Extract, Transform,
* Load/Extract, Load, Transform) pipelines for both batch and real\-time data processing.
* Utilize Qlik data integration tools (e.g., Qlik Replicate, Qlik Compose) to ingest data from various sources (SQL databases, APIs, cloud platforms, flat files) into target data warehouses or data lakes.
* Implement data models (in snowflake schema) using the Qlik associative data model to ensure efficient data storage and retrieval.
* Automation and Optimization:
* Automate data ingestion processes, application reloads, and administrative tasks using Qlik Automate or scripting
* (e.g., Python) to improve efficiency and reduce manual intervention.
* Monitor and optimize data integration processes and Qlik applications for performance, identifying and resolving bottlenecks in data loading and query execution.
* Implement data quality frameworks, including validation, monitoring, and alerting systems to ensure data accuracy and consistency.
* Collaboration and Support:
* Collaborate closely with data engineers, analysts, data scientists, and business stakeholders to gather and understand data requirements and deliver solutions that enable actionable insights.
* Troubleshoot and resolve data integration issues, providing ongoing support for Qlik solutions.
* Document data pipelines, schemas, and business logic for knowledge sharing and efficient onboarding.
* Governance and Compliance:
* Implement data security measures, including encryption, access controls, and audit logging, to ensure
* compliance with relevant data governance policies.
* Manage the data lifecycle, including archival, retention, and deletion policies.
**Required Qualifications And Skills**
* Experience: 3\-7 years of proven experience working directly with Qlik platforms (Qlik Sense, QlikView, Qlik Data Integration suite) as
 a developer or data integrator.
* Strong proficiency in SQL and experience with relational and non\-relational databases.
* Solid understanding of data warehousing concepts, ETL processes, and data modeling techniques.
* Familiarity with cloud platform (AWS) and Data Platform(Snowflake) and related data services.
* Experience with other programming/scripting languages (e.g., Python) for advanced automation is a plus.
 Salary Range\- $100,000\-$110,000 a year
**Qualifications:** 
 BACHELOR OF COMPUTER SCIENCE</t>
        </is>
      </c>
    </row>
    <row r="24">
      <c r="A24" t="inlineStr">
        <is>
          <t>li-4372984197</t>
        </is>
      </c>
      <c r="B24" t="inlineStr">
        <is>
          <t>Data Engineer - Golden Valley, MN (Hybrid)</t>
        </is>
      </c>
      <c r="C24" t="inlineStr">
        <is>
          <t>Pentair</t>
        </is>
      </c>
      <c r="D24" t="inlineStr">
        <is>
          <t>linkedin</t>
        </is>
      </c>
      <c r="E24" t="inlineStr"/>
      <c r="F24" t="inlineStr"/>
      <c r="G24" t="inlineStr">
        <is>
          <t>Golden Valley, MN</t>
        </is>
      </c>
      <c r="H24" t="inlineStr"/>
      <c r="I24" t="inlineStr">
        <is>
          <t>**Job Description**
**Data Engineer – Golden Valley, MN**
 At Pentair, you will work alongside passionate problem\-solvers who are committed to the future of our planet. We put our mission into practice, helping the world sustainably move, improve, and enjoy water, life's most essential resource. From our residential water filtration to industrial water management to pool products and more, our 9,000 global employees serve customers in more than 150 countries, working to help create a better world for people and the planet through smart, sustainable water solutions.
 We have an opportunity for a
 **Data Engineer** 
 to join our Enterprise IT Data \&amp; Analytics team in
 **Golden Valley, MN** 
 . In this role, you will be instrumental in developing and maintaining our data \&amp; analytics platforms, which is crucial for driving insights and strategic decisions across the company. These platforms are both on\-premises (SQL Server) and cloud\-based (Azure, Microsoft Fabric) and source data from several ERP platforms and produce output to financial (TM1, Onestream, etc.) and analytics platforms (PowerBI, Cognos, etc.)
**You Will**
* Design, develop, and maintain Azure Data Factory pipelines to facilitate efficient data extraction, loading, and Transformation (ELT/ETL) processes as well as maintain SQL Server Integration Services (SSIS) packages.
* Collaborate with cross\-functional teams to gather business requirements and translate them into technical specifications for data integration and data platform solutions.
* Implement and manage ETL \&amp; ELT processes, ensuring data accuracy and integrity.
* Create and optimize complex SQL queries, stored procedures, and functions to extract, load and transform data from various data input sources and output tools (TM1, PowerBI, etc.).
* Perform data profiling and analysis to identify data quality issues and propose appropriate solutions.
* Implement data cleansing, transformation, and validation rules to ensure the accuracy and consistency of data.
* Collaborate with business analysts and ensure seamless data flow and integration across various platforms.
* Monitor and optimize the performance of SQL queries, ELT/ETL processes, and database systems to ensure efficient data processing and system reliability.
* Troubleshoot and resolve data\-related issues, including data integration failures, data quality problems, and performance bottlenecks.
* Stay up to date with industry trends and best practices in data engineering, data integration, analytics and AI technologies.
**Key Qualifications**
* Bachelor's degree in Computer Science, Information Systems, Data Science, Finance, or a related field. Equivalent work experience may be considered.
* 3\+ years of experience in data warehouse development.
* Experience with Azure Data Factory for orchestrating and automating data movement and transformation.
* Proficiency in SQL programming, including complex query optimization, stored procedures, and functions.
* Solid understanding of data modeling concepts and experience in designing and implementing database schemas.
* Familiarity with data profiling and quality assurance techniques.
* Familiarity with cloud\-based data warehousing services and integration with Azure cloud services.
* Strong problem\-solving and analytical skills with the ability to identify data\-related issues and propose effective solutions.
* Experience with performance tuning and optimization of SQL queries, ELT/ETL processes, and database systems.
* Experience using data in a business/finance role for modeling or advanced analytics preferred.
* Excellent communication and collaboration skills, with the ability to work effectively in a team environment.
* Ability to work on multiple projects simultaneously and meet deadlines.
* Adaptability to changing business requirements and technology landscapes.
* Certifications in Microsoft SQL Server and Azure Data Factory are a plus.
**Compensation**
 For this full\-time position working at this location, the anticipated annualized base pay range will be from $95500 \- $177300 / year. At Pentair, it is not typical for an individual to be hired near the bottom or top of the pay range. Pentair considers various factors in determining actual compensation for this position at the expected location. Actual compensation will be commensurate with demonstrable level of experience and training, pertinent education including licensure and certifications, work location, and other relevant business or organizational needs. This position may be eligible for other forms of compensation such as an annual incentive bonus and long\-term incentives.
**Benefits**
 As a Pentair employee, you would enjoy a wide array of benefit options to help keep you and your family healthy and protected, health benefits, a generous 401(k), employee stock purchase program, disability benefits, life insurance, critical illness insurance, accident insurance, parental leave, caregiver leave, tuition reimbursement, plus paid time off and wellness programs to encourage a healthy work/life balance.
**Equal Opportunity Employer**
 Pentair is an Equal Opportunity Employer. With our expanding global presence, cross\-cultural insight and competence are essential for our ongoing success. We believe that a diverse workforce contributes different perspectives and creative ideas that enable us to continue to improve every day.</t>
        </is>
      </c>
    </row>
    <row r="25">
      <c r="A25" t="inlineStr">
        <is>
          <t>li-4364439090</t>
        </is>
      </c>
      <c r="B25" t="inlineStr">
        <is>
          <t>Junior Data Engineer- Snowflake - US citizens/Federal Project</t>
        </is>
      </c>
      <c r="C25" t="inlineStr">
        <is>
          <t>Oran Inc</t>
        </is>
      </c>
      <c r="D25" t="inlineStr">
        <is>
          <t>linkedin</t>
        </is>
      </c>
      <c r="E25" t="inlineStr"/>
      <c r="F25" t="inlineStr"/>
      <c r="G25" t="inlineStr">
        <is>
          <t>Herndon, VA</t>
        </is>
      </c>
      <c r="H25" t="inlineStr"/>
      <c r="I25" t="inlineStr">
        <is>
          <t>**Overview**
 Oran Inc. is seeking a Junior Snowflake Data Engineer to support a federal data modernization initiative. This role focuses on migrating legacy SAS ETL processes into a Snowflake ELT architecture on AWS. You will collaborate with senior engineers to develop ingestion frameworks, ensure data quality, and support production environments.
**Key Responsibilities**
**Snowflake Development**
* Develop and maintain tables (RAW, TARGET), views, stored procedures, tasks, and streams
* Implement COPY INTO for file ingestion
* Support incremental and historical data loads
* Assist with schema validation and evolution
**AWS \&amp; Data Integration**
* Work with Amazon S3 for data ingestion and storage
* Understand IAM role basics
* Support file processing (CSV, pipe\-delimited, fixed\-width, GZIP/ZIP)
**Data Engineering \&amp; ELT**
* Load and transform data across Bronze (RAW), Silver, and Gold layers
* Perform data validation (row counts, duplicates, schema checks)
* Support metadata tracking and run documentation
**Data Quality \&amp; Support**
* Reconcile Snowflake outputs against legacy SAS datasets
* Troubleshoot data discrepancies and load failures
**DevOps \&amp; Deployment**
* Use Azure DevOps Git for version control
* Support deployments across DEV, STG, and PROD
* Follow structured branching and folder standards
**Required Qualifications**
* 1–3 years of data engineering or ETL experience
* Strong SQL skills (joins, aggregations, window functions)
* Experience with Snowflake or similar cloud data warehouse
* Experience with AWS S3
* Understanding of incremental load concepts and relational modeling
* must be an USC
**Preferred**
* Experience migrating legacy ETL (SAS, Informatica)
* Snowflake Tasks, Streams, and Stored Procedures
* AWS Glue familiarity
* Exposure to CI/CD and data quality frameworks</t>
        </is>
      </c>
    </row>
    <row r="26">
      <c r="A26" t="inlineStr">
        <is>
          <t>li-4372051183</t>
        </is>
      </c>
      <c r="B26" t="inlineStr">
        <is>
          <t>Lead Data Engineer</t>
        </is>
      </c>
      <c r="C26" t="inlineStr">
        <is>
          <t>Tata Consultancy Services</t>
        </is>
      </c>
      <c r="D26" t="inlineStr">
        <is>
          <t>linkedin</t>
        </is>
      </c>
      <c r="E26" t="inlineStr"/>
      <c r="F26" t="inlineStr"/>
      <c r="G26" t="inlineStr">
        <is>
          <t>Raleigh, NC</t>
        </is>
      </c>
      <c r="H26" t="inlineStr"/>
      <c r="I26" t="inlineStr">
        <is>
          <t>**Job Description**
 Lead Data Engineer \- Snowflake, DBT and Qlik
* Design, develop, and maintain robust and scalable data transformation pipelines using dbt on the Snowflake platform.
* DBT Macro Development to Create and utilize Jinja\-based DBT macros to promote code reusability, modularity, and dynamic SQL generation within DBT projects.
* Data Transformation \&amp; Orchestration to Implement and manage data transformation pipelines using DBT, integrating with various data sources and ensuring efficient data flow.
* Utilize advanced dbt concepts, including macros, materializations (e.g., incremental, view, table), snapshots, and configurations to build efficient data models.
* Write highly optimized and complex SQL queries for data manipulation, cleaning, aggregation, and transformation within dbt models.
* Implement and enforce best practices for dbt project structure, version control (Git), documentation, and testing.
* Collaborate with data analysts, engineers, and business stakeholders to understand data requirements and translate them into effective data models (e.g., star schema, snowflake schema).
* Design and implement logical and physical data models within dbt to support analytical and reporting needs.
* Leverage Snowflake features and functionalities for performance optimization, including virtual warehouses, clustering, caching, and query optimization.
* Manage and optimize data ingestion and integration processes from various sources into Snowflake.
* Ensure data quality, integrity, and lineage throughout the data transformation process.
* Implement and maintain DBT tests to ensure data quality, integrity, and adherence to business rules.
* Implement and maintain data governance policies and procedures within the dbt environment.
* Develop and execute automated tests for dbt models to ensure data accuracy and reliability.
**Required Skills**
* Proven hands\-on experience with dbt in a production environment, including extensive use of macros and advanced modeling techniques.
* Expert\-level proficiency in SQL for data querying, manipulation, and transformation.
* Strong experience with Snowflake, including performance tuning and optimization.
* Solid understanding of data warehousing concepts and ETL/ELT processes.
* Experience with version control systems, particularly Git.
* Familiarity with data modeling principles (star schema, snowflake schema).
 Salary Range\- $100,000\-$110,000 a year
**Qualifications:** 
 BACHELOR OF COMPUTER SCIENCE</t>
        </is>
      </c>
    </row>
    <row r="27">
      <c r="A27" t="inlineStr">
        <is>
          <t>li-4372056706</t>
        </is>
      </c>
      <c r="B27" t="inlineStr">
        <is>
          <t>Senior Data Platform Engineer</t>
        </is>
      </c>
      <c r="C27" t="inlineStr">
        <is>
          <t>RemoteHunter</t>
        </is>
      </c>
      <c r="D27" t="inlineStr">
        <is>
          <t>linkedin</t>
        </is>
      </c>
      <c r="E27" t="inlineStr"/>
      <c r="F27" t="inlineStr"/>
      <c r="G27" t="inlineStr"/>
      <c r="H27" t="inlineStr"/>
      <c r="I27" t="inlineStr">
        <is>
          <t>About the Opportunity:
 Senior Data Platform Engineer to lead the evolution of a cloud\-based data ecosystem across multiple business units. This role combines hands\-on engineering with architectural guidance, governance leadership, and cross\-functional collaboration. The ideal candidate has deep experience with modern data engineering practices, including medallion architecture, and plays a key role in shaping the long\-term direction of the data platform.
 Responsibilities:
 • Lead design, development, and enhancement of a secure, high\-quality, analytics\-ready cloud data platform.
 • Champion medallion architecture (Bronze/Silver/Gold) for ingestion, refinement, and consumption layers.
 • Provide architectural guidance on data modeling, transformation patterns, and platform standards.
 • Define best practices for Bronze\-layer ingestion ensuring lineage, traceability, and auditability.
 • Establish Silver\-layer refinement standards for cleansing, harmonization, and schema consistency.
 • Oversee creation of Gold\-layer curated datasets optimized for reporting, analytics, and self\-service.
 • Develop and enforce data quality frameworks, validation rules, and monitoring processes across all layers.
 • Lead integration across diverse data sources including APIs, cloud applications, and on\-premise systems.
 • Mentor team members on data engineering patterns, performance optimization, and scalable design.
 • Troubleshoot complex issues across pipelines, cloud resources, and orchestration tools to minimize disruption.
 • Partner with Cyber Security, Compliance, and Legal teams to ensure adherence to data residency, privacy, and security requirements.
 • Define and maintain access control strategies including row\-level security and identity\-based permissions.
 • Promote governance practices supporting data stewardship, cataloging, and lifecycle management.
 • Manage platform updates, license renewals, and long\-term capacity planning.
 • Lead design and maintenance of CI/CD pipelines for consistent automated deployments.
 • Establish branching strategies, code review standards, and workflows promoting quality and collaboration.
 • Guide adoption of DevOps best practices to improve delivery speed, reliability, and observability.
 • Represent the data platform in change management forums and align platform strategy with organizational goals.
 • Partner with business analysts, product owners, and leadership to translate business needs into scalable data solutions.
 • Influence long\-term data strategy, platform roadmap, and technology adoption decisions.
 Requirements:
 • 10\+ years of hands\-on experience as a Data Engineer in Azure.
 • Expert knowledge of Microsoft 365 services and Azure.
 • Expert level proficiency in Dataverse.
 • Expert knowledge of data modeling and database concepts.
 • Expert proficiency in programming languages such as T\-SQL, Python, or R.
 • Expert understanding of cloud computing concepts.
 • Expert understanding of Application Lifecycle Management principles.
 • Expert experience designing and developing data warehouse solutions.
 • Experience with Microsoft Fabric Lakehouse and Data Warehouses.
 Benefits \&amp; Perks:
 • Employee Stock Ownership Plan (ESOP)
 • 401K plan
 • Medical, Dental, Vision, and Life Insurance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li-4371712728</t>
        </is>
      </c>
      <c r="B28" t="inlineStr">
        <is>
          <t>Sr. Biometrics Data Engineer</t>
        </is>
      </c>
      <c r="C28" t="inlineStr">
        <is>
          <t>Syneos Health</t>
        </is>
      </c>
      <c r="D28" t="inlineStr">
        <is>
          <t>linkedin</t>
        </is>
      </c>
      <c r="E28" t="inlineStr"/>
      <c r="F28" t="inlineStr"/>
      <c r="G28" t="inlineStr"/>
      <c r="H28" t="inlineStr"/>
      <c r="I28" t="inlineStr">
        <is>
          <t>**Description**
 Sr. Biometrics Data Engineer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Key Responsibilities
* Act as a hands\-on technical lead who not only defines the architecture but also codes, deploys, and maintains scalable ETL pipelines and data structures.
* Spearhead the technical implementation of the Translational Data Lake data ingestion, managing the ingestion of complex datasets (genomics, proteomics, imaging, lab data, etc.) into modern cloud architectures.
* Broader Research Integration: Lead data engineering projects beyond the Data Lake, designing bespoke integration solutions for diverse scientific data sources across the Research organization.
* Data Transformation: Design and script automated procedures to normalize unformatted data from external vendors (CROs) into a structured Common Data Model (CDM).
* Technical Collaboration: Partner with various functions in Research and IT to align infrastructure with scientific needs, ensuring solutions are robust, FAIR\-compliant, and scalable.
* Develop and communicate the technical vision for biomarker data integration and reuse.
* Architect and implement scalable ETL procedures, APIs and front\-end tools for data access and visualization.
* Engage stakeholders to gather requirements and incorporate feedback into design.
* Lead user acceptance testing (UAT) and ensure high\-quality deliverables.
* Collaborate with IT and Translational leads to align infrastructure and governance processes.
* Champion FAIR principles and interoperability across translational and clinical programs.
**Minimum Qualifications**
* Education: Bachelor’s or master’s degree in computer science, Data Engineering, Bioinformatics, or related field
* Experience: 8\+ years of professional experience in data engineering or software architecture, with a focus on building production\-grade data pipelines
* Expert\-level coding proficiency in Python with specific mastery of modern data engineering libraries (Pandas, PySpark, Dask, SQLAlchemy).
* Advanced proficiency with SQL, workflow orchestration tools (Airflow, Dagster, or Prefect), and containerization (Docker/Kubernetes).
* Cloud Architecture: Deep experience with modern Data Lake and Lakehouse architectures (e.g., Azure Fabric, Databricks, Snowflake), with a proven track record of connecting and integrating disparate data sources.
* Data Modeling: Solid understanding of data modeling, ETL processes, and schema design for complex datasets.
* API Development: Experience designing and deploying APIs for data access
* Excellent communication skills to bridge the gap between IT infrastructure and scientific stakeholders
* Familiarity with FAIR principles and metadata standards for scientific data.
* Excellent communication and collaboration skills.
**Preferred Qualifications**
* Familiarity with clinical data standards including SDTM, ADaM, and CDISC, and biomarker data formats (NGS variant results, flow cytometry, serum proteomics, gene expression profiling).
* Direct experience with Azure Fabric tools for connecting and integrating data sources.
* Proficiency in R for interoperability with bioinformatics teams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http://www.syneoshealth.com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**Summary**
 Job Summary Incyte is seeking a Lead Data Engineer to architect and execute high\-impact data integration strategies across the Research organization. While the primary focus is enabling the enterprise Translational Data Lake, this is a broader role that will drive various scientific data engineering initiatives across the research pipeline. This is a hands\-on technical role: the successful candidate must be a "player\-coach" capable of designing scalable architectures and writing the production code to implement them. You will partner with IT and Computational Biology and other Research functions to transform raw multi\-modal data into actionable assets.</t>
        </is>
      </c>
    </row>
    <row r="29">
      <c r="A29" t="inlineStr">
        <is>
          <t>li-4372068605</t>
        </is>
      </c>
      <c r="B29" t="inlineStr">
        <is>
          <t>Staff Data Engineer</t>
        </is>
      </c>
      <c r="C29" t="inlineStr">
        <is>
          <t>RemoteHunter</t>
        </is>
      </c>
      <c r="D29" t="inlineStr">
        <is>
          <t>linkedin</t>
        </is>
      </c>
      <c r="E29" t="inlineStr"/>
      <c r="F29" t="inlineStr"/>
      <c r="G29" t="inlineStr"/>
      <c r="H29" t="inlineStr"/>
      <c r="I29" t="inlineStr">
        <is>
          <t>About the Opportunity:
 This role is for a Staff Data Platform Engineer responsible for designing, building, and owning core systems within a streaming data platform. The position involves hands\-on implementation of key platform capabilities and setting the technical direction for system evolution. The engineer will collaborate with product and engineering teams to translate needs into platform features and develop shared libraries, frameworks, and tooling for reliable data streaming.
 Responsibilities:
 • Design, build, and operate core platform systems including schema management, streaming frameworks, and event mesh systems
 • Define technical standards and patterns for the Streaming Data Platform team
 • Lead cross\-team design reviews for systems interacting with or dependent on the streaming platform
 • Drive platform reliability, performance, and cost strategy across streaming services
 • Design and implement shared libraries, frameworks, and tooling for stream consumers
 • Partner with product and engineering teams to translate requirements into platform capabilities
 • Produce technical proposals and documentation detailing design, trade\-offs, and long\-term implications
 • Serve as an escalation point for complex streaming issues and high\-impact incidents
 • Mentor and develop senior engineers through technical guidance and challenging assignments
 Requirements:
 • 8\+ years of experience in backend engineering, data engineering, or platform engineering
 • Deep expertise with Kafka including internals, operational tuning, and ecosystem tooling
 • Proven experience designing and operating multi\-service distributed systems
 • Experience setting technical direction for a team or domain
 • Strong written and verbal communication skills with the ability to present complex technical topics to diverse audiences
 • Experience with schema evolution, data contracts, or data governance patterns
 • Experience building self\-service platforms or developer\-facing tooling is a plus
 • Experience with infrastructure as code tools; Terraform experience is a plus
 • Experience developing in Go is a strong plus
 Compensation:
 • Salary range is $180,500 to $237,500, representing base pay only and excluding short\-term or long\-term incentive compensation
 • Base pay considers factors such as location, experience, qualifications, and training
 • Remote employees may be eligible for a home office setup stipend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li-4372987578</t>
        </is>
      </c>
      <c r="B30" t="inlineStr">
        <is>
          <t>Senior Data Engineer</t>
        </is>
      </c>
      <c r="C30" t="inlineStr">
        <is>
          <t>BlueSprig</t>
        </is>
      </c>
      <c r="D30" t="inlineStr">
        <is>
          <t>linkedin</t>
        </is>
      </c>
      <c r="E30" t="inlineStr"/>
      <c r="F30" t="inlineStr"/>
      <c r="G30" t="inlineStr">
        <is>
          <t>Houston, TX</t>
        </is>
      </c>
      <c r="H30" t="inlineStr"/>
      <c r="I30" t="inlineStr">
        <is>
          <t>The Senior Data Engineer owns the design, implementation, and maintenance of our data architecture supporting clinical operations across 160\+
 ABA
 therapy
 clinics
* This role builds the
 data
 foundation that powers clinical quality measurement, operational analytics, payor reporting, and value\-based care deliveryâ€”infrastructure that directly
 impacts
 patient outcomes and business decisions.
 This position
 wi
 ll design and implement ETL pipelines moving data from source systems (EMR, scheduling, billing, finance) into a data warehouse, create dimensional models for analytics, and build tools
 with team members to make data accessible to clinical and business stakeholders. This is hands\-
 on
 deep technical work
* The Senior Data Engineer
 will be fluent in Python, able to
 optimize
 SQL queries, implement data quality guardrails, and collaborate directly with clinical operations, finance, and IT leadership to understand requirements and deliver solutions.
 Success in this role means delivering reliable, well\-documented data infrastructure that non\-technical stakeholders can trust and use to make better decisions about patient care and operations.
**Responsibilities**
**Job Duties and Responsibilities**
 include the following
 Other duties may be assigned.Â
* Build ETL Pipelines Design, implement, and
 maintain
 robust data pipelines moving data from source
 systems (EMR, scheduling, billing) into our data
 warehouse.
- 
**Data Architecture**
 Own the design and evolution of our data warehouse structure.Â
* Data Modeling
 Create and
 maintain
 dimensional models, fact tables, and
 aggregated
 views for analytics and reporting
* Data Quality
 Implement validation, monitoring, and quality checks to ensure data integrity across clinical and operational datasets
* Tooling and Automation
 Build internal tools and automations to improve data accessibility for non\-technical stakeholders
* Documentation
 Maintain
 clear technical documentation for data models, pipelines, and processes
* Collaboration Work directly with clinical operations, finance, and business stakeholders to understand requirements and deliver solutions
 Participate in product design discussions, providing input on usability, workflows, and automation opportunities.Â
**Qualifications**
**E
**Ducation/Experience**
 Bachelor's degree from four\-year college or university; or one to two years related experience and/or training; or equivalent combination of education and experience.
**Skills**
* 5\+ years of hands\-on data engineering experience
* Python
 expertise**
 Strong
 proficiency
 in Python for data processing, ETL, and automation
* SQL \&amp; PostgreSQL Deep knowledge of SQL and PostgreSQL administration, optimization, and data modeling
* Data Modeling Proven experience designing dimensional models, star schemas, and data warehouses
- 
**Data Quality**
 Experience implementing data validation, testing, and quality frameworks
* Vers
**Ion Control**
 Proficient with Git and collaborative development workflows
- 
**ETL Tools**
 Experience with modern data pipeline frameworks (Airflow,
 dbt
 Dagster
 , or similar).
* Healthcare Data Understanding of healthcare data challenges (PHI/PII handling, HIPAA, compliance, clinical data structure
 OPS</t>
        </is>
      </c>
    </row>
    <row r="31">
      <c r="A31" t="inlineStr">
        <is>
          <t>li-4372989466</t>
        </is>
      </c>
      <c r="B31" t="inlineStr">
        <is>
          <t>Senior Data Engineer, AWS Infrastructure Supply Chain Automation</t>
        </is>
      </c>
      <c r="C31" t="inlineStr">
        <is>
          <t>Amazon Web Services (AWS)</t>
        </is>
      </c>
      <c r="D31" t="inlineStr">
        <is>
          <t>linkedin</t>
        </is>
      </c>
      <c r="E31" t="inlineStr"/>
      <c r="F31" t="inlineStr"/>
      <c r="G31" t="inlineStr">
        <is>
          <t>Seattle, WA</t>
        </is>
      </c>
      <c r="H31" t="inlineStr"/>
      <c r="I31"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You’ll experience an inclusive culture that welcomes bold ideas and empowers you to own them to completion.
 We’re looking for Senior Data Engineer to help us grow our Data Lake and Data Warehouse Systems, which is being built using a serverless architecture, with 100% native AWS components including Redshift Spectrum, Athena, S3, Lambda, Glue, EMR, Kinesis, SNS, CloudWatch and more! We own a world\-class data lake that is used to drive multi\-billion dollar decisions on a regular cadence and we're looking to improve on filling the lake quickly, with as little human intervention needed and democratize the data in the lake.
 Our Data Engineers build the ETL and analytics solutions for our internal customers to answer questions with data and drive critical improvements for the business. Our Data Engineers use best practices in software engineering, data management, data storage, data compute, and distributed systems. We are passionate about solving business problems with data!
 Key job responsibilities
* Develop and maintain automated ETL pipelines (with monitoring) using scripting languages such as Python, Spark, SQL and AWS services such as S3, Glue, Lambda, SNS, SQS, KMS.
* Implement and support reporting and analytics infrastructure for internal business customers.
* Develop and maintain data security and permissions solutions for enterprise scale data warehouse and data lake implementations including data encryption and database user access controls and logging.
* Develop data objects for business analytics using data modeling techniques.
* Develop and optimize data warehouse and data lake tables using best practices for DDL, physical and logical tables, data partitioning, compression, and parallelization.
* Develop and maintain data warehouse and data lake metadata, data catalog, and user documentation for internal business customers.
* Work with internal business customers and software development teams to gather and document requirements for data publishing and data consumption via data warehouse, data lake, and analytics solutions.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data engineering experience
* Experience with data modeling, warehousing and building ETL pipelines
* Experience with SQL
* Experience in at least one modern scripting or programming language, such as Python, Java, Scala, or NodeJS
* Bachelor's degree in Computer Science, Computer Engineering, Information Technology, or related fields
**Preferred Qualifications**
* Experience with big data technologies such as: Hadoop, Hive, Spark, EMR
* Experience operating large data warehouses
* Experience coaching managers and supervisors to use company best practices for maximum effectiveness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\- 154,600\.00 \- 209,100\.00 USD annually
**Company** 
 \- Amazon.com Services LLC
 Job ID: A3181333</t>
        </is>
      </c>
    </row>
    <row r="32">
      <c r="A32" t="inlineStr">
        <is>
          <t>li-4372059388</t>
        </is>
      </c>
      <c r="B32" t="inlineStr">
        <is>
          <t>Data Engineer (DBT / Data Warehousing Focus)</t>
        </is>
      </c>
      <c r="C32" t="inlineStr">
        <is>
          <t>Jobs via Dice</t>
        </is>
      </c>
      <c r="D32" t="inlineStr">
        <is>
          <t>linkedin</t>
        </is>
      </c>
      <c r="E32" t="inlineStr"/>
      <c r="F32" t="inlineStr"/>
      <c r="G32" t="inlineStr">
        <is>
          <t>Irvine, CA</t>
        </is>
      </c>
      <c r="H32" t="inlineStr"/>
      <c r="I32" t="inlineStr">
        <is>
          <t>Dice is the leading career destination for tech experts at every stage of their careers. Our client, Beacon Hill, is seeking the following. Apply via Dice today!
**Data Engineer (DBT / Data Warehousing Focus)**
**Overview**
 Seeking a hands\-on Data Engineer to support a high\-visibility retail analytics initiative. This is a project\-focused role responsible for building, modifying, and optimizing production\-grade data pipelines within an existing DBT\-driven environment.
 The ideal candidate brings deep SQL expertise, strong DBT experience in production, and solid data warehousing architecture knowledge (including medallion architecture). This is a highly execution\-focused role requiring strong technical depth.
**Must\-Have Qualifications**
* Advanced SQL expertise (critical requirement)
+ Deep experience with CTEs, window functions, complex joins, and performance optimization
* 2\-3\+ years of DBT experience in production environments
* Strong experience in data warehousing, data modeling, and data architecture
* Experience working with medallion architecture (Bronze/Silver/Gold layers)
* Experience building, modifying, and maintaining production data pipelines
* Experience with Snowflake or similar cloud data warehouse platforms
* Cloud environment experience
* Python (supporting skill SQL is primary)
* Experience using development tools such as VS Code
* Exposure to AI/LLMs and use of AI\-assisted development (hands\-on depth not required)
**Strong Differentiators**
* Experience with Dagster (scheduling/orchestration)
* Tableau or experience supporting data analysts and analytics use cases
* Retail analytics domain experience
 Interested candidates may submit their resume online or call at for further information regarding the position.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or copy and paste the following link into an open window in your browser: ;/p\&gt;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33">
      <c r="A33" t="inlineStr">
        <is>
          <t>li-4372062354</t>
        </is>
      </c>
      <c r="B33" t="inlineStr">
        <is>
          <t>Network Data Engineer</t>
        </is>
      </c>
      <c r="C33" t="inlineStr">
        <is>
          <t>Jobs via Dice</t>
        </is>
      </c>
      <c r="D33" t="inlineStr">
        <is>
          <t>linkedin</t>
        </is>
      </c>
      <c r="E33" t="inlineStr"/>
      <c r="F33" t="inlineStr"/>
      <c r="G33" t="inlineStr">
        <is>
          <t>Raleigh, NC</t>
        </is>
      </c>
      <c r="H33" t="inlineStr"/>
      <c r="I33" t="inlineStr">
        <is>
          <t>**Location:** 
 Raleigh, NC
**Salary:** 
 $120,000\.00 USD Annually \- $130,000\.00 USD Annually
**Description:**
*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34">
      <c r="A34" t="inlineStr">
        <is>
          <t>li-4372053367</t>
        </is>
      </c>
      <c r="B34" t="inlineStr">
        <is>
          <t>Sr Ab Initio Data Engineer</t>
        </is>
      </c>
      <c r="C34" t="inlineStr">
        <is>
          <t>Jobs via Dice</t>
        </is>
      </c>
      <c r="D34" t="inlineStr">
        <is>
          <t>linkedin</t>
        </is>
      </c>
      <c r="E34" t="inlineStr"/>
      <c r="F34" t="inlineStr"/>
      <c r="G34" t="inlineStr">
        <is>
          <t>Reston, VA</t>
        </is>
      </c>
      <c r="H34" t="inlineStr"/>
      <c r="I34" t="inlineStr">
        <is>
          <t>Dice is the leading career destination for tech experts at every stage of their careers. Our client, System One, is seeking the following. Apply via Dice today!
 Job Title: Sr Ab Initio Data Engineer
 Location: Reston, VA
 Type: 12 mos contract
**Compensation**
 Contractor Work Model: Hybrid
 Local candidates only who reside in the DMV \- drivable distance
**We are looking for a Senior Ab Initio developer with many years of data integration, data warehouse project experience. NoSQL/MongoDB, AWS experience is highly preferred , must be a self starter and should be able to work with minimum supervision.**
 The Senior Data Engineer is responsible for orchestrating, deploying, maintaining and scaling cloud OR on\-premise infrastructure targeting big data and platform data management (Relational and NoSQL, distributed and converged) with emphasis on reliability, automation and performance. This role will focus on developing solutions and helping transform the company's platforms deliver data\-driven, meaningful insights and value to company.
 ESSENTIAL FUNCTIONS:
* Work with Business Analysts and Product team to gather data requirements
* Design and Build AbInitio data graphs and data pipelines to extract the data various databases/flat files/message queues
* Transform the data to create a consumable data layer for various application uses
* Support Data pipeline with bug fixes, and additional enhancements
* Document Technical design , Operational Runbook etc
**Qualifications**
 Education Level: Bachelor's Degree in Computer Science, Information Technology or Engineering or related field
 Experience:
* Total of 10\+ Years of IT Experience predominantly in Data Integration/ Data Warehouse area
* Must have at least 5 years of ETL Design and Development experience using Ab Initio
* 1\-2 years of Data Integration project experience on Hadoop Platform, preferably Cloudera
* AbInitio CDC ( Change Data Capture ) experience in a Data Integration/ETL project setting is great to have
* Working knowledge of HDFS, Hive, Impala and other related Hadoop technologies
* AbInitio integration with AWS S3 and Redshift and/or other AWS database services
* Sound understanding of SQL and ability to write well performing SQL queries
* Good knowledge of OLTP and OLAP data models and other data warehouse fundamentals
* Rigor in high code quality, automated testing, and other engineering best practices, ability to write reusable code components
* Ability to unit test the code thoroughly and to troubleshoot issues in production environments
* Must have some working experience with Unix/Linux shell scripting
* Must be able to work independently and support other junior developers as needed
* Some Java development experience is nice to have
* Knowledge of Agile Development practices is required
 System One, and its subsidiaries including Joulé, ALTA IT Services,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\#M\-
 \#DI\-
 Ref: \#851\-Rockville\-S1</t>
        </is>
      </c>
    </row>
    <row r="35">
      <c r="A35" t="inlineStr">
        <is>
          <t>li-4344927449</t>
        </is>
      </c>
      <c r="B35" t="inlineStr">
        <is>
          <t>Senior Data Engineer / Analytics Engineer</t>
        </is>
      </c>
      <c r="C35" t="inlineStr">
        <is>
          <t>Rivian and Volkswagen Group Technologies</t>
        </is>
      </c>
      <c r="D35" t="inlineStr">
        <is>
          <t>linkedin</t>
        </is>
      </c>
      <c r="E35" t="inlineStr"/>
      <c r="F35" t="inlineStr"/>
      <c r="G35" t="inlineStr">
        <is>
          <t>Palo Alto, CA</t>
        </is>
      </c>
      <c r="H35" t="inlineStr"/>
      <c r="I35"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Rivian and Volkswagen Group Technologies is building a best\-in\-class data platform that empowers the entire organization to make data\-driven decisions. We seek Engineers who excel at Innovation at Scale and are passionate about solving challenging technical problems.
 As a Senior Data Engineer, you will take ownership of the design and implementation of complex, scalable ELT pipelines and data transformation logic. You will architect data models that enable self\-service analytics and serve as a thought leader in driving data quality and engineering best practices within the data community.
**Responsibilities**
* Architect data models and schemas that enable self\-service analytics and ensure data accuracy and consistency across the organization.
* Lead the design, build, and maintenance of scalable ELT pipelines and analytics workflows using advanced tools (Spark, dbt, SQL).
* Champion data quality through validation processes, monitoring frameworks, and automated testing.
* Develop and optimize complex Python and SQL\-based transformation code to process and curate data.
* Monitor and improve the performance and reliability of data pipelines and platform infrastructure.
* Partner with platform engineers to integrate new tools, technologies, and frameworks into the data ecosystem.
* Serve as a mentor and technical leader within the data engineering community.
**Qualifications**
 Minimum Qualifications:
* Bachelor’s degree in Computer Science, Mathematics, a relevant technical field or equivalent practical experience.
* Expertise in Python, Spark, dbt, and SQL for data transformation and pipeline development.
* Experience with modern cloud data platforms, including Databricks Snowflake, and Google BigQuery.
* Proficient in data modeling principles and schema design for analytics.
* Proficient in scalable data pipelines on cloud platforms, preferably AWS, GCP, Azure.
* Experience deploying and maintaining scalable software, reliability, testing, and monitoring.
**Preferred Qualifications**
* 5\+ years of experience in data engineering or analytics engineering.
* Experience with version control systems (e.g., Git) and CI/CD workflows for data engineering projects.
* Experience with Infrastructure as Code tools (Terraform highly preferred).
* Experience with any data quality, data security, and monitoring initiatives.
* Experience with a modern data ingestion tool like Fivetran.
**Pay Disclosure**
**Salary Range/Hourly Rate for Palo Alto, California Based Applicants:** 
 $132,100 \- 165,100 USD (actual compensation will be determined based on experience, location, and other factors permitted by law).
**Salary Range for California (Irvine) Based Applicants** 
 : $121,500\-$151,900 (actual compensation will be determined based on experience, location, and other factors permitted by law).
**Benefits Summary:** 
 Rivian and Volkswagen Group Technologies provides robust medical/Rx, dental and vision insurance packages for full\-time employees, their spouse or domestic partner, and children up to age 26\. Coverage is effective on the first day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36">
      <c r="A36" t="inlineStr">
        <is>
          <t>li-4355422816</t>
        </is>
      </c>
      <c r="B36" t="inlineStr">
        <is>
          <t>Analytics Engineer</t>
        </is>
      </c>
      <c r="C36" t="inlineStr">
        <is>
          <t>FanDuel</t>
        </is>
      </c>
      <c r="D36" t="inlineStr">
        <is>
          <t>linkedin</t>
        </is>
      </c>
      <c r="E36" t="inlineStr"/>
      <c r="F36" t="inlineStr"/>
      <c r="G36" t="inlineStr">
        <is>
          <t>New York, NY</t>
        </is>
      </c>
      <c r="H36" t="inlineStr"/>
      <c r="I36" t="inlineStr">
        <is>
          <t>**THE POSITION**
 Our roster has an opening with your name on it
 We are looking for an Analytics Engineer to join our Poker Analytics team. You will support the Poker business, driving scalable analytics products (data assets, dashboards, visualizations, tools/services), and analytic frameworks.
 You will work alongside a group of analysts to facilitate the team’s success, evolving the various tools, models, and data visualizations used to drive the FanDuel Group business. This is a tremendous opportunity to collaborate cross\-functionally as well as develop the analytics team’s data infrastructure and visualization capabilities.
 The role will form a key part of the analytics team and as such the successful candidate will help shape the overall strategy for BI \&amp; Analytics. The role will provide critical support to both the operational and commercial teams, as well as the wider analytics team.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Create interactive Tableau dashboards, custom visualizations and reports to visualize customer behavior, drivers of business performance, and support strategic decision making.
* Work in Databricks to create poker analytics specific tables and build pipelines to Tableau.
* Provide engineering support to create new metrics for player value and segmentation.
* Prioritize best practices in design, usability, and scalability to ensure sustainable and quality reporting.
* Communicate technical findings/insights to non\-technical stakeholders to drive strategic success.
* Collaborate with data engineers and data scientists to ensure that data is accurately represented and enable richer analysis.
* Become a key business partner to the analytics team and stakeholders across the Poker business, supporting them in driving insights and key decision making.
**THE STATS**
 What we're looking for in our next teammate
* 2\+ years' experience in an analytics/technical role.
* Bachelor's Degree in a highly numerate major (Mathematics, Statistics, Economics, etc.) or relevant experience in data engineering/analysis.
* Strong personal organizational and time management skills.
* Ability to work in a fast\-paced environment with a lot of ambiguity.
* Proficiency in SQL, Excel and Tableau or another data visualization platforms required.
* Familiarity with programming languages (e.g. Python, R), cloud computing platforms (e.g. Databricks), or ELT/data modeling (e.g. DBT) highly desirable.
* Strong problem\-solving skills, allied with track record of transforming data into actionable business insight.
* Experience collaboratively working with colleagues in other countries and time zones preferred.
* Strong stakeholder management.
* Ability to be independent and lead on projects \- proactive thinking.
* Interest in Poker/Sports/Gaming a plus.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$98,000 \- $128,100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37">
      <c r="A37" t="inlineStr">
        <is>
          <t>li-4373206535</t>
        </is>
      </c>
      <c r="B37" t="inlineStr">
        <is>
          <t>DATA ENGINEER</t>
        </is>
      </c>
      <c r="C37" t="inlineStr">
        <is>
          <t>New York City Police Department</t>
        </is>
      </c>
      <c r="D37" t="inlineStr">
        <is>
          <t>linkedin</t>
        </is>
      </c>
      <c r="E37" t="inlineStr"/>
      <c r="F37" t="inlineStr"/>
      <c r="G37" t="inlineStr"/>
      <c r="H37" t="inlineStr"/>
      <c r="I37" t="inlineStr">
        <is>
          <t>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skilled and highly motivated Data Engineer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designing and developing data\-intensive applications to strengthen the Department data foundation. Key responsibilities include development work in Python and database management, working with both structured and unstructured datasets, and writing clean code to integrate with analysis tools and support data science services. Strong interpersonal and project management skills are required.
 Work Location:
 1 Police Plaza, N.Y.
**To Apply**
 Please visit: https://cityjobs.nyc.gov and search for Job ID (\#769743\)
**Hours/Shift**
 Monday \-Friday 8 x 4 or 10 x 6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CITY RESEARCH SCIENTIST \- 21744
**Minimum Qualifications**
*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 A master's degree from an accredited college or university with specialization in an appropriate field of physical, biological, environmental or social science and three years of responsible full\-time research experience in the appropriate field of specialization; or
*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Experience designing and developing data driven applications using Python and SOL. \- Develop ETL pipelines to prepare department data for analysis and improve overall data governance (e.g. Pandas, Cask). \- Develop data infrastructure to support statistical and machine reaming models e.g. Docker). \- Conduct complex data analysis to inform design and development decisions. \- Ability to write clean code that integrates data sources with PowerBI. \- Ability to write advanced SQL queries to support analytic projects is required. \- Ability to work with unstructured data, such as text, geospatial, and network data is preferred (e.g. nltk, geopy, networkx). \- Excellent oral, written, analytic, organizational, and interpersonal skills and attention to detail are required. \- Ability to manage multiple projects simultaneously and meet tight deadlines. \- Ability to work both independently and on a team. \- Ability to work cross\-functionally to strengthen the department data foundation.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row>
    <row r="38">
      <c r="A38" t="inlineStr">
        <is>
          <t>li-4282322803</t>
        </is>
      </c>
      <c r="B38" t="inlineStr">
        <is>
          <t>Data Engineer</t>
        </is>
      </c>
      <c r="C38" t="inlineStr">
        <is>
          <t>Versa Networks</t>
        </is>
      </c>
      <c r="D38" t="inlineStr">
        <is>
          <t>linkedin</t>
        </is>
      </c>
      <c r="E38" t="inlineStr"/>
      <c r="F38" t="inlineStr"/>
      <c r="G38" t="inlineStr"/>
      <c r="H38" t="inlineStr"/>
      <c r="I38"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We’re seeking a highly skilled Data Engineer to design, build, and maintain production\-grade data pipelines that process and transform terabytes of data. In this role, you’ll collaborate closely with data scientists and other SWEs to ensure that our data infrastructure is scalable, reliable, and cost\-effective.
**Responsibilities**
* Pipeline Development \&amp; Deployment:
+ Architect, develop, and deploy batch and streaming pipelines using Airflow and containerized workflows for cyber\-security use\-cases.
+ Containerize data\-processing jobs with Docker, orchestrate with Kubernetes, and manage releases with Helm charts.
* Distributed Computing:
+ Build high\-throughput data transformations using Dask or Apache Spark.
+ Maintain training data clusters across hybrid (on\-prem and cloud environments).
+ Optimize training jobs for performance, resiliency, and cost.
* Monitoring \&amp; Reliability:
+ Implement observability (logging, metrics, alerting) to maintain pipeline health and SLA adherence.
+ Troubleshoot, debug, and resolve data\-processing failures in production.
* Collaboration \&amp; Best Practices:
+ Work with cross\-functional teams to define data contracts, schemas, and quality checks.
+ Enforce software engineering best practices: CI/CD, code reviews, automated testing, and documentation.
* Data Modeling \&amp; Storage:
+ Design and maintain data models and schemas for AI/ML continuous training use cases.
+ Load data into cloud storage and lakes, ensuring performance and accessibility.
**Qualifications**
* 3–5 years of professional experience designing and operating production data pipelines at scale.
* Containerization \&amp; Orchestration: Expertise with Docker, Kubernetes, and Helm.
* Workflow Management: Hands\-on experience building DAG\-based pipelines in Apache Airflow.
* Programming: Strong proficiency in Python for data engineering tasks.
* Distributed Frameworks: Practical experience with Dask or Apache Spark for large\-scale data processing.
* Cloud Fundamentals: Familiarity with deploying and managing services in a cloud environment.
* Compiled Languages: Experience writing data services in Go or Rust.
* GCP Proficiency: Hands\-on with Google Cloud services (e.g., Pub/Sub, Big Query, Cloud Storage, GKE). Equivalent experience in other public cloud providers is fine.
* ML Pipelines: Exposure to deploying cross\-cluster model\-training workflows using Ray or similar frameworks.
* Infrastructure as Code: Familiarity with Terraform for deployment.
* Security \&amp; Compliance: Knowledge of data governance, encryption, and role\-based access control.
 Location: United States
* Applicants must be authorized to work in the US
 The pay range for this position at commencement of employment in California, Washington, or New York City is expected in the range of $150,000 to $220,000\.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39">
      <c r="A39" t="inlineStr">
        <is>
          <t>li-4343494230</t>
        </is>
      </c>
      <c r="B39" t="inlineStr">
        <is>
          <t>Python/Data Engineer - SMA Solutions, Associate</t>
        </is>
      </c>
      <c r="C39" t="inlineStr">
        <is>
          <t>BlackRock</t>
        </is>
      </c>
      <c r="D39" t="inlineStr">
        <is>
          <t>linkedin</t>
        </is>
      </c>
      <c r="E39" t="inlineStr"/>
      <c r="F39" t="inlineStr"/>
      <c r="G39" t="inlineStr">
        <is>
          <t>San Francisco, CA</t>
        </is>
      </c>
      <c r="H39" t="inlineStr"/>
      <c r="I39" t="inlineStr">
        <is>
          <t>**About This Role**
**About BlackRock SMA Solutions:**
 At BlackRock SMA Solutions, our strategies are designed to put our clients’ and their clients’ interests at the center of our investment advice; to minimize costs and taxes; and to incorporate each client’s unique values\-aligned preferences into their investment portfolio. Offering a full suite of tools for our clients, from direct\-indexing to active equity and fixed income strategies—with evolution a constant part of our game.
 As a business, we are fast\-growing and our systems need to grow along with it. We are looking for engineers who like to innovate and seek complex problems. We recognize that strength comes from teams with a variety of perspectives, and will embrace your unique skills, curiosity, drive, and passion while giving you the opportunity to grow technically and as an individual. Engineers looking to work in the areas of orchestration, data modeling, data pipelines, APIs, storage, distribution, distributed computation, consumption and infrastructure are ideal candidates.
**About This Role**
 We are expanding the team of engineers that owns and operates our extensive data platform underpinning the SMA business. As a member of this team, you will build, enhance, and support a wide variety of data\-centric applications and tools to generate or consume data feeds from diverse systems; generate reporting artifacts at scale; and expand the data estate in support of our users. You will work with your team and your stakeholders to ensure data arrives in a complete and timely manner, with validated quality.
**Requirements**
* BA/BS in Computer Science or equivalent practical experience
* At least 3\+ years of post\-university experience as a full\-stack engineer
* Solid knowledge of programming fundamentals—algorithms, data structures, design patterns, and paradigms
* Strong knowledge of Python
* Solid knowledge SQL and relational databases
* Ability to troubleshoot problems in a live environment and provide real time help with critical issues
* Write code that is easily understood and maintainable by other team members
* Keep up to date with developments in technologies we are using
* Ability to communicate and work effectively, supporting various business departments
* Ability to work in fast\-paced interdisciplinary environment
**Desirable Additional Qualifications**
* Knowledge of Extract\-Transform\-Load (ETL) and big data analytics tools
* Experience working in a cloud environment (AWS, Azure, GCP)
* Familiarity with popular Python data analytics frameworks
* Familiarity with Snowflake or other large analytics engines
* Experience with data warehousing and working in environments with large scale, complex analytics requirements.
* Familiarity with DAG\-based job scheduling tools
* Cloud\-native container orchestration platforms and tools
* Experience working in the Financial Services industry
 For San Francisco, CA and Sausalito, CA Only the salary range for this position is USD$132,500\.00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For Princeton, NJ Only the salary range for this position is USD$0\.00 \- USD$0\.00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row>
    <row r="40">
      <c r="A40" t="inlineStr">
        <is>
          <t>li-4327208014</t>
        </is>
      </c>
      <c r="B40" t="inlineStr">
        <is>
          <t>Analytics Engineer</t>
        </is>
      </c>
      <c r="C40" t="inlineStr">
        <is>
          <t>Ibotta</t>
        </is>
      </c>
      <c r="D40" t="inlineStr">
        <is>
          <t>linkedin</t>
        </is>
      </c>
      <c r="E40" t="inlineStr"/>
      <c r="F40" t="inlineStr"/>
      <c r="G40" t="inlineStr">
        <is>
          <t>Denver, CO</t>
        </is>
      </c>
      <c r="H40" t="inlineStr"/>
      <c r="I40" t="inlineStr">
        <is>
          <t>Ibotta is seeking an
 **Analytics Engineer** 
 to join our innovative Core Data \&amp; Analytics team and contribute to our mission to Make Every Purchase Rewarding. Our growing Core Data \&amp; Analytics team provides high\-quality, on\-time analytics products and services across all business areas and teams within Ibotta. We achieve this by offering expert guidance, sharing specialized knowledge, promoting data\-driven solutions, and overseeing mission\-critical data science projects that impact the entire organization.
 This position is located in Denver, Colorado, as a hybrid position requiring 3 days in office (Tuesday, Wednesday, and Thursday). Candidates must live in the United States.
**What you will be doing:**
* Helping us organize and optimize our data for analysis
* Collaborate with other Analytics Engineers and Platform Engineers to understand our data models and translate them into scalable data solutions
* Implement and utilize engineering best practices and methods to deploy and maintain quality, curated data sets using Airflow, including automated alerting and anomaly detection into data flows to ensure data quality and integrity
* Work across our full technology stack (Databricks, Spark, Command Line, Airflow, GitHub, Python, Monte Carlo, etc) to develop and maintain these datasets
* Building UI and automation tools to enable data democratization throughout the company
* Lead large, complex task force projects that require cross\-functional input across various teams
* Managing new data requirements and developing solutions that minimize technical debt creation
* Embrace and uphold Ibotta’s Core Values: Integrity, Boldness, Ownership, Teamwork, Transparency, \&amp; A good idea can come from anywhere
**What we are looking for:**
* 2\+ years of practical work experience in a data engineering role supporting an analytics team or equivalent experience as an analytics engineer
* Bachelor’s degree in Computer Science, Engineering, Analytics, or a related field required
* Working knowledge and some practical experience with some or all of the following:
+ End\-to\-end analytics automation, data pipelines, ETL/ELT processes, and tools (AWS Glue, DBT, etc.)
+ AWS EcoSystem and cloud\-based data warehouse and architecture
+ Airflow, DataBricks, Git, Monte Carlo
+ Multiple languages and frameworks (Python, Scala, strong SQL, Spark, Command Line) highly preferred
+ Development in a modern BI/data visualization platform (Looker, Tableau, etc.)
+ Event\-driven architectures and platforms are a strong plus
* An ability to develop solutions by applying data quality principles
* Ability to think creatively, provide thoughtful insights, and solve problems to answer business questions using data
* Collaboration with SMEs to understand the business context of the data
* Experience identifying and troubleshooting data anomalies and pipeline issues
* Exposure to managing and updating cluster configurations to ensure workflow operation
* Ownership of data throughout its lifecycle
* Excellent oral and written communication skills
**What we are looking for:**
 You…
* are proactive, collaborative, and driven to solve hard problems while respecting diverse perspectives in a dynamic, fast\-paced environment
* are an intellectually curious, conceptual thinker who uses creative problem\-solving skills to work with other engineers and analytics stakeholders to challenge yourself and develop as an engineer
* are a detailed\-oriented team player with an ownership mindset who develops technical solutions that apply data quality principles
* work collaboratively throughout the organization to drive towards common goals and understand the business context of data
* understand that delivering products incrementally helps provide more value to the business, and testing your code is one of the most important aspects of engineering
* trust your teammates, and embrace healthy conflict and debate \- not afraid to voice your opinions but okay with not always being right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Employee Stock Purchase Program, and 401k match. Denver office perks include paid parking, snacks, and occasional meals.
* Base compensation range: $111,000 \- $127,000\.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41">
      <c r="A41" t="inlineStr">
        <is>
          <t>li-4351048847</t>
        </is>
      </c>
      <c r="B41" t="inlineStr">
        <is>
          <t>Data Engineer</t>
        </is>
      </c>
      <c r="C41" t="inlineStr">
        <is>
          <t>CubeSmart</t>
        </is>
      </c>
      <c r="D41" t="inlineStr">
        <is>
          <t>linkedin</t>
        </is>
      </c>
      <c r="E41" t="inlineStr"/>
      <c r="F41" t="inlineStr"/>
      <c r="G41" t="inlineStr">
        <is>
          <t>Malvern, PA</t>
        </is>
      </c>
      <c r="H41" t="inlineStr"/>
      <c r="I41" t="inlineStr">
        <is>
          <t>**Overview:**
***This is a hybrid role \- 2 days remote and 3 days in the Malvern, PA office.***
 CubeSmart is currently seeking a Data Engineer to join the Information Technology team at our corporate office in Malvern, PA. The Data Engineer will be responsible for the implementation, development, and optimization of database, data objects, and database scripting with the core database platforms utilized by the core CubeSmart business applications.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This role will also be responsible for the development and maintenance of ETL processes that manage the consumption of data by CubeSmart’s core systems. The role will serve as a technical expert to analyze the needs of CubeSmart’s applications and business data requirements and produce an optimal solution according to their needs and specifications, and in alignment with CubeSmart’s data design standards. This individual will be part of the team building a data and analytics platform in the Microsoft Azure cloud to support the CubeSmart business. This will include designing and building the data ingestion and ETL pipelines to create the cloud Lakehouse environment. In addition, this person will be engaged to develop features in the legacy SQL Server Data Warehouse platform.
**Responsibilities**
* Collaborate with program manager(s), application development, and data consumers to develop data ingestion and ETL pipelines required to enable CubeSmart data consumers to onboard processes to the Data Lakehouse platform
* Create database designs, stored procedures, views and other associated database objects required to implement processes in support of application development efforts
* Design and development of data pipelines and ETL processes required to support system integration and application development needs in the legacy SQL data warehouse environment
* Identification and implementation of database performance tuning required to validate that all systems are performing to an optimal level
* Collaborate with 3rd party vendors to understand externally sourced data and incorporate into CubeSmart’s data environment, in adherence with CubeSmart’s data design standards
**Qualifications:**
 Knowledge, Skills, Abilities and Personal Characteristics
* Bachelor’s degree in Computer Science, Information Technology or a related discipline
* Strong skills in SQL, Python, and PySpark
* Experience with Microsoft Azure data services (Azure Data Factory, Azure Databricks, Azure SQL, and Databricks ML Flow) or equivalent is preferred
* Full understanding of the Software Development Life Cycle (SDLC) and experience with Agile software development processes
* Solid understanding of cloud DevOps capabilities, preferably Azure DevOps
* Experience with MongoDB (or similar non\-relational database platform) or PostgreSQL is a plus
* Experience supporting databases and data models for ERP or financial systems in a plus
* Service orientation towards business\-focused 24×7 support and service mentality
* Ability to work within a team environment, showing an openness to collaborate with technical and business peer, with the ability to step up and take on new challenges in response to changing business conditions
* Ability to learn quickly, adapt work processes to adhere with best practices
* Ability to clearly convey technical information to both technical and non\-technical audiences
* Collaborative individual who creates open channels of communications and encourages technical dialogue across the department.
* Well\-developed analytical and problem\-solving abilities
* Ability to work on multiple tasks and projects at once, with the ability to properly prioritize one’s own work and the work of others</t>
        </is>
      </c>
    </row>
    <row r="42">
      <c r="A42" t="inlineStr">
        <is>
          <t>li-4365622900</t>
        </is>
      </c>
      <c r="B42" t="inlineStr">
        <is>
          <t>Senior Data Engineer</t>
        </is>
      </c>
      <c r="C42" t="inlineStr">
        <is>
          <t>General Motors</t>
        </is>
      </c>
      <c r="D42" t="inlineStr">
        <is>
          <t>linkedin</t>
        </is>
      </c>
      <c r="E42" t="inlineStr"/>
      <c r="F42" t="inlineStr"/>
      <c r="G42" t="inlineStr">
        <is>
          <t>Austin, TX</t>
        </is>
      </c>
      <c r="H42" t="inlineStr"/>
      <c r="I42" t="inlineStr">
        <is>
          <t>**Job Description**
**This role is categorized as hybrid. This means the successful candidate is expected to report to Austin Technical Center in Austin, TX or GM Global Tech Center in Michigan, MI three times per week, at minimum \[or other frequency dictated by the business if more than 3 days].**
**The Role**
 As a Data Engineer, you will design, build, and optimize industrialized data assets and data pipelines in support of Business Intelligence and Advanced Analytics objectives. In this role within the Intelligent Manufacturing organization under Data Engineering Software, you will deliver high\-quality, scalable solutions that meet both functional and non\-functional business requirements. You will contribute to projects across databases, streaming technology, CI/CD, and cloud platforms.
 The Intelligent Manufacturing teams are responsible for ideating, incubating, and delivering new plant data solutions for General Motors Manufacturing and our partners. We integrate with business and IT teams to develop real\-time solutions that leverage plant floor data to improve decisions, plant asset maintenance, safety, and operational performance, as well as Vehicle Build Data.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This job may be eligible for relocation benefits.
**Compensation:**
* The expected base compensation for this role is: $153,000 \- $227,000\.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
      <c r="A43" t="inlineStr">
        <is>
          <t>li-4373215054</t>
        </is>
      </c>
      <c r="B43" t="inlineStr">
        <is>
          <t>Data Engineer</t>
        </is>
      </c>
      <c r="C43" t="inlineStr">
        <is>
          <t>Best Job Tool</t>
        </is>
      </c>
      <c r="D43" t="inlineStr">
        <is>
          <t>linkedin</t>
        </is>
      </c>
      <c r="E43" t="inlineStr"/>
      <c r="F43" t="inlineStr"/>
      <c r="G43" t="inlineStr"/>
      <c r="H43" t="inlineStr"/>
      <c r="I43" t="inlineStr">
        <is>
          <t>**About The Company**
 Tiger Analytics is an advanced analytics consulting firm renowned for delivering innovative data\-driven solutions to a diverse portfolio of clients. We serve as a trusted analytics partner for several Fortune 100 companies, empowering them to unlock significant business value from their data assets. Our team comprises highly skilled professionals specializing in Data Science, Machine Learning, and Artificial Intelligence, enabling us to address complex, unstructured business problems with tailored analytical approaches. Recognized by leading market research firms such as Forrester and Gartner, Tiger Analytics is acknowledged for its leadership and excellence in the analytics domain. Headquartered in Silicon Valley, we operate a global delivery center in Chennai, India, fostering a culture of innovation, collaboration, and continuous learning. Our mission is to transform data into strategic assets, helping organizations achieve sustainable growth and competitive advantage.
**About The Role**
 We are seeking a highly experienced Data Security Specialist with a deep understanding of data access control mechanisms, particularly within the Databricks platform. The ideal candidate will play a pivotal role in assessing, designing, and implementing robust data security solutions aligned with enterprise standards and best practices. This role involves collaborating closely with platform architects and security teams to develop detailed security frameworks, ensuring the protection of sensitive data across cloud environments. The candidate will be responsible for creating technical designs, integration guidelines, and pseudo\-code for automated data classification, tagging, and logging processes within Databricks. This is an excellent opportunity for a seasoned professional to lead security initiatives in a dynamic, fast\-growing organization committed to leveraging data securely and effectively.
**Qualifications**
* Minimum 12\+ years of experience working in the Data Engineering field, with a focus on data security and access control.
* Strong understanding of data security principles, encryption, masking, and data governance frameworks.
* Expertise in Databricks platform, including security features such as Unity Catalog, access controls, and integration capabilities.
* Hands\-on experience with data classification, auto\-tagging, and data masking techniques to ensure compliance and data privacy.
* Proficiency in programming languages such as Python or Scala, with the ability to develop secure and efficient code.
* Exceptional analytical, problem\-solving, and communication skills, capable of translating complex security requirements into practical solutions.
 Significant career development opportunities exist as the company continues to grow. The position offers a unique chance to be part of a small, entrepreneurial environment where individual responsibility and innovation are highly valued. You will have the opportunity to work on challenging projects that directly impact enterprise data security posture and contribute to the organization’s strategic objectives.
**Responsibilities**
* Data Security Analysis: Assess current data access policies, security protocols, and data classification procedures. Identify data security risks and recommend mitigation strategies. Define data access control requirements for the User Access Management (UAM) framework, ensuring compliance with industry standards and organizational policies.
* Databricks Component Design: Develop detailed design specifications for data access control mechanisms within Databricks, utilizing features such as Unity Catalog and other security tools. Create integration guidelines to seamlessly connect Databricks with existing security infrastructure. Develop pseudo\-code for automated data classification, auto\-tagging, and data usage logging to enhance security and compliance.
* Collaboration \&amp; Documentation: Work closely with the Platform Architect to ensure alignment between data security controls and the overall UAM architecture. Document the design, implementation, and operational procedures related to data access control within Databricks, facilitating knowledge sharing and compliance audits.
**Benefits**
 Tiger Analytics offers a comprehensive benefits package designed to support the well\-being and professional growth of our employees. We provide competitive compensation, health insurance, and wellness programs. Employees have access to continuous learning opportunities, including training, certifications, and participation in industry conferences. Our collaborative work environment fosters innovation and teamwork, allowing individuals to make meaningful contributions and advance their careers. Additionally, we promote a healthy work\-life balance through flexible working arrangements and leave policies. As part of our team, you will be engaged in impactful projects that challenge your skills and expand your expertise, all within a supportive and forward\-thinking organizational culture.
 Equal Opportunity
 Tiger Analytics is an equal opportunity employer committed to fostering an inclusive environment for all employees. We do not discriminate based on race, ethnicity, gender, age, religion, sexual orientation, disability, or any other protected characteristic. We believe that diversity enhances our innovation and success, and we actively seek to create a workplace where everyone feels valued, respected, and empowered to contribute their best. We are dedicated to providing equal employment opportunities and maintaining a workplace free from discrimination and harassment.</t>
        </is>
      </c>
    </row>
    <row r="44">
      <c r="A44" t="inlineStr">
        <is>
          <t>li-4343522721</t>
        </is>
      </c>
      <c r="B44" t="inlineStr">
        <is>
          <t>Python/Data Engineer - SMA Solutions, Associate</t>
        </is>
      </c>
      <c r="C44" t="inlineStr">
        <is>
          <t>BlackRock</t>
        </is>
      </c>
      <c r="D44" t="inlineStr">
        <is>
          <t>linkedin</t>
        </is>
      </c>
      <c r="E44" t="inlineStr"/>
      <c r="F44" t="inlineStr"/>
      <c r="G44" t="inlineStr">
        <is>
          <t>Sausalito, CA</t>
        </is>
      </c>
      <c r="H44" t="inlineStr"/>
      <c r="I44" t="inlineStr">
        <is>
          <t>**About This Role**
**About BlackRock SMA Solutions:**
 At BlackRock SMA Solutions, our strategies are designed to put our clients’ and their clients’ interests at the center of our investment advice; to minimize costs and taxes; and to incorporate each client’s unique values\-aligned preferences into their investment portfolio. Offering a full suite of tools for our clients, from direct\-indexing to active equity and fixed income strategies—with evolution a constant part of our game.
 As a business, we are fast\-growing and our systems need to grow along with it. We are looking for engineers who like to innovate and seek complex problems. We recognize that strength comes from teams with a variety of perspectives, and will embrace your unique skills, curiosity, drive, and passion while giving you the opportunity to grow technically and as an individual. Engineers looking to work in the areas of orchestration, data modeling, data pipelines, APIs, storage, distribution, distributed computation, consumption and infrastructure are ideal candidates.
**About This Role**
 We are expanding the team of engineers that owns and operates our extensive data platform underpinning the SMA business. As a member of this team, you will build, enhance, and support a wide variety of data\-centric applications and tools to generate or consume data feeds from diverse systems; generate reporting artifacts at scale; and expand the data estate in support of our users. You will work with your team and your stakeholders to ensure data arrives in a complete and timely manner, with validated quality.
**Requirements**
* BA/BS in Computer Science or equivalent practical experience
* At least 3\+ years of post\-university experience as a full\-stack engineer
* Solid knowledge of programming fundamentals—algorithms, data structures, design patterns, and paradigms
* Strong knowledge of Python
* Solid knowledge SQL and relational databases
* Ability to troubleshoot problems in a live environment and provide real time help with critical issues
* Write code that is easily understood and maintainable by other team members
* Keep up to date with developments in technologies we are using
* Ability to communicate and work effectively, supporting various business departments
* Ability to work in fast\-paced interdisciplinary environment
**Desirable Additional Qualifications**
* Knowledge of Extract\-Transform\-Load (ETL) and big data analytics tools
* Experience working in a cloud environment (AWS, Azure, GCP)
* Familiarity with popular Python data analytics frameworks
* Familiarity with Snowflake or other large analytics engines
* Experience with data warehousing and working in environments with large scale, complex analytics requirements.
* Familiarity with DAG\-based job scheduling tools
* Cloud\-native container orchestration platforms and tools
* Experience working in the Financial Services industry
 For San Francisco, CA and Sausalito, CA Only the salary range for this position is USD$132,500\.00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For Princeton, NJ Only the salary range for this position is USD$0\.00 \- USD$0\.00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row>
    <row r="45">
      <c r="A45" t="inlineStr">
        <is>
          <t>li-4291342584</t>
        </is>
      </c>
      <c r="B45" t="inlineStr">
        <is>
          <t>Senior Data Engineer, Scala</t>
        </is>
      </c>
      <c r="C45" t="inlineStr">
        <is>
          <t>Magnite</t>
        </is>
      </c>
      <c r="D45" t="inlineStr">
        <is>
          <t>linkedin</t>
        </is>
      </c>
      <c r="E45" t="inlineStr"/>
      <c r="F45" t="inlineStr"/>
      <c r="G45" t="inlineStr"/>
      <c r="H45" t="inlineStr"/>
      <c r="I45" t="inlineStr">
        <is>
          <t>**New York City, NY** 
**Boston, MA** 
**Los Angeles, CA** 
**Denver, CO** 
**Seattle, WA** 
**San Francisco, CA** 
**Hybrid Schedule (M/F remote, T/W/TH in\-office)** 
 At Magnite, we cultivate an environment of continuous growth and collaboration. Our work impacts what millions of people read, watch, and buy, and we’re looking for people to help us tackle that responsibility with creativity and focus. Magnite (NASDAQ: MGNI) is the world’s largest independent sell\-side advertising platform. Publishers use our technology to monetize their content across all screens and formats including CTV / streaming, online video, display, and audio. Our tech fuels billions of transactions per day!
 Magnite conducts 400\+ billion ad request auctions daily carrying $450\+ million of revenue annually. To stand out among competitors, Magnite strategically focuses on being the most efficient, highest scale independent exchange.
**About This Team** 
 The Core Data Engineering team sits within the data engineering group and maintains technical involvement across the applications and infrastructure that make up Magnite's data pipelines. Our pipelines collectively handle 400\+ billion events per day and generate terabytes of data per hour across both cloud\-based and on\-prem infrastructure. This data underpins the various business lines \- including client reporting, internal data science, account managers, and product \+ business teams \- and as such we need to build systems that remain scalable and efficient at this volume of data while also ensuring data consistency and reliability. We value communication, discussion, and sharing of ideas to come to the best technical solutions to our large\-scale data challenges. We are looking for people who want to get things done and value open collaboration (including constructive feedback when brainstorming). The team's mandate is technical development across the three platform\-specific data engineering teams in the group. As such they get exposure to all aspects of our data engineering infrastructure and applications including Spark jobs, Java\-based real\-time event processing, and large\-scale data warehousing.
**In This Role You Will** 
* Get to work on handling internet\-scale data problems
* Help architect and build systems to process our data volume to empower all consumers
* Have hands\-on involvement across the group's various data pipelines and related systems for data delivery
* Be a part of and promote our culture of collaboration and mentorship
**Typical Challenges We Face In This Role Include** 
* Highly\-scalable infrastructure: Our traffic has patterns with peak\- and off\-peak times and seasonal shifts, and our data infrastructure needs to be able to respond accordingly
* Cost optimization: Improving profit margins by lowering the infrastructure cost basis through building efficient systems
* Technical architecture considerations given various SLAs for data delivery
**We’re Looking For Someone** 
* With 5\+ years of software development experience with a BS/MS Computer Science or equivalent work experience
* Who wants to take ownership. We are responsible for the entire software development lifecycle, from requirements gathering to production support
* To engage in critical and creative thinking, and constructive brainstorming. We expect engineers to present and discuss tradeoffs to solve the problems we face.
* With either existing experience designing and building systems that work with large\-scale data volumes and data ingestion systems at scale in a cloud\-first setting, OR established technical excellence with a desire to learn and crush the data engineering world
**Our Current Tech Stack** 
* Spark (batch \+ streaming) data pipelines, currently based both on Databricks and on\-prem Spark infrastructure, primarily using Scala
* Streaming event processing data pipeline, using Java
* Terraform, Docker, Jenkins for CI/CD / infra / application deployment
* Airflow for job orchestration
* AWS\-based cloud infrastructure including RDS, EC2, S3, Kinesis, ECS
**Comprehensive Perks And Benefits** 
* Comprehensive Healthcare Coverage for You and Your Family from Day One
* Generous Time Off
* Holiday Breaks, Summer Fridays and Quarterly Wellness Days
* Equity and Employee Stock Purchase Plan
* Family\-Focused Benefits and Parental Leave
* 401k Retirement Savings Plan with Employer Match
* Disability and Life Insurance
* Cell Phone Subsidy
* Fitness and Wellness Reimbursement
**Company Culture** 
* Community Service and Volunteer Events
* Company\-Matched Charitable Contributions
* Wellness Coach and Mental Health Support
* Career Development Initiatives and a Career Growth Framework
* Culture and Inclusion Programs
* Bonusly Peer\-to\-Peer Recognition Program
**About Us** 
 The world's leading agencies and brands trust our platform to access brand\-safe, high\-quality ad inventory and execute billions of advertising transactions each month. Anchored in bustling New York City, sunny Los Angeles, mile high Denver, historic London, and down under in Sydney, Magnite has offices across North America, EMEA, LATAM, and APAC.
 Only candidates in the following states will be eligible for employment: AZ, CA, CO, FL, GA, ID, IL, MA, MI, MT, NE, NJ, NY, NC, OK, OR, PA, SC, TX, UT, VA, WA.
 The base salary range for this position, across all United States geographies, is $150,000 \- $170,000 per year. The upper portion of the salary range is typically reserved for existing employees who demonstrate strong performance over time.
*Magnite is an Equal Opportunity Employer and does not discriminate against applicants due to race, color, religion, national origin, age, sex, marital status, ancestry, physical or mental disability, veteran status, gender identity, sexual orientation or any other federal, state or local protected class.* 
*Our Commitment: We aim to incorporate a wide range of voices into our Magnite culture, cultivating an environment where employees feel welcomed, cared for, and encouraged to freely share ideas. We are committed to employee growth, collaboration, inclusion, and innovation. We invest in Magnite’s local communities. We seek talent from all backgrounds to champion corporate values of seeing the big picture and being catalysts of change.* 
**Want to learn more about us?** 
**Check out our blog for Magnite announcements and Ad Tech industry news!** 
**Recruiting Agency Notice** 
 Magnite does not accept agency resumes and is not responsible for any fees related to unsolicited resumes.</t>
        </is>
      </c>
    </row>
    <row r="46">
      <c r="A46" t="inlineStr">
        <is>
          <t>li-4267542952</t>
        </is>
      </c>
      <c r="B46" t="inlineStr">
        <is>
          <t>Senior Market Data Engineer</t>
        </is>
      </c>
      <c r="C46" t="inlineStr">
        <is>
          <t>WorldQuant</t>
        </is>
      </c>
      <c r="D46" t="inlineStr">
        <is>
          <t>linkedin</t>
        </is>
      </c>
      <c r="E46" t="inlineStr"/>
      <c r="F46" t="inlineStr"/>
      <c r="G46" t="inlineStr">
        <is>
          <t>New York, United States</t>
        </is>
      </c>
      <c r="H46" t="inlineStr"/>
      <c r="I46"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 Design and build real\-time market data processing systems covering global markets and multiple asset classes
* Architect and implement high\-performance software solutions for processing market data feeds at scale
* Drive technical innovation by leveraging emerging technologies to enhance system telemetry, monitoring, and operational efficiency
* Provide technical leadership and escalation support for production market data systems
* Analyze system performance and design data\-driven approaches to optimize market data processing workflows
* Lead the design of data governance systems for tracking availability, access patterns, and usage metrics
**What You Will Bring**
* Degree in a quantitative or technical discipline from top university and strong academic scores
* Expert\-level C\+\+ proficiency with demonstrated experience in other object\-oriented languages (Java, C\#)
* Experience with scripting languages such as Perl, Python, and shell scripting for automation and data processing
* Deep experience with tick\-by\-tick market data processing, including data normalization, feed handling, and real\-time analytic
* Excellent communication skills with ability to collaborate effectively across technical and business teams
* Have experience working under Linux environment
**Our Benefits**
* Core Benefits: Fully paid medical and dental insurance for employees and dependents, flexible spending account, 401k, fully paid parental leave, generous PTO (paid time off) that consists of:
+ twenty vacation days that are pro\-rated based on the employee’s start date, at an accrual of 1\.67 days per month,
+ three personal days, and
+ ten sick days.
* Perks: Employee discounts for gym memberships, wellness activities, healthy snacks, casual dress code
* Training: learning and development courses, speakers, team\-building off\-site
* Employee resource groups
**Pay Transparency**
 WorldQuant is a total compensation organization where you will be eligible for a base salary, discretionary performance bonus, and benefits.
 To provide greater transparency to candidates, we share base pay ranges for all US\-based job postings regardless of state. We set standard base pay ranges for all roles based on job function and level, benchmarked against similar stage organizations. When finalizing an offer, we will take into consideration an individual’s experience level and the qualifications they bring to the role to formulate a competitive total compensation package.
**The Base Pay Range For This Position Is** 
 $175,000 – $250,000 USD.
 At WorldQuant, we are committed to providing candidates with all necessary information in compliance with pay transparency laws. If you believe any required details are missing from this job posting, please notify us at
 **\[email protected]** 
 , and we will address your concerns promptly.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row>
    <row r="47">
      <c r="A47" t="inlineStr">
        <is>
          <t>li-4346975110</t>
        </is>
      </c>
      <c r="B47" t="inlineStr">
        <is>
          <t>Data Engineer</t>
        </is>
      </c>
      <c r="C47" t="inlineStr">
        <is>
          <t>Motion Recruitment</t>
        </is>
      </c>
      <c r="D47" t="inlineStr">
        <is>
          <t>linkedin</t>
        </is>
      </c>
      <c r="E47" t="inlineStr"/>
      <c r="F47" t="inlineStr"/>
      <c r="G47" t="inlineStr">
        <is>
          <t>Natick, MA</t>
        </is>
      </c>
      <c r="H47" t="inlineStr"/>
      <c r="I47" t="inlineStr">
        <is>
          <t>**Job Description**
 We are working with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48">
      <c r="A48" t="inlineStr">
        <is>
          <t>li-4305080050</t>
        </is>
      </c>
      <c r="B48" t="inlineStr">
        <is>
          <t>Lead Data Engineer</t>
        </is>
      </c>
      <c r="C48" t="inlineStr">
        <is>
          <t>AirOps</t>
        </is>
      </c>
      <c r="D48" t="inlineStr">
        <is>
          <t>linkedin</t>
        </is>
      </c>
      <c r="E48" t="inlineStr"/>
      <c r="F48" t="inlineStr"/>
      <c r="G48" t="inlineStr"/>
      <c r="H48" t="inlineStr"/>
      <c r="I48" t="inlineStr">
        <is>
          <t>**About AirOps**
 AirOps is the first end\-to\-end content engineering platform built for the AI era. In a world where discovery is shifting from traditional search to AI\-driven platforms, we help brands get found—and stay found. We are currently in a phase of hyper\-growth, having 5x’d our revenue in the last year by helping marketing teams at Ramp, Chime, Carta, and Rippling turn content quality into a durable competitive advantage.
 Our platform equips marketers to navigate the new discovery landscape, prioritize high\-impact opportunities, and create accurate, on\-brand content that earns citations from AI and trust from humans. Backed by Greylock, Unusual Ventures, Wing VC, and Founder Collective, we are building the intelligent systems that will empower the next generation of marketing leaders. AirOps is headquartered in San Francisco, New York and Montevideo.
**About The Role**
 As Lead Data Engineer, you will own and scale the data platform that powers AirOps insights on AI search visibility and content performance. You will set technical direction, write production code, and build a small, high\-output team that turns raw web, content, and AI agent data into trustworthy datasets.
 Your work will drive customer\-facing analytics and product features while giving our content and growth teams a clear path from strategy to execution. You value extreme ownership, sweat the details on data quality, and love partnering across functions to ship fast without losing rigor.
 Key Responsibilities
* Data platform ownership: design, build, and operate batch and streaming pipelines that ingest data from crawlers, partner APIs, product analytics, and CRM.
* Core modeling: define and maintain company\-wide models for content entities, search queries, rankings, AI agent answers, engagement, and revenue attribution.
* Orchestration and CI: implement workflow management with Airflow or Prefect, dbt\-based transformations, version control, and automated testing.
* Data quality and observability: set SLAs, add tests and data contracts, monitor lineage and freshness, and lead root cause analysis.
* Warehouse and storage: run Snowflake or BigQuery and Postgres with strong performance, cost management, and partitioning strategies.
* Semantic layer and metrics: deliver clear, documented metrics datasets that power dashboards, experiments, and product activation.
* Product and customer impact: partner with Product and Customer teams to define tracking plans and measure content impact across on\-site and off\-site channels.
* Tooling and vendors: evaluate, select, and integrate the right tools for ingestion, enrichment, observability, and reverse ETL.
* Team leadership: hire, mentor, and level up data and analytics engineers; establish code standards, review practices, and runbooks.
**Qualifications**
* 5\+ years in data engineering with 2\+ years leading projects
* Expert SQL and Python with deep experience building production pipelines at scale
* Hands\-on with dbt and a workflow manager such as Airflow or Prefect
* Strong background in dimensional and event\-driven modeling and a company\-wide metrics layer
* Experience with Snowflake or BigQuery, plus Postgres for transactional use cases
* Track record building data products for analytics and customer reporting
* Cloud experience on AWS or GCP and infrastructure as code such as Terraform
* Domain experience in SEO, content analytics, or growth experimentation is a plus
* Clear communicator with a bias for action, curiosity, and a high bar for quality
**Our Guiding Principles**
* Extreme Ownership
* Quality
* Curiosity and Play
* Make Our Customers Heroes
* Respectful Candor
**Benefits**
* Equity in a fast\-growing startup
* Competitive benefits package tailored to your location
* Flexible time off policy
* Parental Leave
* A fun\-loving and (just a bit) nerdy team that loves to move fast!</t>
        </is>
      </c>
    </row>
    <row r="49">
      <c r="A49" t="inlineStr">
        <is>
          <t>li-4346869152</t>
        </is>
      </c>
      <c r="B49" t="inlineStr">
        <is>
          <t>Data Engineer</t>
        </is>
      </c>
      <c r="C49" t="inlineStr">
        <is>
          <t>Motion Recruitment</t>
        </is>
      </c>
      <c r="D49" t="inlineStr">
        <is>
          <t>linkedin</t>
        </is>
      </c>
      <c r="E49" t="inlineStr"/>
      <c r="F49" t="inlineStr"/>
      <c r="G49" t="inlineStr">
        <is>
          <t>Framingham, MA</t>
        </is>
      </c>
      <c r="H49" t="inlineStr"/>
      <c r="I49"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50">
      <c r="A50" t="inlineStr">
        <is>
          <t>li-4349382112</t>
        </is>
      </c>
      <c r="B50" t="inlineStr">
        <is>
          <t>Data Engineer</t>
        </is>
      </c>
      <c r="C50" t="inlineStr">
        <is>
          <t>Motion Recruitment</t>
        </is>
      </c>
      <c r="D50" t="inlineStr">
        <is>
          <t>linkedin</t>
        </is>
      </c>
      <c r="E50" t="inlineStr"/>
      <c r="F50" t="inlineStr"/>
      <c r="G50" t="inlineStr">
        <is>
          <t>Burlington, MA</t>
        </is>
      </c>
      <c r="H50" t="inlineStr"/>
      <c r="I50"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51">
      <c r="A51" t="inlineStr">
        <is>
          <t>li-4349344212</t>
        </is>
      </c>
      <c r="B51" t="inlineStr">
        <is>
          <t>Data Engineer</t>
        </is>
      </c>
      <c r="C51" t="inlineStr">
        <is>
          <t>Motion Recruitment</t>
        </is>
      </c>
      <c r="D51" t="inlineStr">
        <is>
          <t>linkedin</t>
        </is>
      </c>
      <c r="E51" t="inlineStr"/>
      <c r="F51" t="inlineStr"/>
      <c r="G51" t="inlineStr">
        <is>
          <t>Waltham, MA</t>
        </is>
      </c>
      <c r="H51" t="inlineStr"/>
      <c r="I51"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52">
      <c r="A52" t="inlineStr">
        <is>
          <t>li-4321342136</t>
        </is>
      </c>
      <c r="B52" t="inlineStr">
        <is>
          <t>Senior Data Engineer</t>
        </is>
      </c>
      <c r="C52" t="inlineStr">
        <is>
          <t>Healthmap Solutions</t>
        </is>
      </c>
      <c r="D52" t="inlineStr">
        <is>
          <t>linkedin</t>
        </is>
      </c>
      <c r="E52" t="inlineStr"/>
      <c r="F52" t="inlineStr"/>
      <c r="G52" t="inlineStr"/>
      <c r="H52" t="inlineStr"/>
      <c r="I52" t="inlineStr">
        <is>
          <t>**Description**
*Position at Healthmap Solutions*
**Company Background**
 Healthmap Solutions is the future of specialty health management that focuses on progressive diseases, with a particular expertise in kidney health populations. Healthmap Solutions uses clinical big data resources and high\-powered analytics to power complex specialty health management programs. Healthmap Solutions is a diverse, growing company committed to our clients and our employees. We are champions for better health, for those who need us most.
***Position Summary***
 The Senior Data Engineer drives the design, development, and operational excellence of our data platform built on Databricks and the Delta Lakehouse Architecture. This role requires deep expertise in scalable ETL/ELT, Spark optimization, and modern data governance using Unity Catalog. The Senior Data Engineer serves as a technical leader, establishing best practices for code quality, performance, and automated deployments across all environments.
**Responsibilities**
* Design and implement scalable data pipelines using Delta Lake and manage enterprise\-wide data access, security, and lineage using Unity Catalog
* Optimize large\-scale Spark jobs (PySpark/SQL) and cluster configurations (Photon) to meet stringent SLA and cost performance targets across all workflows
* Build resilient data scheduling via Databricks Workflows (Jobs) and establish automated CI/CD pipelines for reliable code promotion across Dev, Staging, and Prod workspaces
* Migrate data and models from relational databases to Databricks
* Ensure best practices for development using industry standard development patterns
* Monitor data pipelines performance
* Partner with Data Management and Full Stack development engineers to operationalize models with current applications and processes
* Support existing data pipelines to ensure business continuity
* Stay updated with the latest trends and technologies in data engineering and cloud computing
* Perform other related duties as assigned
**Requirements**
* Bachelor’s degree is required
* 5\+ years of experience in Data Engineering, with a significant focus on data warehousing, ETL/ELT development, and distributed systems
* 3\+ years of hands\-on experience developing enterprise solutions on the Databricks platform
* Expertise in PySpark and high\-performance SQL
* Deep understanding practical knowledge of Delta Lake architecture and optimal maintenance best practices
* Experience with cloud platforms (AWS preferred) and integrating Databricks with native cloud services (S3, Secret Manager, IAM)
* Solid experience implementing CI/CD for Databricks notebooks and associated libraries
* Healthcare experience is preferred
**Skills**
* Strong development experience with: Python, Spark, or similar technologies
* Excellent verbal, communication, negotiation, and presentation skills
* Strong analytical and problem\-solving skills
* Ability to work autonomously while collaborating across teams to deliver timely projects
* Ability to explain complex concepts in simple terms
* Dedicated, hardworking employee who achieves maximum efficiency and productivity
* Strong knowledge of domain\-based design, data modeling and data structures
* Strong knowledge of best practice in data management
 No Travel
**Americans with Disability Specifications**
 The physical demands described here are representative of those that must be met by an employee to successfully perform the essential functions of this job. Reasonable accommodations may be made to enable individuals with disabilities to perform the essential functions.
 As an Equal Opportunity Employer, we will not discriminate against any job candidate or employee due to age, race, religion, ethnicity, national origin, gender, gender identity/expression, sexual orientation, disability, familial status, veteran status, marital status, parental status, or pregnancy. In our innovative and inclusive workplace, we prohibit discrimination and harassment of any kind.</t>
        </is>
      </c>
    </row>
    <row r="53">
      <c r="A53" t="inlineStr">
        <is>
          <t>li-4346907472</t>
        </is>
      </c>
      <c r="B53" t="inlineStr">
        <is>
          <t>Data Engineer</t>
        </is>
      </c>
      <c r="C53" t="inlineStr">
        <is>
          <t>Motion Recruitment</t>
        </is>
      </c>
      <c r="D53" t="inlineStr">
        <is>
          <t>linkedin</t>
        </is>
      </c>
      <c r="E53" t="inlineStr"/>
      <c r="F53" t="inlineStr"/>
      <c r="G53" t="inlineStr">
        <is>
          <t>Boston, MA</t>
        </is>
      </c>
      <c r="H53" t="inlineStr"/>
      <c r="I53" t="inlineStr">
        <is>
          <t>**Job Description**
 Our client is an AI\-driven insurance technology company transforming how insurers, agents, and customers operate through intelligent automation and data\-powered decisioning. They are building a modern, cloud\-native data platform from the ground up to support large\-scale integrations, real\-time analytics, and AI models across the insurance lifecycle.
 They are seeking a Data Engineer to join their growing team. This is a full\-time, hybrid role where you will play a key part in designing and building the core data environment that powers AI products, reporting, and complex partner integrations. You’ll work closely with engineering, product, and business teams to turn raw data into reliable, scalable systems that directly support production AI use cases.
**Required Skills \&amp; Experience**
* Bachelor’s degree in Computer Science, Data Engineering, or a related field
* 5\+ years of experience in data engineering or backend data\-focused roles
* Strong expertise in SQL, data modeling, and building robust ETL/ELT pipelines
* Experience designing systems that support large\-scale data integrations
* Hands\-on experience with relational databases (Postgres, MySQL, or similar)
* Familiarity with distributed data and streaming systems (Spark, Kafka, Flink, or equivalent)
* Experience working in cloud environments (AWS, GCP, or Azure preferred)
 What You Will Be Doing Tech Breakdown
* 70% Data Platform \&amp; Pipeline Development
* 20% System Design \&amp; Large\-Scale Integrations
* 10% Cross\-team Collaboration \&amp; Documentation
 Daily Responsibilities
* Build and maintain scalable batch and real\-time data pipelines that power AI\-driven insurance products
* Design and evolve the core data architecture supporting analytics, machine learning, and external integrations
* Work on complex inbound and outbound data integrations with partners, carriers, and internal systems
* Optimize data models and pipelines for performance, reliability, and data quality
* Collaborate with product managers, backend engineers, and AI teams to deliver production\-ready data solutions
* Monitor pipeline health, implement observability, and ensure high data integrity across systems
 The Offer
* Competitive base salary
* Bonus eligibility
* Comprehensive benefits package including:
+ Medical, Dental, and Vision Insurance
+ Paid Time Off (PTO)
+ 401(k) with company match
**Posted By:** 
 Sarah Carroll</t>
        </is>
      </c>
    </row>
    <row r="54">
      <c r="A54" t="inlineStr">
        <is>
          <t>li-4312147820</t>
        </is>
      </c>
      <c r="B54" t="inlineStr">
        <is>
          <t>Senior Data Engineer</t>
        </is>
      </c>
      <c r="C54" t="inlineStr">
        <is>
          <t>Hearst</t>
        </is>
      </c>
      <c r="D54" t="inlineStr">
        <is>
          <t>linkedin</t>
        </is>
      </c>
      <c r="E54" t="inlineStr"/>
      <c r="F54" t="inlineStr"/>
      <c r="G54" t="inlineStr">
        <is>
          <t>New York, NY</t>
        </is>
      </c>
      <c r="H54" t="inlineStr"/>
      <c r="I54" t="inlineStr">
        <is>
          <t>**Job Description**
 Join the elite engineering team at a leading global media organization, where technology meets world\-class content. We are seeking a highly motivated and skilled
 **Senior Data Engineer** 
 to lead the architecture, deployment, and operation of our next\-generation, data\-driven platforms. You will be instrumental in bridging the gap between Data Science and Operations, ensuring our datasets, machine learning models and core services are deployed reliably, scalably, and securely across the cloud.
 This is a high\-impact role requiring deep expertise in core engineering, data architecture, and the full Machine Learning lifecycle in a production environment.
**Responsibilities**
* Data Pipeline Design \&amp; Orchestration: Design, build, and maintain robust data ingestion and transformation pipelines, leveraging modern orchestration tools to ensure reliable data flow for ML models.
* Core Development: Write clean, efficient, and well\-tested code in Python for automation scripts, infrastructure tooling, and glue services connecting cloud components.
* API and Service Deployment: Design, develop, and deploy high\-performance Python APIs (FastAPI/Flask) to serve machine learning predictions and core application logic.
* MLOps Pipeline Ownership: Design and manage end\-to\-end pipelines for continuous training, deployment, and versioning of high\-impact ML models (e.g., recommendation systems).
* Infrastructure Management: Architect and maintain scalable, fault\-tolerant infrastructure using Kubernetes (GKE) across Google Cloud Platform (GCP).
* Collaboration \&amp; Mentorship: Work closely with data scientists and software engineers; provide technical guidance and mentorship to junior team members.
**Qualifications**
**Must\-Have (Engineering Excellence)**
* Experience: 5\+ years of professional experience in Data Engineering, Software Engineering, or Cloud Engineering.
* Python Mastery: Deep expertise in Python for application development, data and automation
* Backend Development: Proven experience building and deploying production\-ready APIs and backend services using frameworks like FastAPI, Flask, or Django.
* Data Architecture: Strong proficiency in SQL and experience designing/optimizing schemas for relational/NoSQL databases and data warehouses (e.g., BigQuery, Cloud SQL).
* Orchestration: Hands\-on experience with data pipeline and workflow orchestration tools such as Dagster or Airflow.
* Cloud Fundamentals: Extensive experience designing and managing scalable services within the Google Cloud Platform (GCP) ecosystem (BigQuery, Pub/Sub, Vertex AI, Compute Engine).
* Containerization: Expert\-level knowledge of Docker and Kubernetes, including hands\-on experience with package management (Helm).
**Nice\-to\-Have (DevOps \&amp; MLOps)**
* Infrastructure as Code (IaC): Experience with Terraform, Crossplane, or similar tools to drive automated infrastructure provisioning.
* CI/CD Implementation: Experience configuring automated deployment and testing pipelines using GitHub Actions.
* Observability: Familiarity with monitoring, logging, and alerting solutions (Prometheus, Grafana, Cloud Logging) to diagnose production issues.
* Security: Understanding of network architecture, security principles, and media industry compliance standards.
* ML Lifecycle: Experience specifically focusing on MLOps in a production environment (model monitoring, drift detection, and automated retraining).
**What We Offer**
* Competitive salary and comprehensive benefits package.
* The opportunity to work on cutting\-edge machine learning and streaming infrastructure that impacts millions of users globally.
* A collaborative and innovative culture within a financially stable and growth\-oriented media leader.
 In accordance with applicable law, Hearst is required to include a reasonable estimate of the compensation for this role if hired in New York City. The reasonable estimate, if hired in New York City, is $150,000 \- $165,000\. Please note this information is specific to those hired in New York City. If this role is open to candidates outside of New York City, the salary range would be aligned to that specific location. A final decision on the successful candidate’s starting salary will be based on a number of permissible, non\-discriminatory factors, including but not limited to skills and experience, training, certifications, and education. Hearst provides a competitive benefits package, including medical, dental, vision, disability, and life insurance, 401(k), paid holidays and paid time off, employee assistance programs, and more.
**About Us**
**Hearst is a leading global, diversified information, services, and media company dedicated to innovating, informing audiences and leading with purpose, integrity and a culture of care.**
 Our portfolio includes more than 360 businesses worldwide. On the consumer side, we operate 35 television stations, 28 daily newspapers and publish more than 200 magazine editions featuring many of the most iconic brands in media. We also hold ownership stakes in leading cable networks such as A\&amp;E, HISTORY, Lifetime and ESPN. On the business\-to\-business side, our companies include Fitch Group, a global leader in financial information and analytics; Hearst Health, which provides intelligence and software that improve care outcomes; and Hearst Transportation, which delivers data and software for aviation, automotive and trucking.
 Our strength lies in our people. We value the diverse perspectives that move us forward. We are an Equal Opportunity Employer and makes employment decisions without regard to race, color, religion, national origin, sex or gender, sexual orientation, gender identity, gender expression, age, disability, military or veteran status or any other status protected by federal, state, or local law. We also provide reasonable accommodations to applicants and employees consistent with applicable law.</t>
        </is>
      </c>
    </row>
    <row r="55">
      <c r="A55" t="inlineStr">
        <is>
          <t>li-4323468132</t>
        </is>
      </c>
      <c r="B55" t="inlineStr">
        <is>
          <t>Senior Finance Data Engineer</t>
        </is>
      </c>
      <c r="C55" t="inlineStr">
        <is>
          <t>Roblox</t>
        </is>
      </c>
      <c r="D55" t="inlineStr">
        <is>
          <t>linkedin</t>
        </is>
      </c>
      <c r="E55" t="inlineStr"/>
      <c r="F55" t="inlineStr"/>
      <c r="G55" t="inlineStr">
        <is>
          <t>San Mateo, CA</t>
        </is>
      </c>
      <c r="H55" t="inlineStr"/>
      <c r="I5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Data Engineering team at Roblox plays a fundamental role in enabling the company's success by developing and maintaining highly leveraged Core Data Sets, frameworks, and tooling to support the growing demand for analytics.
 As a Senior Data Engineer, you will work to define the data ontology for all of Roblox, establish standard methodologies for data operations and lifecycle management, design and build analytics tooling and frameworks, and influence event instrumentation. Additionally, this role is highly multi\-functional, requiring close collaboration with Data Science, Experimentation, and Machine Learning teams to understand customer requirements and analytics applications, as well as with Data Infrastructure and Storage teams to develop integrated solutions.
 Join us and be a part of a dynamic team driving innovation and growth at Roblox.
 This role will report to our Engineering Manager on the Data Engineering team.
**You Will**
* Partner with Data Science, Product, and Engineering to collect requirements to define the data ontology for all of Roblox
* Lead and mentor a growing team of Data Engineers to support Roblox's ever\-evolving data needs
* Design, build, and maintain efficient and reliable batch and streaming data pipelines to populate core data sets
* Develop scalable frameworks and tooling to automate analytics workflows and streamline users interactions with data products
* Establish and promote standard methodologies for data operations and lifecycle management
**You Have**
* 8\+ years of professional experience working building scalable ETL pipelines on industry standard ETL orchestration tools (Airflow, Dagster, Luigi, Google Cloud Composer, etc.) with deep expertise in SQL, PySpark, or scala.
* 3\+ years leading data engineering development directly with business or data science partners
* Built, scaled, and maintained Multi\-Terabyte data sets and have an expansive toolbox for debugging and unblocking large scale analytics challenges (skew mitigation, sampling strategies, accumulation patterns, data sketches, etc.)
* Experience with at least one major cloud's suite of offerings (AWS, GCP, Azure).
* Developed or enhanced ETL orchestrations tools or frameworks
* Worked within standard GitOps workflow (branch and merge, PRs, CI / CD systems)
* Experience working with GDPR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$221,380—$263,670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6">
      <c r="A56" t="inlineStr">
        <is>
          <t>li-4365354736</t>
        </is>
      </c>
      <c r="B56" t="inlineStr">
        <is>
          <t>Data Engineer</t>
        </is>
      </c>
      <c r="C56" t="inlineStr">
        <is>
          <t>Booz Allen Hamilton</t>
        </is>
      </c>
      <c r="D56" t="inlineStr">
        <is>
          <t>linkedin</t>
        </is>
      </c>
      <c r="E56" t="inlineStr"/>
      <c r="F56" t="inlineStr"/>
      <c r="G56" t="inlineStr">
        <is>
          <t>Honolulu, HI</t>
        </is>
      </c>
      <c r="H56" t="inlineStr"/>
      <c r="I56" t="inlineStr">
        <is>
          <t>**Job Number: R0232542**
 Data Engineer
**The Opportunity:**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To transform in today’s evolving digital world, organizations must harness the power of low\-code applications to improve business processes, improve data quality, and drive efficiencies. Do you thrive on digging deep into complex data challenges and helping people solve problems? Do you enjoy making processes more efficient and automated? As a data engineer focused on Microsoft Power Platform, you know how to apply your critical\-thinking, business analytics, and technical expertise to improve processes, tools, and develop applications and dashboards. If you’re ready to grow your industry knowledge and develop solutions for national security, there’s a place for you at Booz Allen. You’ll help introduce and recommend new ideas that deliver deep visibility and insights while being part of a supportive team that roots you on.
 Join us. The world can’t wait.
**You Have:**
* 2\+ years of experience analyzing and managing data, including data visualization, data management, data governance, data strategy, data policy, or data engineering
* Experience using Microsoft Power Platform, including Power BI, Power Apps and Power Automate, to help improve business processes and analytics
* Experience documenting improvements to business processes, workflows, and analytics
* Ability to work on client site in the State of Hawaii
* Ability to obtain a Secret clearance
* Bachelor's degree
**Nice If You Have:**
* Experience with the Department of War (DoW)
* Experience with Microsoft Power Query, Databricks, or SQL for data engineering and Agile
* Experience with MS Dataverse
* Experience with process improvement approaches and methodologies, including Business Process Reengineering, Lean Six Sigma, or Continuous Process Improvement
* Ability to synthesize results and deliver presentations to product owners or stakeholders
* Ability to learn quickly and adapt to changing organizational processes
* Secret clearance
* Microsoft Certification, including Power Platform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7">
      <c r="A57" t="inlineStr">
        <is>
          <t>li-4373200550</t>
        </is>
      </c>
      <c r="B57" t="inlineStr">
        <is>
          <t>Data Engineer</t>
        </is>
      </c>
      <c r="C57" t="inlineStr">
        <is>
          <t>Deloitte</t>
        </is>
      </c>
      <c r="D57" t="inlineStr">
        <is>
          <t>linkedin</t>
        </is>
      </c>
      <c r="E57" t="inlineStr"/>
      <c r="F57" t="inlineStr"/>
      <c r="G57" t="inlineStr">
        <is>
          <t>Cincinnati, OH</t>
        </is>
      </c>
      <c r="H57" t="inlineStr"/>
      <c r="I57" t="inlineStr">
        <is>
          <t>Are you an experienced, passionate pioneer in technology who wants to work in a collaborative environment? As an experienced
 **Data Engineer** 
 ,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Develop and maintain custom code for ordering applications supporting Assisted Ordering workflows within the In Stock platform
* Provide technical guidance to the team through design walkthroughs, implementation direction, and engineering best practices
* Apply architecture design patterns and core software design patterns to improve maintainability, scalability, and testability
* Perform and lead code inspections/reviews, ensuring adherence to standards, security, and quality expectations
* Design and evolve database schemas and data access patterns to support ordering use cases and performance needs
* Implement and enhance application observability (logs, metrics, alerts) to improve monitoring and reduce time\-to\-detect/resolve issues
* Troubleshoot complex functional and performance issues, driving root cause analysis and preventive remediation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Bachelor's degree, preferably in Computer Science, Information Technology, Computer Engineering, or related IT discipline; or equivalent experience
* 4\+ years of proven date engineering experience
* Experience developing and supporting custom enterprise applications, ideally in ordering, inventory, or retail operations domains
* Strong knowledge of architecture design patterns and software design patterns with practical implementation experience
* Demonstrated experience with code inspection/review techniques (peer review, static analysis, quality gates)
* Solid database design skills (relational modeling, indexing, query optimization, transactional considerations)
* Hands\-on experience with application observability (monitoring, logging, metrics, alerting; tracing a plus)
* Proven ability to provide technical guidance (mentoring, review leadership, and solution direction) within a delivery team
* Demonstrated technical leadership across teams and stakeholders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t>
        </is>
      </c>
    </row>
    <row r="58">
      <c r="A58" t="inlineStr">
        <is>
          <t>li-4370995448</t>
        </is>
      </c>
      <c r="B58" t="inlineStr">
        <is>
          <t>Senior Snowflake Data Engineer | Large New York City Hospital | Full Time Position!</t>
        </is>
      </c>
      <c r="C58" t="inlineStr">
        <is>
          <t>Integris Group</t>
        </is>
      </c>
      <c r="D58" t="inlineStr">
        <is>
          <t>linkedin</t>
        </is>
      </c>
      <c r="E58" t="inlineStr"/>
      <c r="F58" t="inlineStr"/>
      <c r="G58" t="inlineStr"/>
      <c r="H58" t="inlineStr"/>
      <c r="I58" t="inlineStr">
        <is>
          <t>Integris Group is partnering with a large New York City hospital who has an immediate need to hire
 **(2\) Senior Snowflake Data Engineers** 
 for a full time, permanent position (Salary \+ Bonus).
 This is a
 **Hybrid position
 *(4 days Onsite, 1 Day Remote – no exceptions)***
 offering a competitive salary, annual bonus, 401(k), PTO, and top\-tier medical, dental, and vision benefits, along with additional excellent company perks.
**Job Title:** 
**2\-Senior Data Engineer's** 
 (last two spots left on the team).
**Location:** 
 New York, NY
**Position Type:** 
***Full\-Time, Hybrid (4 day's Onsite \| 1 day Remote)***
**About the Role:** 
 Our client is seeking 2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59">
      <c r="A59" t="inlineStr">
        <is>
          <t>li-4373207220</t>
        </is>
      </c>
      <c r="B59" t="inlineStr">
        <is>
          <t>Data Engineer</t>
        </is>
      </c>
      <c r="C59" t="inlineStr">
        <is>
          <t>Deloitte</t>
        </is>
      </c>
      <c r="D59" t="inlineStr">
        <is>
          <t>linkedin</t>
        </is>
      </c>
      <c r="E59" t="inlineStr"/>
      <c r="F59" t="inlineStr"/>
      <c r="G59" t="inlineStr">
        <is>
          <t>Cincinnati, OH</t>
        </is>
      </c>
      <c r="H59" t="inlineStr"/>
      <c r="I59" t="inlineStr">
        <is>
          <t>Are you an experienced, passionate pioneer in technology who wants to work in a collaborative environment? As an experienced
 **Data Engineer** 
 ,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Develop and maintain custom code for ordering applications supporting Assisted Ordering workflows within the In Stock platform
* Provide technical guidance to the team through design walkthroughs, implementation direction, and engineering best practices
* Apply architecture design patterns and core software design patterns to improve maintainability, scalability, and testability
* Perform and lead code inspections/reviews, ensuring adherence to standards, security, and quality expectations
* Design and evolve database schemas and data access patterns to support ordering use cases and performance needs
* Implement and enhance application observability (logs, metrics, alerts) to improve monitoring and reduce time\-to\-detect/resolve issues
* Troubleshoot complex functional and performance issues, driving root cause analysis and preventive remediation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Bachelor's degree, preferably in Computer Science, Information Technology, Computer Engineering, or related IT discipline; or equivalent experience
* 6\+ years of proven date engineering experience
* Experience developing and supporting custom enterprise applications, ideally in ordering, inventory, or retail operations domains
* Strong knowledge of architecture design patterns and software design patterns with practical implementation experience
* Demonstrated experience with code inspection/review techniques (peer review, static analysis, quality gates)
* Solid database design skills (relational modeling, indexing, query optimization, transactional considerations)
* Hands\-on experience with application observability (monitoring, logging, metrics, alerting; tracing a plus)
* Proven ability to provide technical guidance (mentoring, review leadership, and solution direction) within a delivery team
* Ability to provide technical guidance (mentoring, code reviews, solution direction) within a delivery team
* Demonstrated technical leadership across teams and stakeholders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t>
        </is>
      </c>
    </row>
    <row r="60">
      <c r="A60" t="inlineStr">
        <is>
          <t>li-4365627497</t>
        </is>
      </c>
      <c r="B60" t="inlineStr">
        <is>
          <t>Senior Data Engineer – Qlik, DBT, Snowflake</t>
        </is>
      </c>
      <c r="C60" t="inlineStr">
        <is>
          <t>First Citizens Bank</t>
        </is>
      </c>
      <c r="D60" t="inlineStr">
        <is>
          <t>linkedin</t>
        </is>
      </c>
      <c r="E60" t="inlineStr"/>
      <c r="F60" t="inlineStr"/>
      <c r="G60" t="inlineStr">
        <is>
          <t>Raleigh, NC</t>
        </is>
      </c>
      <c r="H60" t="inlineStr"/>
      <c r="I60" t="inlineStr">
        <is>
          <t>**Overview**
 This is a remote position that can only be hired in NC, AZ, TX.
 This position is responsible for designing, implementing, and optimizing complex data solutions. This role leads the development of sophisticated data pipelines, warehouses, and analytics platforms in an agile environment while mentoring junior team members and collaborating with stakeholders to drive data\-driven decision\-making.
**Responsibilities**
* Data Architecture and Strategy \- Design and implement scalable, efficient data architectures. Lead the development of data strategy aligned with business objectives. Evaluate and integrate new technologies to enhance data capabilities
* Hands\-on Data Pipeline Development \- Implement complex data pipelines for real\-time and batch processing. Optimize data flows for high\-volume, high\-velocity data environments. Develop advanced ETL processes for diverse data sources.
* Data Governance and Quality Management \- Establish and enforce data governance policies and best practices. Implement data quality frameworks and monitoring systems. Ensure compliance with data regulations and standards
* Performance Optimization and Troubleshooting \- Analyze and optimize system performance for large\-scale data operations. Troubleshoot complex data issues and implement robust solutions
* Mentorship and Knowledge Sharing \- Mentor junior data engineers and provide technical guidance. Contribute to the development of best practices and standards. Collaborate with cross\-functional teams to drive data literacy
* Testing \&amp; Automation – Write unit test cases, validate the data integrity \&amp; consistency requirements, build automated data pipelines using GitLab, Github, CICD tools.
* Code Deployment \&amp; Release Management \- Adopt release management processes to promote code deployment to various environments including production, disaster recovery, and support activities.
**Qualifications**
 Bachelor's Degree and 4 years of experience in Data engineering, big data technologies, cloud platforms OR High School Diploma or GED and 8 years of experience in Data engineering, big data technologies, cloud platforms
**Preferred Skills**
**Technical/Business Skills:**
* Strong hands\-on experience in building robust metadata\-driven, automated data pipeline solutions leveraging modern cloud\-based data technologies, tools for large data platforms.
* Strong experience leveraging data security, governance methodologies meeting data compliance requirements.
* Strong hands\-on experience building medallion architecture automated ELT data pipelines, snowpipe frameworks leveraging Qlik Replicate, DBT Cloud, snowflake with CICD.
* Strong hands\-on experience building data pipelines, data integrity solutions across multiple data sources and targets like SQL Server, Oracle, Mainframe\-DB2, files, Snowflake.
* Experience working with various structured \&amp; semi\-structured data files \- CSV, fixed‑width, JSON, XML, Excel, and mainframe VSAM.
* Experience using S3, Lambda, SQS, SNS, Glue, RDS AWS services.
* Excellent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Financial banking experience is a plus.
* Must have one or more certifications in the relevant technology fields.
**Functional Skills**
* Team Player: Support peers, team, and department management.
* Communication: Excellent verbal, written, and interpersonal communication skills.
* Problem Solving: Excellent problem\-solving skills, incident management, root cause analysis, and proactive solutions to improve quality.
* Partnership and Collaboration: Develop and maintain partnership with business and IT stakeholders
* Attention to Detail: Ensure accuracy and thoroughness in all tasks.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61">
      <c r="A61" t="inlineStr">
        <is>
          <t>li-4368607151</t>
        </is>
      </c>
      <c r="B61" t="inlineStr">
        <is>
          <t>Data Engineering Senior Specialist</t>
        </is>
      </c>
      <c r="C61" t="inlineStr">
        <is>
          <t>Southern California Edison (SCE)</t>
        </is>
      </c>
      <c r="D61" t="inlineStr">
        <is>
          <t>linkedin</t>
        </is>
      </c>
      <c r="E61" t="inlineStr"/>
      <c r="F61" t="inlineStr"/>
      <c r="G61" t="inlineStr">
        <is>
          <t>Rosemead, CA</t>
        </is>
      </c>
      <c r="H61" t="inlineStr"/>
      <c r="I61" t="inlineStr">
        <is>
          <t>**Join the Clean Energy Revolution**
 Become a
 **Data Engineering Senior Specialist** 
 at Southern California Edison (SCE) and build a better tomorrow. In this job, you’ll have a strong background in data mining, data preparation, data transformation, feature engineering, data quality profiling, and data visualizations. This role also focuses on supporting a variety of data science use cases and improving data\-driven decision\-making across the organization. If you are passionate about transforming raw data into actionable insights, we want to hear from you! As a
 **Data Engineer** 
 , your work will help power our planet, reduce carbon emissions and create cleaner air for everyone. Are you ready to take on the challenge to help us build the future?
**Some Of The Key Activities For This Position Include**
* Data Mining: Identify, extract, and gather data from various sources including databases, APIs, and other repositories to build comprehensive datasets for analysis.
* Data Preparation: Clean, preprocess, and refine data to ensure it is in a usable format. Create efficient data pipelines to facilitate integration with data science workflows. Facilitates data engineering activities covering data acquisition, extraction, normalization, transformation, management, and manipulation of large and complex data sets.
* Implements data transformations to derive new datasets necessary for business use cases.
* Feature Engineering: Collaborate with data scientists to design and implement features for predictive modeling and machine learning use cases, ensuring the highest quality of input data for various analytics applications.
* Data Quality Profiling: Implement and maintain data quality profiling rules and monitoring processes. Identify data quality issues and work with stakeholders to resolve them, ensuring data accuracy and consistency.
* Data Visualization: Develop and maintain dashboards and visualizations that effectively communicate insights and support decision\-making. Utilize visualization tools to present data findings clearly and effectively.
* Collaboration: Work closely with data scientists, analysts, and other stakeholders to understand their data needs and provide the necessary support for their projects.
* Documentation: Maintain documentation on data models, pipelines, and processes to promote knowledge sharing and facilitate continued improvements.
**Responsibilities**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Bachelor's Degree in Computer Science, Information Systems, Engineering, Statistics/ Mathematics or equivalent STEM major
* Five or more years of experience in data processing large data sets, hands\-on with data transformation, aggregation, and ﬁltering.
**Preferred Qualifications**
* Experience with electric utility functional domains data (Asset Management, Work Management, Outage Management, Energy Procurement, Grid Ops, etc).
* Experience with building analytics visualizations using capabilities like Microsoft Power BI.
* Cloud Data Engineer certifications: GCP, Azure, and/or AWS.
* Experience with cloud computing.
* Experience with Python, PySpark, and/or NodeJS/VueJS.
* Experience with Snowflake and data engineering certification on the platform.
* Cloud Analytics certification.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The primary work location for this position is Rosemead, CA (SCE General Office, Building 3\). However, the successful candidate may also be asked to work for an extended amount of time at any of our office locations.
* Position will require up to 30% traveling and being out in the field throughout the SCE service territory.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62">
      <c r="A62" t="inlineStr">
        <is>
          <t>li-4373230023</t>
        </is>
      </c>
      <c r="B62" t="inlineStr">
        <is>
          <t>Lead Data Engineer - Senior Advisor</t>
        </is>
      </c>
      <c r="C62" t="inlineStr">
        <is>
          <t>Capgemini</t>
        </is>
      </c>
      <c r="D62" t="inlineStr">
        <is>
          <t>linkedin</t>
        </is>
      </c>
      <c r="E62" t="inlineStr"/>
      <c r="F62" t="inlineStr"/>
      <c r="G62" t="inlineStr">
        <is>
          <t>Dallas, TX</t>
        </is>
      </c>
      <c r="H62" t="inlineStr"/>
      <c r="I6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 Are Considering**
 Capgemini is looking for a senior advisor, who is responsible for leading end to end program for medium to large\-scale initiatives. Some of the responsibilities as follow.
 Your role
* Lead end to end program delivery for medium to large\-scale initiatives, ensuring alignment with scope, timelines, financials, and quality expectations.
* Serve as the primary point of contact for clients, proactively managing communications, risks, dependencies, and stakeholder expectations.
* Facilitate productive collaboration between client teams and technical architects/engineers, ensuring clarity of requirements and technical feasibility.
* Drive conversations on Azure cloud architecture, solution options, trade\-offs, and roadmap planning.
* Apply Agile methodologies to structure delivery, ceremonies, workstreams, reporting, and continuous improvement.
* Provide leadership, guidance, and mentorship to multi\-disciplinary teams and support organizational best practices.
**Skills And Experience**
* Program Management Experience
* Demonstrated ability to lead complex programs, manage large stakeholder groups, and drive delivery accountability.
* Exceptional Communication Skills \&amp; Customer Focus
* Ability to engage confidently with senior executives, guide client discussions, and present clear recommendations and status updates.
* Azure Cloud Services \&amp; Architecture Expertise
* Must have experience with Azure services, architecture principles, cloud solutioning, and facilitating conversations between business and technical teams.
* Agile Framework Experience
* Practical experience with Agile delivery; Agile certification (Scrum, SAFe, or equivalent) preferred.
 The base compensation range for this role in the posted location is: $148,508 \- $ 250,640\.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3">
      <c r="A63" t="inlineStr">
        <is>
          <t>li-4321341483</t>
        </is>
      </c>
      <c r="B63" t="inlineStr">
        <is>
          <t>Geospatial Data Engineer</t>
        </is>
      </c>
      <c r="C63" t="inlineStr">
        <is>
          <t>NV5</t>
        </is>
      </c>
      <c r="D63" t="inlineStr">
        <is>
          <t>linkedin</t>
        </is>
      </c>
      <c r="E63" t="inlineStr"/>
      <c r="F63" t="inlineStr"/>
      <c r="G63" t="inlineStr"/>
      <c r="H63" t="inlineStr"/>
      <c r="I63" t="inlineStr">
        <is>
          <t>NV5 is seeking an experienced and motivated
 **Geospatial Data Engineer** 
 to work as part of a growing team of Geospatial, AI, and Data Ccience professionals. The role will entail designing, implementing, and maintaining databases and other data architectures within internal and client cloud infrastructures to support geospatial analysis and ML/AI applications on large data. The Geospatial Data Engineer will also provide potential enterprise architecture solutions in support of business development.
**Work Environment:**
- Location: This position is a fully remote position within an engaged, virtual division at NV5\.
 Travel
 - Proof of U.S. Citizenship is required.
 NV5 is a global technology solutions and consulting services company with a workforce of over 4,500 professionals in more than 100 offices worldwide. NV5’s continued growth has been spurred through strategic investments in firms with unique capabilities to help current and future customers solve the world’s toughest problems. The NV5 family brings together talent across a wide range of markets and fields, including Professional Engineers, Professional Land Surveyors, Architects, Photogrammetrists, GIS Professionals, Software Developers, IT, Project Management Professionals, and more.
 At NV5 Geospatial , we are a collaboration of intelligent, innovative thinkers who care for each other, our communities, and the environment. We value both heart and head, the diversity of our people, and their experiences because that is how we continue to grow as a leader in our industry and expand our individual and collective potential.
**Responsibilities**
* Translate business requirements into technical specifications, data models, data streams, and databases
* Convert or embed ML/AI workflows into production\-grade, enterprise systems
* Design, develop, and maintain infrastructure for geospatial analysis and ML/AI applications on large data
* Develop API\-driven backend services with FastAPI, Pydantic, and async Python
* Work with columnar analytics stacks (DuckDB, PyArrow, Parquet / GeoParquet)
* Deploy monitoring tools to track status and performance of system architecture and data flows
* Propose enterprise data architecture solutions in support of business development
**Qualifications**
**Minimum Qualifications:**
* Bachelor’s degree from an accredited university in Computer Science, Information Technology, or a related field
* 5 years of experience in data science, geospatial, IT, ML/AI, or related field
**Required Skills:**
* Data/database architecture design within cloud computing infrastructure
* Database management
* Systems analysis
* Experience working with Geospatial data
* Proven ability to design efficient spatial data pipelines
* Strong Python engineering experience in production systems
* Comfort working in backend systems that integrate with LLMs and AI
* Comfort working as part of a software development team
* Strong focus on correctness, reproducibility, and explainability
* Strong written and verbal communication skills
**Desired Skills and Certifications:**
* Web map application development
* Performing data analysis
* RAG and embeddings AI application development experience
* Experience integrating LLM services via clean Python interfaces
* Experience with data lakehouse platforms such as Databricks
* Familiarity with a variety of geospatial data formats
* Understanding of geospatial metadata requirements
* Security\+ Certification
**Preferred Languages and Software:**
* PostGIS
* PostgreSQL
* MySQL
* Python
* Databricks Platform
* FOSS GIS Software (GDAL/OGR, PROJ, Leaflet, etc.)
* FOSS GIS Platforms (GeoServer, QGIS, GRASS GIS)
* Esri GIS Platforms (Desktop/Enterprise/Online)
* STAC Spec
 Please be aware that some of our positions may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t>
        </is>
      </c>
    </row>
    <row r="64">
      <c r="A64" t="inlineStr">
        <is>
          <t>li-4349697395</t>
        </is>
      </c>
      <c r="B64" t="inlineStr">
        <is>
          <t>Senior Data Platform Engineer- Weights &amp; Biases</t>
        </is>
      </c>
      <c r="C64" t="inlineStr">
        <is>
          <t>Weights &amp; Biases</t>
        </is>
      </c>
      <c r="D64" t="inlineStr">
        <is>
          <t>linkedin</t>
        </is>
      </c>
      <c r="E64" t="inlineStr"/>
      <c r="F64" t="inlineStr"/>
      <c r="G64" t="inlineStr">
        <is>
          <t>San Francisco, CA</t>
        </is>
      </c>
      <c r="H64" t="inlineStr"/>
      <c r="I64"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Senior Data Platform Engineer, you will:
* Partner with other Data Platform Engineers and Data Scientists to expand and maintain our data platform.
* Partner with core engineering to improve our product telemetry.
* Eventually, join our on\-call rotation for the data platform.
* Strategic goals for the team over the next 12 months:
+ Migrate data build tools to improve efficiency and performance
+ Build a robust internal data catalog and semantic layer to support self\-service analytics.
+ Build an internal AI agent for addressing common data workflows.
+ Lay the foundations for internal AI applications built on top of our operational data.
**Who You Are**
* Deep knowledge (practical and theoretical) of data engineering and the accompanying workflows.
* History of writing easy\-to\-follow code and effective documentation for your projects.
* Expert knowledge of data orchestration/data pipeline tools (dbt, dagster, airflow, etc).
* Experience working with large and high\-demand data warehouses/platforms, multi\-PB scale, and extreme business demand for the systems.
* Expert knowledge and understanding of web apps and best practices for logging and event instrumentation.
* Ability to clearly communicate your ideas to folks across a range of backgrounds and levels of technical knowledge.
**Preferred**
* If you work well in a self\-directed environment and proactively find ways to improve processes and collaborate with team members or engaged users, your initiative will really shine in this role.
* You'll love this role if you enjoy connecting with real users daily, helping them solve issues, and understanding good patterns for using our tools. You'll answer questions and requests with a kind, thoughtful tone that makes users feel appreciated and connected to our team.
*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65">
      <c r="A65" t="inlineStr">
        <is>
          <t>li-4373202544</t>
        </is>
      </c>
      <c r="B65" t="inlineStr">
        <is>
          <t>AI Data Engineer, Manager - Tax Transformation</t>
        </is>
      </c>
      <c r="C65" t="inlineStr">
        <is>
          <t>Deloitte</t>
        </is>
      </c>
      <c r="D65" t="inlineStr">
        <is>
          <t>linkedin</t>
        </is>
      </c>
      <c r="E65" t="inlineStr"/>
      <c r="F65" t="inlineStr"/>
      <c r="G65" t="inlineStr">
        <is>
          <t>Jersey City, NJ</t>
        </is>
      </c>
      <c r="H65" t="inlineStr"/>
      <c r="I65"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6">
      <c r="A66" t="inlineStr">
        <is>
          <t>li-4373204366</t>
        </is>
      </c>
      <c r="B66" t="inlineStr">
        <is>
          <t>AI Data Engineer, Manager - Tax Transformation</t>
        </is>
      </c>
      <c r="C66" t="inlineStr">
        <is>
          <t>Deloitte</t>
        </is>
      </c>
      <c r="D66" t="inlineStr">
        <is>
          <t>linkedin</t>
        </is>
      </c>
      <c r="E66" t="inlineStr"/>
      <c r="F66" t="inlineStr"/>
      <c r="G66" t="inlineStr">
        <is>
          <t>Tampa, FL</t>
        </is>
      </c>
      <c r="H66" t="inlineStr"/>
      <c r="I66"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7">
      <c r="A67" t="inlineStr">
        <is>
          <t>li-4373204370</t>
        </is>
      </c>
      <c r="B67" t="inlineStr">
        <is>
          <t>AI Data Engineer, Manager - Tax Transformation</t>
        </is>
      </c>
      <c r="C67" t="inlineStr">
        <is>
          <t>Deloitte</t>
        </is>
      </c>
      <c r="D67" t="inlineStr">
        <is>
          <t>linkedin</t>
        </is>
      </c>
      <c r="E67" t="inlineStr"/>
      <c r="F67" t="inlineStr"/>
      <c r="G67" t="inlineStr">
        <is>
          <t>Miami, FL</t>
        </is>
      </c>
      <c r="H67" t="inlineStr"/>
      <c r="I67"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8">
      <c r="A68" t="inlineStr">
        <is>
          <t>li-4372994791</t>
        </is>
      </c>
      <c r="B68" t="inlineStr">
        <is>
          <t>AI Data Engineer, Manager - Tax Transformation</t>
        </is>
      </c>
      <c r="C68" t="inlineStr">
        <is>
          <t>Deloitte</t>
        </is>
      </c>
      <c r="D68" t="inlineStr">
        <is>
          <t>linkedin</t>
        </is>
      </c>
      <c r="E68" t="inlineStr"/>
      <c r="F68" t="inlineStr"/>
      <c r="G68" t="inlineStr">
        <is>
          <t>McLean, VA</t>
        </is>
      </c>
      <c r="H68" t="inlineStr"/>
      <c r="I68"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9">
      <c r="A69" t="inlineStr">
        <is>
          <t>li-4372987915</t>
        </is>
      </c>
      <c r="B69" t="inlineStr">
        <is>
          <t>AI Data Engineer, Manager - Tax Transformation</t>
        </is>
      </c>
      <c r="C69" t="inlineStr">
        <is>
          <t>Deloitte</t>
        </is>
      </c>
      <c r="D69" t="inlineStr">
        <is>
          <t>linkedin</t>
        </is>
      </c>
      <c r="E69" t="inlineStr"/>
      <c r="F69" t="inlineStr"/>
      <c r="G69" t="inlineStr">
        <is>
          <t>Austin, TX</t>
        </is>
      </c>
      <c r="H69" t="inlineStr"/>
      <c r="I69"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0">
      <c r="A70" t="inlineStr">
        <is>
          <t>li-4373205362</t>
        </is>
      </c>
      <c r="B70" t="inlineStr">
        <is>
          <t>AI Data Engineer, Manager - Tax Transformation</t>
        </is>
      </c>
      <c r="C70" t="inlineStr">
        <is>
          <t>Deloitte</t>
        </is>
      </c>
      <c r="D70" t="inlineStr">
        <is>
          <t>linkedin</t>
        </is>
      </c>
      <c r="E70" t="inlineStr"/>
      <c r="F70" t="inlineStr"/>
      <c r="G70" t="inlineStr">
        <is>
          <t>Arlington, VA</t>
        </is>
      </c>
      <c r="H70" t="inlineStr"/>
      <c r="I70"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1">
      <c r="A71" t="inlineStr">
        <is>
          <t>li-4373204364</t>
        </is>
      </c>
      <c r="B71" t="inlineStr">
        <is>
          <t>AI Data Engineer, Manager - Tax Transformation</t>
        </is>
      </c>
      <c r="C71" t="inlineStr">
        <is>
          <t>Deloitte</t>
        </is>
      </c>
      <c r="D71" t="inlineStr">
        <is>
          <t>linkedin</t>
        </is>
      </c>
      <c r="E71" t="inlineStr"/>
      <c r="F71" t="inlineStr"/>
      <c r="G71" t="inlineStr">
        <is>
          <t>Chicago, IL</t>
        </is>
      </c>
      <c r="H71" t="inlineStr"/>
      <c r="I71"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2">
      <c r="A72" t="inlineStr">
        <is>
          <t>li-4373209117</t>
        </is>
      </c>
      <c r="B72" t="inlineStr">
        <is>
          <t>AI Data Engineer, Manager - Tax Transformation</t>
        </is>
      </c>
      <c r="C72" t="inlineStr">
        <is>
          <t>Deloitte</t>
        </is>
      </c>
      <c r="D72" t="inlineStr">
        <is>
          <t>linkedin</t>
        </is>
      </c>
      <c r="E72" t="inlineStr"/>
      <c r="F72" t="inlineStr"/>
      <c r="G72" t="inlineStr">
        <is>
          <t>San Diego, CA</t>
        </is>
      </c>
      <c r="H72" t="inlineStr"/>
      <c r="I72"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3">
      <c r="A73" t="inlineStr">
        <is>
          <t>li-4358990573</t>
        </is>
      </c>
      <c r="B73" t="inlineStr">
        <is>
          <t>Senior Software Engineer, athenaCollector – AI/Data Engineering</t>
        </is>
      </c>
      <c r="C73" t="inlineStr">
        <is>
          <t>athenahealth</t>
        </is>
      </c>
      <c r="D73" t="inlineStr">
        <is>
          <t>linkedin</t>
        </is>
      </c>
      <c r="E73" t="inlineStr"/>
      <c r="F73" t="inlineStr"/>
      <c r="G73" t="inlineStr">
        <is>
          <t>Boston, MA</t>
        </is>
      </c>
      <c r="H73" t="inlineStr"/>
      <c r="I73" t="inlineStr">
        <is>
          <t>Join us as we work to create a thriving ecosystem that delivers accessible, high\-quality, and sustainable healthcare for all.
 We are looking for an AI Engineer to join RCM (Revenue Cycle Management) products – managing claims, billing and payment processes for healthcare practices. You will work with the team to develop and deploy AI solutions to automate and optimize RCM processes. This role focuses on developing innovative solutions which can integrate into enterprise applications, ensuring high reliability, security and scalability by following best practices.
**About You**
 You love to own important work and find it difficult to turn down a good challenge. You are excited about the latest developments in AI and keep abreast of the latest tools and technologies. You have experience building AI solutions and productionizing it to solve real complex problem in revenue cycle management. You have strong communication skills and can work with colleagues from a variety of technical and non\-technical backgrounds. Finally, you have a strong interest in improving healthcare.
**About The Team**
 The athenaCollector product is a vital component of the athenaOne platform, processing billions in client revenue annually. The AI team is using the latest AI tools, LLMs, and other technologies to bear against the hardest problem in revenue cycle management in healthcare. We are working with other engineering leaders in athenaCollector product to build AI solutions into our Best in KLAS suite of products to drive innovation and increase automation. Also, this team is responsible to deploy these solutions into productio using cloud technologies.
**Responsibilities**
* Ability to design and implement AI\-powered solutions that improve software functionality.
* Problem\-solving mindset to debug and optimize AI\-generated responses.
* Ability to collaborate across AI, DevOps, and software engineering teams for seamless AI model integration.
* Experience in AI\-driven feature development, from prompt engineering to embedding optimization.
* Ability to assess AI\-generated content for bias, accuracy, and compliance.
* Strong analytical skills to measure AI model performance and recommend improvements.
* Curiosity and eagerness to explore new AI models, tools, and best practices for scalable GenAI deployment.
**Qualifications**
* At least 4 years of experience in an engineering role, with exposure to AI/ML concepts.
* Experience in an Agile environment preferred.
* Bachelor’s Degree or equivalent in Computer Science, Engineering, or related field.
* Strong software engineering experience, including AI model integration and GenAI API workflows.
* Knowledge of modern programming language: Python (preferred for AI applications)
* Familiarity with Unix/Linux, Big Data, SQL, NoSQL, and AI data pipelines.
* Experience with AI frameworks and APIs such as OpenAI GPT, Hugging Face Transformers, LangChain, LlamaIndex.
* Exposure to retrieval\-augmented generation (RAG), embeddings, and AI search optimization techniques.
* Understanding of vector databases (FAISS, Pinecone, ChromaDB) and similarity search models.
* Proficiency in cloud\-based AI deployments (AWS or Azure OpenAI).
* Strong grasp of GenAI model evaluation techniques (BLEU, ROUGE, BERT Score, cosine similarity metrics).
***Expected Compensation***
 $119,000 \- $203,000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74">
      <c r="A74" t="inlineStr">
        <is>
          <t>li-4363465235</t>
        </is>
      </c>
      <c r="B74" t="inlineStr">
        <is>
          <t>Data Engineer III</t>
        </is>
      </c>
      <c r="C74" t="inlineStr">
        <is>
          <t>Taco Bell</t>
        </is>
      </c>
      <c r="D74" t="inlineStr">
        <is>
          <t>linkedin</t>
        </is>
      </c>
      <c r="E74">
        <f>HYPERLINK("https://www.linkedin.com/jobs/view/4363465235", "https://www.linkedin.com/jobs/view/4363465235")</f>
        <v/>
      </c>
      <c r="F74" t="inlineStr"/>
      <c r="G74" t="inlineStr">
        <is>
          <t>Irvine, CA</t>
        </is>
      </c>
      <c r="H74" t="inlineStr"/>
      <c r="I74" t="inlineStr">
        <is>
          <t>**Job Description**
**Who is Taco Bell?**
 Taco Bell was born and raised in California and has been around since 1962\. We went from selling everyone’s favorite Crunchy Tacos on the West Coast to a global brand with 8,500\+ restaurants, 350 franchise organizations, that serve 42\+ million fans each week around the globe. We’re not only the largest Mexican\-inspired quick service brand (QSR) in the world, we’re also part of the biggest restaurant group in the world: Yum! Brands .
 Much of our fan love and authentic connection with our communities are rooted in being rebels with a cause. From ensuring we use high quality, sustainable ingredients to elevating restaurant technology in ways that hasn’t been done before… we will continue to be inclusive, bold, challenge the status quo and push industry boundaries.
 We’re a company that celebrates and advocates for different, has bold self\-expression, strives for a better future, and brings the fun while we’re at it. We fuel our culture with real people who bring unique experiences. We inspire and enable our teams and the world to Live Más.
 At Taco Bell, we’re Cultural Rebels. Want to join in on the passion\-fueled fun? Learn more about the career below.
**About The Job**
 Taco Bell is seeking to add a savvy Data Engineer to join our growing Data and Analytics team. We are looking for a self\-driven Data Engineer proficient with SQL \&amp; ETL pipelines who is familiar with Cloud technology preferably AWS and has scripting experience. You will work with cross functional partners and third\-party vendors to enrich our customer data assets by acquiring, organizing, and aggregating customer data from various sources to construct a full and accurate 360 view of our customer for use in direct/email marketing, targeted media campaigns and analytics. You will build data pipelines to source, analyze and validate data from internal and external customer data sources. This is a great opportunity to work on state\-of\-the\-art data products in a friendly and fun environment.
**Day To Day**
* Design and develop highly scalable and extensible data pipelines from internal and external sources using cloud technology such as AWS, Airflow, Redshift, Snowflake, EMR, DBT.
* Implement new source of truth datasets, in partnership with analytics and business teams.
* Collaborate with data product managers, data scientists, data analysts, and data engineers to document requirements and data specifications.
* Develop, deploy, and maintain serverless data pipelines using Event Bridge, Kinesis, AWS Lambda, S3, and Glue.
* Focus on performance tuning, optimization and scalability to ensure efficiency.
* Build out a robust big data ingestion framework with automation, self\-heal capabilities and ability to handle data drifts.
* Adopt automated and manual test strategies to ensure data product quality
* Learn and understand how Taco Bell products work and help build end\-to\-end solutions.
* Ensure high operational efficiency and quality of your solutions to meet SLAs.
* Actively participate in code reviews and summarize complex data into usable, digestible datasets.
**Is This You?**
* Bachelor’s degree in analytics, statistics, engineering, math, economics, computer science, information technology or related discipline
* 2\+ years professional experience in cloud technologies
* 2 \- 5 years of experience designing and delivering large scale, 24\-7, mission\-critical data pipelines and features using modern cloud data architectures
* 2\+ years of hands\-on experience in Strong coding skills with Python/Pyspark/Spark and SQL
* 3\+ years of hands\-on experience in ETL pipeline such as Informatica, AWS Glue, DBT etc.
* 3\+ years of experience working in Redshift, Snowflake or other relevant databases.
* Expert knowledge in writing complex SQL and ETL development with experience processing extremely large datasets using batch and real time streaming.
* Demonstrated ability to analyze large data sets to identify gaps and inconsistencies, provide data insights, and advance effective product solutions
* Experience integrating data using streaming technologies such as Kinesis Firehose, Kafka
* Experience with AWS Ecosystem, especially Lambda, Redshift, Athena, DynamoDB, Airflow and S3
* Experience integrating data from multiple data sources and file types such as JSON, Parquet, Iceberg formats.
* Experience supporting and working with cross\-functional teams in a dynamic environment
* Strong quantitative and communication skill
* Experience with CI/CD tools like Gitlab, Terraform
* Good To Have:
* Proficiency with automated testing using tools like pytest
* Experience contributing to full lifecycle deployments with a focus on testing and quality.
* Experience with data quality processes, data quality checks, validations, data quality metrics definition and measurement
* Experience in data quality tools such as Informatica DQ or similar.
**Work\-Hard, Play\-Hard**
* Hybrid work schedule (onsite expectation Tues, Wed, Thurs) and year\-round flex day Friday
* Onsite childcare through Bright Horizons
* Onsite dining center and game room (yes, there is a Taco Bell inside the building)
* Onsite dry cleaning, laundry services, carwash,
* Onsite gym with fitness classes and personal trainer sessions
* Up to 4 weeks of vacation per year plus holidays and time off for volunteering
* Generous parental leave for all new parents and adoption assistance program
* 401(k) with a 6% matching contribution from Yum! Brands with immediate vesting
* Comprehensive medical \&amp; dental including prescription drug benefits and 100% preventive care
* Discounts, free food, swag and… honestly, too many good benefits to name
 Salary Range: $108,300\- $127,500 annually \+ bonus eligibility. This is the expected salary range for this position. Ultimately, in determining pay, we'll consider the successful candidate’s location, experience, and other job\-related factors.
 At Taco Bell, we Live Más and invite you to do the same. Take a seat at our table. Bring your voice. Bring you, just as you are, a Cultural Rebel. We want you to be your best self!
 Taco Bell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Taco Bell is committed to working with and providing reasonable accommodation to applicants with disabilities or special needs.
 US Job Seekers/Employees \- To view the "Know Your Rights" poster, click here . You may also access Taco Bell’s Pay Transparency Policy Statement.
 Employment eligibility to work with Taco Bell in the U.S. is required as the company will not pursue visa sponsorship for this position.
 California Residents: For more information about the categories of personal information we collect from you and how we use, sell, and share that information, please see our Privacy Notice for California Employees here .</t>
        </is>
      </c>
    </row>
    <row r="75">
      <c r="A75" t="inlineStr">
        <is>
          <t>li-4364565344</t>
        </is>
      </c>
      <c r="B75" t="inlineStr">
        <is>
          <t>DATA ENGINEER</t>
        </is>
      </c>
      <c r="C75" t="inlineStr">
        <is>
          <t>City of New York</t>
        </is>
      </c>
      <c r="D75" t="inlineStr">
        <is>
          <t>linkedin</t>
        </is>
      </c>
      <c r="E75">
        <f>HYPERLINK("https://www.linkedin.com/jobs/view/4364565344", "https://www.linkedin.com/jobs/view/4364565344")</f>
        <v/>
      </c>
      <c r="F75" t="inlineStr"/>
      <c r="G75" t="inlineStr">
        <is>
          <t>New York, NY</t>
        </is>
      </c>
      <c r="H75" t="inlineStr"/>
      <c r="I75" t="inlineStr">
        <is>
          <t>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skilled and highly motivated Data Engineer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designing and developing data\-intensive applications to strengthen the Department data foundation. Key responsibilities include development work in Python and database management, working with both structured and unstructured datasets, and writing clean code to integrate with analysis tools and support data science services. Strong interpersonal and project management skills are required.
 Work Location:
 1 Police Plaza, N.Y.
**To Apply**
 Please visit: https://cityjobs.nyc.gov and search for Job ID (\#769743\)
**Hours/Shift**
 Monday \-Friday 8 x 4 or 10 x 6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CITY RESEARCH SCIENTIST \- 21744
**Minimum Qualifications**
*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 A master's degree from an accredited college or university with specialization in an appropriate field of physical, biological, environmental or social science and three years of responsible full\-time research experience in the appropriate field of specialization; or
*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Experience designing and developing data driven applications using Python and SOL. \- Develop ETL pipelines to prepare department data for analysis and improve overall data governance (e.g. Pandas, Cask). \- Develop data infrastructure to support statistical and machine reaming models e.g. Docker). \- Conduct complex data analysis to inform design and development decisions. \- Ability to write clean code that integrates data sources with PowerBI. \- Ability to write advanced SQL queries to support analytic projects is required. \- Ability to work with unstructured data, such as text, geospatial, and network data is preferred (e.g. nltk, geopy, networkx). \- Excellent oral, written, analytic, organizational, and interpersonal skills and attention to detail are required. \- Ability to manage multiple projects simultaneously and meet tight deadlines. \- Ability to work both independently and on a team. \- Ability to work cross\-functionally to strengthen the department data foundation.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$109,565\.00 – $142,112\.00</t>
        </is>
      </c>
    </row>
    <row r="76">
      <c r="A76" t="inlineStr">
        <is>
          <t>li-4373227617</t>
        </is>
      </c>
      <c r="B76" t="inlineStr">
        <is>
          <t>Data Engineer - REMOTE</t>
        </is>
      </c>
      <c r="C76" t="inlineStr">
        <is>
          <t>Jobgether</t>
        </is>
      </c>
      <c r="D76" t="inlineStr">
        <is>
          <t>linkedin</t>
        </is>
      </c>
      <c r="E76">
        <f>HYPERLINK("https://www.linkedin.com/jobs/view/4373227617", "https://www.linkedin.com/jobs/view/4373227617")</f>
        <v/>
      </c>
      <c r="F76" t="inlineStr"/>
      <c r="G76" t="inlineStr">
        <is>
          <t>Arkansas, United States</t>
        </is>
      </c>
      <c r="H76" t="inlineStr"/>
      <c r="I76"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li-4373221938</t>
        </is>
      </c>
      <c r="B77" t="inlineStr">
        <is>
          <t>Data Engineer - Remote</t>
        </is>
      </c>
      <c r="C77" t="inlineStr">
        <is>
          <t>Jobgether</t>
        </is>
      </c>
      <c r="D77" t="inlineStr">
        <is>
          <t>linkedin</t>
        </is>
      </c>
      <c r="E77">
        <f>HYPERLINK("https://www.linkedin.com/jobs/view/4373221938", "https://www.linkedin.com/jobs/view/4373221938")</f>
        <v/>
      </c>
      <c r="F77" t="inlineStr"/>
      <c r="G77" t="inlineStr">
        <is>
          <t>Illinois, United States</t>
        </is>
      </c>
      <c r="H77" t="inlineStr"/>
      <c r="I77"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8">
      <c r="A78" t="inlineStr">
        <is>
          <t>li-4373224818</t>
        </is>
      </c>
      <c r="B78" t="inlineStr">
        <is>
          <t>Data Engineer - REMOTE</t>
        </is>
      </c>
      <c r="C78" t="inlineStr">
        <is>
          <t>Jobgether</t>
        </is>
      </c>
      <c r="D78" t="inlineStr">
        <is>
          <t>linkedin</t>
        </is>
      </c>
      <c r="E78">
        <f>HYPERLINK("https://www.linkedin.com/jobs/view/4373224818", "https://www.linkedin.com/jobs/view/4373224818")</f>
        <v/>
      </c>
      <c r="F78" t="inlineStr"/>
      <c r="G78" t="inlineStr">
        <is>
          <t>Wisconsin, United States</t>
        </is>
      </c>
      <c r="H78" t="inlineStr"/>
      <c r="I78"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9">
      <c r="A79" t="inlineStr">
        <is>
          <t>li-4373227614</t>
        </is>
      </c>
      <c r="B79" t="inlineStr">
        <is>
          <t>Data Engineer (REMOTE)</t>
        </is>
      </c>
      <c r="C79" t="inlineStr">
        <is>
          <t>Jobgether</t>
        </is>
      </c>
      <c r="D79" t="inlineStr">
        <is>
          <t>linkedin</t>
        </is>
      </c>
      <c r="E79">
        <f>HYPERLINK("https://www.linkedin.com/jobs/view/4373227614", "https://www.linkedin.com/jobs/view/4373227614")</f>
        <v/>
      </c>
      <c r="F79" t="inlineStr"/>
      <c r="G79" t="inlineStr">
        <is>
          <t>New York, United States</t>
        </is>
      </c>
      <c r="H79" t="inlineStr"/>
      <c r="I79"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0">
      <c r="A80" t="inlineStr">
        <is>
          <t>li-4373222990</t>
        </is>
      </c>
      <c r="B80" t="inlineStr">
        <is>
          <t>Data Engineer (Remote)</t>
        </is>
      </c>
      <c r="C80" t="inlineStr">
        <is>
          <t>Jobgether</t>
        </is>
      </c>
      <c r="D80" t="inlineStr">
        <is>
          <t>linkedin</t>
        </is>
      </c>
      <c r="E80">
        <f>HYPERLINK("https://www.linkedin.com/jobs/view/4373222990", "https://www.linkedin.com/jobs/view/4373222990")</f>
        <v/>
      </c>
      <c r="F80" t="inlineStr"/>
      <c r="G80" t="inlineStr">
        <is>
          <t>Delaware, United States</t>
        </is>
      </c>
      <c r="H80" t="inlineStr"/>
      <c r="I80"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1">
      <c r="A81" t="inlineStr">
        <is>
          <t>li-4373222998</t>
        </is>
      </c>
      <c r="B81" t="inlineStr">
        <is>
          <t>Data Engineer REMOTE</t>
        </is>
      </c>
      <c r="C81" t="inlineStr">
        <is>
          <t>Jobgether</t>
        </is>
      </c>
      <c r="D81" t="inlineStr">
        <is>
          <t>linkedin</t>
        </is>
      </c>
      <c r="E81">
        <f>HYPERLINK("https://www.linkedin.com/jobs/view/4373222998", "https://www.linkedin.com/jobs/view/4373222998")</f>
        <v/>
      </c>
      <c r="F81" t="inlineStr"/>
      <c r="G81" t="inlineStr">
        <is>
          <t>Iowa, United States</t>
        </is>
      </c>
      <c r="H81" t="inlineStr"/>
      <c r="I81"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2">
      <c r="A82" t="inlineStr">
        <is>
          <t>li-4373236058</t>
        </is>
      </c>
      <c r="B82" t="inlineStr">
        <is>
          <t>Senior Data Engineer</t>
        </is>
      </c>
      <c r="C82" t="inlineStr">
        <is>
          <t>Loopback Health</t>
        </is>
      </c>
      <c r="D82" t="inlineStr">
        <is>
          <t>linkedin</t>
        </is>
      </c>
      <c r="E82">
        <f>HYPERLINK("https://www.linkedin.com/jobs/view/4373236058", "https://www.linkedin.com/jobs/view/4373236058")</f>
        <v/>
      </c>
      <c r="F82" t="inlineStr"/>
      <c r="G82" t="inlineStr">
        <is>
          <t>Dallas, TX</t>
        </is>
      </c>
      <c r="H82" t="inlineStr"/>
      <c r="I82" t="inlineStr">
        <is>
          <t>This employer will not sponsor applicants for employment visa status (e.g., H1\-B) for this position. All applicants must be currently authorized to work in the United States on a full\-time basis.
**About Loopback**
 Loopback is a healthcare data company dedicated to improving access and outcomes for complex patients. We partner with health systems to grow and optimize specialty pharmacy performance, and we support life sciences organizations in accelerating evidence generation and expanding patient access through differentiated data and insights. Our work sits at the intersection of data, technology, and patient care, and we’re building a purpose\-driven team that reflects that mission.
 Founded in 2009, Loopback has been recognized by the Dallas Business Journal as one of the Best Places to Work, reflecting a culture grounded in collaboration, trust, and impact. Loopback has been recognized on the Inc. 5000 list of America’s fastest\-growing private companies and consistently ranks among the fastest\-growing companies in Dallas by the Dallas Business Journal.
 Role Overview
 Loopback Health is hiring a Senior Data Engineer to join our data engineering team. This is a hands\-on role for someone who takes ownership of problems end\-to\-end; from identifying what needs to be built, to building it, to making sure it keeps running. The ideal candidate brings deep experience with healthcare clinical data, strong Databricks and cloud platform skills, and the kind of self\-directed mindset where you don’t wait to be told what to do next. You will design, build, and maintain the data pipelines that power our analytics platform, ensuring the quality, availability, reliability, and security of critical clinical data. The Senior Data Engineer reports to the Senior Director of Engineering.
 Key Responsibilities
* Design and build data pipelines for collecting, processing, and storing healthcare clinical data, and continuously improve them.
* Collaborate with data scientists, data integration specialists, analysts, and other stakeholders to understand data requirements and translate them into scalable solutions.
* Implement data validation, cleansing, and transformation processes to ensure data accuracy and consistency.
* Proactively monitor and troubleshoot pipeline performance, identifying and resolving issues before they become problems.
* Ensure data security and compliance with industry regulations, including HIPAA.
* Partner with the DevOps team to deploy and manage data pipeline infrastructure in our Azure cloud environment.
* Evaluate and adopt emerging tools, frameworks, and techniques that can improve our data platform: bring recommendations, not just questions.
* Leverage AI\-assisted development tools and modern engineering workflows to accelerate delivery and improve code quality.
**Qualifications**
 Technical Experience:
* 6\+ years of hands\-on data engineering experience, with significant exposure to healthcare clinical data.
* Proficient with Databricks for building and optimizing data pipelines.
* Strong programming skills in Python, Scala, or Java for data processing and automation.
* Experience with big data technologies such as Apache Spark, Hadoop, or Kafka.
* Working knowledge of cloud\-based data platforms (Azure preferred; AWS or Google Cloud also valued) and related services.
* Strong SQL skills for data manipulation, querying, and performance optimization.
* Solid understanding of data modeling, ETL/ELT design principles, and data warehouse architecture.
* Demonstrated ability to troubleshoot complex data issues and deliver practical, well\-documented solutions.
* Effective communication skills, you can explain technical decisions to both engineers and non\-technical stakeholders.
**Preferred Experience**
* Relevant certifications in data engineering, cloud platforms (e.g., Databricks, Azure), or healthcare data management.
* Understanding of machine learning concepts and their application to healthcare data.
* Familiarity with healthcare data standards (HL7, FHIR, EDI) and clinical data systems (Epic/Caboodle, Cerner, etc.).
* Experience with Snowflake or other modern cloud data warehouses.
* Comfort with AI\-assisted development tools (e.g., GitHub Copilot, Claude Code, or similar).
**Personal Characteristics**
* Agency and ownership: you identify what needs doing and drive it forward without waiting for permission or detailed instructions.
* A builder’s mindset: you’re always experimenting, prototyping, or exploring better ways to solve problems on your own initiative.
* Meticulous attention to detail, especially where data quality and accuracy directly impact healthcare outcomes.
* Strong problem\-solving instincts and comfort navigating ambiguity in complex data environments.
* Collaborative and communicative: you work well across teams and contribute beyond your immediate scope.
* Genuine curiosity and a drive to keep learning, whether that’s new data technologies, healthcare domain knowledge, or AI tooling.
* Leadership presence: you mentor junior engineers, share knowledge proactively, and raise the bar for the team.
* Adaptability: you embrace change and are energized rather than frustrated by shifting priorities and new tools.
 All qualified applicants will receive consideration for employment without regard to race, color, religion, sex, or national origin.</t>
        </is>
      </c>
    </row>
    <row r="83">
      <c r="A83" t="inlineStr">
        <is>
          <t>li-4327208014</t>
        </is>
      </c>
      <c r="B83" t="inlineStr">
        <is>
          <t>Analytics Engineer</t>
        </is>
      </c>
      <c r="C83" t="inlineStr">
        <is>
          <t>Ibotta</t>
        </is>
      </c>
      <c r="D83" t="inlineStr">
        <is>
          <t>linkedin</t>
        </is>
      </c>
      <c r="E83">
        <f>HYPERLINK("https://www.linkedin.com/jobs/view/4327208014", "https://www.linkedin.com/jobs/view/4327208014")</f>
        <v/>
      </c>
      <c r="F83" t="inlineStr"/>
      <c r="G83" t="inlineStr">
        <is>
          <t>Denver, CO</t>
        </is>
      </c>
      <c r="H83" t="inlineStr"/>
      <c r="I83" t="inlineStr">
        <is>
          <t>Ibotta is seeking an
 **Analytics Engineer** 
 to join our innovative Core Data \&amp; Analytics team and contribute to our mission to Make Every Purchase Rewarding. Our growing Core Data \&amp; Analytics team provides high\-quality, on\-time analytics products and services across all business areas and teams within Ibotta. We achieve this by offering expert guidance, sharing specialized knowledge, promoting data\-driven solutions, and overseeing mission\-critical data science projects that impact the entire organization.
 This position is located in Denver, Colorado, as a hybrid position requiring 3 days in office (Tuesday, Wednesday, and Thursday). Candidates must live in the United States.
**What you will be doing:**
* Helping us organize and optimize our data for analysis
* Collaborate with other Analytics Engineers and Platform Engineers to understand our data models and translate them into scalable data solutions
* Implement and utilize engineering best practices and methods to deploy and maintain quality, curated data sets using Airflow, including automated alerting and anomaly detection into data flows to ensure data quality and integrity
* Work across our full technology stack (Databricks, Spark, Command Line, Airflow, GitHub, Python, Monte Carlo, etc) to develop and maintain these datasets
* Building UI and automation tools to enable data democratization throughout the company
* Lead large, complex task force projects that require cross\-functional input across various teams
* Managing new data requirements and developing solutions that minimize technical debt creation
* Embrace and uphold Ibotta’s Core Values: Integrity, Boldness, Ownership, Teamwork, Transparency, \&amp; A good idea can come from anywhere
**What we are looking for:**
* 2\+ years of practical work experience in a data engineering role supporting an analytics team or equivalent experience as an analytics engineer
* Bachelor’s degree in Computer Science, Engineering, Analytics, or a related field required
* Working knowledge and some practical experience with some or all of the following:
+ End\-to\-end analytics automation, data pipelines, ETL/ELT processes, and tools (AWS Glue, DBT, etc.)
+ AWS EcoSystem and cloud\-based data warehouse and architecture
+ Airflow, DataBricks, Git, Monte Carlo
+ Multiple languages and frameworks (Python, Scala, strong SQL, Spark, Command Line) highly preferred
+ Development in a modern BI/data visualization platform (Looker, Tableau, etc.)
+ Event\-driven architectures and platforms are a strong plus
* An ability to develop solutions by applying data quality principles
* Ability to think creatively, provide thoughtful insights, and solve problems to answer business questions using data
* Collaboration with SMEs to understand the business context of the data
* Experience identifying and troubleshooting data anomalies and pipeline issues
* Exposure to managing and updating cluster configurations to ensure workflow operation
* Ownership of data throughout its lifecycle
* Excellent oral and written communication skills
**What we are looking for:**
 You…
* are proactive, collaborative, and driven to solve hard problems while respecting diverse perspectives in a dynamic, fast\-paced environment
* are an intellectually curious, conceptual thinker who uses creative problem\-solving skills to work with other engineers and analytics stakeholders to challenge yourself and develop as an engineer
* are a detailed\-oriented team player with an ownership mindset who develops technical solutions that apply data quality principles
* work collaboratively throughout the organization to drive towards common goals and understand the business context of data
* understand that delivering products incrementally helps provide more value to the business, and testing your code is one of the most important aspects of engineering
* trust your teammates, and embrace healthy conflict and debate \- not afraid to voice your opinions but okay with not always being right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Employee Stock Purchase Program, and 401k match. Denver office perks include paid parking, snacks, and occasional meals.
* Base compensation range: $111,000 \- $127,000\.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84">
      <c r="A84" t="inlineStr">
        <is>
          <t>li-4373211737</t>
        </is>
      </c>
      <c r="B84" t="inlineStr">
        <is>
          <t>Data Engineer</t>
        </is>
      </c>
      <c r="C84" t="inlineStr">
        <is>
          <t>Wiraa</t>
        </is>
      </c>
      <c r="D84" t="inlineStr">
        <is>
          <t>linkedin</t>
        </is>
      </c>
      <c r="E84">
        <f>HYPERLINK("https://www.linkedin.com/jobs/view/4373211737", "https://www.linkedin.com/jobs/view/4373211737")</f>
        <v/>
      </c>
      <c r="F84" t="inlineStr"/>
      <c r="G84" t="inlineStr"/>
      <c r="H84" t="inlineStr"/>
      <c r="I84" t="inlineStr">
        <is>
          <t>**About The Company**
 Join the Future of Commerce with Whatnot! Whatnot is the largest live shopping platform operating across North America and Europe, revolutionizing the way people buy, sell, and discover their passions. By seamlessly blending community engagement, entertainment, and e\-commerce, Whatnot offers a unique marketplace experience that caters to a diverse range of interests, including fashion, beauty, electronics, collectibles such as trading cards and comic books, and even live plants. The platform is designed to foster a vibrant community where users can participate in live auctions and connect over shared interests. With a strong emphasis on innovation and a values\-driven culture, Whatnot operates as a remote co\-located team with hubs in the US, UK, Germany, Ireland, and Poland, dedicated to building the future of online marketplaces. As one of the fastest\-growing marketplaces, Whatnot is committed to enabling individuals to turn their passions into thriving businesses and bringing people together through commerce.
**About The Role**
 As a Data Engineer at Whatnot, you will play a critical role in shaping the company's data infrastructure to support data\-driven decision\-making and business growth. You will be responsible for designing, building, and maintaining scalable, reliable, and efficient data systems that serve various internal teams such as product, sales, marketing, finance, and trust. Your work will involve creating robust data architectures, developing resilient data pipelines, and building foundational data products that power analytics, machine learning, and real\-time applications. You will own the entire data lifecycle—from capturing and modeling data to ensuring high data quality and operational efficiency. Collaborating closely with cross\-functional teams, you will help establish standards and best practices for data management, ensuring that data is accessible, accurate, and actionable across the organization. Your contributions will directly influence the company's ability to innovate, optimize operations, and enhance user experience.
**Qualifications**
* 3\+ years of experience as a data or software engineer, specializing in building data warehouses, distributed data systems, or event\-driven architectures.
* Proficiency in designing and implementing data models using techniques such as dimensional modeling, Data Vault, or ledger\-style approaches.
* Hands\-on experience with modern data tooling including Kafka, Debezium, dbt, Spark, Flink, Dagster, Airflow, Monte Carlo, and Great Expectations.
* Experience operating cloud data warehouses such as Snowflake, BigQuery, or Redshift, including schema design, cost management, and workload tuning.
* Strong coding skills in Python and SQL, with experience integrating with CI/CD pipelines and infrastructure\-as\-code workflows.
* Ability to translate complex business requirements into scalable and efficient data systems through collaboration across disciplines such as engineering, product, and analytics.
* Self\-motivated with the ability to manage multiple priorities in a fast\-paced environment, owning both technical and operational outcomes.
**Responsibilities**
* Design and implement end\-to\-end data architecture, including data capture, modeling, and serving strategies to support business needs.
* Develop and operate streaming and batch data pipelines that process high\-volume events with guarantees for latency, completeness, and accuracy.
* Create domain\-oriented data models that act as authoritative sources for analytics, machine learning, and real\-time applications.
* Build and maintain data quality systems, including tests, lineage tracking, monitoring, and anomaly detection to ensure dataset reliability.
* Automate operational workflows by partnering with business systems and platform teams to reduce manual data handoffs and reconcile data across systems.
* Support analytics, ML, and product teams by providing high\-quality, low\-latency data access through semantic layers, APIs, and real\-time query systems.
* Establish and enforce data modeling standards, ownership boundaries, and data contracts across teams to ensure consistency and compliance.
* Continuously evaluate and optimize data storage formats, compute patterns, and SLAs balancing cost, scalability, and data integrity.
**Benefits**
* Generous holiday and time\-off policies to support work\-life balance.
* Comprehensive health insurance options including Medical, Dental, and Vision coverage.
* Support for remote work with home office setup allowances and monthly stipends for cell phone and internet expenses.
* Care benefits including wellness allowances, annual childcare allowances, and lifetime family planning benefits.
* Retirement plans such as 401(k) with employer matching in the US, and pension plans internationally.
* Additional perks like monthly allowances for app testing (dogfooding), parental leave (16 weeks paid parental leave plus a gradual return), and a culture of continuous development and engagement.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status, or any other protected characteristic under applicable law. We believe that embracing diversity enhances our work culture and drives innovation, and we actively encourage candidates from all backgrounds to apply.</t>
        </is>
      </c>
    </row>
    <row r="85">
      <c r="A85" t="inlineStr">
        <is>
          <t>li-4373230126</t>
        </is>
      </c>
      <c r="B85" t="inlineStr">
        <is>
          <t>Data Engineer I/II</t>
        </is>
      </c>
      <c r="C85" t="inlineStr">
        <is>
          <t>Wiraa</t>
        </is>
      </c>
      <c r="D85" t="inlineStr">
        <is>
          <t>linkedin</t>
        </is>
      </c>
      <c r="E85">
        <f>HYPERLINK("https://www.linkedin.com/jobs/view/4373230126", "https://www.linkedin.com/jobs/view/4373230126")</f>
        <v/>
      </c>
      <c r="F85">
        <f>HYPERLINK("https://www.wiraa.com/job-description/usF7EA4A54A7A1763AEC83F9DE8CF9C92D?source=Linkedin&amp;urlHash=3_1Y", "https://www.wiraa.com/job-description/usF7EA4A54A7A1763AEC83F9DE8CF9C92D?source=Linkedin&amp;urlHash=3_1Y")</f>
        <v/>
      </c>
      <c r="G85" t="inlineStr"/>
      <c r="H85" t="inlineStr"/>
      <c r="I85" t="inlineStr">
        <is>
          <t>**About The Company**
 BNSF Railway is one of the largest freight railroads in the United States, operating across 28 western states and extending into three Canadian provinces. The company is committed to safety, inclusion, and excellence, playing a vital role in transporting essential products and materials that support communities nationwide and globally. As a member of our team, you will contribute to the movement of goods that feed, clothe, supply, and power communities, ensuring the seamless flow of commerce and daily life. BNSF is dedicated to fostering a culture of diversity, innovation, and continuous improvement, making it an ideal environment for professionals seeking impactful careers in the transportation sector.
**About The Role**
 We are seeking a highly skilled Data \&amp; AI Engineer to join our innovative BNSF \| Tech division, which is focused on transforming data assets into real\-time enterprise solutions. This remote position offers an exciting opportunity to lead the design, development, and implementation of data streaming solutions, data pipelines, and large\-scale data warehouses. The role involves collaborating with data scientists, analysts, and stakeholders to understand data requirements and deliver effective, scalable data solutions that support business intelligence and analytics. The ideal candidate will be responsible for ensuring data security, compliance, and performance optimization, while staying current with industry trends in data engineering, machine learning, and data science. This position provides a unique chance to influence the future of freight rail through data\-driven innovation, working from anywhere within the contiguous United States.
**Qualifications**
* Authorized to work in the United States
* Minimum of 2 years of experience in software engineering, data engineering, or related fields
* Proficiency in programming languages such as Python, SQL, Java
* Strong understanding of data warehousing concepts, including dimensional modeling and star schema
* Experience with ETL processes and cloud\-based solutions
* Familiarity with database management systems (SQL, NoSQL) and lakehouse technologies (Apache Iceberg, Delta Lake, Apache Trino)
* Experience with data streaming technologies such as Apache Kafka, AWS Kinesis, Apache Flink, and Apache Spark
* Knowledge of data pipelines, data orchestration tools, and certified datasets
* Excellent problem\-solving skills and attention to detail
* Strong communication and collaboration skills
* Ability to learn new technologies quickly and adapt to a dynamic environment
**Responsibilities**
* Design and implement real\-time data streaming solutions for efficient data processing
* Develop and maintain robust data pipelines for both real\-time and batch processing, including ETL workflows
* Create and manage large\-scale data warehouses to support analytics and business intelligence
* Integrate data from diverse sources to develop certified datasets ensuring accuracy and reliability
* Collaborate with data scientists, analysts, and stakeholders to understand data requirements and deliver tailored solutions
* Optimize data workflows, monitor pipelines, and troubleshoot issues to ensure high performance and scalability
* Ensure data security and compliance with industry standards and regulations
* Stay updated on industry trends and advancements in data engineering, data science, and machine learning
* Write efficient, well\-documented code with comprehensive testing and documentation
* Lead the integration of data engineering solutions into production systems, overseeing design, development, testing, and monitoring
**Benefits**
* Industry\-leading 401(k) plan and Railroad Retirement program
* Comprehensive health care options including medical, dental, vision, telemedicine, and mental health services
* Health savings accounts (HSA) with employer contributions, life and disability insurance
* Family benefits such as parental leave, pediatric and family building support, adoption and surrogacy reimbursement, and dependent care accounts
* Discounts on travel, gym memberships, counseling, and wellness programs
* Annual incentive bonus program
* Generous paid time off and leave policies
* Resources and support for professional development and career growth
 Equal Opportunity
 BNSF Railway is an Equal Opportunity Employer. We are committed to creating an inclusive environment where all qualified applicants receive consideration for employment without regard to race, color, religion, sex, sexual orientation, gender identity, national origin, disability, veteran status, or any other protected characteristic. We encourage individuals from diverse backgrounds to apply and contribute to our culture of safety, inclusion, and excellence.</t>
        </is>
      </c>
    </row>
    <row r="86">
      <c r="A86" t="inlineStr">
        <is>
          <t>li-4323555261</t>
        </is>
      </c>
      <c r="B86" t="inlineStr">
        <is>
          <t>Data Engineer</t>
        </is>
      </c>
      <c r="C86" t="inlineStr">
        <is>
          <t>Orveon Global</t>
        </is>
      </c>
      <c r="D86" t="inlineStr">
        <is>
          <t>linkedin</t>
        </is>
      </c>
      <c r="E86">
        <f>HYPERLINK("https://www.linkedin.com/jobs/view/4323555261", "https://www.linkedin.com/jobs/view/4323555261")</f>
        <v/>
      </c>
      <c r="F86" t="inlineStr"/>
      <c r="G86" t="inlineStr">
        <is>
          <t>Columbus, OH</t>
        </is>
      </c>
      <c r="H86" t="inlineStr"/>
      <c r="I86" t="inlineStr">
        <is>
          <t>**About Us**
 Orveon is a new kind of beauty company launched in December 2021 when we acquired our three iconic brands \- bareMinerals, BUXOM, and Laura Mercier. Operating in 40\+ countries, we're a truly global business. Our headquarters are in New York, with additional locations in major cities worldwide.
 We love our brands and are embarking on a powerful shift: To change how the world thinks about beauty. We are a collective of premium and prestige beauty brands committed to stark honesty, co\-creation, and making a sustainable cultural impact.
 People here are passionate, entrepreneurial and most of all, bold. This is an inspirational group of talented, silo\-busting, confident and humble people, working together to build something better. We are looking for the best talent to join us on that journey. We believe we can accomplish more when we \#Face Forward Together!
**About The Role**
 We are seeking a skilled and motivated Data Engineer to join our team. As a key contributor to our data architecture, you will play a central role in designing, building, and maintaining scalable data pipelines and solutions using Microsoft Fabric. You will collaborate closely with Power BI developers, and business analysts to ensure data is accessible, reliable, and optimized for analytics and decision\-making.
**Primary Duties \&amp; Responsibilities**
* Design, develop, and maintain robust data pipelines using Microsoft Fabric, including Data Factory, OneLake, and Lakehouse.
* Integrate data from various sources (structured and unstructured) into centralized data platforms.
* Collaborate with Data Architects to implement scalable and secure data models.
* Optimize data workflows for performance, reliability, and cost\-efficiency.
* Ensure data quality, governance, and compliance with internal and external standards.
* Support Power BI developers and business analysts with curated datasets and semantic models.
* Monitor and troubleshoot data pipeline issues and implement proactive solutions.
* Document data processes, architecture, and best practices.
**Qualifications**
* Bachelor's degree in Computer Science, Data Science, Information Technology or related field.
* 3\+ years hands on experience in data engineering
* Proficiency in Apache Spark.
* Strong programming skills in Python, SQL, with experience in CI/CD
* Experience in data modeling.
* Best practices in managing lakehouses and warehouses.
* Strong problem\-solving skills and attention to detail.
* Excellent communication and collaboration abilities.
* Familiarity with MS fabric technologies and tools
* Familiarity with version control (Git/Azure Devops)
* Microsoft Data technologies especially Power BI
* Experience with Azure data services such as Data factory, synapse, purview, logic/function apps.
**What Orveon Offers You**
 You are a creator of Orveon’s success and your own. This is a rare opportunity to share your voice, accelerate your career, drive innovation and fostering growth. We’re a human\-sized company so your work will have a big impact on the organization. We invest in the well\-being of our Orveoners – both personally and professionally and provide tailored benefits to support all of you, such as:
* “Hybrid First” Model 3 days per week in office, balancing virtual and face\-to\-face interactions.
* “Work From Anywhere” – Freedom to work six (6\) weeks annually from the location of your choice.
* Complimentary Products – Free and discounted products on new releases and fan\-favorites.
* Professional Development – Exposure to senior leadership, learning and development programs, and career advancement opportunities.
* Community Engagement – Volunteer opportunities in the communities in which we live and work.
**Other things to know!**
**Pay Transparency** 
 \- One of our values is Stark Honesty, and the following represents a good faith estimate of the compensation range for this position
 At Orveon Global, we carefully consider a wide range of non\-discriminatory factors when determining salary. Actual salaries will vary depending on factors including but not limited to location, education, experience, and qualifications.
 The pay range for this position $80,500\-$100,500\. Supplemented with all the amazing benefits above for full\-time employees!
**Opportunities and Accommodations** 
 \- Orveon is deeply committed to building a workplace and global community where inclusion is not only valued but prioritized. Find out more on our careers page. https://www.orveonglobal.com/career
**Opportunities and Accommodations**
 Orveon is deeply committed to building a workplace and global community where inclusion is not only valued but prioritized. We strive to build and nurture a culture where a focus on diversity, equity, and inclusion is instinctive. Our deep sense of passion and pride in what we do, both as individuals and as a collective, unifies our shared commitment to “changing beauty for the better”. Therefore, all qualified applicants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We recognize and celebrate different ideas, perspectives, and backgrounds and know they create a more robust and creative work environment.
**BE AWARE OF FRAUD** 
**!** 
 Please be aware of potentially fraudulent job postings or suspicious recruiter activity by persons that are posing as Orveon Global Recruiters/HR. Please confirm that the person you are working with has an @orveonglobal.com email address. Additionally, Orveon Global does NOT request financial information or payments from candidates at any point during the hiring process. If you suspect fraudulent activity, please visit the Orveon Global Careers Site at https://www.orveonglobal.com/career to verify the posting and apply though our secure online portal.</t>
        </is>
      </c>
    </row>
    <row r="87">
      <c r="A87" t="inlineStr">
        <is>
          <t>li-4373226545</t>
        </is>
      </c>
      <c r="B87" t="inlineStr">
        <is>
          <t>Data Engineer</t>
        </is>
      </c>
      <c r="C87" t="inlineStr">
        <is>
          <t>Hirenza</t>
        </is>
      </c>
      <c r="D87" t="inlineStr">
        <is>
          <t>linkedin</t>
        </is>
      </c>
      <c r="E87">
        <f>HYPERLINK("https://www.linkedin.com/jobs/view/4373226545", "https://www.linkedin.com/jobs/view/4373226545")</f>
        <v/>
      </c>
      <c r="F87" t="inlineStr"/>
      <c r="G87" t="inlineStr"/>
      <c r="H87" t="inlineStr"/>
      <c r="I87" t="inlineStr">
        <is>
          <t>**About The Company**
 PSA Ventures is a dynamic and innovative organization dedicated to leveraging cutting\-edge technology solutions to drive business growth and operational excellence. Our company specializes in data\-driven strategies, providing clients with actionable insights and tailored analytics solutions across various industries. With a focus on fostering a collaborative and inclusive work environment, PSA Ventures is committed to empowering its employees to excel and stay ahead in the rapidly evolving technology landscape. We prioritize integrity, innovation, and excellence in everything we do, ensuring our clients receive the highest quality services and solutions.
**About The Role**
 We are seeking a highly skilled Senior Data Engineer to join our team at PSA Ventures. This pivotal role involves designing, developing, and maintaining advanced data pipelines and workflows that support our analytics and reporting functions. The ideal candidate will possess a strong background in data engineering, with hands\-on experience in cloud\-based data platforms and tools such as AWS Glue, Lambda, S3, Redshift, PostgreSQL, and EKS. The Senior Data Engineer will collaborate closely with cross\-functional teams, including data scientists, analysts, and business stakeholders, to translate complex requirements into scalable and efficient data solutions. This role offers an exciting opportunity to work on innovative projects, optimize data workflows for performance, and ensure data security and compliance across our cloud infrastructure.
**Qualifications**
* A Master's degree in Computer Science, Computer Information Systems, or a related field.
* Minimum of 2 years of professional experience in data engineering or a similar role.
* Proficiency in designing and developing data pipelines using AWS services such as Glue, Lambda, S3, Redshift, and EKS.
* Strong knowledge of ETL/ELT workflows and tools like Airflow, dbt, and AWS data services.
* Experience in optimizing data workflows, including fine\-tuning SQL queries, indexing strategies, and storage configurations.
* Hands\-on experience with Snowflake, AWS cloud infrastructure, and related security and governance protocols.
* Familiarity with CI/CD pipeline automation for data workflows.
* Excellent problem\-solving skills and the ability to work collaboratively in a team environment.
* Strong communication skills to effectively gather requirements and translate them into technical solutions.
**Responsibilities**
* Design, develop, and maintain scalable data pipelines for ingesting, transforming, and delivering both structured and unstructured data sources.
* Manage ETL/ELT workflows to support analytics, reporting, and business intelligence initiatives.
* Leverage AWS Glue, Lambda, S3, Redshift, and PostgreSQL to build robust data processing solutions.
* Collaborate with cross\-functional teams to gather requirements, define data specifications, and deliver actionable insights.
* Optimize data workflows by tuning SQL queries, enhancing indexing strategies, and configuring storage solutions for maximum efficiency.
* Automate data tasks and workflows through CI/CD pipelines, ensuring reliability, consistency, and timely delivery of datasets.
* Implement data governance, security, and compliance protocols using AWS Lake Formation, IAM policies, VPC configurations, and other security services.
* Monitor and troubleshoot data pipelines to ensure high availability, performance, and data integrity.
* Stay updated with the latest industry trends and incorporate best practices into data engineering processes.
**Benefits**
 At PSA Ventures, we offer a comprehensive benefits package designed to support our employees' well\-being and professional growth. Our offerings include competitive salary packages, health insurance plans, and retirement savings options. We promote a flexible work environment with opportunities for remote work and professional development. Employees have access to ongoing training, certifications, and career advancement programs. We also foster a collaborative workplace culture that values innovation, diversity, and inclusion, ensuring our team members feel valued and motivated to excel in their roles.
 Equal Opportunity
 PSA Ventures is an equal opportunity employer. We are committed to creating a diverse and inclusive work environment where all employees and applicants are treated with respect and fairness. We do not discriminate based on race, ethnicity, gender, age, religion, sexual orientation, disability, or any other protected characteristic. Our recruitment and employment practices are designed to promote equal opportunity and ensure that everyone has an equal chance to succeed and contribute to our company's growth and success.</t>
        </is>
      </c>
    </row>
    <row r="88">
      <c r="A88" t="inlineStr">
        <is>
          <t>li-4373221899</t>
        </is>
      </c>
      <c r="B88" t="inlineStr">
        <is>
          <t>Data Engineer</t>
        </is>
      </c>
      <c r="C88" t="inlineStr">
        <is>
          <t>ThinkTek</t>
        </is>
      </c>
      <c r="D88" t="inlineStr">
        <is>
          <t>linkedin</t>
        </is>
      </c>
      <c r="E88">
        <f>HYPERLINK("https://www.linkedin.com/jobs/view/4373221899", "https://www.linkedin.com/jobs/view/4373221899")</f>
        <v/>
      </c>
      <c r="F88">
        <f>HYPERLINK("https://www.adzuna.com/details/5594358526?v=A9949281D23E3FFFCD7815B9FAD8345BBDF8CF4F&amp;ccd=8c398121578b7184035be02d11eccdee&amp;frd=a66b8538f4c016a663b2fa45a5d8eb5d&amp;r=21262857&amp;utm_source=linkedin7&amp;utm_medium=organic&amp;chnlid=1931&amp;title=Data%20Engineer&amp;a=e&amp;urlHash=rO4_", "https://www.adzuna.com/details/5594358526?v=A9949281D23E3FFFCD7815B9FAD8345BBDF8CF4F&amp;ccd=8c398121578b7184035be02d11eccdee&amp;frd=a66b8538f4c016a663b2fa45a5d8eb5d&amp;r=21262857&amp;utm_source=linkedin7&amp;utm_medium=organic&amp;chnlid=1931&amp;title=Data%20Engineer&amp;a=e&amp;urlHash=rO4_")</f>
        <v/>
      </c>
      <c r="G88" t="inlineStr">
        <is>
          <t>Fairfax, VA</t>
        </is>
      </c>
      <c r="H88" t="inlineStr"/>
      <c r="I88" t="inlineStr">
        <is>
          <t>**Who We Are**
 ThinkTek LLC is a fast\-growing Certified SBA 8(a) and Service\-Disabled Veteran\-Owned Small Business (SDVOSB). We specialize in providing management and technology consulting services to support the business and technology modernization efforts of the Federal Government. ThinkTek was formed with the specific purpose of providing clients tailored solutions in Program \&amp; Project Management, Strategic Planning, and IT Services.
**Position Description**
 ThinkTek is seeking a Data Engineer with strong expertise in Microsoft Azure and experience integrating with ServiceNow (SNOW) platforms to support a Human Capital Management (HCM) modernization program for a large Federal agency. The selected candidate will provide technical leadership in designing secure, scalable data solutions that enhance interoperability between Azure\-based systems, HCM platforms, and ServiceNow applications.
 The ideal candidate will have deep hands\-on experience in Azure Data Factory, Azure Synapse Analytics, Power BI, and SQL Server, combined with a working knowledge of ServiceNow data structures, CMDB, and API integrations.
**Responsibilities**
* Lead the design and implementation of enterprise data architecture to support Human Capital Management and related business systems.
* Develop and maintain scalable data models, data warehouses, and migration strategies within the Microsoft Azure environment.
* Architect and manage Azure SQL Database, Azure Data Lake, and Synapse pipelines to enable secure data flow across HCM and ServiceNow platforms.
* Integrate data between Azure and ServiceNow, leveraging APIs, MID Servers, and RESTful web services.
* Collaborate with HR, IT, and ServiceNow platform teams to define and implement data standards, mappings, and transformation logic.
* Establish and monitor data governance, quality assurance, and compliance processes aligned with federal cybersecurity and privacy mandates (e.g., FISMA, FedRAMP).
* Develop advanced analytics and reporting solutions using Power BI and Azure Analysis Services to support workforce planning, performance insights, and executive dashboards.
* Serve as a technical advisor to ensure data architecture aligns with business goals, modernization priorities, and cloud best practices.
**Required Qualifications:**
* Active Secret Clearance.
* Bachelor's Degree or higher.
* 5\+ years of experience leading enterprise data architecture, modeling, and migration efforts.
* 5\+ years of hands\-on experience with Azure SQL, Azure Data Factory, Azure Synapse, and Power BI.
* Experience with ServiceNow data models, integrations, and CMDB architecture.
* Strong SQL and database design proficiency, including stored procedures, APIs, and ETL workflows.
* Experience supporting or integrating Human Capital Management or ERP systems (e.g., Oracle HCM, Workday, PeopleSoft, or SAP SuccessFactors).
* Knowledge of federal data privacy, security, and compliance frameworks (FISMA, FedRAMP, NIST).
* Experience with PySpark and Spark SQL to build complex, large\-scale data transformations across Bronze/Silver/Gold layers in production environments.
* Proven ability to optimize Spark workloads, including analysis of Spark execution plans, partitioning strategies, and join optimization to deliver high\-performance pipelines.
* Experience integrating Spark pipelines with Azure Data Lake Storage Gen2 and Delta Lake, including data lifecycle management.
* Proven ability to design and implement data validation, exception handling, and quality assurance strategies to ensure accuracy and completeness of enterprise datasets.
* Ability to design canonical data models that enforce semantic consistency across domains to support analytics and downstream consumption.
**Preferred:** 
 Azure Solutions Architect, Azure Data Engineer, or ServiceNow Integration Specialist certification.
**Why ThinkTek**
*ThinkTek LLC is proud to be an Equal Opportunity Employer (EOE), making employment decisions without regard to race, color, religion, creed, sex, sexual orientation, gender identity, marital status, national origin, age, veteran status, disability, or any other protected class.We offer comprehensive benefits including medical, dental, and vision insurance for full\-time employees, generous PTO, and a variety of paid leave options. Learn more about ThinkTek careers and benefits at www.thinktekllc.com/careers.*</t>
        </is>
      </c>
    </row>
    <row r="89">
      <c r="A89" t="inlineStr">
        <is>
          <t>li-4373219843</t>
        </is>
      </c>
      <c r="B89" t="inlineStr">
        <is>
          <t>Data Engineer</t>
        </is>
      </c>
      <c r="C89" t="inlineStr">
        <is>
          <t>Best Job Tool</t>
        </is>
      </c>
      <c r="D89" t="inlineStr">
        <is>
          <t>linkedin</t>
        </is>
      </c>
      <c r="E89">
        <f>HYPERLINK("https://www.linkedin.com/jobs/view/4373219843", "https://www.linkedin.com/jobs/view/4373219843")</f>
        <v/>
      </c>
      <c r="F89">
        <f>HYPERLINK("https://www.hirecrap.com/job-description-usj/7533732185383542420?src=LinkedIn&amp;urlHash=mi4m", "https://www.hirecrap.com/job-description-usj/7533732185383542420?src=LinkedIn&amp;urlHash=mi4m")</f>
        <v/>
      </c>
      <c r="G89" t="inlineStr"/>
      <c r="H89" t="inlineStr"/>
      <c r="I89" t="inlineStr">
        <is>
          <t>**About The Company**
 Fynetra is a forward\-thinking technology company dedicated to delivering innovative solutions that drive digital transformation across various industries. With a strong focus on customer\-centric approaches, Fynetra leverages cutting\-edge technologies such as artificial intelligence, cloud computing, and data analytics to help businesses optimize their operations and achieve sustainable growth. Our commitment to excellence, integrity, and continuous improvement has established us as a trusted partner for organizations seeking to stay ahead in an ever\-evolving digital landscape.
**About The Role**
 We are seeking a highly motivated and skilled \[Job Title] to join our dynamic team at Fynetra. This role offers an exciting opportunity to contribute to the development and implementation of innovative technology solutions that meet our clients' needs. The ideal candidate will possess a blend of technical expertise, problem\-solving skills, and a proactive mindset to drive projects from conception through to successful completion. As a key member of our team, you will collaborate with cross\-functional departments, including product management, engineering, and client services, to deliver high\-quality results that align with our strategic objectives.
**Qualifications**
* Bachelor’s degree in Computer Science, Information Technology, or a related field; a master’s degree is preferred.
* Proven experience in \[specific relevant skills or technologies], with a strong understanding of \[industry\-specific knowledge].
* Excellent problem\-solving skills and the ability to analyze complex issues effectively.
* Strong communication and interpersonal skills to collaborate effectively with team members and clients.
* Experience working in agile development environments is a plus.
* Ability to adapt quickly to changing priorities and work under tight deadlines.
**Responsibilities**
* Design, develop, and maintain scalable and efficient software solutions in line with project requirements.
* Collaborate with cross\-functional teams to gather and analyze user requirements, translating them into technical specifications.
* Participate in code reviews, testing, and debugging to ensure high\-quality deliverables.
* Implement best practices for coding, security, and performance optimization.
* Contribute to the continuous improvement of development processes and methodologies.
* Document technical specifications, system configurations, and user manuals as needed.
* Stay updated on emerging technologies and industry trends to incorporate innovative solutions.
* Provide technical support and troubleshooting assistance for deployed applications.
**Benefits**
 At Fynetra, we believe in fostering a positive and engaging work environment. Our employees enjoy a comprehensive benefits package that includes competitive salary packages, health insurance, and retirement plans. We also offer opportunities for professional development through training programs, certifications, and conferences. Our flexible work arrangements support work\-life balance, and we promote a culture of collaboration, innovation, and recognition. Additionally, employees have access to wellness programs, paid time off, and various employee engagement activities designed to promote overall well\-being and job satisfaction.
 Equal Opportunity
 Fynetra is an equal opportunity employer committed to fostering a diverse and inclusive workplace. We do not discriminate based on race, ethnicity, gender, age, religion, sexual orientation, disability, or any other protected characteristic. We believe that diversity drives innovation and excellence, and we are dedicated to providing equal employment opportunities to all qualified candidates. Our hiring practices are rooted in fairness and meritocracy, ensuring that every individual has the opportunity to thrive and contribute to our shared success.</t>
        </is>
      </c>
    </row>
    <row r="90">
      <c r="A90" t="inlineStr">
        <is>
          <t>li-4373217644</t>
        </is>
      </c>
      <c r="B90" t="inlineStr">
        <is>
          <t>Senior Data Engineer</t>
        </is>
      </c>
      <c r="C90" t="inlineStr">
        <is>
          <t>James Search Group</t>
        </is>
      </c>
      <c r="D90" t="inlineStr">
        <is>
          <t>linkedin</t>
        </is>
      </c>
      <c r="E90">
        <f>HYPERLINK("https://www.linkedin.com/jobs/view/4373217644", "https://www.linkedin.com/jobs/view/4373217644")</f>
        <v/>
      </c>
      <c r="F90" t="inlineStr"/>
      <c r="G90" t="inlineStr"/>
      <c r="H90" t="inlineStr"/>
      <c r="I90" t="inlineStr">
        <is>
          <t>**Senior Data Engineer (P\&amp;C Insurance)** 
 Fully Remote \| Full\-Time
 Base Salary: $120,000 – $150,000
**Partnering with a Leading P\&amp;C Insurance Carrier** 
 James Search Group is proud to partner with a highly rated Property \&amp; Casualty insurance carrier that is making significant investments in
 **data engineering, analytics, and machine learning** 
 . The company is building a centralized Data \&amp; ML/AI organization that unites experts across data architecture, engineering, analytics, governance, and modeling—creating a unique opportunity for growth, collaboration, and innovation.
 We are seeking a
 **Senior Data Engineer** 
 to design, build, and maintain the upstream components of a modern data platform. From ingestion and real\-time streaming to data quality frameworks, you’ll play a pivotal role in shaping the technical foundation of the company’s next\-generation data environment. This is a hands\-on role where you’ll be coding daily, mentoring peers, and collaborating closely with analytics engineers, data scientists, and business partners.
**Office Locations (Optional Hybrid):** 
 This is a remote\-first position, but you can also work from one of the carrier’s multiple U.S. office locations.
**What You’ll Do:** 
* Design, build, and optimize
 **scalable data pipelines** 
 for batch and real\-time processing.
* Implement
 **data ingestion frameworks** 
 including CDC from core systems, APIs, and third\-party platforms (Salesforce, Workday, Duck Creek, etc.).
* Develop and optimize
 **Apache Spark jobs on Databricks** 
 , leveraging Delta Lake, DLT pipelines, and lakehouse architectures.
* Ensure
 **data quality, lineage, and governance** 
 using Unity Catalog, CI/CD, and role\-based access/security controls.
* Partner with analytics engineers (dbt) to deliver clean, structured upstream data.
* Mentor peers, contribute to architecture decisions, and foster a culture of craftsmanship.
* Leverage
 **AWS services** 
 (S3, Glue, Lambda, etc.) and DevOps tools (GitHub, CI/CD) for scalable, production\-grade deployments.
**What You Bring:** 
* 3\-5\+ years of professional experience in
 **data engineering** 
 , ideally within insurance or financial services.
* Strong proficiency in
 **Python, SQL, and Spark** 
 for building and optimizing pipelines.
* Hands\-on expertise with
 **Databricks** 
 (Unity Catalog, Delta Lake, DLT pipelines) and/or Azure Data Services.
* Strong knowledge of
 **AWS data services** 
 , with the ability to adapt across cloud platforms (Azure, GCP).
* Familiarity with modern data architectures (medallion, lakehouse, streaming).
* Experience with GitHub, CI/CD pipelines, and testing frameworks.
* A problem\-solving mindset: balancing pragmatism with scalability, and a passion for working in collaborative teams.
**What’s In It for You:** 
* Competitive base salary ($120K–$150K)
* Performance\-based bonus
* Comprehensive benefits package
* 401(k) with company match
* Generous PTO and wellness programs
 This is a rare opportunity to join a
 **ground\-floor data transformation** 
 at a forward\-thinking P\&amp;C insurer, working with the latest tools and approaches to build something lasting.
 If you’re excited to design and deliver production\-grade data systems that directly empower analytics, AI, and business outcomes—we’d love to connect.</t>
        </is>
      </c>
    </row>
    <row r="91">
      <c r="A91" t="inlineStr">
        <is>
          <t>li-4355481816</t>
        </is>
      </c>
      <c r="B91" t="inlineStr">
        <is>
          <t>(Senior) Data Engineer</t>
        </is>
      </c>
      <c r="C91" t="inlineStr">
        <is>
          <t>Flagship Pioneering</t>
        </is>
      </c>
      <c r="D91" t="inlineStr">
        <is>
          <t>linkedin</t>
        </is>
      </c>
      <c r="E91">
        <f>HYPERLINK("https://www.linkedin.com/jobs/view/4355481816", "https://www.linkedin.com/jobs/view/4355481816")</f>
        <v/>
      </c>
      <c r="F91" t="inlineStr"/>
      <c r="G91" t="inlineStr">
        <is>
          <t>Boston, MA</t>
        </is>
      </c>
      <c r="H91" t="inlineStr"/>
      <c r="I91" t="inlineStr">
        <is>
          <t>**About ProFound Therapeutics**
 ProFound Therapeutics is pioneering the discovery of the expanded human proteome to unlock a new universe of potential therapeutics. By integrating multi\-omics, advanced computation, and translational biology, we aim to reveal and characterize thousands of previously uncharted proteins and systematically explore their role in health and disease.
**The Role**
 We're seeking a (Senior) Data Engineer to join our data team. This individual will play a central role in building the data foundation that powers ProFound's drug discovery platform. You'll architect systems that integrate diverse biological data—from genomics and proteomics to imaging and perturbation experiments—enabling our scientists to make breakthrough discoveries and our ML models to identify novel therapeutic targets.
 This role offers the unique challenge of working at the intersection of computational biology, machine learning, and modern data engineering, with the impact of accelerating life\-saving therapeutics.
**Key Responsibilities**
* Contribute to design and scaling of our multi\-modal data platform that integrates public and proprietary biological data (genomics, transcriptomics, proteomics, imaging, perturbation data) across data lakes, graph databases, relational and NoSQL databases, and data warehouses, enabling ML training, computational biology pipelines, and scientific exploration.
* Build production data pipelines and workflows that automate data ingestion and transformation, working with domain experts to optimize analysis pipelines for scientific discovery.
* Partner with computational and wet\-lab scientists to model experimental data, manage instrument outputs and electronic lab notebook data, and ensure seamless integration into our data platform.
* Develop and manage cloud infrastructure on AWS following best practices and the Well\-Architected framework, with focus on scalability, security, and cost optimization.
* Contribute to the data engineering team’s best practices including comprehensive documentation, monitoring and observability, and robust testing frameworks.
* Collaborate with external partners including CROs, vendors, and consultants to coordinate data transfers and support platform integrations.
**Required Qualifications**
* BS, MS, or PhD in Computer Science, Bioinformatics, or related field with 0\-4 years of professional data engineering experience.
* Background in scientific domains (biology, chemistry, or related fields).
* Python expertise including data science libraries and testing frameworks.
* AWS experience with storage, database, compute, and analytics services (S3, RDS, DynamoDB, Redshift, Lambda, EC2, Batch, ECS, Glue, Athena).
* Proven experience designing, deploying, and maintaining production data pipelines at scale.
* Hands\-on experience with workflow orchestration systems (AWS Step Functions, NextFlow, dbt, Dagster) and event\-driven architectures.
* Working knowledge of CI/CD frameworks, infrastructure\-as\-code (CloudFormation or AWS CDK), and containerization (Docker).
* Strong technical communication skills with ability to translate complex technical concepts for scientific audiences and collaborate effectively across disciplines.
* Demonstrated ability to thrive in dynamic environments, prioritize competing demands, and make pragmatic trade\-offs in a fast\-paced startup setting.
**Preferred Qualifications**
* Experience with data lakes and open table formats (Iceberg preferred).
* Experience with knowledge graph technologies and graph databases (Neo4j).
* Familiarity with lab data management systems (LIMS, ELN, integrated data lakes).
* Experience with MLOps practices and tools for model training pipelines, experiment tracking, and model deployment.
* AWS certification (Associate or Professional level).
**Why ProFound**
 This role offers the opportunity to shape the technical and scientific foundation of a next\-generation drug discovery platform. You will operate with real ownership, influence core architectural decisions, and work directly with leaders in AI, human genetics, and computational biology to expand the human proteome and uncover new therapeutic opportunities
**ABOUT FLAGSHIP PIONEERING:**
 Flagship Pioneering invents and builds platform companies, each with the potential for multiple products that transform human health, sustainability and beyond. Since its launch in 2000, Flagship has originated more than 100 companies. Many of these companies have addressed humanity’s most urgent challenges: vaccinating billions of people against COVID\-19, curing intractable diseases, improving human health, preempting illness, and feeding the world by improving the resiliency and sustainability of agriculture.
 Flagship has been recognized twice on FORTUNE’s “Change the World” list, an annual ranking of companies that have made a positive social and environmental impact through activities that are part of their core business strategies and has been twice named to Fast Company’s annual list of the World’s Most Innovative Companies. Learn more about Flagship at www.flagshippioneering.com.
 At Flagship, we accept impossible missions to enable bigger leaps. Our core values guide us through uncertainty and toward lasting impact.
**We are an equal opportunity employer** 
 . All qualified applicants will be considered for employment without regard to race, color, religion, sex, sexual orientation, gender identity, national origin, disability, protected veteran status, or any other characteristic protected by law.
 We recognize that great candidates often bring unique strengths
 **without fulfilling every qualification** 
 . If you have some of the experience listed above but not all, please apply anyway. We are dedicated to building diverse and inclusive teams and look forward to learning more about your background
 **and interest in Flagship.**
***Recruitment \&amp; Staffing Agencies***
*: Flagship Pioneering and its affiliated Flagship Lab companies (collectively, “FSP”) do not accept unsolicited resumes from any source other than candidates. The submission of unsolicited resumes by recruitment or staffing agencies to FSP or its employees is strictly prohibited unless contacted directly by Flagship Pioneering’s internal Talent Acquisition team. Any resume submitted by an agency in the absence of a signed agreement will automatically become the property of FSP, and FSP will not owe any referral or other fees with respect thereto.*
 The salary range for this role is $74,000 \- $176,000\. Compensation for the role will depend on a number of factors, including a candidate’s qualifications, skills, competencies, and experience. ProFound Therapeutics, Inc. currently offers healthcare coverage, annual incentive program, retirement benefits and a broad range of other benefits. Compensation and benefits information is based on ProFound Therapeutics, Inc.'s good faith estimate as of the date of publication and may be modified in the future.</t>
        </is>
      </c>
    </row>
    <row r="92">
      <c r="A92" t="inlineStr">
        <is>
          <t>li-4373213998</t>
        </is>
      </c>
      <c r="B92" t="inlineStr">
        <is>
          <t>Cloud Data Engineer@ Nebraska</t>
        </is>
      </c>
      <c r="C92" t="inlineStr">
        <is>
          <t>SohanIT Inc</t>
        </is>
      </c>
      <c r="D92" t="inlineStr">
        <is>
          <t>linkedin</t>
        </is>
      </c>
      <c r="E92">
        <f>HYPERLINK("https://www.linkedin.com/jobs/view/4373213998", "https://www.linkedin.com/jobs/view/4373213998")</f>
        <v/>
      </c>
      <c r="F92" t="inlineStr"/>
      <c r="G92" t="inlineStr">
        <is>
          <t>Nebraska, United States</t>
        </is>
      </c>
      <c r="H92" t="inlineStr"/>
      <c r="I92" t="inlineStr">
        <is>
          <t>\*\*\*\*\*Direct Client Requirement\*\*\*\*\*
 All Openings
 https://www.jobshorn.com/company/sohanit\-inc/jobs
 Job Title
**Cloud Data Engineer**
 Location
**Remote**
 Duration
 9 Months
**Experience**
 10\+ years
 Job type
 C2C, W2, 1099
 Interview type
 Skype or Phone
 Rate
 DOE /If your experience and skills match call us immediately for submission
**Summary**
**Job Description**
 We are looking for a Cloud Data Engineer to work with the Data Team at the Department of Health and Human Services (DHHS) for the State of Nebraska to help grow and modernize our analytics. As a Data Engineer, you will use tools such as Azure, Databricks, Snowflake, SQL, Python, and Power BI to engineer data pipelines and data models to enhance enterprise reporting and analytics.
**Specific Competencies Include**
* Data Structures and Models \- Designs and develops the overall database/data warehouse structure based on functional and technical requirements. Designs and develops data collection frameworks for structured and unstructured data.
* Data Pipelines and ELT \- Designs and applies data extraction, loading, and transformation techniques to connect large data sets from various sources.
* Data Performance \- Troubleshoots and fixes for data performance issues that come with querying and combining large volumes of data. Adjusts performance for solution accordingly during initial development.
**Responsibilities**
* Complete analysis, design, and development of BI solutions
* Database development primarily in SSIS, Databricks, and SQL
* Collaborate with other developers to create and implement the best approach solution(s)
* Review queries and troubleshoot for performance issues
* Assist with the analysis and extraction of relevant information from large amounts of historical business data to feed data science initiatives
* Participate and support the design and documentation of processes for large\-scale data analyses, model development, model validation, and model implementation
* Support and maintain a positive safety culture by following all safety policies and procedures and actively contributing to a safe working environment
**Qualifications**
* A bachelor's degree in Data Analytics, MIS, Computer Science, or related area and significant experience with data analytics, business intelligence design, and development.
* 3\+ years of experience engineering within a data warehouse or related experience with dimensional data modeling.
* 3\+ years of experience designing and developing ETLs with tools like Microsoft SSIS (SQL Server Integration Services), Databricks, or Python.
* Excellent written and verbal communication skills.
* Excellent organizational and time management skills.
* Tested problem\-solving and decision\-making skills.
* Experience working as part of an Agile Scrum team.</t>
        </is>
      </c>
    </row>
    <row r="93">
      <c r="A93" t="inlineStr">
        <is>
          <t>li-4363455869</t>
        </is>
      </c>
      <c r="B93" t="inlineStr">
        <is>
          <t>Senior Analytics Engineer</t>
        </is>
      </c>
      <c r="C93" t="inlineStr">
        <is>
          <t>Khan Academy</t>
        </is>
      </c>
      <c r="D93" t="inlineStr">
        <is>
          <t>linkedin</t>
        </is>
      </c>
      <c r="E93">
        <f>HYPERLINK("https://www.linkedin.com/jobs/view/4363455869", "https://www.linkedin.com/jobs/view/4363455869")</f>
        <v/>
      </c>
      <c r="F93" t="inlineStr"/>
      <c r="G93" t="inlineStr">
        <is>
          <t>Mountain View, CA</t>
        </is>
      </c>
      <c r="H93" t="inlineStr"/>
      <c r="I93" t="inlineStr">
        <is>
          <t>**About Khan Academy**
 Khan Academy is a nonprofit with the mission to deliver a free, world\-class education to anyone, anywhere. Our proven learning platform offers free, high\-quality supplemental learning content and practice that cover Pre\-K \- 12th grade and early college core academic subjects, focusing on math and science. We have over 181 million registered learners globally and are committed to improving learning outcomes for students worldwide, focusing on learners in historically under\-resourced communities.
**OUR COMMUNITY**
 Our students, teachers, and parents come from all walks of life, and so do we. Our team includes people from academia, traditional/non\-traditional education, big tech companies, and tiny startups. We hire great people from diverse backgrounds and experiences because it makes our company stronger. We value diversity, equity, inclusion, and belonging as necessary to achieve our mission and impact the communities we serve. We know that transforming education starts in\-house with learning about ourselves and our colleagues. We strive to be world\-class in investing in our people and commit to developing you as a professional.
**About The Role**
 We’re looking for a
 **Senior Analytics Engineer I** 
 to join Khan Academy’s
 **Analytics Engineering (AE)** 
 team. You’ll play a leading role in designing and building the datasets, pipelines, and semantic models that power insights across our organization.
 You’ll own key areas of our data modeling ecosystem, partner closely with Data Infrastructure (DI), Data Analysts, and Product/Program teams, and help ensure that our data warehouse (BigQuery) and BI layer (Looker) remain reliable, performant, and trusted.
 This role is ideal for someone who’s
 **deeply experienced in dbt and Looker** 
 , enjoys solving complex modeling challenges, and takes ownership of how data flows and scales across the organization.
**What You’ll Do**
* Design, implement, and optimize dbt models that transform raw event\- and entity\-level data into analytics\-ready datasets.
* Own and evolve data domains that support reporting across Khan Academy.
* Develop, document, and test semantic and reporting layers in Looker (LookML).
* Partner with Analysts to establish consistent metric definitions, reusable data patterns, and shared governance practices.
* Drive data modeling standards and champion best practices in naming, testing, and schema design.
* Diagnose and resolve complex data issues, coordinating across Data Infrastructure and Engineering when needed.
* Mentor Analytics Engineers and Analysts, providing feedback through code reviews and technical guidance.
* Collaborate with cross\-functional teams to identify opportunities to improve data accessibility and reliability.
**What We’re Looking For**
**Required Skills \&amp; Experience:**
* 6\+ years of experience in analytics engineering, data engineering, or a related data role.
* Expert\-level SQL and dbt skills (macros, Jinja, incremental model strategies, schema testing).
* Deep experience building and maintaining Looker models (LookML, Explores, derived tables, and performance tuning).
* Proven ability to design scalable, maintainable data models (SCD2, star schemas, bridge tables, data marts).
* Familiarity with modern data stacks (e.g., BigQuery, Git, and CI/CD practices for testing and deploying data models).
* Experience orchestrating workflows using tools like Airflow.
* Strong cross\-functional communication skills and ability to influence data decisions across teams.
* Familiarity with version control and collaborative development (Git, pull requests, and code review).
**Preferred**
* Experience with BigQuery specifically.
* Background in education technology or mission\-driven organizations.
* Demonstrated contributions to data governance, metrics standardization, or semantic modeling initiatives.
**Our Tech Stack**
* Warehouse: BigQuery
* Transformation: dbt (open\-source)
* BI / Semantic Layer: Looker
* Orchestration: Airflow
* Version Control: GitHub
**Collaboration: Confluence, Jira, Slack**
**Perks And Benefits**
 We may be a non\-profit, but we reward our talented team extremely well! We offer:
* Competitive salaries
* Ample paid time off as needed – Your well\-being is a priority
* 8 pre\-scheduled Wellness Days in 2026 occurring on a Monday or a Friday for a 3\-day weekend boost
* Remote\-first culture \- that caters to your time zone, with open flexibility as needed, at times
* Generous parental leave
* An exceptional team that trusts you and gives you the freedom to do your best
* The chance to put your talents towards a deeply meaningful mission and the opportunity to work on high\-impact products that are already defining the future of education
* Opportunities to connect through affinity, ally, and social groups
* And we offer all those other typical benefits as well: 401(k) \+ 4% matching \&amp; comprehensive insurance, including medical, dental, vision, and life
 At Khan Academy we are committed to fair and equitable compensation practices, the well\-being of our employees, and our Khan community. This belief is why we have built out a robust Total Rewards package that includes competitive base salaries, and extensive benefits and perks to support physical, mental, and financial well\-being.
 The compensation band for this role is $137,871 \- $155,105 USD annually for candidates based in the United States and $186,306 \- $209,595 CAD annually for candidates based in Canada.
 The pay range for this position is a general guideline only. The salary offered will depend on internal pay equity and the candidate’s relevant skills, experience, qualifications, and job market data. Additional incentives are provided as part of the complete total rewards package, in addition to comprehensive medical and other benefits.
**More About Us**
* Sal’s TED talk from 2011
* Sal’s TED talk from 2015
* Sal's TED talk from 2023
* Our team: http://www.khanacademy.org/about/the\-team
**Our Company Values**
**Live \&amp; breathe learners**
 We deeply understand and empathize with our users. We leverage user insights, research, and experience to build content, products, services, and experiences that our users trust and love. Our success is defined by the success of our learners and educators.
**Take a stand**
 As a company, we have conviction in our aspirational point of view of how education will evolve. The work we do is in service to moving towards that point of view. However, we also listen, learn and flex in the face of new data, and commit to evolving this point of view as the industry and our users evolve.
**Embrace diverse perspectives**
 We are a diverse community. We seek out and embrace a diversity of voices, perspectives and life experiences leading to stronger, more inclusive teams and better outcomes. As individuals, we are committed to bringing up tough topics and leaning into different points of view with curiosity. We actively listen, learn and collaborate to gain a shared understanding. When a decision is made, we commit to moving forward as a united team.
**Work responsibly and sustainably**
 We understand that achieving our audacious mission is a marathon, so we set realistic timelines and we focus on delivery that also links to the bigger picture. As a non\-profit, we are supported by the generosity of donors as well as strategic partners, and understand our responsibility to our finite resources. We spend every dollar as though it were our own. We are responsible for the impact we have on the world and to each other. We ensure our team and company stay healthy and financially sustainable.
**Bring out the joy**
 We are committed to making learning a joyful process. This informs what we build for our users and the culture we co\-create with our teammates, partners and donors.
**Cultivate learning mindset**
 We believe in the power of growth for learners and for ourselves. We constantly learn and teach to improve our offerings, ourselves, and our organization. We learn from our mistakes and aren’t afraid to fail. We don't let past failures or successes stop us from taking future bold action and achieving our goals.
**Deliver wow**
 We insist on high standards and deliver delightful, effective end\-to\-end experiences that our users can rely on. We choose to focus on fewer things — each of which aligns to our ambitious vision — so we can deliver high\-quality experiences that accelerate positive measurable learning with our strategic partners.
*We are committed to equal employment opportunity regardless of race, color, ancestry, religion, sex, gender, gender identity or expression, national origin, sexual orientation, age, citizenship, marital status, disability, or Veteran status. We value diversity, equity, and inclusion, and we encourage candidates from historically underrepresented groups to apply.*
*As part of this commitment, Khan Academy will ensure that persons with disabilities are provided reasonable accommodations for the hiring process. If reasonable accommodation is needed, please contact* 
*careers@khanacademy.org*</t>
        </is>
      </c>
    </row>
    <row r="94">
      <c r="A94" t="inlineStr">
        <is>
          <t>li-4372093669</t>
        </is>
      </c>
      <c r="B94" t="inlineStr">
        <is>
          <t>Data Engineer III</t>
        </is>
      </c>
      <c r="C94" t="inlineStr">
        <is>
          <t>RemoteHunter</t>
        </is>
      </c>
      <c r="D94" t="inlineStr">
        <is>
          <t>linkedin</t>
        </is>
      </c>
      <c r="E94">
        <f>HYPERLINK("https://www.linkedin.com/jobs/view/4372093669", "https://www.linkedin.com/jobs/view/4372093669")</f>
        <v/>
      </c>
      <c r="F94" t="inlineStr"/>
      <c r="G94" t="inlineStr"/>
      <c r="H94" t="inlineStr"/>
      <c r="I94" t="inlineStr">
        <is>
          <t>About the Opportunity:
 The Data Engineer III is responsible for building and maintaining robust data pipelines and models, overseeing a broad scope of ETL infrastructure and databases. This role enables accurate and timely access to data across the organization by simplifying and centralizing a complex ecosystem, providing trustworthy, analytic\-ready resources for various business units. It involves deep collaboration with stakeholders in Engineering, Analytics, Operations, Finance, Marketing, and Customer Service to create a dependable data environment and drive measurable business impact through data.
 Responsibilities:
 • Design, implement, and maintain scalable and reliable data pipelines using Airflow, dbt, Rivery, Python, and SQL.
 • Collaborate with business teams to translate high\-level goals into data solutions supporting forecasting, performance tracking, and optimization.
 • Develop and maintain well\-documented data models in Snowflake and BigQuery that support analytics, reporting, and operational workflows.
 • Integrate data from internal and external sources, including Google Analytics and third\-party APIs, to ensure full\-funnel visibility.
 • Enable self\-service analytics by making data assets discoverable and usable through tools like Tableau, focusing on semantic layer design and performance tuning.
 • Develop monitoring and observability practices for data quality and pipeline health.
 • Participate in architecture and design decisions involving cloud infrastructure and containerization using AWS, Pulumi, and Docker.
 • Maintain thorough documentation and promote engineering standards for transparency, maintainability, and reusability of data systems.
 Requirements:
 • 7\+ years of experience in data engineering, analytics engineering, or related roles.
 • Advanced proficiency in SQL and Python, including efficient query writing and software engineering principles.
 • Hands\-on experience with Snowflake and/or BigQuery, including data modeling and performance optimization.
 • Proficiency with orchestration tools like Airflow and data integration tools such as dbt.
 • Experience with AWS cloud services for data storage, compute, and infrastructure management, including AWS Batch, ECR, and Lambda.
 • Familiarity with data analytics and visualization tools, particularly Tableau, and experience supporting dashboard development.
 • Experience working with marketing and product data sources, including Google Analytics.
 • Strong knowledge of ETL/ELT design and data warehousing solutions.
 • Familiarity with CI/CD pipelines and DevOps practices for data engineering.
 • Proficient in Microsoft Suite for documentation and collaboration.
 • Experience with API design and integration.
 • Familiarity with SCRUM methodologies and tools like Jira.
 Benefits \&amp; Perks:
 • Paid Time Off
 • Medical, Dental, Vision, and Prescription Insurance
 • 401(k) Retirement Plan with Company Match
 • Flexible Spending Account and Health Savings Account
 • Tuition Reimbursement
 • Employee Discount
 • Parental Leave
 • Life Insurance
 Compensation:
 • Annual base pay range: $147,000 \- $172,000, determined by experience and qualifications.
 • Final pay based on individual qualifications, market demands, and work location.
 • Salary range may be modified.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5">
      <c r="A95" t="inlineStr">
        <is>
          <t>li-4373235173</t>
        </is>
      </c>
      <c r="B95" t="inlineStr">
        <is>
          <t>Senior Data Engineer (Remote)</t>
        </is>
      </c>
      <c r="C95" t="inlineStr">
        <is>
          <t>Jobgether</t>
        </is>
      </c>
      <c r="D95" t="inlineStr">
        <is>
          <t>linkedin</t>
        </is>
      </c>
      <c r="E95">
        <f>HYPERLINK("https://www.linkedin.com/jobs/view/4373235173", "https://www.linkedin.com/jobs/view/4373235173")</f>
        <v/>
      </c>
      <c r="F95">
        <f>HYPERLINK("https://jobs.lever.co/jobgether/6015297e-8e68-498e-a2c7-efc73fc53153/apply?source=LinkedIn&amp;urlHash=dSWz", "https://jobs.lever.co/jobgether/6015297e-8e68-498e-a2c7-efc73fc53153/apply?source=LinkedIn&amp;urlHash=dSWz")</f>
        <v/>
      </c>
      <c r="G95" t="inlineStr">
        <is>
          <t>Massachusetts, United States</t>
        </is>
      </c>
      <c r="H95" t="inlineStr"/>
      <c r="I95"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li-4371449107</t>
        </is>
      </c>
      <c r="B96" t="inlineStr">
        <is>
          <t>Data Engineer/Snowflake Architect</t>
        </is>
      </c>
      <c r="C96" t="inlineStr">
        <is>
          <t>Aezion, Inc</t>
        </is>
      </c>
      <c r="D96" t="inlineStr">
        <is>
          <t>linkedin</t>
        </is>
      </c>
      <c r="E96">
        <f>HYPERLINK("https://www.linkedin.com/jobs/view/4371449107", "https://www.linkedin.com/jobs/view/4371449107")</f>
        <v/>
      </c>
      <c r="F96" t="inlineStr"/>
      <c r="G96" t="inlineStr">
        <is>
          <t>Frisco, TX</t>
        </is>
      </c>
      <c r="H96" t="inlineStr"/>
      <c r="I96" t="inlineStr">
        <is>
          <t>**Title:** 
**Data Engineer/Snowflake Architect** 
**Location: Frisco, TX (5 Days Onsite)** 
**Duration:** 
**12\+ Months Long Term** 
**About the Role** 
 We are seeking a highly skilled Snowflake Data Engineer with expertise in DBT, Airbyte, and Airflow, combined with strong experience in Kimball dimensional modeling. The ideal candidate will design and implement scalable data pipelines, integrate diverse data sources, and build a robust data warehouse that supports business intelligence and analytics initiatives.
**Key Responsibilities** 
 Data Integration \&amp; Extraction
 o Develop and maintain ETL/ELT pipelines using Airbyte and Airflow.
 o Extract data from multiple sources including APIs, direct database connections, and flat files.
 o Ensure data quality, consistency, and reliability across all ingestion processes.
 o Data Modeling \&amp; Warehousing
 o Design and implement Kimball\-style dimensional models in Snowflake.
 o Build and optimize fact tables and dimension tables to support analytical workloads.
 o Collaborate with business teams to define and maintain the BUS Matrix for subject areas.
**Transformation \&amp; Orchestration** 
 o Use DBT to develop modular, testable, and version\-controlled transformations.
 o Implement data quality checks and documentation within DBT workflows.
**Collaboration \&amp; Governance** 
 o Work closely with business stakeholders to understand requirements and translate them into technical solutions.
 o Ensure compliance with data governance, security, and privacy standards.
**Required Skills \&amp; Qualifications** 
**Technical Expertise** 
 o Strong proficiency in Snowflake architecture and performance tuning.
 o Hands\-on experience with DBT, Airbyte, and Airflow.
 o Solid understanding of Kimball methodology for data warehousing.
 o Programming \&amp; Querying
 o Advanced SQL skills and familiarity with Python for ETL scripting.
 o Experience integrating data from APIs and relational databases.
 o Soft Skills
 o Excellent communication and collaboration skills.
 o Ability to work in an agile environment and manage multiple priorities.
**Preferred Qualifications** 
 o Experience with cloud platforms (AWS, Azure, or GCP).
 o Familiarity with BI tools (e.g., Tableau, Power BI).
 o Knowledge of data governance and security best practices.</t>
        </is>
      </c>
    </row>
    <row r="97">
      <c r="A97" t="inlineStr">
        <is>
          <t>li-4372076748</t>
        </is>
      </c>
      <c r="B97" t="inlineStr">
        <is>
          <t>Analytics Engineer</t>
        </is>
      </c>
      <c r="C97" t="inlineStr">
        <is>
          <t>RemoteHunter</t>
        </is>
      </c>
      <c r="D97" t="inlineStr">
        <is>
          <t>linkedin</t>
        </is>
      </c>
      <c r="E97">
        <f>HYPERLINK("https://www.linkedin.com/jobs/view/4372076748", "https://www.linkedin.com/jobs/view/4372076748")</f>
        <v/>
      </c>
      <c r="F97" t="inlineStr"/>
      <c r="G97" t="inlineStr"/>
      <c r="H97" t="inlineStr"/>
      <c r="I97"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8">
      <c r="A98" t="inlineStr">
        <is>
          <t>li-4373239085</t>
        </is>
      </c>
      <c r="B98" t="inlineStr">
        <is>
          <t>Sr. Data Engineer - REMOTE</t>
        </is>
      </c>
      <c r="C98" t="inlineStr">
        <is>
          <t>Jobgether</t>
        </is>
      </c>
      <c r="D98" t="inlineStr">
        <is>
          <t>linkedin</t>
        </is>
      </c>
      <c r="E98">
        <f>HYPERLINK("https://www.linkedin.com/jobs/view/4373239085", "https://www.linkedin.com/jobs/view/4373239085")</f>
        <v/>
      </c>
      <c r="F98" t="inlineStr"/>
      <c r="G98" t="inlineStr">
        <is>
          <t>Indiana, United States</t>
        </is>
      </c>
      <c r="H98" t="inlineStr"/>
      <c r="I98"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9">
      <c r="A99" t="inlineStr">
        <is>
          <t>li-4373242003</t>
        </is>
      </c>
      <c r="B99" t="inlineStr">
        <is>
          <t>Remote Sr Data Engineer</t>
        </is>
      </c>
      <c r="C99" t="inlineStr">
        <is>
          <t>Jobgether</t>
        </is>
      </c>
      <c r="D99" t="inlineStr">
        <is>
          <t>linkedin</t>
        </is>
      </c>
      <c r="E99">
        <f>HYPERLINK("https://www.linkedin.com/jobs/view/4373242003", "https://www.linkedin.com/jobs/view/4373242003")</f>
        <v/>
      </c>
      <c r="F99" t="inlineStr"/>
      <c r="G99" t="inlineStr">
        <is>
          <t>Michigan, United States</t>
        </is>
      </c>
      <c r="H99" t="inlineStr"/>
      <c r="I99"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0">
      <c r="A100" t="inlineStr">
        <is>
          <t>li-4373227600</t>
        </is>
      </c>
      <c r="B100" t="inlineStr">
        <is>
          <t>Data Engineer III</t>
        </is>
      </c>
      <c r="C100" t="inlineStr">
        <is>
          <t>Orrstown Bank</t>
        </is>
      </c>
      <c r="D100" t="inlineStr">
        <is>
          <t>linkedin</t>
        </is>
      </c>
      <c r="E100">
        <f>HYPERLINK("https://www.linkedin.com/jobs/view/4373227600", "https://www.linkedin.com/jobs/view/4373227600")</f>
        <v/>
      </c>
      <c r="F100" t="inlineStr"/>
      <c r="G100" t="inlineStr">
        <is>
          <t>Harrisburg, PA</t>
        </is>
      </c>
      <c r="H100" t="inlineStr"/>
      <c r="I100" t="inlineStr">
        <is>
          <t>**Position Summary**
 The Data Engineer III is responsible for designing, developing, and maintaining the bank's data infrastructure and systems. This position involves leading the implementation of scalable and robust data solutions, ensuring data quality, security, and compliance. The Data Engineer III will provide technical leadership, collaborate with cross\-functional teams, and drive innovation in data engineering practices to support the bank's strategic objectives.
**Qualifications**
* Bachelor's degree in Computer Science, Information Systems, or a related field. A master's degree is preferred.
* Proven experience as a Data Engineer, with a focus on designing and implementing complex data solutions, preferably in the banking or financial industry.
* Strong proficiency in SQL and experience with various relational databases (e.g., Oracle, SQL Server, MySQL) and related technologies.
* Expertise in programming languages such as Python, Java, or Scala.
* Solid understanding of data engineering concepts, techniques, and best practices.
* Experience with big data technologies such as Hadoop, Spark, or similar frameworks.
* In\-depth knowledge of data integration, ETL processes, and data transformation techniques.
* Proficiency in data modeling and database design principles.
* Strong familiarity with cloud platforms like AWS, Azure, or Google Cloud, including relevant data services (e.g., Snowflake, Redshift, BigQuery).
* Deep understanding of data governance, data quality, and data security practices, including regulatory compliance requirements.
* Experience with data pipeline orchestration tools (e.g., Apache Airflow, Azure Data Factory)
* Strong problem\-solving and analytical skills.
* Excellent communication and collaboration skills.
* Ability to lead and mentor a team of data engineers.
* Strong organizational and project management abilities.
* Ability to adapt to changing technologies and work effectively in a dynamic environment.
* Maintains high standards of personal integrity and accountability
**Core Competencies**
**Career Development** 
 : Proactively prepares and actively participates in ongoing, candid, constructive monthly Coaching sessions with supervisor. Seeks advancement into challenging and developmental roles and assignments. Sets and meets clear, measurable goals.
**Communicates Effectively** 
 : Demonstrates the ability to effectively communicate with all employees and clients, regardless of level. Communicates clearly, concisely, with candor and confidence. Writes, speaks and listens to disseminate and receive information effectively and accurately. Seeks to understand the viewpoints of others. Keeps others informed in a timely manner.
**Focuses on the Client** 
 : Anticipates and identifies internal and external client needs. Takes action to meet and, where possible, exceed client expectations. Plans and organizes work effectively to facilitate responsiveness to client and meet deadlines.
**Judgment** 
 : Demonstrates sound reasoning and well\-balanced thinking. Balances the need for action with the need for analysis. Incorporates strategic thinking skills into practice by examining facts. Shows an ability to problem solve complex issues. Probes beyond symptoms to determine the underlying cause. Learns from and accepts responsibility from mistakes.
**Teamwork** 
 : Demonstrates the ability to enhance the department and Orrstown Banks development through participation. Holds self and others accountable for exceeding departmental and corporate goals. Develops strong working relationships throughout the organization. Appropriately voices opinions, even if they are contrary to the consensus of the team. Initiates and develops positive working relationships with others in a way that builds bridges across boundaries and breaks down silos. Relates to others in an open and accepting manner that creates trust, respect and a collaborative environment.
**Essential Duties**
* Lead the design, development, and maintenance of the bank's data infrastructure, including data pipelines, databases, and data warehouses.
* Architect and optimize ETL processes to ensure efficient extraction, transformation, and loading of data from diverse sources into the bank's data storage systems.
* Collaborate with data scientists, analysts, and business stakeholders to understand data requirements and design scalable data solutions that support advanced analytics and reporting needs.
* Implement and enforce data governance policies, ensuring data quality, consistency, security, and compliance with regulatory requirements.
* Perform advanced data modeling and database design activities, optimizing data structures for integration, storage, and retrieval.
* Lead performance tuning and optimization efforts to enhance data engineering systems' scalability, reliability, and throughput.
* Stay abreast of emerging technologies, industry trends, and best practices in data engineering, and make recommendations for their application within the bank's environment.
* Provide technical leadership, guidance, and mentorship to junior data engineers, fostering a culture of continuous learning and professional development.
* Collaborate with IT teams to ensure seamless integration of data engineering solutions with existing infrastructure and applications.
* Document data engineering processes, workflows, configurations, and system architectures.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frequently required to stand and walk. The employee may occasionally lift and/or move up to 10 pounds. Ability to reach destinations within the Orrstown footprint at all times is required. Ability to work and report to the employer’s physical work location(s).   
**Work Environment**
 Work is performed in an office setting with little to moderate exposure to noise, heat, dust or other adverse factors. Working extended hours may be required as needed. The noise level in the work environment is usually quiet.</t>
        </is>
      </c>
    </row>
    <row r="101">
      <c r="A101" t="inlineStr">
        <is>
          <t>li-4372085738</t>
        </is>
      </c>
      <c r="B101" t="inlineStr">
        <is>
          <t>Data Engineer, Support</t>
        </is>
      </c>
      <c r="C101" t="inlineStr">
        <is>
          <t>RemoteHunter</t>
        </is>
      </c>
      <c r="D101" t="inlineStr">
        <is>
          <t>linkedin</t>
        </is>
      </c>
      <c r="E101">
        <f>HYPERLINK("https://www.linkedin.com/jobs/view/4372085738", "https://www.linkedin.com/jobs/view/4372085738")</f>
        <v/>
      </c>
      <c r="F101" t="inlineStr"/>
      <c r="G101" t="inlineStr"/>
      <c r="H101" t="inlineStr"/>
      <c r="I101" t="inlineStr">
        <is>
          <t>About the Opportunity:
 The organization provides an end\-to\-end ecosystem designed to support Programs of All\-Inclusive Care for the Elderly (PACE) in delivering care, improving financial performance, and ensuring compliance. It replaces outdated technology with solutions for care coordination, risk adjustment, population health, and utilization management. The role focuses on supporting operations and improving outcomes for dual\-eligible seniors with complex healthcare needs.
 Responsibilities:
 • Own and maintain a legacy population health analytics product, focusing on backend data pipelines and the full\-stack application
 • Operate the production analytics product, managing data ingestion, transformation, orchestration, and the user interface
 • Build, maintain, and debug backend data pipelines using Airflow, Python (Pandas, Selenium), Snowflake, dbt, and Airbyte, emphasizing data quality and performance
 • Manage full\-stack analytics application, including backend services (Node.js) and frontend components (React)
 • Address bug fixes, operational issues, and production incidents, understanding system behavior and failure modes
 • Investigate and resolve data quality issues, pipeline failures, and application defects with durable fixes
 • Improve legacy codebases balancing speed, correctness, and maintainability
 • Communicate clearly about system health, root causes, and technical tradeoffs with teams and stakeholders
 Requirements:
 • Bachelor’s degree in Computer Science, Information Systems, or related field, or equivalent experience
 • 1 to 4 years of experience as a Software Engineer or Data Engineer
 • Proficiency in Python and experience with production data pipelines or ETL/ELT workflows
 • Working knowledge of SQL and relational or analytical databases
 • Exposure to backend or full\-stack development, including JavaScript and Node.js
 • Familiarity with frontend technologies like React or willingness to learn and maintain existing frontend code
 • Basic knowledge of modern data tools such as Airflow, dbt, Snowflake, and Airbyte
 • Ability to debug legacy systems and handle complex technical issues
 • Strong ownership and accountability for production systems
 • Clear written and verbal communication skills
 Preferred:
 • Experience maintaining legacy systems in production
 • Exposure to healthcare data, analytics platforms, or regulated environments
 • Experience working in small teams or fast\-paced environments
 Benefits \&amp; Perks:
 • Competitive salary and benefits package including uncapped PTO and health insurance
 • Professional development and growth opportunities
 • Flexible remote work environment
 Compensation:
 • Salary range for this role is $95,000 to $120,000 annually
 • Ideal candidate expected near midpoint of range; final pay based on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2">
      <c r="A102" t="inlineStr">
        <is>
          <t>li-4373220984</t>
        </is>
      </c>
      <c r="B102" t="inlineStr">
        <is>
          <t>Remote Senior Data Engineer</t>
        </is>
      </c>
      <c r="C102" t="inlineStr">
        <is>
          <t>Jobgether</t>
        </is>
      </c>
      <c r="D102" t="inlineStr">
        <is>
          <t>linkedin</t>
        </is>
      </c>
      <c r="E102">
        <f>HYPERLINK("https://www.linkedin.com/jobs/view/4373220984", "https://www.linkedin.com/jobs/view/4373220984")</f>
        <v/>
      </c>
      <c r="F102">
        <f>HYPERLINK("https://jobs.lever.co/jobgether/0ad4ed25-3ec4-4ea2-8743-c02799458a36/apply?source=LinkedIn&amp;urlHash=QGAo", "https://jobs.lever.co/jobgether/0ad4ed25-3ec4-4ea2-8743-c02799458a36/apply?source=LinkedIn&amp;urlHash=QGAo")</f>
        <v/>
      </c>
      <c r="G102" t="inlineStr">
        <is>
          <t>Florida, United States</t>
        </is>
      </c>
      <c r="H102" t="inlineStr"/>
      <c r="I102"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3">
      <c r="A103" t="inlineStr">
        <is>
          <t>li-4373236123</t>
        </is>
      </c>
      <c r="B103" t="inlineStr">
        <is>
          <t>Data Engineer</t>
        </is>
      </c>
      <c r="C103" t="inlineStr">
        <is>
          <t>Haystack</t>
        </is>
      </c>
      <c r="D103" t="inlineStr">
        <is>
          <t>linkedin</t>
        </is>
      </c>
      <c r="E103">
        <f>HYPERLINK("https://www.linkedin.com/jobs/view/4373236123", "https://www.linkedin.com/jobs/view/4373236123")</f>
        <v/>
      </c>
      <c r="F103" t="inlineStr"/>
      <c r="G103" t="inlineStr"/>
      <c r="H103" t="inlineStr"/>
      <c r="I103" t="inlineStr">
        <is>
          <t>**Splunk Data Engineer \| Reston, VA \| Remote\-Friendly \| $99,000 \- $225,000**
 We're working with Booz Allen Hamilton on this exciting opportunity.
 Join a leading team as a Splunk Data Engineer, where you'll design, deploy, and manage cutting\-edge Splunk infrastructure. This is your chance to shine by integrating diverse data sources and crafting robust dashboards to monitor and troubleshoot complex systems. Leveraging your expertise in Splunk architecture and data pipelines, you'll play a pivotal role in ensuring comprehensive data ingestion and driving solutions across cross\-functional teams.
**The Role**
* Design, deploy, and manage Splunk infrastructure, developing and maintaining dashboards, queries, and alerts.
* Integrate Splunk with various data sources, ensuring comprehensive data ingestion and building robust data pipelines.
* Monitor and troubleshoot Splunk performance issues, implementing and enforcing best practices for data management.
* Collaborate with cross\-functional teams to gather requirements and deliver innovative Splunk solutions.
* Provide expert user training and support for all Splunk\-related activities.
**What You'll Need**
* 2\+ years of hands\-on experience managing and configuring Splunk, including architecture components like indexers and search heads.
* 2\+ years of experience building data pipelines to parse, normalize, and route data using Splunk configurations (props.conf, transforms.conf).
* Proven experience in Linux and Windows administration, coupled with 1\+ years of regex for field extraction and Splunk REST API for automation.
* An active TS/SCI clearance with willingness to undergo a polygraph exam, and DoD 8570 IAT Level II certification (Security\+, CCNA\-Security).
* Ability to obtain a DoD 8570 Cyber Security Service Provider \- Infrastructure Support certification within 60 days of start date.
**What's On Offer**
* Competitive salary range of $99,000 \- $225,000 with comprehensive health, life, and disability benefits.
* Excellent opportunities for professional development, tuition assistance, and a focus on work\-life balance.
* Recognition awards for exceptional performance and a supportive, people\-first culture with remote\-friendly work options.
* A dynamic environment where your contributions are valued, and you're empowered to grow your career.
**Apply via Haystack today!**</t>
        </is>
      </c>
    </row>
    <row r="104">
      <c r="A104" t="inlineStr">
        <is>
          <t>li-4372088708</t>
        </is>
      </c>
      <c r="B104" t="inlineStr">
        <is>
          <t>Staff Data Engineer</t>
        </is>
      </c>
      <c r="C104" t="inlineStr">
        <is>
          <t>RemoteHunter</t>
        </is>
      </c>
      <c r="D104" t="inlineStr">
        <is>
          <t>linkedin</t>
        </is>
      </c>
      <c r="E104">
        <f>HYPERLINK("https://www.linkedin.com/jobs/view/4372088708", "https://www.linkedin.com/jobs/view/4372088708")</f>
        <v/>
      </c>
      <c r="F104" t="inlineStr"/>
      <c r="G104" t="inlineStr"/>
      <c r="H104" t="inlineStr"/>
      <c r="I104" t="inlineStr">
        <is>
          <t>About the Opportunity:
 This role is for a Staff Data Platform Engineer responsible for designing, building, and owning core systems within a streaming data platform. The position involves hands\-on implementation of key platform capabilities and setting the technical direction for system evolution. The engineer will collaborate with product and engineering teams to translate needs into platform features and develop shared libraries, frameworks, and tooling for reliable data streaming.
 Responsibilities:
 • Design, build, and operate core platform systems including schema management, streaming frameworks, and event mesh systems
 • Define technical standards and patterns for the Streaming Data Platform team
 • Lead cross\-team design reviews for systems interacting with or dependent on the streaming platform
 • Drive platform reliability, performance, and cost strategy across streaming services
 • Design and implement shared libraries, frameworks, and tooling for stream consumers
 • Partner with product and engineering teams to translate requirements into platform capabilities
 • Produce technical proposals and documentation detailing design, trade\-offs, and long\-term implications
 • Serve as an escalation point for complex streaming issues and high\-impact incidents
 • Mentor and develop senior engineers through technical guidance and challenging assignments
 Requirements:
 • 8\+ years of experience in backend engineering, data engineering, or platform engineering
 • Deep expertise with Kafka including internals, operational tuning, and ecosystem tooling
 • Proven experience designing and operating multi\-service distributed systems
 • Experience setting technical direction for a team or domain
 • Strong written and verbal communication skills with the ability to present complex technical topics to diverse audiences
 • Experience with schema evolution, data contracts, or data governance patterns
 • Experience building self\-service platforms or developer\-facing tooling is a plus
 • Experience with infrastructure as code tools; Terraform experience is a plus
 • Experience developing in Go is a strong plus
 Compensation:
 • Salary range is $180,500 to $237,500, representing base pay only and excluding short\-term or long\-term incentive compensation
 • Base pay considers factors such as location, experience, qualifications, and training
 • Remote employees may be eligible for a home office setup stipend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5">
      <c r="A105" t="inlineStr">
        <is>
          <t>li-4312504256</t>
        </is>
      </c>
      <c r="B105" t="inlineStr">
        <is>
          <t>Data Engineer, Ground Network Engineering (Gateway)</t>
        </is>
      </c>
      <c r="C105" t="inlineStr">
        <is>
          <t>SpaceX</t>
        </is>
      </c>
      <c r="D105" t="inlineStr">
        <is>
          <t>linkedin</t>
        </is>
      </c>
      <c r="E105">
        <f>HYPERLINK("https://www.linkedin.com/jobs/view/4312504256", "https://www.linkedin.com/jobs/view/4312504256")</f>
        <v/>
      </c>
      <c r="F105">
        <f>HYPERLINK("https://boards.greenhouse.io/spacex/jobs/8192168002?gh_jid=8192168002&amp;gh_src=3c0864192&amp;urlHash=48pp", "https://boards.greenhouse.io/spacex/jobs/8192168002?gh_jid=8192168002&amp;gh_src=3c0864192&amp;urlHash=48pp")</f>
        <v/>
      </c>
      <c r="G105" t="inlineStr">
        <is>
          <t>Redmond, WA</t>
        </is>
      </c>
      <c r="H105" t="inlineStr"/>
      <c r="I10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GROUND NETWORK ENGINEERING (GATEWAY)**
 This hybrid role sits at the intersection of data engineering, supply chain, and infrastructure operations to support the global deployment and critical operational reliability of Starlink’s ground network. As we continue to scale, the Data Engineer will own the software systems, data pipelines, forecasting models, and logistics execution needed to make deploying and maintaining Starlink infrastructure around the world fast, predictable, and reliable.This is not just a data role or an operations role, this is the person who will help us build a smarter, more automated, and more resilient global infrastructure system through software and data.
**Responsibilities**
* Own end\-to\-end workflow deployment and optimization of Starlink Ground Network processes
* Develop and automate systems to optimize antenna, optical hardware, and critical spare part flow through inventory and logistics accounting for inventory stock levels, telemetry data, and predictive failure models
* Build and maintain forecasting engines to predict hardware demand from deployment planning, team and program targets
* Architect backend services, APIs, and workflows to integrate planning, logistics, and inventory systems (Warpdrive ERP/MRP, 3rd party logistics service provider’s APIs)
* Automate supply chain processes, including inventory syncs, order creation, kitting, shipment validation, and spares replenishment
* Refactor and scale data ingestion and delivery systems to handle increased deployment volume and geographic expansion
* Create tools and dashboards to track real\-time metrics on shipments, inventory, deployment timelines, and reliability
* Identify and resolve inefficiencies in material flow and logistics, developing standardized processes and key performance indicators
* Develop and monitor performance metrics for build, deployment, and ongoing maintenance/reliability of the Ground Network hardware fleet (antennas, network/optical devices
* Collaborate with cross\-functional teams to translate engineering needs into system requirements and drive adoption
* Support emergency deployments and incident response by managing critical operational and data workflows
**Basic Qualifications**
* Bachelor’s degree in engineering, computer science, or related field
* Experience in Python or SQL
**Preferred Skills And Experience**
* Experience with inventory systems, logistics workflows, and/or supply chain tooling
* Proficient in C\#, C\+\+, or Angular
* Basic understanding of Kubernetes concepts, including pods, services, deployments, and namespaces
* Prior success in delivering strong data visualizations using tools such as PowerBI, Grafana, Metabase or other real\-time metrics systems
* Experience building backend services using APIs (Celery, FastAPI, Django, or similar frameworks) and system\-to\-system data exchange in logistics and supply chain environments
* Proven track record developing custom forecasting tools and planning logic
* Knowledge of MRP/ERP, WMS, or other supply chain systems
* Strong problem\-solving skills and comfort working in ambiguous environments with evolving requirements
* Excellent communication and cross\-functional program management skills
**Additional Requirements**
* Must be able to work extended hours or weekends to meet deployment deadlines
* Must be available to travel up to 25% to support site launches, FSL integrations, or incident response
**Pay Range**
**COMPENSATION AND BENEFITS:**
 Gateway Site Develop Engineer/Level I: $122,500\.00 \- $145,000\.00/per year
 Gateway Site Develop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06">
      <c r="A106" t="inlineStr">
        <is>
          <t>li-4373222493</t>
        </is>
      </c>
      <c r="B106" t="inlineStr">
        <is>
          <t>Data Engineer</t>
        </is>
      </c>
      <c r="C106" t="inlineStr">
        <is>
          <t>Liberty Mutual Insurance</t>
        </is>
      </c>
      <c r="D106" t="inlineStr">
        <is>
          <t>linkedin</t>
        </is>
      </c>
      <c r="E106">
        <f>HYPERLINK("https://www.linkedin.com/jobs/view/4373222493", "https://www.linkedin.com/jobs/view/4373222493")</f>
        <v/>
      </c>
      <c r="F106" t="inlineStr"/>
      <c r="G106" t="inlineStr">
        <is>
          <t>Portsmouth, NH</t>
        </is>
      </c>
      <c r="H106" t="inlineStr"/>
      <c r="I106" t="inlineStr">
        <is>
          <t>**Description**
 We deliver our customers peace of mind every day by helping them protect what they value most. Our passion for placing the customer at the center of everything we do is drive a transformational shift at Liberty Mutual. Operating as a tech startup within a Fortune 100 company, we are leading a digital disruption that will redefine how people experience insurance.
 The US Retail Markets (USRM) Data and Analytics Engineering team is actively searching for a highly productive Data Engineer for a distributed, dynamic agile team to serve as a technical expert designing, developing, analyzing \&amp; testing innovative data warehouse reporting solutions. This candidate will join an energetic and engaged Claims Data Solutions Engineering team focused on delivering exceptional value to our Claims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lead this change as we grow this culture, mindset, and capability.
* This is a hybrid role requiring two days in the office a week in one of the following locations: Plano, TX, Boston, MA, Portsmouth, NH, Indianapolis, IN and Columbus, OH\*\*
*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
**We Encourage You To Apply If This Interests You**
 Work as ONE team committed to excellence.
 Model and promote a Data First attitude.
 Help advance Data Engineering operations into the future.
 Work with a modern data tech stack.
**About The Job**
 Work in a dynamic and exciting agile environment with Scrum Masters, Product Owners, and team members.
 Analyze, develop, and execute data integration solutions, to manage the information lifecycle needs of an organization.
 Actively participates in code reviews within each Agile sprint, with focus on test driven development and Continuous Integration and Continuous Development (CICD).
 Designs and builds data provisioning workflows/pipelines, physical data schemas, extracts, data transformations, and data integrations and/or designs using ETL and API microservices.
 Build data architecture and data applications (marts/warehouses) that enable reporting, analytics, data science, and data management and improve accessibility, efficiency, governance, processing, and quality of data.
 Improve speed to market by focusing on current data needs as well as building out the long\-term strategic data solutions using AWS, Snowflake, SQL, Data Vault methodology, as well as other modern data technologies.
 Design and develop programs and tools to support ingestion, curation, and provisioning of complex enterprise data to achieve analytics, reporting, and data science.
 Demonstrate an open\-minded and collaborative approach to creating innovative technical solutions.
 Continuously learn to maintain strong knowledge of technology enablers
 Mentor new and junior developers.
 Provide successful deployment and provisioning of data solutions to production or other required environments.
 Analyze complex technical problems and is expected to recommend process improvements that address complex technology gaps within a single business process and improve data reliability, quality, and efficiency.
**Qualifications**
 Bachelor\`s degree in technical or business discipline or equivalent experience. Generally, 3\+ years of professional experience.
 Experience integrating Guidewire systems with Snowflake for reporting, analytics, or data warehousing purposes, often using APIs and ETL tools.
 Knowledge of a variety of data platforms including Snowflake, Teradata, SQL, DB2 (Cloud based DB a plus).
 Experience with AWS (such as S3, Snowflake, Athena), Unix, Informatica (IDMC) and strong SQL skillset.
 Strong oral and written communication skills; presentation skills. Proficient in negotiation, facilitation and consensus building skills.
 Knowledge of layered systems architectures and layered solutions and designs, understanding of shared data engineering concepts of agile data engineering concepts and processes
 Must be proactive and demonstrate initiative and be a logical thinker. Consultative skills, including the ability to understand and apply customer requirements, including drawing out unforeseen implications and making recommendations for design, the ability to define design reasoning, understanding potential impacts of design requirements. Collaboration, prioritization, and adaptability skills required.
**Additional Qualifications**
 Snowflake, NoSQL, Python development experience.
 Understanding Cloud / Hybrid data architecture concepts.
 Understanding of insurance industry and products.
 Excited by trying new technology and learning new tools.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07">
      <c r="A107" t="inlineStr">
        <is>
          <t>li-4349735326</t>
        </is>
      </c>
      <c r="B107" t="inlineStr">
        <is>
          <t>Senior Data Platform Engineer- Weights &amp; Biases</t>
        </is>
      </c>
      <c r="C107" t="inlineStr">
        <is>
          <t>Weights &amp; Biases</t>
        </is>
      </c>
      <c r="D107" t="inlineStr">
        <is>
          <t>linkedin</t>
        </is>
      </c>
      <c r="E107">
        <f>HYPERLINK("https://www.linkedin.com/jobs/view/4349735326", "https://www.linkedin.com/jobs/view/4349735326")</f>
        <v/>
      </c>
      <c r="F107" t="inlineStr"/>
      <c r="G107" t="inlineStr">
        <is>
          <t>New York, NY</t>
        </is>
      </c>
      <c r="H107" t="inlineStr"/>
      <c r="I10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Senior Data Platform Engineer, you will:
* Partner with other Data Platform Engineers and Data Scientists to expand and maintain our data platform.
* Partner with core engineering to improve our product telemetry.
* Eventually, join our on\-call rotation for the data platform.
* Strategic goals for the team over the next 12 months:
+ Migrate data build tools to improve efficiency and performance
+ Build a robust internal data catalog and semantic layer to support self\-service analytics.
+ Build an internal AI agent for addressing common data workflows.
+ Lay the foundations for internal AI applications built on top of our operational data.
**Who You Are**
* Deep knowledge (practical and theoretical) of data engineering and the accompanying workflows.
* History of writing easy\-to\-follow code and effective documentation for your projects.
* Expert knowledge of data orchestration/data pipeline tools (dbt, dagster, airflow, etc).
* Experience working with large and high\-demand data warehouses/platforms, multi\-PB scale, and extreme business demand for the systems.
* Expert knowledge and understanding of web apps and best practices for logging and event instrumentation.
* Ability to clearly communicate your ideas to folks across a range of backgrounds and levels of technical knowledge.
**Preferred**
* If you work well in a self\-directed environment and proactively find ways to improve processes and collaborate with team members or engaged users, your initiative will really shine in this role.
* You'll love this role if you enjoy connecting with real users daily, helping them solve issues, and understanding good patterns for using our tools. You'll answer questions and requests with a kind, thoughtful tone that makes users feel appreciated and connected to our team.
*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8">
      <c r="A108" t="inlineStr">
        <is>
          <t>li-4349872344</t>
        </is>
      </c>
      <c r="B108" t="inlineStr">
        <is>
          <t>Senior Data Platform Engineer- Weights &amp; Biases</t>
        </is>
      </c>
      <c r="C108" t="inlineStr">
        <is>
          <t>Weights &amp; Biases</t>
        </is>
      </c>
      <c r="D108" t="inlineStr">
        <is>
          <t>linkedin</t>
        </is>
      </c>
      <c r="E108">
        <f>HYPERLINK("https://www.linkedin.com/jobs/view/4349872344", "https://www.linkedin.com/jobs/view/4349872344")</f>
        <v/>
      </c>
      <c r="F108" t="inlineStr"/>
      <c r="G108" t="inlineStr">
        <is>
          <t>Sunnyvale, CA</t>
        </is>
      </c>
      <c r="H108" t="inlineStr"/>
      <c r="I10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Senior Data Platform Engineer, you will:
* Partner with other Data Platform Engineers and Data Scientists to expand and maintain our data platform.
* Partner with core engineering to improve our product telemetry.
* Eventually, join our on\-call rotation for the data platform.
* Strategic goals for the team over the next 12 months:
+ Migrate data build tools to improve efficiency and performance
+ Build a robust internal data catalog and semantic layer to support self\-service analytics.
+ Build an internal AI agent for addressing common data workflows.
+ Lay the foundations for internal AI applications built on top of our operational data.
**Who You Are**
* Deep knowledge (practical and theoretical) of data engineering and the accompanying workflows.
* History of writing easy\-to\-follow code and effective documentation for your projects.
* Expert knowledge of data orchestration/data pipeline tools (dbt, dagster, airflow, etc).
* Experience working with large and high\-demand data warehouses/platforms, multi\-PB scale, and extreme business demand for the systems.
* Expert knowledge and understanding of web apps and best practices for logging and event instrumentation.
* Ability to clearly communicate your ideas to folks across a range of backgrounds and levels of technical knowledge.
**Preferred**
* If you work well in a self\-directed environment and proactively find ways to improve processes and collaborate with team members or engaged users, your initiative will really shine in this role.
* You'll love this role if you enjoy connecting with real users daily, helping them solve issues, and understanding good patterns for using our tools. You'll answer questions and requests with a kind, thoughtful tone that makes users feel appreciated and connected to our team.
*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9">
      <c r="A109" t="inlineStr">
        <is>
          <t>li-4371332506</t>
        </is>
      </c>
      <c r="B109" t="inlineStr">
        <is>
          <t>Data Engineer I</t>
        </is>
      </c>
      <c r="C109" t="inlineStr">
        <is>
          <t>Jobs via Dice</t>
        </is>
      </c>
      <c r="D109" t="inlineStr">
        <is>
          <t>linkedin</t>
        </is>
      </c>
      <c r="E109">
        <f>HYPERLINK("https://www.linkedin.com/jobs/view/4371332506", "https://www.linkedin.com/jobs/view/4371332506")</f>
        <v/>
      </c>
      <c r="F109" t="inlineStr"/>
      <c r="G109" t="inlineStr">
        <is>
          <t>Cincinnati, OH</t>
        </is>
      </c>
      <c r="H109" t="inlineStr"/>
      <c r="I109" t="inlineStr">
        <is>
          <t>**Description:**
*Onsite in Cincinnati, OH*
 Our client a large U.S. financial institution headquartered at a major center in Cincinnati is seeking a Data Engineer.
*Due to client requirements, applicants must be willing and able to work on a w2 basis. For our w2 consultants, we offer a great benefits package that includes Medical, Dental, and Vision benefits, 401k with company matching, and life insurance.*
 Rate: $30\.00 to $37\.00/hr. w2
**Responsibilities:**
* Design, construct, install, test, and maintain scalable data management systems.
* Clean and transform data to produce high\-quality, production\-ready datasets for model development.
* Engineer features and integrate new data sources to streamline modeling pipelines.
* Build high\-performance algorithms, predictive models, and prototypes.
* Ensure data systems meet business requirements and align with industry practices.
* Integrate modern data management and software engineering technologies into existing architectures.
* Develop processes for data mining, data modeling, and data production.
* Create custom software components and analytics applications.
* Research new uses for existing data to enhance insights and capabilities.
* Employ multiple languages and tools to connect systems and support interoperability.
* Collaborate with data architects, IT, and data scientists to achieve project goals.
* Install and update disaster recovery procedures.
* Recommend improvements to enhance data reliability and quality.
**Experience Requirements:**
* Proficiency in SQL with experience in data manipulation and transformation.
* Basic understanding of relational databases and data modeling concepts.
* Experience cleaning and preparing datasets for analytics or machine learning.
* Experience with non\-relational and relational databases such as SQL, MySQL, NoSQL, Hadoop, or MongoDB.
* Experience programming and/or architecting a back\-end language such as Java or J2EE.
* Snowflake experience (preferred).
* dbt experience (preferred).
* Python experience (preferred).
* Understanding of data science workflows and practices (preferred).
**Education Requirements:**
* Technical degree or related work experience.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10">
      <c r="A110" t="inlineStr">
        <is>
          <t>li-4321384025</t>
        </is>
      </c>
      <c r="B110" t="inlineStr">
        <is>
          <t>Lead, IT Data Engineer</t>
        </is>
      </c>
      <c r="C110" t="inlineStr">
        <is>
          <t>Shure Incorporated</t>
        </is>
      </c>
      <c r="D110" t="inlineStr">
        <is>
          <t>linkedin</t>
        </is>
      </c>
      <c r="E110">
        <f>HYPERLINK("https://www.linkedin.com/jobs/view/4321384025", "https://www.linkedin.com/jobs/view/4321384025")</f>
        <v/>
      </c>
      <c r="F110" t="inlineStr"/>
      <c r="G110" t="inlineStr">
        <is>
          <t>Niles, IL</t>
        </is>
      </c>
      <c r="H110" t="inlineStr"/>
      <c r="I110" t="inlineStr">
        <is>
          <t>**Come join the global IT team at Shure!**
 In your role as
 **Lead Data Engineer,** 
 you will play a critical role in enabling Shure’s global analytics and data strategy. This position partners closely with business and technology stakeholders across North America, Europe, and Asia to design, build, enhance, and support scalable analytics solutions that meet evolving global business needs.
 In this senior role, you’ll be responsible for engineering and supporting robust data pipelines that leverage Shure’s technology investments and enable insights across the organization. You’ll work with a wide variety of data sources—including structured and unstructured data, internal and external data, and emerging data types such as Internet of Things (IoT)—to ensure data is reliable, accessible, and optimized for analytics and reporting.
 The ideal candidate brings a strong foundation in data engineering best practices, stays current with technology trends, and demonstrates a willingness to learn and adopt emerging tools and platforms. Success in this role requires both technical depth and the ability to collaborate effectively within a globally distributed team to deliver high‑quality, business‑driven data solutions.
**This role is hybrid, based in our Niles, IL location or remote within the US.**
**Responsibilities**
* Lead and perform data engineering development for connecting source systems to Shure’s data lake, ensuring data quality and governance standards.
* Assist internal business partners in implementing Generative AI\-driven analytics solutions, providing guidance on use cases, integration strategies, and best practices to enhance data insights and decision\-making.
* Collaborate with business partners to define analytic use cases, develop business cases, and ensure benefits realization through measurable outcomes and value delivery.
* Design and implement ETL processes to extract, transform, and load data from multiple sources into Shure’s data lake and data warehouse.
* Develop and maintain scalable, flexible data models and analytic solutions aligned with business requirements.
* Drive technical solution design and provide approvals for documentation, proposals, and final designs.
* Establish and maintain data lineage and cataloging to enable discoverability and support governance initiatives.
* Oversee code reviews, testing, and validation to ensure high\-quality deliverables and adherence to standards.
* Provide technical leadership and mentorship to data engineers, serving as the first escalation point for complex issues.
* Collaborate with cross\-functional teams and external contacts , offering thought leadership on emerging technologies and trends.
* Manage medium to large \-scope projects , including planning, resource allocation, and execution of technical phases while supporting business users through Service Desk requests.
* Lead continuous improvement initiatives , including automation, monitoring, and reliability enhancements for the data platfor m.
**Qualifications**
* Demonstrated commitment to working in alignment with Shure’s core values, fostering collaboration, integrity, innovation, and excellence in all deliverables.
* Minimum of 10 years of related experience with a Bachelor’s degree; or 8 years with a Master’s; or 5 years with a PhD; or equivalent experience in enterprise data warehouse/data lake platforms and big data technologies.
* Strong professional judgment, problem\-solving, and communication skills to analyze complex data challenges and deliver well\-structured solutions.
* Expertise across end\-to\-end data processes, including application integration touchpoints and alignment of local/global requirements.
* Hands\-on experience with AWS Data Engineering stack (S3, Glue, Lambda, EMR/Spark, Step Functions, Athena, Lake Formation, IAM, Redshift).
* Advanced proficiency in Snowflake (data modeling, performance tuning, Snowpipe , Streams/Tasks, RBAC, cost governance, query optimization).
* Skilled in designing and implementing CI/CD pipelines for data engineering workflows using GitLab, GitHub Actions, Azure DevOps, Terraform/CDK, and dbt .
* Experience integrating ERP (SAP, Oracle) and CRM (Salesforce) data into cloud platforms.
* Knowledge of structured/unstructured data and integration protocols (OData, ODP, REST APIs, JDBC/ODBC, file\-based, custom interfaces).
* Strong understanding of modern data architecture patterns (Medallion, Lambda, Kappa, Data Mesh), dimensional and Data Vault modeling, and data quality methods.
* Expertise in SQL, shell scripting, Python or PySpark for data engineering and automation.
* Familiarity with Machine Learning concepts, Generative AI, and enabling ML pipelines and feature stores.
* Experience with real\-time streaming technologies (Apache Kafka, AWS Kinesis, MSK) for high\-throughput, low\-latency pipelines.
* Knowledge of data visualization tools (Tableau, Power BI) and project management methodologies ( SAFe Agile, Waterfall).
* Ability to rapidly learn new technologies and convert business requirements into technical designs.
**Who We Are**
 Shure’s mission is to be the most trusted audio brand worldwide – and for over a century, our Core Values have aligned us to be just that. Founded in 1925, we are a leading global manufacturer of audio equipment known for quality, reliability, and durability. We engineer microphones, headphones, wireless audio systems, conferencing systems, and more. And quality doesn’t stop at our products. Our talented teams strive for perfection and innovate every chance they get. We offer an Associate\-first culture, flexible work arrangements, and opportunity for all.
 Shure is headquartered in United States. We have more than 35 regional sales offices, engineering hubs, distribution centers and manufacturing facilities throughout the Americas, EMEA, and Asia.
 Join Shure and
 **Amplify Your Impact.** 
 Explore our unique culture and learn the key pillars that define our legacy of excellence.
**THE MIX MATTERS**
 Don’t check off every box in the job requirements? No problem! We recognize that every professional journey is unique and are committed to providing an equitable candidate experience for all prospective Shure Associates. If you’re excited about this role, believe you’ve got the skills to be successful, and share our passion for creating an inclusive, diverse, equitable, and accessible work environment, then apply!
**PAY TRANSPARENCY**
 Shure offers a competitive compensation structure that is reviewed annually to attract, hire, and retain the industry’s top talent. Base salaries vary based on qualifications, geography, experience, and expertise in each respective discipline. The range displayed on each job posting reflects the minimum and maximum base salary for the opportunity. The base salary for this position ranges from $127,000 to $203,200 with a mid\-point target. This position may also be eligible for our incentive pay program, which varies based on individual and Company performance in the year. If your salary expectations do not align, still apply as we are often flexible on the seniority of posted positions. All positions also include an award\-winning benefits package.
**WE GOT YOU \- Our Benefits**
 At Shure, we prioritize the well\-being of our Associates. We offer competitive rewards packages to full\-time and part\-time Associates working 24 or more hours a week that address physical, mental, financial, and overall well\-being. Our benefits include comprehensive healthcare, mental health and retirement savings plans, generous paid time off programs, employee discounts, professional development opportunities, work\-life balance initiatives, employee recognition programs, and volunteering/community involvement opportunities. To learn more, check out our Benefits At A Glance .</t>
        </is>
      </c>
    </row>
    <row r="111">
      <c r="A111" t="inlineStr">
        <is>
          <t>li-4371196181</t>
        </is>
      </c>
      <c r="B111" t="inlineStr">
        <is>
          <t>Data Engineer</t>
        </is>
      </c>
      <c r="C111" t="inlineStr">
        <is>
          <t>Jobs via Dice</t>
        </is>
      </c>
      <c r="D111" t="inlineStr">
        <is>
          <t>linkedin</t>
        </is>
      </c>
      <c r="E111">
        <f>HYPERLINK("https://www.linkedin.com/jobs/view/4371196181", "https://www.linkedin.com/jobs/view/4371196181")</f>
        <v/>
      </c>
      <c r="F111" t="inlineStr"/>
      <c r="G111" t="inlineStr">
        <is>
          <t>Dallas, TX</t>
        </is>
      </c>
      <c r="H111" t="inlineStr"/>
      <c r="I111" t="inlineStr">
        <is>
          <t>RESPONSIBILITIES:
 Kforce has a client in Dallas, TX that is looking for a Data Engineer to join their team building a new application that supports mainframe application rationalization and modernization. This application will ingest, model, and persist data used to analyze legacy systems and inform future decisions around which applications should be migrated off the mainframe. This role is heavily focused on data modeling, data architecture, and data stewardship\-not just pipelines. The Data Engineer will help define how critical application data is structured, stored, and later leveraged for analysis and graph\-based relationships.
 What You'll Be Doing:
* Design and implement data models that support application analysis and modernization decision\-making
* Build and maintain data persistence layers using PostgreSQL as the primary relational store
* Support downstream use of data in graph databases (Amazon Neptune / Neo4j) to model application dependencies and relationships
* Develop data ingestion and transformation logic using Python
* Integrate and manage analytical data in Snowflake for reporting and future analysis
* Partner closely with application engineers, architects, and stakeholders to ensure data is usable, scalable, and aligned to long\-term modernization goals
* Help define data standards, schemas, and best practices for how information is stored, accessed, and evolved over time
* Operate within an AWS environment, leveraging cloud\-native services where appropriate
* Ensure data quality, consistency, and traceability across systems
 REQUIREMENTS:
* Strong experience as a Data Engineer or in a data\-focused engineering role
* Experience working with or supporting graph databases (Neptune and/or Neo4j), especially for relationship\-driven data models
* Familiarity with data rationalization, application dependency mapping, or portfolio analysis
* Proven ability to define and evolve data models, not just consume existing ones
* Strong communication skills and the ability to collaborate across technical and non\-technical teams
 Hands\-on experience with:
* PostgreSQL (schema design, relational modeling, performance considerations)
* Python for data processing and transformation
* Snowflake for analytics and structured data storage
* AWS (core services, data\-related tooling, cloud architecture)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12">
      <c r="A112" t="inlineStr">
        <is>
          <t>li-4373226764</t>
        </is>
      </c>
      <c r="B112" t="inlineStr">
        <is>
          <t>Remote Lead Data Engineer</t>
        </is>
      </c>
      <c r="C112" t="inlineStr">
        <is>
          <t>Jobgether</t>
        </is>
      </c>
      <c r="D112" t="inlineStr">
        <is>
          <t>linkedin</t>
        </is>
      </c>
      <c r="E112">
        <f>HYPERLINK("https://www.linkedin.com/jobs/view/4373226764", "https://www.linkedin.com/jobs/view/4373226764")</f>
        <v/>
      </c>
      <c r="F112" t="inlineStr"/>
      <c r="G112" t="inlineStr">
        <is>
          <t>Minnesota, United States</t>
        </is>
      </c>
      <c r="H112" t="inlineStr"/>
      <c r="I112" t="inlineStr">
        <is>
          <t>This position is posted by Jobgether on behalf of a partner company. We are currently looking for a Data Engineer. In this role, you will play a crucial part in constructing robust data pipelines that serve as the backbone for internal business analytics. Collaborating closely with senior engineers, you will ensure the seamless ingestion and preparation of data from various sources, elevating data quality for analysis. Your contributions will directly influence critical decision\-making processes, providing leaders with necessary insights efficiently. This role demands a commitment to excellence, allowing you to make a real impact in a fast\-paced, results\-oriented environment.
**Accountabilities**
* Build and maintain Azure Data Factory pipelines to ingest data from multiple sources.
* Write Python code in Databricks to clean raw data and move it into the silver layer, handling deduplication, type casting, and validation.
* Monitor daily jobs and troubleshoot any failures to ensure pipeline stability.
* Implement automated checks to verify data integrity between source systems and the data lake.
**Requirements**
* 5\+ years of experience in Data Engineering, with a focus on ETL/ELT pipelines in cloud environments.
* Proficiency in Azure Data Factory and Databricks for pipeline development.
* Strong proficiency in SQL for data analysis and Python for scripting.
* Experience implementing automated data quality checks and troubleshooting pipeline failures.
* Familiarity with data schemas and APIs from platforms like Microsoft Dynamics 365, Salesforce, and ServiceNow.
* Demonstrated experience using LLMs to enhance data engineering workflows.
* Bachelor’s degree in Computer Science, Software Engineering, Data Engineering, or a related field.
**Benefits**
* Comprehensive benefits package including medical, dental, and vision coverage.
* Paid time off and a Registered Retirement Savings Plan (RRSP).
* Tuition reimbursement and paid parental leave.
* Access to a library of personal and professional training resources.
* Employee discounts and additional insurance coverage.
* Starting salary anticipated between $185,000 and $200,000, commensurate with experience.
* Bonus eligibility.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li-4290987963</t>
        </is>
      </c>
      <c r="B113" t="inlineStr">
        <is>
          <t>Data Engineering Team Lead (Hybrid)</t>
        </is>
      </c>
      <c r="C113" t="inlineStr">
        <is>
          <t>Selective Insurance</t>
        </is>
      </c>
      <c r="D113" t="inlineStr">
        <is>
          <t>linkedin</t>
        </is>
      </c>
      <c r="E113">
        <f>HYPERLINK("https://www.linkedin.com/jobs/view/4290987963", "https://www.linkedin.com/jobs/view/4290987963")</f>
        <v/>
      </c>
      <c r="F113" t="inlineStr"/>
      <c r="G113" t="inlineStr">
        <is>
          <t>Short Hills, NJ</t>
        </is>
      </c>
      <c r="H113" t="inlineStr"/>
      <c r="I113"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2024 and certification as a Great Place to Work® in 2024 for the fifth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
 *Applicants must be authorized to work for any employer in the United States. Selective will not sponsor or assume the sponsorship of an employment visa at this time* 
 ”.**
 Note for NJ candidates: This role will be located at our future headquarters in Short Hills, N.J. Until the new headquarters is operational, the successful candidate will be offered the ability to work in our Branchville, N.J. location during this interim period.
 Selective Insurance is seeking an energetic and collaborative Data Engineer Team lead to work on data and analytics projects supporting the Underwriting Analytics team within the Information Management group. This group is responsible for technology support of all Data Engineering, Analytics and Reporting for specific business areas. This includes Data Engineering services, Enterprise reporting support and ML Ops Engineering operations for these groups. An ideal candidate will leverage their technical proficiency and leadership competencies to drive the delivery of key objectives.
**Responsibilities**
* Lead a high performing team in the delivery of key components and business deliverables.
* Ensure both on\-time successful delivery, and the technical and architectural quality of the solutions.
* Collaborate with individuals from all areas of the business and IT organizations to develop accurate business requirements and design architectural solutions.
* Resolve and escalate technical and project delivery issues as needed.
* Drive process improvements within the team and across the department to improve efficiency and quality.
* Work directly with the architecture group to coordinate new design patterns and technology.
* Assist in prioritizing new development projects, enhancement projects for existing systems, and system maintenance requests.
* Act as a key contributor in planning and estimation of projects
* Support development of talent within the organization through coaching and mentoring of team members.
* Ensure design, code, and test plan reviews are conducted as appropriate.
**Qualifications**
- Required:
* Proven history of owning and taking accountability for leading others to complete complex deliverables.
* Excellent communication skills
* 7\+ years of experience leading and/or hands\-on development of Data Warehouse/DataLakes, Data integration or Data Engineering projects.
* Experience in ETL and ELT tools (Databricks preferred)
* Proficient in Data modeling, PySpark and SQL
* Proficient in modern data architecture
* Experienced in any of these analytical platforms \- PowerBI, AzureML
* Experience with DataOps or other automation frameworks.
* Preferred:
+ SAFe agile work experience or similar agile process
+ College degree in Computer Science or Management Information systems
+ Property Casualty Insurance experience
+ Experience working within Azure ecosystem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paid time off plans. Additional details about our total rewards package will be provided during the recruiting process.
 The actual base salary is based on geographic location, and the range is representative of salaries for this role throughout Selective's footprint. Additional considerations include relevant education, qualifications, experience, skills, performance, and business needs.
**Pay Range**
 USD $119,000\.00 \- USD $163,000\.00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t>
        </is>
      </c>
    </row>
    <row r="114">
      <c r="A114" t="inlineStr">
        <is>
          <t>li-4312310119</t>
        </is>
      </c>
      <c r="B114" t="inlineStr">
        <is>
          <t>Data Engineering Team Lead (Hybrid)</t>
        </is>
      </c>
      <c r="C114" t="inlineStr">
        <is>
          <t>Selective Insurance</t>
        </is>
      </c>
      <c r="D114" t="inlineStr">
        <is>
          <t>linkedin</t>
        </is>
      </c>
      <c r="E114">
        <f>HYPERLINK("https://www.linkedin.com/jobs/view/4312310119", "https://www.linkedin.com/jobs/view/4312310119")</f>
        <v/>
      </c>
      <c r="F114">
        <f>HYPERLINK("https://jobs.selective.com/jobs/4915?lang=en-us&amp;iis=Job+Board&amp;iisn=LinkedIn&amp;urlHash=Rz8F", "https://jobs.selective.com/jobs/4915?lang=en-us&amp;iis=Job+Board&amp;iisn=LinkedIn&amp;urlHash=Rz8F")</f>
        <v/>
      </c>
      <c r="G114" t="inlineStr">
        <is>
          <t>Charlotte, NC</t>
        </is>
      </c>
      <c r="H114" t="inlineStr"/>
      <c r="I114"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
 *Applicants must be authorized to work for any employer in the United States. Selective will not sponsor or assume the sponsorship of an employment visa at this time* 
 ”.**
 Selective Insurance is seeking an energetic and collaborative Data Engineer Team lead to work on data and analytics projects supporting the Claims team within the Information Management group. This group is responsible for technology support of all Data Engineering, Analytics and Reporting for specific business areas. This includes Data Engineering services, Enterprise reporting support and ML Ops Engineering operations for these groups. An ideal candidate will leverage their technical proficiency and leadership competencies to drive the delivery of key objectives.
**Responsibilities**
* Lead a high performing team in the delivery of key components and business deliverables.
* Ensure both on\-time successful delivery, and the technical and architectural quality of the solutions.
* Collaborate with individuals from all areas of the business and IT organizations to develop accurate business requirements and design architectural solutions.
* Resolve and escalate technical and project delivery issues as needed.
* Drive process improvements within the team and across the department to improve efficiency and quality.
* Work directly with the architecture group to coordinate new design patterns and technology.
* Assist in prioritizing new development projects, enhancement projects for existing systems, and system maintenance requests.
* Act as a key contributor in planning and estimation of projects
* Support development of talent within the organization through coaching and mentoring of team members.
* Ensure design, code, and test plan reviews are conducted as appropriate.
**Qualifications**
**Required:**
* Proven history of owning and taking accountability for leading others to complete complex deliverables.
* Excellent communication skills
* 7\+ years of experience leading and/or hands\-on development of Data Warehouse/DataLakes, Data integration or Data Engineering projects.
* Experience in ETL and ELT tools (Databricks preferred)
* Proficient in Data modeling, PySpark and SQL
* Proficient in modern data architecture
* Experienced in any of these analytical platforms \- PowerBI, AzureML
* Experience with DataOps or other automation frameworks.
**Preferred**
* SAFe agile work experience or similar agile process
* College degree in Computer Science or Management Information systems
* Property Casualty Insurance experience
* Experience working within Azure ecosystem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$119,000\.00 \- USD $163,000\.00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115">
      <c r="A115" t="inlineStr">
        <is>
          <t>li-4365607046</t>
        </is>
      </c>
      <c r="B115" t="inlineStr">
        <is>
          <t>Sr. Mgr, Data Engineering</t>
        </is>
      </c>
      <c r="C115" t="inlineStr">
        <is>
          <t>Capital One</t>
        </is>
      </c>
      <c r="D115" t="inlineStr">
        <is>
          <t>linkedin</t>
        </is>
      </c>
      <c r="E115">
        <f>HYPERLINK("https://www.linkedin.com/jobs/view/4365607046", "https://www.linkedin.com/jobs/view/4365607046")</f>
        <v/>
      </c>
      <c r="F115">
        <f>HYPERLINK("https://dsp.prng.co/Y5355_b&amp;urlHash=-QXU", "https://dsp.prng.co/Y5355_b&amp;urlHash=-QXU")</f>
        <v/>
      </c>
      <c r="G115" t="inlineStr">
        <is>
          <t>Richmond, VA</t>
        </is>
      </c>
      <c r="H115" t="inlineStr"/>
      <c r="I11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2\+ years of hands\-on experience using AI\-powered coding tools (e.g., Windsurf, GitHub Copilot, Cursor) to boost development productivity
* 2\+ years proven ability to integrate AI capabilities effectively into development workflows and team processes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6">
      <c r="A116" t="inlineStr">
        <is>
          <t>li-4365607045</t>
        </is>
      </c>
      <c r="B116" t="inlineStr">
        <is>
          <t>Sr. Mgr, Data Engineering</t>
        </is>
      </c>
      <c r="C116" t="inlineStr">
        <is>
          <t>Capital One</t>
        </is>
      </c>
      <c r="D116" t="inlineStr">
        <is>
          <t>linkedin</t>
        </is>
      </c>
      <c r="E116">
        <f>HYPERLINK("https://www.linkedin.com/jobs/view/4365607045", "https://www.linkedin.com/jobs/view/4365607045")</f>
        <v/>
      </c>
      <c r="F116" t="inlineStr"/>
      <c r="G116" t="inlineStr">
        <is>
          <t>McLean, VA</t>
        </is>
      </c>
      <c r="H116" t="inlineStr"/>
      <c r="I11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2\+ years of hands\-on experience using AI\-powered coding tools (e.g., Windsurf, GitHub Copilot, Cursor) to boost development productivity
* 2\+ years proven ability to integrate AI capabilities effectively into development workflows and team processes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7">
      <c r="A117" t="inlineStr">
        <is>
          <t>li-4343348942</t>
        </is>
      </c>
      <c r="B117" t="inlineStr">
        <is>
          <t>Senior Data Engineer</t>
        </is>
      </c>
      <c r="C117" t="inlineStr">
        <is>
          <t>SAIC</t>
        </is>
      </c>
      <c r="D117" t="inlineStr">
        <is>
          <t>linkedin</t>
        </is>
      </c>
      <c r="E117">
        <f>HYPERLINK("https://www.linkedin.com/jobs/view/4343348942", "https://www.linkedin.com/jobs/view/4343348942")</f>
        <v/>
      </c>
      <c r="F117">
        <f>HYPERLINK("https://jsv3.recruitics.com/redirect?rx_cid=3284&amp;rx_jobId=2512347&amp;rx_url=https%3A%2F%2Fjobs.saic.com%2Fjobs%2F17136584-senior-data-engineer%3Fbid%3D370%26rx_campaign%3DLinkedin1%26rx_ch%3Djobpost%26rx_group%3D128565%26rx_id%3D5f3bca6a-d7bd-11f0-8d33-d73f12634dca%26rx_job%3D2512347%26rx_medium%3Dpost%26rx_paid%3D1%26rx_r%3Dnone%26rx_source%3Dlinkedin%26rx_ts%3D20260214T181208Z%26rx_vp%3Djobslots%26tm_company%3D2520%26tm_event%3Dview%26tm_job%3D2512347&amp;urlHash=tSNH", "https://jsv3.recruitics.com/redirect?rx_cid=3284&amp;rx_jobId=2512347&amp;rx_url=https%3A%2F%2Fjobs.saic.com%2Fjobs%2F17136584-senior-data-engineer%3Fbid%3D370%26rx_campaign%3DLinkedin1%26rx_ch%3Djobpost%26rx_group%3D128565%26rx_id%3D5f3bca6a-d7bd-11f0-8d33-d73f12634dca%26rx_job%3D2512347%26rx_medium%3Dpost%26rx_paid%3D1%26rx_r%3Dnone%26rx_source%3Dlinkedin%26rx_ts%3D20260214T181208Z%26rx_vp%3Djobslots%26tm_company%3D2520%26tm_event%3Dview%26tm_job%3D2512347&amp;urlHash=tSNH")</f>
        <v/>
      </c>
      <c r="G117" t="inlineStr">
        <is>
          <t>San Diego, CA</t>
        </is>
      </c>
      <c r="H117" t="inlineStr"/>
      <c r="I117" t="inlineStr">
        <is>
          <t>Job ID 2512347
**Location** 
 SAN DIEGO, CA, US
**Date Posted** 
 2025\-12\-12
**Category** 
 Information Technology
**Subcategory** 
 Database Engr
**Schedule** 
 Full\-time
**Shift** 
 Day Job
**Travel** 
 No
**Minimum Clearance Required TS/SCI**
**Clearance Level Must Be Able to Obtain** 
 None
**Potential for Remote Work** 
 No
**Description**
 SAIC is seeking a
 **TS/SCI cleared Senior Data Engineer** 
 in support of NAVWAR’s Naval Operational Architecture (NOA) program in San Diego, CA. The Data Engineer will to support a transformational, Navy\-led network\-centric initiative that converges existing systems, automating the correlation of multiple ISR data streams, dramatically reducing the "sensor\-to\-shooter" timeline. This is a recently awarded contract, funded for five years.
**Work is performed on site in San Diego, CA.**
 Please view our program page for more information and to view all open positions available https//jobs.saic.com/pages/NOA
**Responsibilities**
* Build and optimize robust data pipelines ingestion, transformation, storage, and governance.
* Convert between tactical data formats, e.g., XML, JSON, GEOJSON, Cursor\-on\-Target (CoT), JREAP\-C, Link\-16\.
* Implement automation using CHRON/CRON jobs and data orchestration frameworks (Apache Airflow, Kafka, AWS Step Functions).
* Architect and maintain scalable data stores (e.g., Apache Iceberg, Elasticsearch) with schema evolution and deduplication.
* Enable real\-time data indexing and fast query performance.
* Implement MIL\-STD\-6016 (Link\-16\) and MIL\-STD\-3011 (JREAP) message handling.
* Support integration or development of Cross\-Domain Solutions (CDS) for secure, policy\-based data transfers.
* Present complex data flows and technical insights effectively to leadership and stakeholders using clear data models and visual aids.
**Qualifications**
**Citizenship and Clearance Requirement**
* U.S. Citizenship required.
* Active TS/SCI security clearance required.
**Education And Certification Requirements**
* Bachelor’s degree in Data Science, Computer Science, Engineering, or related STEM field and nine (9\) years or Masters and seven (7\) years or more of experience.
**Required Skills And Experience**
* At least 9 years' experience working as a business analyst, data analyst, data scientist, data engineer, database administrator, geospatial analyst, geospatial engineer, machine learning engineer, or software engineer.
* Hands on Keyboard\- Developer Skillsets.
* Fluency in Python, can code without Modern libraries.
* Experience in format conversions with some of the following XML, JREAP\-C, COT (cursor\-on\-target), JSON, GEO JSON, UMF/UHR, text link\-16, Tapil\-J, and other Tactical Data Links.
* Experience in natural language parsing (NLP) and using regular expressions, RegEx.
* Experience implementing CHRON/CRON jobs.
* Experience in data pipeline orchestration, ETL, orchestration tools (e.g., Kafka, Apache Airflow, AWS Step Functions).
* Focused experience implementing and monitoring data stores i.e. (Apache Iceberg, elastic search, data lake management).
* Experience with schema evolution, dataflow and governance.
* Experience with real\-time search and analytics engines for indexing and querying semi\-structured data.
* Focused experience optimizing data store queries for speed and deduplication.
* Direct experience implementing MIL\-STD\-6016 and MIL\-STD\-3011\.
* Can translate data between source and destination schemas.
* Data modeling and PowerPoint presentations for leadership and stakeholder presentations.
* Experience working with or developing Cross Domain Solutions (CDS) systems.
**Preferred Skills And Experience**
* Familiarity with DoD data architecture principles (e.g. DoDAF, CADM).
* Experience with DataOps or similar mission\-critical pipeline automation (e.g., deduplication, schema normalization).
* Any experience leveraging universal data distribution architectures within DOD operations.
 Please view our Program page for more information and to view all open positions available https//jobs.saic.com/pages/NOA.
 Target salary range $160,001 \- $200,000\. The estimate displayed represents the typical salary range for this position based on experience and other factors.</t>
        </is>
      </c>
    </row>
    <row r="118">
      <c r="A118" t="inlineStr">
        <is>
          <t>li-4332801612</t>
        </is>
      </c>
      <c r="B118" t="inlineStr">
        <is>
          <t>Senior Associate, Data Analytics Engineering</t>
        </is>
      </c>
      <c r="C118" t="inlineStr">
        <is>
          <t>The Options Clearing Corporation (OCC)</t>
        </is>
      </c>
      <c r="D118" t="inlineStr">
        <is>
          <t>linkedin</t>
        </is>
      </c>
      <c r="E118">
        <f>HYPERLINK("https://www.linkedin.com/jobs/view/4332801612", "https://www.linkedin.com/jobs/view/4332801612")</f>
        <v/>
      </c>
      <c r="F118" t="inlineStr"/>
      <c r="G118" t="inlineStr"/>
      <c r="H118" t="inlineStr"/>
      <c r="I118" t="inlineStr">
        <is>
          <t>* THIS POSITION IS NOT ELIGIBLE FOR VISA SPONSORSHIP\*\*\*\*\*
**What You'll Do:**
 This position will join OCC's centralized data analytics team to enhance organizational data analytics capabilities through close business partnership, requirements gathering, and solution delivery. The individual will collaborate extensively with the Data Engineering team to architect and develop the internal analytics data layer and maintain supporting ETL processes.
 The successful candidate will develop deep expertise in OCC's data models and provide cross\-organizational support to maximize data utilization. They will tackle strategic data challenges affecting multiple teams by developing solutions that address immediate needs while anticipating future analytical requirements.
 This role involves both promoting and enforcing analytics standards while ensuring business teams have appropriate data access for BI reporting, dashboarding, and ad\-hoc analysis needs.
**Primary Duties and Responsibilities:**
 To perform this job successfully, an individual must be able to perform each primary duty satisfactorily.
* Design and maintain OCC analytics solutions drawing from both raw and semantic data layers
* Partner with business units to gather requirements and develop targeted analytics solutions
* Create data models ensuring information availability in the analytics warehouse for analysis and dashboard development
* Help establish Data Analytics standards and collaborate with embedded business analysts to ensure adherence
* Develop comprehensive documentation and testing protocols to guarantee data accuracy and accessibility
* Identify and distribute data and analytics best practices across the team
* Continuously expand knowledge of data and analytics engineering methodologies to enhance infrastructure maintainability and reliability
* Champion self\-service capabilities and data literacy among business users through semantic layer utilization, analytics platforms (Tableau, Python), and CI/CD tools
* Pursue ongoing professional development in data analytics, cloud computing, options trading, and financial risk management to improve analytics infrastructure
* Provide guidance to business\-embedded data analysts in addressing analytical challenges and support ad\-hoc development needs
 Supervisory Responsibilities:
 None
**Qualifications:**
 The requirements listed are representative of the knowledge, skill, and/or ability required. Reasonable accommodations may be made to enable individuals with disabilities to perform the primary functions.
* \[Required] Ability to collaborate with multiple partners (e.g. Business Users, Data and Solution Architects, Data Governance and IT teams \-\- Data Platform Team, Systems \&amp; Infrastructure, Security, DevOps, Networking) to craft solutions that align business goals with internal processes, security, and delivery standards in mind.
* \[Required] Ability to communicate technical concepts to audiences with varying levels of technical background and synthesize non\-technical requests into technical output
* \[Required] Comfortable supporting business analysts on high\-priority projects
* \[Required] High attention to detail, tradeoffs, and an ability to think structurally about a solution
**Technical Skills:**
* \[Required] Ability to write and optimize complex analytical (SELECT) SQL queries
* \[Required] Ability to write and optimize python for custom data pipeline code (virtual environments, scripts vs. modules vs packages, functional programming, unit testing)
* \[Required] Strong Experience with data viz/prep tools (preferably Tableau and Alteryx)
* \[Required] Experience with a source code version control repository system, branch management, pull requests (preferably Git)
* \[Preferred] Experience with transformation/semantic layer frameworks, such as dbt
* \[Preferred] Familiarity with services on at least one cloud computing platform, such as AWS or Azure, or a cloud data platform such as Databricks or Snowflake
* \[Preferred] Familiarity with data modeling design concepts such as 3rd\-normal form or denormalization modeling concepts such as star\-schema
* \[Preferred] Exposure to batch orchestration tools such as Apache Airflow, Dagster, or Prefect
* \[Preferred] Understanding of applied statistics and hands\-on experience applying these concepts
**Education and/or Experience:**
* \[Required] Bachelor's or Master’s degree in a quantitative discipline (e.g., Statistics, Computer Science, Mathematics, Physics, Data Science, Electrical Engineering, Information Systems) or equivalent professional experience
* \[Required] 3\+ years of experience as a data analyst, data engineer, software engineer, data scientist, financial risk analyst, business intelligence analyst
**Certificates or Licenses:**
* \[Preferred] BI tool certification, or
* \[Preferred] Financial Analyst certification
**About Us**
 The Options Clearing Corporation (OCC) is the world's largest equity derivatives clearing organization. Founded in 1973, OCC is dedicated to promoting stability and market integrity by delivering clearing and settlement services for options, futures and securities lending transactions. As a Systemically Important Financial Market Utility (SIFMU), OCC operates under the jurisdiction of the U.S. Securities and Exchange Commission (SEC), the U.S. Commodity Futures Trading Commission (CFTC), and the Board of Governors of the Federal Reserve System. OCC has more than 100 clearing members and provides central counterparty (CCP) clearing and settlement services to 19 exchanges and trading platforms. More information about OCC is available at www.theocc.com.
**Benefits**
 A highly collaborative and supportive environment developed to encourage work\-life balance and employee wellness. Some of these components include:
* A hybrid work environment, up to 2 days per week of remote work
* Tuition Reimbursement to support your continued education
* Student Loan Repayment Assistance
* Technology Stipend allowing you to use the device of your choice to connect to our network while working remotely
* Generous PTO and Parental leave
* 401k Employer Match
* Competitive health benefits including medical, dental and vision
 Visit https://www.theocc.com/careers/thriving\-together for more information.
**Compensation**
* The salary range listed for any given position is exclusive of fringe benefits and potential bonuses. If hired at OCC, your final base salary compensation will be determined by factors such as skills, experience and/or education.
* In addition, we believe in the importance of pay equity and consider internal equity of our current team members as part of any final offer.
* We typically do not hire at the maximum of the range in order to allow for future and continued salary growth. We also offer a substantial benefits package as noted on www.theocc.com/careers
* All employees may be eligible for a discretionary bonus. Discretionary bonuses are based on various factors, including, but not limited to, company and individual performance and are not guaranteed.
**Salary Range**
 $84,700\.00 \- $145,600\.00
**Incentive Range**
 6% to 10%
 This position is eligible for an annual discretionary incentive compensation award, for which the target range is listed above (see
 **Incentive Range** 
 ). The amount of such award, if any, will be based on various factors, including without limitation, both individual and company performance.
**Step 1
 When you find a position you're interested in, click the 'Apply' button. Please complete the application and attach your resume.**
**Step 2
 You will receive an email notification to confirm that we've received your application.**
**Step 3
 If you are called in for an interview, a representative from OCC will contact you to set up a date, time, and location.**
**For more information about** 
 OCC
 **, please click** 
 here.
**OCC is an Equal Opportunity Employer**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2026-02-14T21:07:40Z</dcterms:created>
  <dcterms:modified xsi:type="dcterms:W3CDTF">2026-02-14T21:07:40Z</dcterms:modified>
</cp:coreProperties>
</file>