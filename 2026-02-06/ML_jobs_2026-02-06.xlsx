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ed" sheetId="1" state="visible" r:id="rId1"/>
    <sheet name="linkedin"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12"/>
  <sheetViews>
    <sheetView workbookViewId="0">
      <selection activeCell="A1" sqref="A1"/>
    </sheetView>
  </sheetViews>
  <sheetFormatPr baseColWidth="8" defaultRowHeight="15"/>
  <sheetData>
    <row r="1">
      <c r="A1" s="1" t="inlineStr">
        <is>
          <t>job id</t>
        </is>
      </c>
      <c r="B1" s="1" t="inlineStr">
        <is>
          <t>title</t>
        </is>
      </c>
      <c r="C1" s="1" t="inlineStr">
        <is>
          <t>company</t>
        </is>
      </c>
      <c r="D1" s="1" t="inlineStr">
        <is>
          <t>site</t>
        </is>
      </c>
      <c r="E1" s="1" t="inlineStr">
        <is>
          <t>job_url</t>
        </is>
      </c>
      <c r="F1" s="1" t="inlineStr">
        <is>
          <t>job_url_direct</t>
        </is>
      </c>
      <c r="G1" s="1" t="inlineStr">
        <is>
          <t>location</t>
        </is>
      </c>
      <c r="H1" s="1" t="inlineStr">
        <is>
          <t>date posted</t>
        </is>
      </c>
      <c r="I1" s="1" t="inlineStr">
        <is>
          <t>description</t>
        </is>
      </c>
    </row>
    <row r="2">
      <c r="A2" t="inlineStr">
        <is>
          <t>in-096299a5bbd42c24</t>
        </is>
      </c>
      <c r="B2" t="inlineStr">
        <is>
          <t>Sr. Applied Scientist, Amazon Ads</t>
        </is>
      </c>
      <c r="C2" t="inlineStr">
        <is>
          <t>Amazon.com</t>
        </is>
      </c>
      <c r="D2" t="inlineStr">
        <is>
          <t>indeed</t>
        </is>
      </c>
      <c r="E2">
        <f>HYPERLINK("https://www.indeed.com/viewjob?jk=096299a5bbd42c24", "https://www.indeed.com/viewjob?jk=096299a5bbd42c24")</f>
        <v/>
      </c>
      <c r="F2">
        <f>HYPERLINK("https://www.amazon.jobs/jobs/3139328/sr-applied-scientist-amazon-ads?cmpid=DA_INAD200785B", "https://www.amazon.jobs/jobs/3139328/sr-applied-scientist-amazon-ads?cmpid=DA_INAD200785B")</f>
        <v/>
      </c>
      <c r="G2" t="inlineStr">
        <is>
          <t>Corvallis, OR, US</t>
        </is>
      </c>
      <c r="H2" s="2" t="n">
        <v>45998</v>
      </c>
      <c r="I2"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3">
      <c r="A3" t="inlineStr">
        <is>
          <t>in-95399a1d634e6007</t>
        </is>
      </c>
      <c r="B3" t="inlineStr">
        <is>
          <t>Sr. Applied Scientist, Amazon Ads</t>
        </is>
      </c>
      <c r="C3" t="inlineStr">
        <is>
          <t>Amazon.com</t>
        </is>
      </c>
      <c r="D3" t="inlineStr">
        <is>
          <t>indeed</t>
        </is>
      </c>
      <c r="E3">
        <f>HYPERLINK("https://www.indeed.com/viewjob?jk=95399a1d634e6007", "https://www.indeed.com/viewjob?jk=95399a1d634e6007")</f>
        <v/>
      </c>
      <c r="F3">
        <f>HYPERLINK("https://www.amazon.jobs/jobs/3139328/sr-applied-scientist-amazon-ads?cmpid=DA_INAD200785B", "https://www.amazon.jobs/jobs/3139328/sr-applied-scientist-amazon-ads?cmpid=DA_INAD200785B")</f>
        <v/>
      </c>
      <c r="G3" t="inlineStr">
        <is>
          <t>Palo Alto, CA, US</t>
        </is>
      </c>
      <c r="H3" s="2" t="n">
        <v>45998</v>
      </c>
      <c r="I3"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4">
      <c r="A4" t="inlineStr">
        <is>
          <t>in-b3d1cce10346b54c</t>
        </is>
      </c>
      <c r="B4" t="inlineStr">
        <is>
          <t>Sr. Applied Scientist, Amazon Ads</t>
        </is>
      </c>
      <c r="C4" t="inlineStr">
        <is>
          <t>Amazon.com</t>
        </is>
      </c>
      <c r="D4" t="inlineStr">
        <is>
          <t>indeed</t>
        </is>
      </c>
      <c r="E4">
        <f>HYPERLINK("https://www.indeed.com/viewjob?jk=b3d1cce10346b54c", "https://www.indeed.com/viewjob?jk=b3d1cce10346b54c")</f>
        <v/>
      </c>
      <c r="F4">
        <f>HYPERLINK("https://www.amazon.jobs/jobs/3139328/sr-applied-scientist-amazon-ads?cmpid=DA_INAD200785B", "https://www.amazon.jobs/jobs/3139328/sr-applied-scientist-amazon-ads?cmpid=DA_INAD200785B")</f>
        <v/>
      </c>
      <c r="G4" t="inlineStr">
        <is>
          <t>Santa Monica, CA, US</t>
        </is>
      </c>
      <c r="H4" s="2" t="n">
        <v>45998</v>
      </c>
      <c r="I4"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5">
      <c r="A5" t="inlineStr">
        <is>
          <t>in-cc5ddcfc46b61cfb</t>
        </is>
      </c>
      <c r="B5" t="inlineStr">
        <is>
          <t>Sr. Applied Scientist, Amazon Ads</t>
        </is>
      </c>
      <c r="C5" t="inlineStr">
        <is>
          <t>Amazon.com</t>
        </is>
      </c>
      <c r="D5" t="inlineStr">
        <is>
          <t>indeed</t>
        </is>
      </c>
      <c r="E5">
        <f>HYPERLINK("https://www.indeed.com/viewjob?jk=cc5ddcfc46b61cfb", "https://www.indeed.com/viewjob?jk=cc5ddcfc46b61cfb")</f>
        <v/>
      </c>
      <c r="F5">
        <f>HYPERLINK("https://www.amazon.jobs/jobs/3139328/sr-applied-scientist-amazon-ads?cmpid=DA_INAD200785B", "https://www.amazon.jobs/jobs/3139328/sr-applied-scientist-amazon-ads?cmpid=DA_INAD200785B")</f>
        <v/>
      </c>
      <c r="G5" t="inlineStr">
        <is>
          <t>Seattle, WA, US</t>
        </is>
      </c>
      <c r="H5" s="2" t="n">
        <v>45998</v>
      </c>
      <c r="I5"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6">
      <c r="A6" t="inlineStr">
        <is>
          <t>in-49d807bb83963414</t>
        </is>
      </c>
      <c r="B6" t="inlineStr">
        <is>
          <t>Sr. Applied Scientist, Amazon Ads</t>
        </is>
      </c>
      <c r="C6" t="inlineStr">
        <is>
          <t>Amazon.com</t>
        </is>
      </c>
      <c r="D6" t="inlineStr">
        <is>
          <t>indeed</t>
        </is>
      </c>
      <c r="E6">
        <f>HYPERLINK("https://www.indeed.com/viewjob?jk=49d807bb83963414", "https://www.indeed.com/viewjob?jk=49d807bb83963414")</f>
        <v/>
      </c>
      <c r="F6">
        <f>HYPERLINK("https://www.amazon.jobs/jobs/3139328/sr-applied-scientist-amazon-ads?cmpid=DA_INAD200785B", "https://www.amazon.jobs/jobs/3139328/sr-applied-scientist-amazon-ads?cmpid=DA_INAD200785B")</f>
        <v/>
      </c>
      <c r="G6" t="inlineStr">
        <is>
          <t>New York, NY, US</t>
        </is>
      </c>
      <c r="H6" s="2" t="n">
        <v>45998</v>
      </c>
      <c r="I6"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7">
      <c r="A7" t="inlineStr">
        <is>
          <t>in-05a8a2eb4a6a7c21</t>
        </is>
      </c>
      <c r="B7" t="inlineStr">
        <is>
          <t>Sr. Applied Scientist, Amazon Ads</t>
        </is>
      </c>
      <c r="C7" t="inlineStr">
        <is>
          <t>Amazon.com</t>
        </is>
      </c>
      <c r="D7" t="inlineStr">
        <is>
          <t>indeed</t>
        </is>
      </c>
      <c r="E7">
        <f>HYPERLINK("https://www.indeed.com/viewjob?jk=05a8a2eb4a6a7c21", "https://www.indeed.com/viewjob?jk=05a8a2eb4a6a7c21")</f>
        <v/>
      </c>
      <c r="F7">
        <f>HYPERLINK("https://www.amazon.jobs/jobs/3139328/sr-applied-scientist-amazon-ads?cmpid=DA_INAD200785B", "https://www.amazon.jobs/jobs/3139328/sr-applied-scientist-amazon-ads?cmpid=DA_INAD200785B")</f>
        <v/>
      </c>
      <c r="G7" t="inlineStr">
        <is>
          <t>Tukwila, WA, US</t>
        </is>
      </c>
      <c r="H7" s="2" t="n">
        <v>45998</v>
      </c>
      <c r="I7"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8">
      <c r="A8" t="inlineStr">
        <is>
          <t>in-e4c145ad5dd1d5f6</t>
        </is>
      </c>
      <c r="B8" t="inlineStr">
        <is>
          <t>Sr. Applied Scientist, Amazon Ads</t>
        </is>
      </c>
      <c r="C8" t="inlineStr">
        <is>
          <t>Amazon.com</t>
        </is>
      </c>
      <c r="D8" t="inlineStr">
        <is>
          <t>indeed</t>
        </is>
      </c>
      <c r="E8">
        <f>HYPERLINK("https://www.indeed.com/viewjob?jk=e4c145ad5dd1d5f6", "https://www.indeed.com/viewjob?jk=e4c145ad5dd1d5f6")</f>
        <v/>
      </c>
      <c r="F8">
        <f>HYPERLINK("https://www.amazon.jobs/jobs/3139328/sr-applied-scientist-amazon-ads?cmpid=DA_INAD200785B", "https://www.amazon.jobs/jobs/3139328/sr-applied-scientist-amazon-ads?cmpid=DA_INAD200785B")</f>
        <v/>
      </c>
      <c r="G8" t="inlineStr">
        <is>
          <t>Brooklyn, NY, US</t>
        </is>
      </c>
      <c r="H8" s="2" t="n">
        <v>45998</v>
      </c>
      <c r="I8"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9">
      <c r="A9" t="inlineStr">
        <is>
          <t>in-31ce6579035c07e5</t>
        </is>
      </c>
      <c r="B9" t="inlineStr">
        <is>
          <t>Sr. Applied Scientist, Amazon Ads</t>
        </is>
      </c>
      <c r="C9" t="inlineStr">
        <is>
          <t>Amazon.com</t>
        </is>
      </c>
      <c r="D9" t="inlineStr">
        <is>
          <t>indeed</t>
        </is>
      </c>
      <c r="E9">
        <f>HYPERLINK("https://www.indeed.com/viewjob?jk=31ce6579035c07e5", "https://www.indeed.com/viewjob?jk=31ce6579035c07e5")</f>
        <v/>
      </c>
      <c r="F9">
        <f>HYPERLINK("https://www.amazon.jobs/jobs/3139328/sr-applied-scientist-amazon-ads?cmpid=DA_INAD200785B", "https://www.amazon.jobs/jobs/3139328/sr-applied-scientist-amazon-ads?cmpid=DA_INAD200785B")</f>
        <v/>
      </c>
      <c r="G9" t="inlineStr">
        <is>
          <t>Boulder, CO, US</t>
        </is>
      </c>
      <c r="H9" s="2" t="n">
        <v>45998</v>
      </c>
      <c r="I9"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10">
      <c r="A10" t="inlineStr">
        <is>
          <t>in-3ae8869f985394ac</t>
        </is>
      </c>
      <c r="B10" t="inlineStr">
        <is>
          <t>Sr. Applied Scientist, Amazon Ads</t>
        </is>
      </c>
      <c r="C10" t="inlineStr">
        <is>
          <t>Amazon.com</t>
        </is>
      </c>
      <c r="D10" t="inlineStr">
        <is>
          <t>indeed</t>
        </is>
      </c>
      <c r="E10">
        <f>HYPERLINK("https://www.indeed.com/viewjob?jk=3ae8869f985394ac", "https://www.indeed.com/viewjob?jk=3ae8869f985394ac")</f>
        <v/>
      </c>
      <c r="F10">
        <f>HYPERLINK("https://www.amazon.jobs/jobs/3139328/sr-applied-scientist-amazon-ads?cmpid=DA_INAD200785B", "https://www.amazon.jobs/jobs/3139328/sr-applied-scientist-amazon-ads?cmpid=DA_INAD200785B")</f>
        <v/>
      </c>
      <c r="G10" t="inlineStr">
        <is>
          <t>Boston, MA, US</t>
        </is>
      </c>
      <c r="H10" s="2" t="n">
        <v>45998</v>
      </c>
      <c r="I10"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11">
      <c r="A11" t="inlineStr">
        <is>
          <t>in-3472cd8aa370adaa</t>
        </is>
      </c>
      <c r="B11" t="inlineStr">
        <is>
          <t>Sr. Applied Scientist, Amazon Ads</t>
        </is>
      </c>
      <c r="C11" t="inlineStr">
        <is>
          <t>Amazon.com</t>
        </is>
      </c>
      <c r="D11" t="inlineStr">
        <is>
          <t>indeed</t>
        </is>
      </c>
      <c r="E11">
        <f>HYPERLINK("https://www.indeed.com/viewjob?jk=3472cd8aa370adaa", "https://www.indeed.com/viewjob?jk=3472cd8aa370adaa")</f>
        <v/>
      </c>
      <c r="F11">
        <f>HYPERLINK("https://www.amazon.jobs/jobs/3139328/sr-applied-scientist-amazon-ads?cmpid=DA_INAD200785B", "https://www.amazon.jobs/jobs/3139328/sr-applied-scientist-amazon-ads?cmpid=DA_INAD200785B")</f>
        <v/>
      </c>
      <c r="G11" t="inlineStr">
        <is>
          <t>Sunnyvale, CA, US</t>
        </is>
      </c>
      <c r="H11" s="2" t="n">
        <v>45998</v>
      </c>
      <c r="I11"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12">
      <c r="A12" t="inlineStr">
        <is>
          <t>in-74f5641dd1a944a3</t>
        </is>
      </c>
      <c r="B12" t="inlineStr">
        <is>
          <t>Applied Scientist II, Prime Video - Personalization and Discovery Science, Personalization and Discovery Science</t>
        </is>
      </c>
      <c r="C12" t="inlineStr">
        <is>
          <t>Amazon.com</t>
        </is>
      </c>
      <c r="D12" t="inlineStr">
        <is>
          <t>indeed</t>
        </is>
      </c>
      <c r="E12">
        <f>HYPERLINK("https://www.indeed.com/viewjob?jk=74f5641dd1a944a3", "https://www.indeed.com/viewjob?jk=74f5641dd1a944a3")</f>
        <v/>
      </c>
      <c r="F12">
        <f>HYPERLINK("https://www.amazon.jobs/jobs/3099334/applied-scientist-ii-prime-video--personalization-and-discovery-science-personalization-and-discovery-science?cmpid=DA_INAD200785B", "https://www.amazon.jobs/jobs/3099334/applied-scientist-ii-prime-video--personalization-and-discovery-science-personalization-and-discovery-science?cmpid=DA_INAD200785B")</f>
        <v/>
      </c>
      <c r="G12" t="inlineStr">
        <is>
          <t>Seattle, WA, US</t>
        </is>
      </c>
      <c r="H12" s="2" t="n">
        <v>45930</v>
      </c>
      <c r="I12"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Develop ML models for various recommendation \&amp; search systems using deep learning, online learning, and optimization methods  
Work closely with other scientists, engineers and product managers to expand the depth of our product insights with data, create a variety of experiments to determine the high impact projects to include in planning roadmaps  
Stay up\-to\-date with advancements and the latest modeling techniques in the field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3">
      <c r="A13" t="inlineStr">
        <is>
          <t>in-d958020057d1e581</t>
        </is>
      </c>
      <c r="B13" t="inlineStr">
        <is>
          <t>Applied Scientist II, Prime Video - Personalization and Discovery Science, Personalization and Discovery Science</t>
        </is>
      </c>
      <c r="C13" t="inlineStr">
        <is>
          <t>Amazon.com</t>
        </is>
      </c>
      <c r="D13" t="inlineStr">
        <is>
          <t>indeed</t>
        </is>
      </c>
      <c r="E13">
        <f>HYPERLINK("https://www.indeed.com/viewjob?jk=d958020057d1e581", "https://www.indeed.com/viewjob?jk=d958020057d1e581")</f>
        <v/>
      </c>
      <c r="F13">
        <f>HYPERLINK("https://www.amazon.jobs/jobs/3099334/applied-scientist-ii-prime-video--personalization-and-discovery-science-personalization-and-discovery-science?cmpid=DA_INAD200785B", "https://www.amazon.jobs/jobs/3099334/applied-scientist-ii-prime-video--personalization-and-discovery-science-personalization-and-discovery-science?cmpid=DA_INAD200785B")</f>
        <v/>
      </c>
      <c r="G13" t="inlineStr">
        <is>
          <t>Sunnyvale, CA, US</t>
        </is>
      </c>
      <c r="H13" s="2" t="n">
        <v>45930</v>
      </c>
      <c r="I13"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Develop ML models for various recommendation \&amp; search systems using deep learning, online learning, and optimization methods  
Work closely with other scientists, engineers and product managers to expand the depth of our product insights with data, create a variety of experiments to determine the high impact projects to include in planning roadmaps  
Stay up\-to\-date with advancements and the latest modeling techniques in the field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4">
      <c r="A14" t="inlineStr">
        <is>
          <t>in-f046476a711d8f4d</t>
        </is>
      </c>
      <c r="B14" t="inlineStr">
        <is>
          <t>Applied Scientist II, Prime Video - Personalization and Discovery Science, Personalization and Discovery Science</t>
        </is>
      </c>
      <c r="C14" t="inlineStr">
        <is>
          <t>Amazon.com</t>
        </is>
      </c>
      <c r="D14" t="inlineStr">
        <is>
          <t>indeed</t>
        </is>
      </c>
      <c r="E14">
        <f>HYPERLINK("https://www.indeed.com/viewjob?jk=f046476a711d8f4d", "https://www.indeed.com/viewjob?jk=f046476a711d8f4d")</f>
        <v/>
      </c>
      <c r="F14">
        <f>HYPERLINK("https://www.amazon.jobs/jobs/3099334/applied-scientist-ii-prime-video--personalization-and-discovery-science-personalization-and-discovery-science?cmpid=DA_INAD200785B", "https://www.amazon.jobs/jobs/3099334/applied-scientist-ii-prime-video--personalization-and-discovery-science-personalization-and-discovery-science?cmpid=DA_INAD200785B")</f>
        <v/>
      </c>
      <c r="G14" t="inlineStr">
        <is>
          <t>New York, NY, US</t>
        </is>
      </c>
      <c r="H14" s="2" t="n">
        <v>45930</v>
      </c>
      <c r="I14"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Develop ML models for various recommendation \&amp; search systems using deep learning, online learning, and optimization methods  
Work closely with other scientists, engineers and product managers to expand the depth of our product insights with data, create a variety of experiments to determine the high impact projects to include in planning roadmaps  
Stay up\-to\-date with advancements and the latest modeling techniques in the field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5">
      <c r="A15" t="inlineStr">
        <is>
          <t>in-f3326dc629d2295e</t>
        </is>
      </c>
      <c r="B15" t="inlineStr">
        <is>
          <t>Applied Scientist II, Prime Video - Personalization and Discovery Science</t>
        </is>
      </c>
      <c r="C15" t="inlineStr">
        <is>
          <t>Amazon.com</t>
        </is>
      </c>
      <c r="D15" t="inlineStr">
        <is>
          <t>indeed</t>
        </is>
      </c>
      <c r="E15">
        <f>HYPERLINK("https://www.indeed.com/viewjob?jk=f3326dc629d2295e", "https://www.indeed.com/viewjob?jk=f3326dc629d2295e")</f>
        <v/>
      </c>
      <c r="F15">
        <f>HYPERLINK("https://www.amazon.jobs/jobs/3059253/applied-scientist-ii-prime-video--personalization-and-discovery-science?cmpid=DA_INAD200785B", "https://www.amazon.jobs/jobs/3059253/applied-scientist-ii-prime-video--personalization-and-discovery-science?cmpid=DA_INAD200785B")</f>
        <v/>
      </c>
      <c r="G15" t="inlineStr">
        <is>
          <t>New York, NY, US</t>
        </is>
      </c>
      <c r="H15" s="2" t="n">
        <v>45881</v>
      </c>
      <c r="I15"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6">
      <c r="A16" t="inlineStr">
        <is>
          <t>in-636072408bbe51b3</t>
        </is>
      </c>
      <c r="B16" t="inlineStr">
        <is>
          <t>Sr. Applied Scientist, Prime Video - Personalization and Discovery Science</t>
        </is>
      </c>
      <c r="C16" t="inlineStr">
        <is>
          <t>Amazon.com</t>
        </is>
      </c>
      <c r="D16" t="inlineStr">
        <is>
          <t>indeed</t>
        </is>
      </c>
      <c r="E16">
        <f>HYPERLINK("https://www.indeed.com/viewjob?jk=636072408bbe51b3", "https://www.indeed.com/viewjob?jk=636072408bbe51b3")</f>
        <v/>
      </c>
      <c r="F16">
        <f>HYPERLINK("https://www.amazon.jobs/jobs/3059256/sr-applied-scientist-prime-video--personalization-and-discovery-science?cmpid=DA_INAD200785B", "https://www.amazon.jobs/jobs/3059256/sr-applied-scientist-prime-video--personalization-and-discovery-science?cmpid=DA_INAD200785B")</f>
        <v/>
      </c>
      <c r="G16" t="inlineStr">
        <is>
          <t>Sunnyvale, CA, US</t>
        </is>
      </c>
      <c r="H16" s="2" t="n">
        <v>45881</v>
      </c>
      <c r="I16"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7">
      <c r="A17" t="inlineStr">
        <is>
          <t>in-f6b862197e6b078d</t>
        </is>
      </c>
      <c r="B17" t="inlineStr">
        <is>
          <t>Sr. Applied Scientist, Prime Video - Personalization and Discovery Science</t>
        </is>
      </c>
      <c r="C17" t="inlineStr">
        <is>
          <t>Amazon.com</t>
        </is>
      </c>
      <c r="D17" t="inlineStr">
        <is>
          <t>indeed</t>
        </is>
      </c>
      <c r="E17">
        <f>HYPERLINK("https://www.indeed.com/viewjob?jk=f6b862197e6b078d", "https://www.indeed.com/viewjob?jk=f6b862197e6b078d")</f>
        <v/>
      </c>
      <c r="F17">
        <f>HYPERLINK("https://www.amazon.jobs/jobs/3059256/sr-applied-scientist-prime-video--personalization-and-discovery-science?cmpid=DA_INAD200785B", "https://www.amazon.jobs/jobs/3059256/sr-applied-scientist-prime-video--personalization-and-discovery-science?cmpid=DA_INAD200785B")</f>
        <v/>
      </c>
      <c r="G17" t="inlineStr">
        <is>
          <t>New York, NY, US</t>
        </is>
      </c>
      <c r="H17" s="2" t="n">
        <v>45881</v>
      </c>
      <c r="I17"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8">
      <c r="A18" t="inlineStr">
        <is>
          <t>in-a4604178ab470875</t>
        </is>
      </c>
      <c r="B18" t="inlineStr">
        <is>
          <t>Sr. Applied Scientist, Prime Video - Personalization and Discovery Science</t>
        </is>
      </c>
      <c r="C18" t="inlineStr">
        <is>
          <t>Amazon.com</t>
        </is>
      </c>
      <c r="D18" t="inlineStr">
        <is>
          <t>indeed</t>
        </is>
      </c>
      <c r="E18">
        <f>HYPERLINK("https://www.indeed.com/viewjob?jk=a4604178ab470875", "https://www.indeed.com/viewjob?jk=a4604178ab470875")</f>
        <v/>
      </c>
      <c r="F18">
        <f>HYPERLINK("https://www.amazon.jobs/jobs/3059256/sr-applied-scientist-prime-video--personalization-and-discovery-science?cmpid=DA_INAD200785B", "https://www.amazon.jobs/jobs/3059256/sr-applied-scientist-prime-video--personalization-and-discovery-science?cmpid=DA_INAD200785B")</f>
        <v/>
      </c>
      <c r="G18" t="inlineStr">
        <is>
          <t>Seattle, WA, US</t>
        </is>
      </c>
      <c r="H18" s="2" t="n">
        <v>45881</v>
      </c>
      <c r="I18"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9">
      <c r="A19" t="inlineStr">
        <is>
          <t>in-b0b722f0b0f4a8ed</t>
        </is>
      </c>
      <c r="B19" t="inlineStr">
        <is>
          <t>Applied Scientist II, Prime Video - Personalization and Discovery Science</t>
        </is>
      </c>
      <c r="C19" t="inlineStr">
        <is>
          <t>Amazon.com</t>
        </is>
      </c>
      <c r="D19" t="inlineStr">
        <is>
          <t>indeed</t>
        </is>
      </c>
      <c r="E19">
        <f>HYPERLINK("https://www.indeed.com/viewjob?jk=b0b722f0b0f4a8ed", "https://www.indeed.com/viewjob?jk=b0b722f0b0f4a8ed")</f>
        <v/>
      </c>
      <c r="F19">
        <f>HYPERLINK("https://www.amazon.jobs/jobs/3059253/applied-scientist-ii-prime-video--personalization-and-discovery-science?cmpid=DA_INAD200785B", "https://www.amazon.jobs/jobs/3059253/applied-scientist-ii-prime-video--personalization-and-discovery-science?cmpid=DA_INAD200785B")</f>
        <v/>
      </c>
      <c r="G19" t="inlineStr">
        <is>
          <t>Sunnyvale, CA, US</t>
        </is>
      </c>
      <c r="H19" s="2" t="n">
        <v>45881</v>
      </c>
      <c r="I19"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0">
      <c r="A20" t="inlineStr">
        <is>
          <t>in-9be908e682e620dc</t>
        </is>
      </c>
      <c r="B20" t="inlineStr">
        <is>
          <t>Applied Scientist II, Prime Video - Personalization and Discovery Science</t>
        </is>
      </c>
      <c r="C20" t="inlineStr">
        <is>
          <t>Amazon.com</t>
        </is>
      </c>
      <c r="D20" t="inlineStr">
        <is>
          <t>indeed</t>
        </is>
      </c>
      <c r="E20">
        <f>HYPERLINK("https://www.indeed.com/viewjob?jk=9be908e682e620dc", "https://www.indeed.com/viewjob?jk=9be908e682e620dc")</f>
        <v/>
      </c>
      <c r="F20">
        <f>HYPERLINK("https://www.amazon.jobs/jobs/3059253/applied-scientist-ii-prime-video--personalization-and-discovery-science?cmpid=DA_INAD200785B", "https://www.amazon.jobs/jobs/3059253/applied-scientist-ii-prime-video--personalization-and-discovery-science?cmpid=DA_INAD200785B")</f>
        <v/>
      </c>
      <c r="G20" t="inlineStr">
        <is>
          <t>Seattle, WA, US</t>
        </is>
      </c>
      <c r="H20" s="2" t="n">
        <v>45881</v>
      </c>
      <c r="I20"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1">
      <c r="A21" t="inlineStr">
        <is>
          <t>in-8642369e03853914</t>
        </is>
      </c>
      <c r="B21" t="inlineStr">
        <is>
          <t>Applied Scientist, Prime Video - Personalization and Discovery Science</t>
        </is>
      </c>
      <c r="C21" t="inlineStr">
        <is>
          <t>Amazon.com</t>
        </is>
      </c>
      <c r="D21" t="inlineStr">
        <is>
          <t>indeed</t>
        </is>
      </c>
      <c r="E21">
        <f>HYPERLINK("https://www.indeed.com/viewjob?jk=8642369e03853914", "https://www.indeed.com/viewjob?jk=8642369e03853914")</f>
        <v/>
      </c>
      <c r="F21">
        <f>HYPERLINK("https://www.amazon.jobs/jobs/3033050/applied-scientist-prime-video--personalization-and-discovery-science?cmpid=DA_INAD200785B", "https://www.amazon.jobs/jobs/3033050/applied-scientist-prime-video--personalization-and-discovery-science?cmpid=DA_INAD200785B")</f>
        <v/>
      </c>
      <c r="G21" t="inlineStr">
        <is>
          <t>New York, NY, US</t>
        </is>
      </c>
      <c r="H21" s="2" t="n">
        <v>45845</v>
      </c>
      <c r="I21"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building machine learning models or developing algorithms for business application
**PREFERRED QUALIFICATIONS**
----------------------------
* Are enrolled in a PhD in computer science, machine learning, engineering, or related fields
* Experience in search, advertising, recommendation systems or related domains;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2">
      <c r="A22" t="inlineStr">
        <is>
          <t>in-20e9f12798bb6916</t>
        </is>
      </c>
      <c r="B22" t="inlineStr">
        <is>
          <t>Applied Scientist, Prime Video - Personalization and Discovery Science</t>
        </is>
      </c>
      <c r="C22" t="inlineStr">
        <is>
          <t>Amazon.com</t>
        </is>
      </c>
      <c r="D22" t="inlineStr">
        <is>
          <t>indeed</t>
        </is>
      </c>
      <c r="E22">
        <f>HYPERLINK("https://www.indeed.com/viewjob?jk=20e9f12798bb6916", "https://www.indeed.com/viewjob?jk=20e9f12798bb6916")</f>
        <v/>
      </c>
      <c r="F22">
        <f>HYPERLINK("https://www.amazon.jobs/jobs/3033050/applied-scientist-prime-video--personalization-and-discovery-science?cmpid=DA_INAD200785B", "https://www.amazon.jobs/jobs/3033050/applied-scientist-prime-video--personalization-and-discovery-science?cmpid=DA_INAD200785B")</f>
        <v/>
      </c>
      <c r="G22" t="inlineStr">
        <is>
          <t>Seattle, WA, US</t>
        </is>
      </c>
      <c r="H22" s="2" t="n">
        <v>45845</v>
      </c>
      <c r="I22"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building machine learning models or developing algorithms for business application
**PREFERRED QUALIFICATIONS**
----------------------------
* Are enrolled in a PhD in computer science, machine learning, engineering, or related fields
* Experience in search, advertising, recommendation systems or related domains;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3">
      <c r="A23" t="inlineStr">
        <is>
          <t>in-267734535d7988cc</t>
        </is>
      </c>
      <c r="B23" t="inlineStr">
        <is>
          <t>Applied Scientist, Prime Video - Personalization and Discovery Science</t>
        </is>
      </c>
      <c r="C23" t="inlineStr">
        <is>
          <t>Amazon.com</t>
        </is>
      </c>
      <c r="D23" t="inlineStr">
        <is>
          <t>indeed</t>
        </is>
      </c>
      <c r="E23">
        <f>HYPERLINK("https://www.indeed.com/viewjob?jk=267734535d7988cc", "https://www.indeed.com/viewjob?jk=267734535d7988cc")</f>
        <v/>
      </c>
      <c r="F23">
        <f>HYPERLINK("https://www.amazon.jobs/jobs/3033050/applied-scientist-prime-video--personalization-and-discovery-science?cmpid=DA_INAD200785B", "https://www.amazon.jobs/jobs/3033050/applied-scientist-prime-video--personalization-and-discovery-science?cmpid=DA_INAD200785B")</f>
        <v/>
      </c>
      <c r="G23" t="inlineStr">
        <is>
          <t>Sunnyvale, CA, US</t>
        </is>
      </c>
      <c r="H23" s="2" t="n">
        <v>45845</v>
      </c>
      <c r="I23"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building machine learning models or developing algorithms for business application
**PREFERRED QUALIFICATIONS**
----------------------------
* Are enrolled in a PhD in computer science, machine learning, engineering, or related fields
* Experience in search, advertising, recommendation systems or related domains;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4">
      <c r="A24" t="inlineStr">
        <is>
          <t>in-b006063b46b92fe5</t>
        </is>
      </c>
      <c r="B24" t="inlineStr">
        <is>
          <t>Applied Scientist, Safety ML</t>
        </is>
      </c>
      <c r="C24" t="inlineStr">
        <is>
          <t>Amazon.com</t>
        </is>
      </c>
      <c r="D24" t="inlineStr">
        <is>
          <t>indeed</t>
        </is>
      </c>
      <c r="E24">
        <f>HYPERLINK("https://www.indeed.com/viewjob?jk=b006063b46b92fe5", "https://www.indeed.com/viewjob?jk=b006063b46b92fe5")</f>
        <v/>
      </c>
      <c r="F24">
        <f>HYPERLINK("https://www.amazon.jobs/jobs/3161224/applied-scientist-safety-ml?cmpid=DA_INAD200785B", "https://www.amazon.jobs/jobs/3161224/applied-scientist-safety-ml?cmpid=DA_INAD200785B")</f>
        <v/>
      </c>
      <c r="G24" t="inlineStr">
        <is>
          <t>Seattle, WA, US</t>
        </is>
      </c>
      <c r="H24" s="2" t="n">
        <v>46037</v>
      </c>
      <c r="I24"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looking for applied scientists to solve challenging and open\-ended problems in the domain of user and content safety. As an applied scientist on Twitch's Community team, you will use machine learning to develop data products tackling problems such as harassment, spam, and illegal content. You will use a wide toolbox of ML tools to handle multiple types of data, including user behavior, metadata, and user generated content such as text and video. You will collaborate with a team of passionate scientists and engineers to develop these models and put them into production, where they can help Twitch's creators and viewers succeed and build communities.  
You will report to our Senior Applied Science Manager in San Francisco, CA. You can work from San Francisco, CA or Seattle, WA.  
You Will  
* Build machine learning products to protect Twitch and its users from abusive behavior such as harassment, spam, and violent or illegal content.
* Work backwards from customer problems to develop the right solution for the job, whether a classical ML model or a state\-of\-the\-art one.
* Collaborate with Community Health's engineering and product management team to productionize your models into flexible data pipelines and ML\-based services.
* Continue to learn and experiment with new techniques in ML, software engineering, or safety so that we can better help communities on Twitch grow and stay safe.
Perks  
* Medical, Dental, Vision \&amp; Disability Insurance
* 401(k)
* Maternity \&amp; Parental Leave
* Flexible PTO
* Amazon Employee Discount
**BASIC QUALIFICATIONS**
------------------------
* 2\+ years of building production software experience
* 2\+ years of hands\-on industry experience building models for NLP, deep learning, bot detection, anomaly detection or in another practical ML domain.
* PhD / MSc Degree in Computer Science, Mathematics, Statistics, Physics, Engineering, or similar quantitative field OR equivalent hands on experience.
* Expertise with: Python and SQL, modern open source ML libraries (Pytorch, Tensorflow, etc.).
* Familiarity with operating in AWS or similar cloud\-computing services.
**PREFERRED QUALIFICATIONS**
----------------------------
* PhD with a specialization in Machine Learning.
* 1\+ years of experience working in the safety or fraud prevention domain (not necessarily as a scientist).
* Experience communicating with both technical and non\-technical partners and stakeholders.
* Familiarity with Twitch, its business, and its community.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\- 171,600\.00 \- 222,200\.00 USD annually  
USA, WA, SEATTLE \- 142,800\.00 \- 193,200\.00 USD annually  
USA, WA, Seattle \- 142,800\.00 \- 193,200\.00 USD annually</t>
        </is>
      </c>
    </row>
    <row r="25">
      <c r="A25" t="inlineStr">
        <is>
          <t>in-537e3a396815d631</t>
        </is>
      </c>
      <c r="B25" t="inlineStr">
        <is>
          <t>Applied Scientist, Safety ML</t>
        </is>
      </c>
      <c r="C25" t="inlineStr">
        <is>
          <t>Amazon.com</t>
        </is>
      </c>
      <c r="D25" t="inlineStr">
        <is>
          <t>indeed</t>
        </is>
      </c>
      <c r="E25">
        <f>HYPERLINK("https://www.indeed.com/viewjob?jk=537e3a396815d631", "https://www.indeed.com/viewjob?jk=537e3a396815d631")</f>
        <v/>
      </c>
      <c r="F25">
        <f>HYPERLINK("https://www.amazon.jobs/jobs/3161224/applied-scientist-safety-ml?cmpid=DA_INAD200785B", "https://www.amazon.jobs/jobs/3161224/applied-scientist-safety-ml?cmpid=DA_INAD200785B")</f>
        <v/>
      </c>
      <c r="G25" t="inlineStr">
        <is>
          <t>San Francisco, CA, US</t>
        </is>
      </c>
      <c r="H25" s="2" t="n">
        <v>46037</v>
      </c>
      <c r="I25"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looking for applied scientists to solve challenging and open\-ended problems in the domain of user and content safety. As an applied scientist on Twitch's Community team, you will use machine learning to develop data products tackling problems such as harassment, spam, and illegal content. You will use a wide toolbox of ML tools to handle multiple types of data, including user behavior, metadata, and user generated content such as text and video. You will collaborate with a team of passionate scientists and engineers to develop these models and put them into production, where they can help Twitch's creators and viewers succeed and build communities.  
You will report to our Senior Applied Science Manager in San Francisco, CA. You can work from San Francisco, CA or Seattle, WA.  
You Will  
* Build machine learning products to protect Twitch and its users from abusive behavior such as harassment, spam, and violent or illegal content.
* Work backwards from customer problems to develop the right solution for the job, whether a classical ML model or a state\-of\-the\-art one.
* Collaborate with Community Health's engineering and product management team to productionize your models into flexible data pipelines and ML\-based services.
* Continue to learn and experiment with new techniques in ML, software engineering, or safety so that we can better help communities on Twitch grow and stay safe.
Perks  
* Medical, Dental, Vision \&amp; Disability Insurance
* 401(k)
* Maternity \&amp; Parental Leave
* Flexible PTO
* Amazon Employee Discount
**BASIC QUALIFICATIONS**
------------------------
* 2\+ years of building production software experience
* 2\+ years of hands\-on industry experience building models for NLP, deep learning, bot detection, anomaly detection or in another practical ML domain.
* PhD / MSc Degree in Computer Science, Mathematics, Statistics, Physics, Engineering, or similar quantitative field OR equivalent hands on experience.
* Expertise with: Python and SQL, modern open source ML libraries (Pytorch, Tensorflow, etc.).
* Familiarity with operating in AWS or similar cloud\-computing services.
**PREFERRED QUALIFICATIONS**
----------------------------
* PhD with a specialization in Machine Learning.
* 1\+ years of experience working in the safety or fraud prevention domain (not necessarily as a scientist).
* Experience communicating with both technical and non\-technical partners and stakeholders.
* Familiarity with Twitch, its business, and its community.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\- 171,600\.00 \- 222,200\.00 USD annually  
USA, WA, SEATTLE \- 142,800\.00 \- 193,200\.00 USD annually  
USA, WA, Seattle \- 142,800\.00 \- 193,200\.00 USD annually</t>
        </is>
      </c>
    </row>
    <row r="26">
      <c r="A26" t="inlineStr">
        <is>
          <t>in-8d95694c7573f85f</t>
        </is>
      </c>
      <c r="B26" t="inlineStr">
        <is>
          <t>Applied Scientist, LLM Code Agents, Kiro Science</t>
        </is>
      </c>
      <c r="C26" t="inlineStr">
        <is>
          <t>Amazon.com</t>
        </is>
      </c>
      <c r="D26" t="inlineStr">
        <is>
          <t>indeed</t>
        </is>
      </c>
      <c r="E26">
        <f>HYPERLINK("https://www.indeed.com/viewjob?jk=8d95694c7573f85f", "https://www.indeed.com/viewjob?jk=8d95694c7573f85f")</f>
        <v/>
      </c>
      <c r="F26">
        <f>HYPERLINK("https://www.amazon.jobs/jobs/3161363/applied-scientist-llm-code-agents-kiro-science?cmpid=DA_INAD200785B", "https://www.amazon.jobs/jobs/3161363/applied-scientist-llm-code-agents-kiro-science?cmpid=DA_INAD200785B")</f>
        <v/>
      </c>
      <c r="G26" t="inlineStr">
        <is>
          <t>Seattle, WA, US</t>
        </is>
      </c>
      <c r="H26" s="2" t="n">
        <v>46035</v>
      </c>
      <c r="I26" t="inlineStr">
        <is>
          <t>**DESCRIPTION**
---------------
Amazon Web Services (AWS) is assembling an elite team of world\-class scientists and engineers to pioneer the next generation of AI\-driven development tools. Join the Amazon Kiro LLM\-Training team and help create groundbreaking generative AI technologies including Kiro IDE and Amazon Q Developer that are transforming the software development landscape.  
Key job responsibilities  
As a key member of our team, you'll be at the forefront of innovation, where cutting\-edge research meets real\-world application:  
* Push the boundaries of reinforcement learning and post\-training methodologies for large language models specialized in code intelligence
* Invent and implement state\-of\-the\-art machine learning solutions that operate at unprecedented Amazon scale
* Deploy revolutionary products that directly impact the daily workflows of millions of developers worldwide
* Break new ground in AI and machine learning, challenging what's possible in intelligent code assistance
* Publish and present your pioneering work at premier ML and NLP conferences (NeurIPS, ICML, ICLR , ACL, EMNLP)
* Accelerate innovation by working directly with customers to rapidly transition research breakthroughs into production systems
About the team  
The AWS Developer Agents and Experiences (DAE) team is reimagining the builder experience through generative AI and foundation models. We're leveraging the latest advances in AI to transform how engineers work from IDE environments to web\-based tools and services, empowering developers to tackle projects of any scale with unprecedented efficiency.  
Broadly,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U.S. Amazon offices.**BASIC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\- 171,600\.00 \- 222,200\.00 USD annually  
USA, WA, Seattle \- 142,800\.00 \- 193,200\.00 USD annually</t>
        </is>
      </c>
    </row>
    <row r="27">
      <c r="A27" t="inlineStr">
        <is>
          <t>in-0f206a30f9ec25df</t>
        </is>
      </c>
      <c r="B27" t="inlineStr">
        <is>
          <t>Applied Scientist, LLM Code Agents, Kiro Science</t>
        </is>
      </c>
      <c r="C27" t="inlineStr">
        <is>
          <t>Amazon.com</t>
        </is>
      </c>
      <c r="D27" t="inlineStr">
        <is>
          <t>indeed</t>
        </is>
      </c>
      <c r="E27">
        <f>HYPERLINK("https://www.indeed.com/viewjob?jk=0f206a30f9ec25df", "https://www.indeed.com/viewjob?jk=0f206a30f9ec25df")</f>
        <v/>
      </c>
      <c r="F27">
        <f>HYPERLINK("https://www.amazon.jobs/jobs/3161363/applied-scientist-llm-code-agents-kiro-science?cmpid=DA_INAD200785B", "https://www.amazon.jobs/jobs/3161363/applied-scientist-llm-code-agents-kiro-science?cmpid=DA_INAD200785B")</f>
        <v/>
      </c>
      <c r="G27" t="inlineStr">
        <is>
          <t>Santa Clara, CA, US</t>
        </is>
      </c>
      <c r="H27" s="2" t="n">
        <v>46035</v>
      </c>
      <c r="I27" t="inlineStr">
        <is>
          <t>**DESCRIPTION**
---------------
Amazon Web Services (AWS) is assembling an elite team of world\-class scientists and engineers to pioneer the next generation of AI\-driven development tools. Join the Amazon Kiro LLM\-Training team and help create groundbreaking generative AI technologies including Kiro IDE and Amazon Q Developer that are transforming the software development landscape.  
Key job responsibilities  
As a key member of our team, you'll be at the forefront of innovation, where cutting\-edge research meets real\-world application:  
* Push the boundaries of reinforcement learning and post\-training methodologies for large language models specialized in code intelligence
* Invent and implement state\-of\-the\-art machine learning solutions that operate at unprecedented Amazon scale
* Deploy revolutionary products that directly impact the daily workflows of millions of developers worldwide
* Break new ground in AI and machine learning, challenging what's possible in intelligent code assistance
* Publish and present your pioneering work at premier ML and NLP conferences (NeurIPS, ICML, ICLR , ACL, EMNLP)
* Accelerate innovation by working directly with customers to rapidly transition research breakthroughs into production systems
About the team  
The AWS Developer Agents and Experiences (DAE) team is reimagining the builder experience through generative AI and foundation models. We're leveraging the latest advances in AI to transform how engineers work from IDE environments to web\-based tools and services, empowering developers to tackle projects of any scale with unprecedented efficiency.  
Broadly,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U.S. Amazon offices.**BASIC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\- 171,600\.00 \- 222,200\.00 USD annually  
USA, WA, Seattle \- 142,800\.00 \- 193,200\.00 USD annually</t>
        </is>
      </c>
    </row>
    <row r="28">
      <c r="A28" t="inlineStr">
        <is>
          <t>in-c2ebab1c52b32952</t>
        </is>
      </c>
      <c r="B28" t="inlineStr">
        <is>
          <t>Sr Applied Scientist, AWS Proactive Security</t>
        </is>
      </c>
      <c r="C28" t="inlineStr">
        <is>
          <t>Amazon.com</t>
        </is>
      </c>
      <c r="D28" t="inlineStr">
        <is>
          <t>indeed</t>
        </is>
      </c>
      <c r="E28">
        <f>HYPERLINK("https://www.indeed.com/viewjob?jk=c2ebab1c52b32952", "https://www.indeed.com/viewjob?jk=c2ebab1c52b32952")</f>
        <v/>
      </c>
      <c r="F28">
        <f>HYPERLINK("https://www.amazon.jobs/jobs/3164664/sr-applied-scientist-aws-proactive-security?cmpid=DA_INAD200785B", "https://www.amazon.jobs/jobs/3164664/sr-applied-scientist-aws-proactive-security?cmpid=DA_INAD200785B")</f>
        <v/>
      </c>
      <c r="G28" t="inlineStr">
        <is>
          <t>Arlington, VA, US</t>
        </is>
      </c>
      <c r="H28" s="2" t="n">
        <v>46030</v>
      </c>
      <c r="I28" t="inlineStr">
        <is>
          <t>**DESCRIPTION**
---------------
In this role, you will design and build a foundational data mapping utility that enables next\-gen security automation across the Amazon business. As GenAI takes foot into the daily lives of every worker at Amazon, it is clear that high quality data context enables high quality outcomes.  
Your work includes designing a scalable and dependable database system that connects and enriches data from many of our internal data providers in way that is consumable by Agentic AI workflows.  
Key job responsibilities  
Lead the research, selection, and development of the appropriate data mechanisms to scale to meet the data context needs of Proactive Security and Security Assurance programs, to the ultimate goal of reducing the manual interaction between security and Amazon builders, while maintaining a high security bar. Work closely with Software Engineers and Applied Scientists to leverage the latest generative AI models to solve complex data mapping problems and increase our data mapping coverage and reasoning capabilities.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\- 192,200\.00 \- 260,000\.00 USD annually  
USA, VA, Arlington \- 167,100\.00 \- 226,100\.00 USD annually  
USA, VA, Herndon \- 167,100\.00 \- 226,100\.00 USD annually</t>
        </is>
      </c>
    </row>
    <row r="29">
      <c r="A29" t="inlineStr">
        <is>
          <t>in-d421a002e70f0cd2</t>
        </is>
      </c>
      <c r="B29" t="inlineStr">
        <is>
          <t>Sr Applied Scientist, AWS Proactive Security</t>
        </is>
      </c>
      <c r="C29" t="inlineStr">
        <is>
          <t>Amazon.com</t>
        </is>
      </c>
      <c r="D29" t="inlineStr">
        <is>
          <t>indeed</t>
        </is>
      </c>
      <c r="E29">
        <f>HYPERLINK("https://www.indeed.com/viewjob?jk=d421a002e70f0cd2", "https://www.indeed.com/viewjob?jk=d421a002e70f0cd2")</f>
        <v/>
      </c>
      <c r="F29">
        <f>HYPERLINK("https://www.amazon.jobs/jobs/3164664/sr-applied-scientist-aws-proactive-security?cmpid=DA_INAD200785B", "https://www.amazon.jobs/jobs/3164664/sr-applied-scientist-aws-proactive-security?cmpid=DA_INAD200785B")</f>
        <v/>
      </c>
      <c r="G29" t="inlineStr">
        <is>
          <t>Herndon, VA, US</t>
        </is>
      </c>
      <c r="H29" s="2" t="n">
        <v>46030</v>
      </c>
      <c r="I29" t="inlineStr">
        <is>
          <t>**DESCRIPTION**
---------------
In this role, you will design and build a foundational data mapping utility that enables next\-gen security automation across the Amazon business. As GenAI takes foot into the daily lives of every worker at Amazon, it is clear that high quality data context enables high quality outcomes.  
Your work includes designing a scalable and dependable database system that connects and enriches data from many of our internal data providers in way that is consumable by Agentic AI workflows.  
Key job responsibilities  
Lead the research, selection, and development of the appropriate data mechanisms to scale to meet the data context needs of Proactive Security and Security Assurance programs, to the ultimate goal of reducing the manual interaction between security and Amazon builders, while maintaining a high security bar. Work closely with Software Engineers and Applied Scientists to leverage the latest generative AI models to solve complex data mapping problems and increase our data mapping coverage and reasoning capabilities.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\- 192,200\.00 \- 260,000\.00 USD annually  
USA, VA, Arlington \- 167,100\.00 \- 226,100\.00 USD annually  
USA, VA, Herndon \- 167,100\.00 \- 226,100\.00 USD annually</t>
        </is>
      </c>
    </row>
    <row r="30">
      <c r="A30" t="inlineStr">
        <is>
          <t>in-6d31cb5f2fad83ab</t>
        </is>
      </c>
      <c r="B30" t="inlineStr">
        <is>
          <t>Sr Applied Scientist, AWS Proactive Security</t>
        </is>
      </c>
      <c r="C30" t="inlineStr">
        <is>
          <t>Amazon.com</t>
        </is>
      </c>
      <c r="D30" t="inlineStr">
        <is>
          <t>indeed</t>
        </is>
      </c>
      <c r="E30">
        <f>HYPERLINK("https://www.indeed.com/viewjob?jk=6d31cb5f2fad83ab", "https://www.indeed.com/viewjob?jk=6d31cb5f2fad83ab")</f>
        <v/>
      </c>
      <c r="F30">
        <f>HYPERLINK("https://www.amazon.jobs/jobs/3164664/sr-applied-scientist-aws-proactive-security?cmpid=DA_INAD200785B", "https://www.amazon.jobs/jobs/3164664/sr-applied-scientist-aws-proactive-security?cmpid=DA_INAD200785B")</f>
        <v/>
      </c>
      <c r="G30" t="inlineStr">
        <is>
          <t>Sunnyvale, CA, US</t>
        </is>
      </c>
      <c r="H30" s="2" t="n">
        <v>46030</v>
      </c>
      <c r="I30" t="inlineStr">
        <is>
          <t>**DESCRIPTION**
---------------
In this role, you will design and build a foundational data mapping utility that enables next\-gen security automation across the Amazon business. As GenAI takes foot into the daily lives of every worker at Amazon, it is clear that high quality data context enables high quality outcomes.  
Your work includes designing a scalable and dependable database system that connects and enriches data from many of our internal data providers in way that is consumable by Agentic AI workflows.  
Key job responsibilities  
Lead the research, selection, and development of the appropriate data mechanisms to scale to meet the data context needs of Proactive Security and Security Assurance programs, to the ultimate goal of reducing the manual interaction between security and Amazon builders, while maintaining a high security bar. Work closely with Software Engineers and Applied Scientists to leverage the latest generative AI models to solve complex data mapping problems and increase our data mapping coverage and reasoning capabilities.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\- 192,200\.00 \- 260,000\.00 USD annually  
USA, VA, Arlington \- 167,100\.00 \- 226,100\.00 USD annually  
USA, VA, Herndon \- 167,100\.00 \- 226,100\.00 USD annually</t>
        </is>
      </c>
    </row>
    <row r="31">
      <c r="A31" t="inlineStr">
        <is>
          <t>in-67e2eb2a40d1bd69</t>
        </is>
      </c>
      <c r="B31" t="inlineStr">
        <is>
          <t>Applied Scientist II, Amazon Stores Finance Science</t>
        </is>
      </c>
      <c r="C31" t="inlineStr">
        <is>
          <t>Amazon.com</t>
        </is>
      </c>
      <c r="D31" t="inlineStr">
        <is>
          <t>indeed</t>
        </is>
      </c>
      <c r="E31">
        <f>HYPERLINK("https://www.indeed.com/viewjob?jk=67e2eb2a40d1bd69", "https://www.indeed.com/viewjob?jk=67e2eb2a40d1bd69")</f>
        <v/>
      </c>
      <c r="F31">
        <f>HYPERLINK("https://www.amazon.jobs/jobs/3161808/applied-scientist-ii-amazon-stores-finance-science?cmpid=DA_INAD200785B", "https://www.amazon.jobs/jobs/3161808/applied-scientist-ii-amazon-stores-finance-science?cmpid=DA_INAD200785B")</f>
        <v/>
      </c>
      <c r="G31" t="inlineStr">
        <is>
          <t>Cupertino, CA, US</t>
        </is>
      </c>
      <c r="H31" s="2" t="n">
        <v>46028</v>
      </c>
      <c r="I31" t="inlineStr">
        <is>
          <t>**DESCRIPTION**
---------------
Amazon Stores Finance Science (ASFS) is committed to integrating industry leading scientific methodologies into our financial processes. Our mission is to collaborate with finance and business partners to leverage advanced scientific and economic products to optimize insights, analysis, and decision\-making. Our primary focus lies in developing solutions for Finance's enduring challenges and opportunities, encompassing financial controllership, planning, and operational efficiency.  
We are seeking a Applied Scientist to propel Gen AI acceleration within Finance. This role will focus on leveraging large language models and agentic Ai to enhance decision\-making processes, automate complex controllership processes, and improve operational efficiency in Stores Finance.  
Key job responsibilities  
* Develop approaches to automate and enhance financial processes using state\-of\-the\-art language models
* Partner with business stakeholders to identify high\-impact opportunities for AI\-driven transformation
* Work with Software Engineering and Data Engineering to implement solutions that scale to the entire organization
A day in the life  
Are you interested in solving complex problems at the intersection of Science/Economics and Finance? And doing this while working in the Finance organization supporting one of the world's largest and most complex and dynamic businesses? This is a unique opportunity for qualified individuals to drive the entire life cycle of highly impactful, real\-world ML applications, focused on use of advanced generative AI technology. If you thrive in a fast\-paced, dynamic environment, and are passionate about driving impact, we encourage you to apply!  
About the team  
WW Amazon Stores Finance Science (ASFS) works to leverage science and economics to drive improved financial results, foster data backed decisions, and embed science within Finance. ASFS is focused on developing science/econ products that empower controllership, improve business decisions and financial planning by understanding drivers, and innovating Gen AI capabilities for efficiency and scale.**BASIC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 Experience working with Data \&amp; AI related technologies, including, but not limited to, AI/ML, GenAI, Analytics, Database, and/or Storage
**PREFERRED QUALIFICATIONS**
----------------------------
* Experience in professional software development
* Experience with LangGain, CrewAI, LangGraph or similar libraries for leveraging GenAI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Cupertino \- 171,600\.00 \- 222,200\.00 USD annually  
USA, WA, Bellevue \- 142,800\.00 \- 193,200\.00 USD annually  
USA, WA, Seattle \- 142,800\.00 \- 193,200\.00 USD annually</t>
        </is>
      </c>
    </row>
    <row r="32">
      <c r="A32" t="inlineStr">
        <is>
          <t>in-97adc8eeba57840c</t>
        </is>
      </c>
      <c r="B32" t="inlineStr">
        <is>
          <t>Applied Scientist II, Amazon Stores Finance Science</t>
        </is>
      </c>
      <c r="C32" t="inlineStr">
        <is>
          <t>Amazon.com</t>
        </is>
      </c>
      <c r="D32" t="inlineStr">
        <is>
          <t>indeed</t>
        </is>
      </c>
      <c r="E32">
        <f>HYPERLINK("https://www.indeed.com/viewjob?jk=97adc8eeba57840c", "https://www.indeed.com/viewjob?jk=97adc8eeba57840c")</f>
        <v/>
      </c>
      <c r="F32">
        <f>HYPERLINK("https://www.amazon.jobs/jobs/3161808/applied-scientist-ii-amazon-stores-finance-science?cmpid=DA_INAD200785B", "https://www.amazon.jobs/jobs/3161808/applied-scientist-ii-amazon-stores-finance-science?cmpid=DA_INAD200785B")</f>
        <v/>
      </c>
      <c r="G32" t="inlineStr">
        <is>
          <t>Bellevue, WA, US</t>
        </is>
      </c>
      <c r="H32" s="2" t="n">
        <v>46028</v>
      </c>
      <c r="I32" t="inlineStr">
        <is>
          <t>**DESCRIPTION**
---------------
Amazon Stores Finance Science (ASFS) is committed to integrating industry leading scientific methodologies into our financial processes. Our mission is to collaborate with finance and business partners to leverage advanced scientific and economic products to optimize insights, analysis, and decision\-making. Our primary focus lies in developing solutions for Finance's enduring challenges and opportunities, encompassing financial controllership, planning, and operational efficiency.  
We are seeking a Applied Scientist to propel Gen AI acceleration within Finance. This role will focus on leveraging large language models and agentic Ai to enhance decision\-making processes, automate complex controllership processes, and improve operational efficiency in Stores Finance.  
Key job responsibilities  
* Develop approaches to automate and enhance financial processes using state\-of\-the\-art language models
* Partner with business stakeholders to identify high\-impact opportunities for AI\-driven transformation
* Work with Software Engineering and Data Engineering to implement solutions that scale to the entire organization
A day in the life  
Are you interested in solving complex problems at the intersection of Science/Economics and Finance? And doing this while working in the Finance organization supporting one of the world's largest and most complex and dynamic businesses? This is a unique opportunity for qualified individuals to drive the entire life cycle of highly impactful, real\-world ML applications, focused on use of advanced generative AI technology. If you thrive in a fast\-paced, dynamic environment, and are passionate about driving impact, we encourage you to apply!  
About the team  
WW Amazon Stores Finance Science (ASFS) works to leverage science and economics to drive improved financial results, foster data backed decisions, and embed science within Finance. ASFS is focused on developing science/econ products that empower controllership, improve business decisions and financial planning by understanding drivers, and innovating Gen AI capabilities for efficiency and scale.**BASIC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 Experience working with Data \&amp; AI related technologies, including, but not limited to, AI/ML, GenAI, Analytics, Database, and/or Storage
**PREFERRED QUALIFICATIONS**
----------------------------
* Experience in professional software development
* Experience with LangGain, CrewAI, LangGraph or similar libraries for leveraging GenAI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Cupertino \- 171,600\.00 \- 222,200\.00 USD annually  
USA, WA, Bellevue \- 142,800\.00 \- 193,200\.00 USD annually  
USA, WA, Seattle \- 142,800\.00 \- 193,200\.00 USD annually</t>
        </is>
      </c>
    </row>
    <row r="33">
      <c r="A33" t="inlineStr">
        <is>
          <t>in-98daa8fd3336a384</t>
        </is>
      </c>
      <c r="B33" t="inlineStr">
        <is>
          <t>Applied Scientist II, Amazon Stores Finance Science</t>
        </is>
      </c>
      <c r="C33" t="inlineStr">
        <is>
          <t>Amazon.com</t>
        </is>
      </c>
      <c r="D33" t="inlineStr">
        <is>
          <t>indeed</t>
        </is>
      </c>
      <c r="E33">
        <f>HYPERLINK("https://www.indeed.com/viewjob?jk=98daa8fd3336a384", "https://www.indeed.com/viewjob?jk=98daa8fd3336a384")</f>
        <v/>
      </c>
      <c r="F33">
        <f>HYPERLINK("https://www.amazon.jobs/jobs/3161808/applied-scientist-ii-amazon-stores-finance-science?cmpid=DA_INAD200785B", "https://www.amazon.jobs/jobs/3161808/applied-scientist-ii-amazon-stores-finance-science?cmpid=DA_INAD200785B")</f>
        <v/>
      </c>
      <c r="G33" t="inlineStr">
        <is>
          <t>Seattle, WA, US</t>
        </is>
      </c>
      <c r="H33" s="2" t="n">
        <v>46028</v>
      </c>
      <c r="I33" t="inlineStr">
        <is>
          <t>**DESCRIPTION**
---------------
Amazon Stores Finance Science (ASFS) is committed to integrating industry leading scientific methodologies into our financial processes. Our mission is to collaborate with finance and business partners to leverage advanced scientific and economic products to optimize insights, analysis, and decision\-making. Our primary focus lies in developing solutions for Finance's enduring challenges and opportunities, encompassing financial controllership, planning, and operational efficiency.  
We are seeking a Applied Scientist to propel Gen AI acceleration within Finance. This role will focus on leveraging large language models and agentic Ai to enhance decision\-making processes, automate complex controllership processes, and improve operational efficiency in Stores Finance.  
Key job responsibilities  
* Develop approaches to automate and enhance financial processes using state\-of\-the\-art language models
* Partner with business stakeholders to identify high\-impact opportunities for AI\-driven transformation
* Work with Software Engineering and Data Engineering to implement solutions that scale to the entire organization
A day in the life  
Are you interested in solving complex problems at the intersection of Science/Economics and Finance? And doing this while working in the Finance organization supporting one of the world's largest and most complex and dynamic businesses? This is a unique opportunity for qualified individuals to drive the entire life cycle of highly impactful, real\-world ML applications, focused on use of advanced generative AI technology. If you thrive in a fast\-paced, dynamic environment, and are passionate about driving impact, we encourage you to apply!  
About the team  
WW Amazon Stores Finance Science (ASFS) works to leverage science and economics to drive improved financial results, foster data backed decisions, and embed science within Finance. ASFS is focused on developing science/econ products that empower controllership, improve business decisions and financial planning by understanding drivers, and innovating Gen AI capabilities for efficiency and scale.**BASIC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 Experience working with Data \&amp; AI related technologies, including, but not limited to, AI/ML, GenAI, Analytics, Database, and/or Storage
**PREFERRED QUALIFICATIONS**
----------------------------
* Experience in professional software development
* Experience with LangGain, CrewAI, LangGraph or similar libraries for leveraging GenAI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Cupertino \- 171,600\.00 \- 222,200\.00 USD annually  
USA, WA, Bellevue \- 142,800\.00 \- 193,200\.00 USD annually  
USA, WA, Seattle \- 142,800\.00 \- 193,200\.00 USD annually</t>
        </is>
      </c>
    </row>
    <row r="34">
      <c r="A34" t="inlineStr">
        <is>
          <t>in-538c20dd38f52e4d</t>
        </is>
      </c>
      <c r="B34" t="inlineStr">
        <is>
          <t>Applied Scientist, Last Mile Delivery Automation</t>
        </is>
      </c>
      <c r="C34" t="inlineStr">
        <is>
          <t>Amazon.com</t>
        </is>
      </c>
      <c r="D34" t="inlineStr">
        <is>
          <t>indeed</t>
        </is>
      </c>
      <c r="E34">
        <f>HYPERLINK("https://www.indeed.com/viewjob?jk=538c20dd38f52e4d", "https://www.indeed.com/viewjob?jk=538c20dd38f52e4d")</f>
        <v/>
      </c>
      <c r="F34">
        <f>HYPERLINK("https://www.amazon.jobs/jobs/3155354/applied-scientist-last-mile-delivery-automation?cmpid=DA_INAD200785B", "https://www.amazon.jobs/jobs/3155354/applied-scientist-last-mile-delivery-automation?cmpid=DA_INAD200785B")</f>
        <v/>
      </c>
      <c r="G34" t="inlineStr">
        <is>
          <t>Bellevue, WA, US</t>
        </is>
      </c>
      <c r="H34" s="2" t="n">
        <v>46026</v>
      </c>
      <c r="I34" t="inlineStr">
        <is>
          <t>**DESCRIPTION**
---------------
As an Applied Scientist for Last Mile Delivery Automation, you will be at the forefront of developing AI and ML solutions that power our delivery solutions. This role combines deep expertise in machine learning, computer vision, and robotics to solve complex challenges in real\-world perception, navigation, and path planning. You will work closely with applied scientists, software developers, and product teams to research, design, and implement sophisticated algorithms that enable safe and efficient operations. This position requires a unique blend of theoretical knowledge and practical implementation skills, with a focus on transforming research concepts into production\-ready solutions that can operate reliably in diverse real\-world environments.  
Key job responsibilities  
* Design and develop advanced machine learning models and algorithms for perception, navigation and planning.
* Lead research initiatives in areas such as computer vision, sensor fusion, behavioral prediction, and path planning
* Transform research concepts into production\-ready solutions that meet strict safety and performance requirements
* Develop novel approaches to solve complex technical challenges in perception, navigation and planning
* Create and implement metrics and evaluation frameworks to measure model performance
* Collaborate with engineering teams to integrate ML solutions into production stack
* Publish research findings and represent Amazon at technical conferences
About the team  
The Applied Science team within Amazon's Last Mile Delivery Automation organization focuses on developing machine learning solutions for autonomous systems. We work at the intersection of computer vision, deep learning, robotics, and control systems to create robust and scalable algorithms that enable safe autonomous operation. Our team combines expertise from diverse scientific backgrounds to tackle fundamental challenges in perception, prediction, and decision\-making.
**BASIC QUALIFICATIONS**
------------------------
* 3\+ years of building models for business application experience
* PhD, or Master's degree and 4\+ years of CS, CE, ML or related field experience
* Experience in patents or publications at top\-tier peer\-reviewed conferences or journals
* Experience in building machine learning models for business application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5">
      <c r="A35" t="inlineStr">
        <is>
          <t>in-166ee1d9bcc972dc</t>
        </is>
      </c>
      <c r="B35" t="inlineStr">
        <is>
          <t>Applied Scientist, Last Mile Delivery Automation</t>
        </is>
      </c>
      <c r="C35" t="inlineStr">
        <is>
          <t>Amazon.com</t>
        </is>
      </c>
      <c r="D35" t="inlineStr">
        <is>
          <t>indeed</t>
        </is>
      </c>
      <c r="E35">
        <f>HYPERLINK("https://www.indeed.com/viewjob?jk=166ee1d9bcc972dc", "https://www.indeed.com/viewjob?jk=166ee1d9bcc972dc")</f>
        <v/>
      </c>
      <c r="F35">
        <f>HYPERLINK("https://www.amazon.jobs/jobs/3155354/applied-scientist-last-mile-delivery-automation?cmpid=DA_INAD200785B", "https://www.amazon.jobs/jobs/3155354/applied-scientist-last-mile-delivery-automation?cmpid=DA_INAD200785B")</f>
        <v/>
      </c>
      <c r="G35" t="inlineStr">
        <is>
          <t>Santa Clara, CA, US</t>
        </is>
      </c>
      <c r="H35" s="2" t="n">
        <v>46026</v>
      </c>
      <c r="I35" t="inlineStr">
        <is>
          <t>**DESCRIPTION**
---------------
As an Applied Scientist for Last Mile Delivery Automation, you will be at the forefront of developing AI and ML solutions that power our delivery solutions. This role combines deep expertise in machine learning, computer vision, and robotics to solve complex challenges in real\-world perception, navigation, and path planning. You will work closely with applied scientists, software developers, and product teams to research, design, and implement sophisticated algorithms that enable safe and efficient operations. This position requires a unique blend of theoretical knowledge and practical implementation skills, with a focus on transforming research concepts into production\-ready solutions that can operate reliably in diverse real\-world environments.  
Key job responsibilities  
* Design and develop advanced machine learning models and algorithms for perception, navigation and planning.
* Lead research initiatives in areas such as computer vision, sensor fusion, behavioral prediction, and path planning
* Transform research concepts into production\-ready solutions that meet strict safety and performance requirements
* Develop novel approaches to solve complex technical challenges in perception, navigation and planning
* Create and implement metrics and evaluation frameworks to measure model performance
* Collaborate with engineering teams to integrate ML solutions into production stack
* Publish research findings and represent Amazon at technical conferences
About the team  
The Applied Science team within Amazon's Last Mile Delivery Automation organization focuses on developing machine learning solutions for autonomous systems. We work at the intersection of computer vision, deep learning, robotics, and control systems to create robust and scalable algorithms that enable safe autonomous operation. Our team combines expertise from diverse scientific backgrounds to tackle fundamental challenges in perception, prediction, and decision\-making.
**BASIC QUALIFICATIONS**
------------------------
* 3\+ years of building models for business application experience
* PhD, or Master's degree and 4\+ years of CS, CE, ML or related field experience
* Experience in patents or publications at top\-tier peer\-reviewed conferences or journals
* Experience in building machine learning models for business application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6">
      <c r="A36" t="inlineStr">
        <is>
          <t>in-88b8874fe7151fe8</t>
        </is>
      </c>
      <c r="B36" t="inlineStr">
        <is>
          <t>Senior Applied Scientist, Distributed SQL</t>
        </is>
      </c>
      <c r="C36" t="inlineStr">
        <is>
          <t>Amazon Web Services</t>
        </is>
      </c>
      <c r="D36" t="inlineStr">
        <is>
          <t>indeed</t>
        </is>
      </c>
      <c r="E36">
        <f>HYPERLINK("https://www.indeed.com/viewjob?jk=88b8874fe7151fe8", "https://www.indeed.com/viewjob?jk=88b8874fe7151fe8")</f>
        <v/>
      </c>
      <c r="F36">
        <f>HYPERLINK("https://www.amazon.jobs/jobs/3148444/senior-applied-scientist-distributed-sql?cmpid=DA_INAD200785B", "https://www.amazon.jobs/jobs/3148444/senior-applied-scientist-distributed-sql?cmpid=DA_INAD200785B")</f>
        <v/>
      </c>
      <c r="G36" t="inlineStr">
        <is>
          <t>Seattle, WA, US</t>
        </is>
      </c>
      <c r="H36" s="2" t="n">
        <v>46012</v>
      </c>
      <c r="I36" t="inlineStr">
        <is>
          <t>**DESCRIPTION**
---------------
Amazon Aurora DSQL is a serverless, distributed SQL database with virtually unlimited scale, highest availability, and zero infrastructure management. Aurora DSQL provides active\-active high availability, providing strong data consistency designed for 99\.99% single\-Region and 99\.999% multi\-Region availability. Aurora DSQL automatically manages and scales system resources, so you don't have to worry about maintenance downtime and provisioning, patching, or upgrading infrastructure.  
As a Senior Applied Scientist, you will be expected to lead research and development in advanced query optimization techniques for distributed sql services. You will innovate in the query planning and execution layer to help Aurora DSQL succeed at delivering high performance for complex OLTP workloads. You will develop novel approaches to stats collection, query planning, execution and optimization. You will drive industry leading research, publish your research and help convert your research into implementations to make Aurora DSQL the fastest sql database for OLTP workloads.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including support for customers who require specialized security solutions for their cloud services.  
Key job responsibilities  
Our engineers collaborate across diverse teams, projects, and environments to have a firsthand impact on our global customer base. You’ll bring a passion for innovation, data, search, analytics, and distributed systems. You’ll also:  
Solve challenging technical problems, often ones not solved before, at every layer of the stack.  
Design, implement, test, deploy and maintain innovative software solutions to transform service performance, durability, cost, and security.  
Build high\-quality, highly available, always\-on products.  
Research implementations that deliver the best possible experiences for customers.  
A day in the life  
As you design and code solutions to help our team drive efficiencies in software architecture, you’ll create metrics, implement automation and other improvements, and resolve the root cause of software defects. You’ll also:  
Build high\-impact solutions to deliver to our large customer base.  
Participate in design discussions, code review, and communicate with internal and external stakeholders.  
Work cross\-functionally to help drive business decisions with your technical input.  
Work in a startup\-like development environment, where you’re always working on the most important stuff.  
About the team  
Our team is dedicated to supporting new members. We have a broad mix of experience levels and tenures, and we’re building an environment that celebrates knowledge\-sharing and mentorship. Our senior members enjoy one\-on\-one mentoring and thorough, but kind, code reviews. We care about your career growth and strive to assign projects that help our team members develop your engineering expertise so you feel empowered to take on more complex tasks in the future.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About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East Palo Alto \- 192,200\.00 \- 260,000\.00 USD annually  
USA, WA, Seattle \- 167,100\.00 \- 226,100\.00 USD annually</t>
        </is>
      </c>
    </row>
    <row r="37">
      <c r="A37" t="inlineStr">
        <is>
          <t>in-ef66e515fc0524e8</t>
        </is>
      </c>
      <c r="B37" t="inlineStr">
        <is>
          <t>Senior Applied Scientist, Distributed SQL</t>
        </is>
      </c>
      <c r="C37" t="inlineStr">
        <is>
          <t>Amazon Web Services</t>
        </is>
      </c>
      <c r="D37" t="inlineStr">
        <is>
          <t>indeed</t>
        </is>
      </c>
      <c r="E37">
        <f>HYPERLINK("https://www.indeed.com/viewjob?jk=ef66e515fc0524e8", "https://www.indeed.com/viewjob?jk=ef66e515fc0524e8")</f>
        <v/>
      </c>
      <c r="F37">
        <f>HYPERLINK("https://www.amazon.jobs/jobs/3148444/senior-applied-scientist-distributed-sql?cmpid=DA_INAD200785B", "https://www.amazon.jobs/jobs/3148444/senior-applied-scientist-distributed-sql?cmpid=DA_INAD200785B")</f>
        <v/>
      </c>
      <c r="G37" t="inlineStr">
        <is>
          <t>East Palo Alto, CA, US</t>
        </is>
      </c>
      <c r="H37" s="2" t="n">
        <v>46012</v>
      </c>
      <c r="I37" t="inlineStr">
        <is>
          <t>**DESCRIPTION**
---------------
Amazon Aurora DSQL is a serverless, distributed SQL database with virtually unlimited scale, highest availability, and zero infrastructure management. Aurora DSQL provides active\-active high availability, providing strong data consistency designed for 99\.99% single\-Region and 99\.999% multi\-Region availability. Aurora DSQL automatically manages and scales system resources, so you don't have to worry about maintenance downtime and provisioning, patching, or upgrading infrastructure.  
As a Senior Applied Scientist, you will be expected to lead research and development in advanced query optimization techniques for distributed sql services. You will innovate in the query planning and execution layer to help Aurora DSQL succeed at delivering high performance for complex OLTP workloads. You will develop novel approaches to stats collection, query planning, execution and optimization. You will drive industry leading research, publish your research and help convert your research into implementations to make Aurora DSQL the fastest sql database for OLTP workloads.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including support for customers who require specialized security solutions for their cloud services.  
Key job responsibilities  
Our engineers collaborate across diverse teams, projects, and environments to have a firsthand impact on our global customer base. You’ll bring a passion for innovation, data, search, analytics, and distributed systems. You’ll also:  
Solve challenging technical problems, often ones not solved before, at every layer of the stack.  
Design, implement, test, deploy and maintain innovative software solutions to transform service performance, durability, cost, and security.  
Build high\-quality, highly available, always\-on products.  
Research implementations that deliver the best possible experiences for customers.  
A day in the life  
As you design and code solutions to help our team drive efficiencies in software architecture, you’ll create metrics, implement automation and other improvements, and resolve the root cause of software defects. You’ll also:  
Build high\-impact solutions to deliver to our large customer base.  
Participate in design discussions, code review, and communicate with internal and external stakeholders.  
Work cross\-functionally to help drive business decisions with your technical input.  
Work in a startup\-like development environment, where you’re always working on the most important stuff.  
About the team  
Our team is dedicated to supporting new members. We have a broad mix of experience levels and tenures, and we’re building an environment that celebrates knowledge\-sharing and mentorship. Our senior members enjoy one\-on\-one mentoring and thorough, but kind, code reviews. We care about your career growth and strive to assign projects that help our team members develop your engineering expertise so you feel empowered to take on more complex tasks in the future.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About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East Palo Alto \- 192,200\.00 \- 260,000\.00 USD annually  
USA, WA, Seattle \- 167,100\.00 \- 226,100\.00 USD annually</t>
        </is>
      </c>
    </row>
    <row r="38">
      <c r="A38" t="inlineStr">
        <is>
          <t>in-8c0b03a9e8a40dde</t>
        </is>
      </c>
      <c r="B38" t="inlineStr">
        <is>
          <t>Applied Scientist, GenAI Evaluation Media</t>
        </is>
      </c>
      <c r="C38" t="inlineStr">
        <is>
          <t>Amazon.com</t>
        </is>
      </c>
      <c r="D38" t="inlineStr">
        <is>
          <t>indeed</t>
        </is>
      </c>
      <c r="E38">
        <f>HYPERLINK("https://www.indeed.com/viewjob?jk=8c0b03a9e8a40dde", "https://www.indeed.com/viewjob?jk=8c0b03a9e8a40dde")</f>
        <v/>
      </c>
      <c r="F38">
        <f>HYPERLINK("https://www.amazon.jobs/jobs/3159215/applied-scientist-genai-evaluation-media?cmpid=DA_INAD200785B", "https://www.amazon.jobs/jobs/3159215/applied-scientist-genai-evaluation-media?cmpid=DA_INAD200785B")</f>
        <v/>
      </c>
      <c r="G38" t="inlineStr">
        <is>
          <t>Seattle, WA, US</t>
        </is>
      </c>
      <c r="H38" s="2" t="n">
        <v>46006</v>
      </c>
      <c r="I38" t="inlineStr">
        <is>
          <t>**DESCRIPTION**
---------------
We are seeking an Applied Scientist to join our Generate AI Visual Media \- Core Experiences Science team. This organization drives significant business value by revolutionizing how customers interact with product imagery and videos across Amazon. Working at the intersection of Computer Vision and Generative AI, you will help customers make confident purchase decisions through optimized visual content. Our goal is to transform shopping into a personalized journey of inspiration, discovery, and evaluation by helping customers evaluate how products will fit and flatter their unique self before they ship. In this role, you will be responsible for building scalable computer vision and machine learning (CVML) models, and automating their application and expansion to power customer\-facing features.  
We are seeking domain expertise specifically in 3D Generative AI and Inverse Rendering. Relevant topics include Neural Fields, Implicit 3D Representations, NeRFs, Differentiable Rendering/Simulation, and Physically Based Rendering (PBR) Materials. We expect strong expertise at the intersection of Computer Graphics, Computer Vision, and Deep Learning. An inclination towards Generative AI, such as GANs, VQ\-VAE/GAN, and Diffusion Models, is essential. Additionally, experience in application\-specific domains such as Neural Avatars, Parametric Body Models, and Differentiable Rendering/Simulation will be highly advantageous.  
Key job responsibilities  
* Explore, collect, and process data
* Frame and transform ambiguous business challenges into science hypotheses. Design and implement offline and online experiments to evaluate them
* Develop prototypes to test new concepts/proposals for models and algorithms
* Design and build automated, scalable pipelines to train and deploy ML models
**BASIC QUALIFICATIONS**
------------------------
* PhD, or Master's degree and 5\+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developing and implementing deep learning algorithms, particularly with respect to computer vision algorithms
* Experience in patents or publications at top\-tier peer\-reviewed conferences or journals
* Experience with popular deep learning frameworks such as Tensor Flow and PyTorch.
* Usage of generative AI tools to enhance workflow efficiency, with a willingness to learn effective prompting and evaluation practices.
* Ability to recognize opportunities where generative AI could enhance products, workflows, or customer experiences.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39">
      <c r="A39" t="inlineStr">
        <is>
          <t>in-d26b738348a1abaf</t>
        </is>
      </c>
      <c r="B39" t="inlineStr">
        <is>
          <t>Applied Scientist, GenAI Evaluation Media</t>
        </is>
      </c>
      <c r="C39" t="inlineStr">
        <is>
          <t>Amazon.com</t>
        </is>
      </c>
      <c r="D39" t="inlineStr">
        <is>
          <t>indeed</t>
        </is>
      </c>
      <c r="E39">
        <f>HYPERLINK("https://www.indeed.com/viewjob?jk=d26b738348a1abaf", "https://www.indeed.com/viewjob?jk=d26b738348a1abaf")</f>
        <v/>
      </c>
      <c r="F39">
        <f>HYPERLINK("https://www.amazon.jobs/jobs/3159215/applied-scientist-genai-evaluation-media?cmpid=DA_INAD200785B", "https://www.amazon.jobs/jobs/3159215/applied-scientist-genai-evaluation-media?cmpid=DA_INAD200785B")</f>
        <v/>
      </c>
      <c r="G39" t="inlineStr">
        <is>
          <t>New York, NY, US</t>
        </is>
      </c>
      <c r="H39" s="2" t="n">
        <v>46006</v>
      </c>
      <c r="I39" t="inlineStr">
        <is>
          <t>**DESCRIPTION**
---------------
We are seeking an Applied Scientist to join our Generate AI Visual Media \- Core Experiences Science team. This organization drives significant business value by revolutionizing how customers interact with product imagery and videos across Amazon. Working at the intersection of Computer Vision and Generative AI, you will help customers make confident purchase decisions through optimized visual content. Our goal is to transform shopping into a personalized journey of inspiration, discovery, and evaluation by helping customers evaluate how products will fit and flatter their unique self before they ship. In this role, you will be responsible for building scalable computer vision and machine learning (CVML) models, and automating their application and expansion to power customer\-facing features.  
We are seeking domain expertise specifically in 3D Generative AI and Inverse Rendering. Relevant topics include Neural Fields, Implicit 3D Representations, NeRFs, Differentiable Rendering/Simulation, and Physically Based Rendering (PBR) Materials. We expect strong expertise at the intersection of Computer Graphics, Computer Vision, and Deep Learning. An inclination towards Generative AI, such as GANs, VQ\-VAE/GAN, and Diffusion Models, is essential. Additionally, experience in application\-specific domains such as Neural Avatars, Parametric Body Models, and Differentiable Rendering/Simulation will be highly advantageous.  
Key job responsibilities  
* Explore, collect, and process data
* Frame and transform ambiguous business challenges into science hypotheses. Design and implement offline and online experiments to evaluate them
* Develop prototypes to test new concepts/proposals for models and algorithms
* Design and build automated, scalable pipelines to train and deploy ML models
**BASIC QUALIFICATIONS**
------------------------
* PhD, or Master's degree and 5\+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developing and implementing deep learning algorithms, particularly with respect to computer vision algorithms
* Experience in patents or publications at top\-tier peer\-reviewed conferences or journals
* Experience with popular deep learning frameworks such as Tensor Flow and PyTorch.
* Usage of generative AI tools to enhance workflow efficiency, with a willingness to learn effective prompting and evaluation practices.
* Ability to recognize opportunities where generative AI could enhance products, workflows, or customer experiences.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40">
      <c r="A40" t="inlineStr">
        <is>
          <t>in-f1bf00a5cf5a0cd6</t>
        </is>
      </c>
      <c r="B40" t="inlineStr">
        <is>
          <t>Applied Scientist, GenAI Evaluation Media</t>
        </is>
      </c>
      <c r="C40" t="inlineStr">
        <is>
          <t>Amazon.com</t>
        </is>
      </c>
      <c r="D40" t="inlineStr">
        <is>
          <t>indeed</t>
        </is>
      </c>
      <c r="E40">
        <f>HYPERLINK("https://www.indeed.com/viewjob?jk=f1bf00a5cf5a0cd6", "https://www.indeed.com/viewjob?jk=f1bf00a5cf5a0cd6")</f>
        <v/>
      </c>
      <c r="F40">
        <f>HYPERLINK("https://www.amazon.jobs/jobs/3159215/applied-scientist-genai-evaluation-media?cmpid=DA_INAD200785B", "https://www.amazon.jobs/jobs/3159215/applied-scientist-genai-evaluation-media?cmpid=DA_INAD200785B")</f>
        <v/>
      </c>
      <c r="G40" t="inlineStr">
        <is>
          <t>Sunnyvale, CA, US</t>
        </is>
      </c>
      <c r="H40" s="2" t="n">
        <v>46006</v>
      </c>
      <c r="I40" t="inlineStr">
        <is>
          <t>**DESCRIPTION**
---------------
We are seeking an Applied Scientist to join our Generate AI Visual Media \- Core Experiences Science team. This organization drives significant business value by revolutionizing how customers interact with product imagery and videos across Amazon. Working at the intersection of Computer Vision and Generative AI, you will help customers make confident purchase decisions through optimized visual content. Our goal is to transform shopping into a personalized journey of inspiration, discovery, and evaluation by helping customers evaluate how products will fit and flatter their unique self before they ship. In this role, you will be responsible for building scalable computer vision and machine learning (CVML) models, and automating their application and expansion to power customer\-facing features.  
We are seeking domain expertise specifically in 3D Generative AI and Inverse Rendering. Relevant topics include Neural Fields, Implicit 3D Representations, NeRFs, Differentiable Rendering/Simulation, and Physically Based Rendering (PBR) Materials. We expect strong expertise at the intersection of Computer Graphics, Computer Vision, and Deep Learning. An inclination towards Generative AI, such as GANs, VQ\-VAE/GAN, and Diffusion Models, is essential. Additionally, experience in application\-specific domains such as Neural Avatars, Parametric Body Models, and Differentiable Rendering/Simulation will be highly advantageous.  
Key job responsibilities  
* Explore, collect, and process data
* Frame and transform ambiguous business challenges into science hypotheses. Design and implement offline and online experiments to evaluate them
* Develop prototypes to test new concepts/proposals for models and algorithms
* Design and build automated, scalable pipelines to train and deploy ML models
**BASIC QUALIFICATIONS**
------------------------
* PhD, or Master's degree and 5\+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developing and implementing deep learning algorithms, particularly with respect to computer vision algorithms
* Experience in patents or publications at top\-tier peer\-reviewed conferences or journals
* Experience with popular deep learning frameworks such as Tensor Flow and PyTorch.
* Usage of generative AI tools to enhance workflow efficiency, with a willingness to learn effective prompting and evaluation practices.
* Ability to recognize opportunities where generative AI could enhance products, workflows, or customer experiences.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41">
      <c r="A41" t="inlineStr">
        <is>
          <t>in-ccdb2421d56def82</t>
        </is>
      </c>
      <c r="B41" t="inlineStr">
        <is>
          <t>Principal Applied Scientist, Kiro Science</t>
        </is>
      </c>
      <c r="C41" t="inlineStr">
        <is>
          <t>Amazon Web Services</t>
        </is>
      </c>
      <c r="D41" t="inlineStr">
        <is>
          <t>indeed</t>
        </is>
      </c>
      <c r="E41">
        <f>HYPERLINK("https://www.indeed.com/viewjob?jk=ccdb2421d56def82", "https://www.indeed.com/viewjob?jk=ccdb2421d56def82")</f>
        <v/>
      </c>
      <c r="F41">
        <f>HYPERLINK("https://www.amazon.jobs/jobs/3161064/principal-applied-scientist-kiro-science?cmpid=DA_INAD200785B", "https://www.amazon.jobs/jobs/3161064/principal-applied-scientist-kiro-science?cmpid=DA_INAD200785B")</f>
        <v/>
      </c>
      <c r="G41" t="inlineStr">
        <is>
          <t>Santa Clara, CA, US</t>
        </is>
      </c>
      <c r="H41" s="2" t="n">
        <v>45999</v>
      </c>
      <c r="I41" t="inlineStr">
        <is>
          <t>**DESCRIPTION**
---------------
AWS Agentic AI is looking for a Principal Applied Scientist who will partner with world\-class scientists and engineers to pioneer the next generation of AI\-driven development tools. Join the Amazon Kiro LLM\-Training team and help create groundbreaking generative AI technologies including Kiro IDE and Amazon Q Developer that are transforming the software development landscape.  
Key job responsibilities  
As a key member of our team, you'll be at the forefront of innovation, where cutting\-edge research meets real\-world application:  
* Push the boundaries of reinforcement learning and post\-training methodologies for large language models specialized in code intelligence
* Invent and implement state\-of\-the\-art machine learning solutions that operate at unprecedented Amazon scale
* Deploy revolutionary products that directly impact the daily workflows of millions of developers worldwide
* Break new ground in AI and machine learning, challenging what's possible in intelligent code assistance
* Publish and present your pioneering work at premier ML and NLP conferences (NeurIPS, ICML, ICLR , ACL, EMNLP)
* Accelerate innovation by working directly with customers to rapidly transition research breakthroughs into production systems
About the team  
The AWS Developer Agents and Experiences (DAE) team is reimagining the builder experience through generative AI and foundation models. We're leveraging the latest advances in AI to transform how engineers work from IDE environments to web\-based tools and services, empowering developers to tackle projects of any scale with unprecedented efficiency.  
Broadly,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U.S. Amazon offices.**BASIC QUALIFICATIONS**
------------------------
* PhD, or Master's degree and 10\+ years of CS, CE, ML or related field experience
* 8\+ years of building models for business application experience
* Experience in patents or publications at top\-tier peer\-reviewed conferences or journals
* Experience programming in Java, C\+\+, Python or related language
* Experience in any of the following areas: AI (NLP or multi\-modality models), Deep Learning, LLM model training, graph learning, software engineering.
**PREFERRED QUALIFICATIONS**
----------------------------
* First author publications at Tier\-1 ML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t>
        </is>
      </c>
    </row>
    <row r="42">
      <c r="A42" t="inlineStr">
        <is>
          <t>in-08879fe68012cf5c</t>
        </is>
      </c>
      <c r="B42" t="inlineStr">
        <is>
          <t>Principal Applied Scientist, Kiro Science</t>
        </is>
      </c>
      <c r="C42" t="inlineStr">
        <is>
          <t>Amazon Web Services</t>
        </is>
      </c>
      <c r="D42" t="inlineStr">
        <is>
          <t>indeed</t>
        </is>
      </c>
      <c r="E42">
        <f>HYPERLINK("https://www.indeed.com/viewjob?jk=08879fe68012cf5c", "https://www.indeed.com/viewjob?jk=08879fe68012cf5c")</f>
        <v/>
      </c>
      <c r="F42">
        <f>HYPERLINK("https://www.amazon.jobs/jobs/3161064/principal-applied-scientist-kiro-science?cmpid=DA_INAD200785B", "https://www.amazon.jobs/jobs/3161064/principal-applied-scientist-kiro-science?cmpid=DA_INAD200785B")</f>
        <v/>
      </c>
      <c r="G42" t="inlineStr">
        <is>
          <t>New York, NY, US</t>
        </is>
      </c>
      <c r="H42" s="2" t="n">
        <v>45999</v>
      </c>
      <c r="I42" t="inlineStr">
        <is>
          <t>**DESCRIPTION**
---------------
AWS Agentic AI is looking for a Principal Applied Scientist who will partner with world\-class scientists and engineers to pioneer the next generation of AI\-driven development tools. Join the Amazon Kiro LLM\-Training team and help create groundbreaking generative AI technologies including Kiro IDE and Amazon Q Developer that are transforming the software development landscape.  
Key job responsibilities  
As a key member of our team, you'll be at the forefront of innovation, where cutting\-edge research meets real\-world application:  
* Push the boundaries of reinforcement learning and post\-training methodologies for large language models specialized in code intelligence
* Invent and implement state\-of\-the\-art machine learning solutions that operate at unprecedented Amazon scale
* Deploy revolutionary products that directly impact the daily workflows of millions of developers worldwide
* Break new ground in AI and machine learning, challenging what's possible in intelligent code assistance
* Publish and present your pioneering work at premier ML and NLP conferences (NeurIPS, ICML, ICLR , ACL, EMNLP)
* Accelerate innovation by working directly with customers to rapidly transition research breakthroughs into production systems
About the team  
The AWS Developer Agents and Experiences (DAE) team is reimagining the builder experience through generative AI and foundation models. We're leveraging the latest advances in AI to transform how engineers work from IDE environments to web\-based tools and services, empowering developers to tackle projects of any scale with unprecedented efficiency.  
Broadly,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U.S. Amazon offices.**BASIC QUALIFICATIONS**
------------------------
* PhD, or Master's degree and 10\+ years of CS, CE, ML or related field experience
* 8\+ years of building models for business application experience
* Experience in patents or publications at top\-tier peer\-reviewed conferences or journals
* Experience programming in Java, C\+\+, Python or related language
* Experience in any of the following areas: AI (NLP or multi\-modality models), Deep Learning, LLM model training, graph learning, software engineering.
**PREFERRED QUALIFICATIONS**
----------------------------
* First author publications at Tier\-1 ML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t>
        </is>
      </c>
    </row>
    <row r="43">
      <c r="A43" t="inlineStr">
        <is>
          <t>in-f0fab6acc5f0d578</t>
        </is>
      </c>
      <c r="B43" t="inlineStr">
        <is>
          <t>Sr. Machine Learning Engineer, AGIF | Finetuning</t>
        </is>
      </c>
      <c r="C43" t="inlineStr">
        <is>
          <t>Amazon.com</t>
        </is>
      </c>
      <c r="D43" t="inlineStr">
        <is>
          <t>indeed</t>
        </is>
      </c>
      <c r="E43">
        <f>HYPERLINK("https://www.indeed.com/viewjob?jk=f0fab6acc5f0d578", "https://www.indeed.com/viewjob?jk=f0fab6acc5f0d578")</f>
        <v/>
      </c>
      <c r="F43">
        <f>HYPERLINK("https://www.amazon.jobs/jobs/3145989/sr-machine-learning-engineer-agif--finetuning?cmpid=DA_INAD200785B", "https://www.amazon.jobs/jobs/3145989/sr-machine-learning-engineer-agif--finetuning?cmpid=DA_INAD200785B")</f>
        <v/>
      </c>
      <c r="G43" t="inlineStr">
        <is>
          <t>Sunnyvale, CA, US</t>
        </is>
      </c>
      <c r="H43" s="2" t="n">
        <v>45984</v>
      </c>
      <c r="I43" t="inlineStr">
        <is>
          <t>**DESCRIPTION**
---------------
Are you interested in a unique opportunity to advance the accuracy and efficiency of Artificial General Intelligence (AGI) systems? If so, you're at the right place! We are the AGI Finetuning organization, and we are looking for a driven and talented SDE to join us.
As an SDE on our team, you will design, build, and maintain systems for evaluating our best\-in\-class models. You’ll also work closely with our Applied Scientists to develop tools that support our modeling and evaluation team.  
We operate at Amazon's large scale with the energy of a nimble start\-up. If you have a learner's mindset, enjoy solving challenging problems, and value an inclusive team culture, you will thrive in this role, and we hope to hear from you.  
Key job responsibilities  
* Develop and maintain key tooling for model evaluation.
* Work closely with product teams, and scientists to to create new techniques and tooling around emerging research capabilities and evaluating models to meet customer needs.
* Manage project prioritization, deliverables, timelines, and stakeholder communication.
* Illuminate trade\-offs, educate the team on best practices, and influence technical strategy.
* Collaborate closely with Applied Scientists to investigate and plan experiments, prototype new technology, and evaluate technical feasibility.
* Operate in a dynamic environment to deliver high quality software.
About the team  
We are passionate engineers and scientists dedicated to pushing the boundaries of innovation. We evaluate and represent the customer perspective through accurate benchmarking.**BASIC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**PREFERRED QUALIFICATIONS**
----------------------------
* 5\+ years of full software development life cycle, including coding standards, code reviews, source control management, build processes, testing, and operations experience
* Bachelor's degree in computer science or equivalent
* Knowledge of one or more ML Frameworks (e.g., PyTorch, TensorFlow) and ML methods including NLP models (BERT, GPT\-2/3\), computer vision\-based models (object detection, image recognition), and text\-based models (Seq2Seq, Topic modeling)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4">
      <c r="A44" t="inlineStr">
        <is>
          <t>in-f2380524957f6bf9</t>
        </is>
      </c>
      <c r="B44" t="inlineStr">
        <is>
          <t>Sr. Machine Learning Engineer, AGIF | Finetuning</t>
        </is>
      </c>
      <c r="C44" t="inlineStr">
        <is>
          <t>Amazon.com</t>
        </is>
      </c>
      <c r="D44" t="inlineStr">
        <is>
          <t>indeed</t>
        </is>
      </c>
      <c r="E44">
        <f>HYPERLINK("https://www.indeed.com/viewjob?jk=f2380524957f6bf9", "https://www.indeed.com/viewjob?jk=f2380524957f6bf9")</f>
        <v/>
      </c>
      <c r="F44">
        <f>HYPERLINK("https://www.amazon.jobs/jobs/3145989/sr-machine-learning-engineer-agif--finetuning?cmpid=DA_INAD200785B", "https://www.amazon.jobs/jobs/3145989/sr-machine-learning-engineer-agif--finetuning?cmpid=DA_INAD200785B")</f>
        <v/>
      </c>
      <c r="G44" t="inlineStr">
        <is>
          <t>Bellevue, WA, US</t>
        </is>
      </c>
      <c r="H44" s="2" t="n">
        <v>45984</v>
      </c>
      <c r="I44" t="inlineStr">
        <is>
          <t>**DESCRIPTION**
---------------
Are you interested in a unique opportunity to advance the accuracy and efficiency of Artificial General Intelligence (AGI) systems? If so, you're at the right place! We are the AGI Finetuning organization, and we are looking for a driven and talented SDE to join us.
As an SDE on our team, you will design, build, and maintain systems for evaluating our best\-in\-class models. You’ll also work closely with our Applied Scientists to develop tools that support our modeling and evaluation team.  
We operate at Amazon's large scale with the energy of a nimble start\-up. If you have a learner's mindset, enjoy solving challenging problems, and value an inclusive team culture, you will thrive in this role, and we hope to hear from you.  
Key job responsibilities  
* Develop and maintain key tooling for model evaluation.
* Work closely with product teams, and scientists to to create new techniques and tooling around emerging research capabilities and evaluating models to meet customer needs.
* Manage project prioritization, deliverables, timelines, and stakeholder communication.
* Illuminate trade\-offs, educate the team on best practices, and influence technical strategy.
* Collaborate closely with Applied Scientists to investigate and plan experiments, prototype new technology, and evaluate technical feasibility.
* Operate in a dynamic environment to deliver high quality software.
About the team  
We are passionate engineers and scientists dedicated to pushing the boundaries of innovation. We evaluate and represent the customer perspective through accurate benchmarking.**BASIC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**PREFERRED QUALIFICATIONS**
----------------------------
* 5\+ years of full software development life cycle, including coding standards, code reviews, source control management, build processes, testing, and operations experience
* Bachelor's degree in computer science or equivalent
* Knowledge of one or more ML Frameworks (e.g., PyTorch, TensorFlow) and ML methods including NLP models (BERT, GPT\-2/3\), computer vision\-based models (object detection, image recognition), and text\-based models (Seq2Seq, Topic modeling)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5">
      <c r="A45" t="inlineStr">
        <is>
          <t>in-7559ea93fd5a9734</t>
        </is>
      </c>
      <c r="B45" t="inlineStr">
        <is>
          <t>Sr. Machine Learning Engineer, AGIF | Finetuning</t>
        </is>
      </c>
      <c r="C45" t="inlineStr">
        <is>
          <t>Amazon.com</t>
        </is>
      </c>
      <c r="D45" t="inlineStr">
        <is>
          <t>indeed</t>
        </is>
      </c>
      <c r="E45">
        <f>HYPERLINK("https://www.indeed.com/viewjob?jk=7559ea93fd5a9734", "https://www.indeed.com/viewjob?jk=7559ea93fd5a9734")</f>
        <v/>
      </c>
      <c r="F45">
        <f>HYPERLINK("https://www.amazon.jobs/jobs/3145989/sr-machine-learning-engineer-agif--finetuning?cmpid=DA_INAD200785B", "https://www.amazon.jobs/jobs/3145989/sr-machine-learning-engineer-agif--finetuning?cmpid=DA_INAD200785B")</f>
        <v/>
      </c>
      <c r="G45" t="inlineStr">
        <is>
          <t>New York, NY, US</t>
        </is>
      </c>
      <c r="H45" s="2" t="n">
        <v>45984</v>
      </c>
      <c r="I45" t="inlineStr">
        <is>
          <t>**DESCRIPTION**
---------------
Are you interested in a unique opportunity to advance the accuracy and efficiency of Artificial General Intelligence (AGI) systems? If so, you're at the right place! We are the AGI Finetuning organization, and we are looking for a driven and talented SDE to join us.
As an SDE on our team, you will design, build, and maintain systems for evaluating our best\-in\-class models. You’ll also work closely with our Applied Scientists to develop tools that support our modeling and evaluation team.  
We operate at Amazon's large scale with the energy of a nimble start\-up. If you have a learner's mindset, enjoy solving challenging problems, and value an inclusive team culture, you will thrive in this role, and we hope to hear from you.  
Key job responsibilities  
* Develop and maintain key tooling for model evaluation.
* Work closely with product teams, and scientists to to create new techniques and tooling around emerging research capabilities and evaluating models to meet customer needs.
* Manage project prioritization, deliverables, timelines, and stakeholder communication.
* Illuminate trade\-offs, educate the team on best practices, and influence technical strategy.
* Collaborate closely with Applied Scientists to investigate and plan experiments, prototype new technology, and evaluate technical feasibility.
* Operate in a dynamic environment to deliver high quality software.
About the team  
We are passionate engineers and scientists dedicated to pushing the boundaries of innovation. We evaluate and represent the customer perspective through accurate benchmarking.**BASIC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**PREFERRED QUALIFICATIONS**
----------------------------
* 5\+ years of full software development life cycle, including coding standards, code reviews, source control management, build processes, testing, and operations experience
* Bachelor's degree in computer science or equivalent
* Knowledge of one or more ML Frameworks (e.g., PyTorch, TensorFlow) and ML methods including NLP models (BERT, GPT\-2/3\), computer vision\-based models (object detection, image recognition), and text\-based models (Seq2Seq, Topic modeling)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6">
      <c r="A46" t="inlineStr">
        <is>
          <t>in-3a477a52836c7dab</t>
        </is>
      </c>
      <c r="B46" t="inlineStr">
        <is>
          <t>Principal Applied Scientist, Sponsored Products and Brands</t>
        </is>
      </c>
      <c r="C46" t="inlineStr">
        <is>
          <t>Amazon.com</t>
        </is>
      </c>
      <c r="D46" t="inlineStr">
        <is>
          <t>indeed</t>
        </is>
      </c>
      <c r="E46">
        <f>HYPERLINK("https://www.indeed.com/viewjob?jk=3a477a52836c7dab", "https://www.indeed.com/viewjob?jk=3a477a52836c7dab")</f>
        <v/>
      </c>
      <c r="F46">
        <f>HYPERLINK("https://www.amazon.jobs/jobs/3130855/principal-applied-scientist-sponsored-products-and-brands?cmpid=DA_INAD200785B", "https://www.amazon.jobs/jobs/3130855/principal-applied-scientist-sponsored-products-and-brands?cmpid=DA_INAD200785B")</f>
        <v/>
      </c>
      <c r="G46" t="inlineStr">
        <is>
          <t>New York, NY, US</t>
        </is>
      </c>
      <c r="H46" s="2" t="n">
        <v>45979</v>
      </c>
      <c r="I46" t="inlineStr">
        <is>
          <t>**DESCRIPTION**
---------------
About Sponsored Products and Brands: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About Our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About This Role:  
As a Principal Scientist for the team, you will have the opportunity to apply your deep subject matter expertise in the area of ML, LLM and GenAI models. You will invent new product experiences that enable novel advertiser and shopper experiences. This role will liaise with internal Amazon partners and work on bringing state\-of\-the\-art GenAI models to production, and stay abreast of the latest developments in the space of GenAI and identify opportunities to improve the efficiency and productivity of the team. Additionally, you will define a long\-term science vision for our advertising business, driven by our customer’s needs, and translate it into actionable plans for our team of applied scientists and engineers.  
This role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org.  
* Develop AI solutions for Sponsored Brands advertiser and shopper experiences. Build monetization and optimization systems that leverage generative models to value and improve campaign performance.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Design and conduct A/B experiments to evaluate proposed solutions based on in\-depth data analyses.
* Effectively communicate technical and non\-technical ideas with teammates and stakeholders.
* Stay up\-to\-date with advancements and the latest modeling techniques in the field.
* Think big about the arc of development of Gen AI over a multi\-year horizon and identify new opportunities to apply these technologies to solve real\-world problems.
\#GenAI**BASIC QUALIFICATIONS**
------------------------
* PhD in Computer Science, Statistics or related field.
* 10\+ years of programming in Java, Python or related language.
* 10\+ years of applied ML experience in building complex, real\-time systems involving AI, ML with successful delivery to customers.
* 3\+ years in LLMs, model fine tuning and prompt engineering.
* 3\+ years in digital advertising technology.
**PREFERRED QUALIFICATIONS**
----------------------------
* Demonstrated track record of innovative AI solution development.
* Experience with generative model architectures.
* Research publications or patents in generative AI technologies.
* Experience in Reinforcement Learning from Human Feedback (RLHF), Retrieval\-Augmented Generation (RAG) and AI model trade\-offs (e.g., model size, latency, cost, and output quality).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7">
      <c r="A47" t="inlineStr">
        <is>
          <t>in-a2ca789a44048159</t>
        </is>
      </c>
      <c r="B47" t="inlineStr">
        <is>
          <t>Principal Applied Scientist, Sponsored Products and Brands</t>
        </is>
      </c>
      <c r="C47" t="inlineStr">
        <is>
          <t>Amazon.com</t>
        </is>
      </c>
      <c r="D47" t="inlineStr">
        <is>
          <t>indeed</t>
        </is>
      </c>
      <c r="E47">
        <f>HYPERLINK("https://www.indeed.com/viewjob?jk=a2ca789a44048159", "https://www.indeed.com/viewjob?jk=a2ca789a44048159")</f>
        <v/>
      </c>
      <c r="F47">
        <f>HYPERLINK("https://www.amazon.jobs/jobs/3130855/principal-applied-scientist-sponsored-products-and-brands?cmpid=DA_INAD200785B", "https://www.amazon.jobs/jobs/3130855/principal-applied-scientist-sponsored-products-and-brands?cmpid=DA_INAD200785B")</f>
        <v/>
      </c>
      <c r="G47" t="inlineStr">
        <is>
          <t>Seattle, WA, US</t>
        </is>
      </c>
      <c r="H47" s="2" t="n">
        <v>45979</v>
      </c>
      <c r="I47" t="inlineStr">
        <is>
          <t>**DESCRIPTION**
---------------
About Sponsored Products and Brands: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About Our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About This Role:  
As a Principal Scientist for the team, you will have the opportunity to apply your deep subject matter expertise in the area of ML, LLM and GenAI models. You will invent new product experiences that enable novel advertiser and shopper experiences. This role will liaise with internal Amazon partners and work on bringing state\-of\-the\-art GenAI models to production, and stay abreast of the latest developments in the space of GenAI and identify opportunities to improve the efficiency and productivity of the team. Additionally, you will define a long\-term science vision for our advertising business, driven by our customer’s needs, and translate it into actionable plans for our team of applied scientists and engineers.  
This role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org.  
* Develop AI solutions for Sponsored Brands advertiser and shopper experiences. Build monetization and optimization systems that leverage generative models to value and improve campaign performance.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Design and conduct A/B experiments to evaluate proposed solutions based on in\-depth data analyses.
* Effectively communicate technical and non\-technical ideas with teammates and stakeholders.
* Stay up\-to\-date with advancements and the latest modeling techniques in the field.
* Think big about the arc of development of Gen AI over a multi\-year horizon and identify new opportunities to apply these technologies to solve real\-world problems.
\#GenAI**BASIC QUALIFICATIONS**
------------------------
* PhD in Computer Science, Statistics or related field.
* 10\+ years of programming in Java, Python or related language.
* 10\+ years of applied ML experience in building complex, real\-time systems involving AI, ML with successful delivery to customers.
* 3\+ years in LLMs, model fine tuning and prompt engineering.
* 3\+ years in digital advertising technology.
**PREFERRED QUALIFICATIONS**
----------------------------
* Demonstrated track record of innovative AI solution development.
* Experience with generative model architectures.
* Research publications or patents in generative AI technologies.
* Experience in Reinforcement Learning from Human Feedback (RLHF), Retrieval\-Augmented Generation (RAG) and AI model trade\-offs (e.g., model size, latency, cost, and output quality).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8">
      <c r="A48" t="inlineStr">
        <is>
          <t>in-537a16d244522356</t>
        </is>
      </c>
      <c r="B48" t="inlineStr">
        <is>
          <t>Applied Scientist, Personalization, DTx Science</t>
        </is>
      </c>
      <c r="C48" t="inlineStr">
        <is>
          <t>Amazon.com</t>
        </is>
      </c>
      <c r="D48" t="inlineStr">
        <is>
          <t>indeed</t>
        </is>
      </c>
      <c r="E48">
        <f>HYPERLINK("https://www.indeed.com/viewjob?jk=537a16d244522356", "https://www.indeed.com/viewjob?jk=537a16d244522356")</f>
        <v/>
      </c>
      <c r="F48">
        <f>HYPERLINK("https://www.amazon.jobs/jobs/3136853/applied-scientist-personalization-dtx-science?cmpid=DA_INAD200785B", "https://www.amazon.jobs/jobs/3136853/applied-scientist-personalization-dtx-science?cmpid=DA_INAD200785B")</f>
        <v/>
      </c>
      <c r="G48" t="inlineStr">
        <is>
          <t>New York, NY, US</t>
        </is>
      </c>
      <c r="H48" s="2" t="n">
        <v>45979</v>
      </c>
      <c r="I48" t="inlineStr">
        <is>
          <t>**DESCRIPTION**
---------------
Amazon Advertising is one of Amazon's fastest growing and most profitable businesses, responsible for defining and delivering a collection of advertising products that drive discovery and sales. Our products and solutions are strategically important to enable our Retail and Marketplace businesses to drive long\-term growth. We deliver billions of ad impressions and millions of clicks and break fresh ground in product and technical innovations every day!  
Our team owns personalization, guidance and experimentation science and is placed centrally in the organization which owns the Amazon Advertising Console from UX design to components and services. We leverage a breadth of state\-of\-the\-art techniques such as deep learning, reinforcement learning, LLMs, long term causal modeling as well as sophisticated A/B testing to develop personalized experiences with directly quantifiable business and advertiser success outcomes. We are looking for an accomplished machine learning expert to lead the Applied Science strategy for our recommendation creation and recommendation personalziation program.
In this role, you will work closely with business leaders, stakeholders and cross\-functional teams to drive program success through ML\-driven solutions. You will shape the applied science roadmap, promote a culture of data\-driven decision\-making, and deliver significant business impact for millions of advertisers worldwide and the company using advanced data techniques and applied science methodologies.  
Key job responsibilities  
As an Applied Scientist on this team, you will  
* Serve as the technical leader in Machine Learning, driving collaboration between scientists and engineers, guiding efforts within the team and collaborating with other teams.
* Conduct hands\-on analysis and modeling of large\-scale data to generate insights that boost ads revenue while maintaining a positive advertiser and shopper experience.
* Lead end\-to\-end Machine Learning projects that involve high levels of ambiguity, scale, and complexity.
* Build, experiment, optimize, and deploy machine learning models, collaborating with software engineers to bring your models into production.
* Run A/B experiments, gather data, and perform statistical analysis to validate your models.
* Develop scalable and automated processes for large\-scale data analysis, model development, validation, and serving.
* Explore and research innovative machine learning approaches to push the boundaries of what’s possible.
**BASIC QUALIFICATIONS**
------------------------
* 3\+ years of building models for business application experience
* PhD, or Master's degree and 5\+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49">
      <c r="A49" t="inlineStr">
        <is>
          <t>in-1c2aebfeb3526076</t>
        </is>
      </c>
      <c r="B49" t="inlineStr">
        <is>
          <t>Applied Scientist, Personalization, DTx Science</t>
        </is>
      </c>
      <c r="C49" t="inlineStr">
        <is>
          <t>Amazon.com</t>
        </is>
      </c>
      <c r="D49" t="inlineStr">
        <is>
          <t>indeed</t>
        </is>
      </c>
      <c r="E49">
        <f>HYPERLINK("https://www.indeed.com/viewjob?jk=1c2aebfeb3526076", "https://www.indeed.com/viewjob?jk=1c2aebfeb3526076")</f>
        <v/>
      </c>
      <c r="F49">
        <f>HYPERLINK("https://www.amazon.jobs/jobs/3136853/applied-scientist-personalization-dtx-science?cmpid=DA_INAD200785B", "https://www.amazon.jobs/jobs/3136853/applied-scientist-personalization-dtx-science?cmpid=DA_INAD200785B")</f>
        <v/>
      </c>
      <c r="G49" t="inlineStr">
        <is>
          <t>Seattle, WA, US</t>
        </is>
      </c>
      <c r="H49" s="2" t="n">
        <v>45979</v>
      </c>
      <c r="I49" t="inlineStr">
        <is>
          <t>**DESCRIPTION**
---------------
Amazon Advertising is one of Amazon's fastest growing and most profitable businesses, responsible for defining and delivering a collection of advertising products that drive discovery and sales. Our products and solutions are strategically important to enable our Retail and Marketplace businesses to drive long\-term growth. We deliver billions of ad impressions and millions of clicks and break fresh ground in product and technical innovations every day!  
Our team owns personalization, guidance and experimentation science and is placed centrally in the organization which owns the Amazon Advertising Console from UX design to components and services. We leverage a breadth of state\-of\-the\-art techniques such as deep learning, reinforcement learning, LLMs, long term causal modeling as well as sophisticated A/B testing to develop personalized experiences with directly quantifiable business and advertiser success outcomes. We are looking for an accomplished machine learning expert to lead the Applied Science strategy for our recommendation creation and recommendation personalziation program.
In this role, you will work closely with business leaders, stakeholders and cross\-functional teams to drive program success through ML\-driven solutions. You will shape the applied science roadmap, promote a culture of data\-driven decision\-making, and deliver significant business impact for millions of advertisers worldwide and the company using advanced data techniques and applied science methodologies.  
Key job responsibilities  
As an Applied Scientist on this team, you will  
* Serve as the technical leader in Machine Learning, driving collaboration between scientists and engineers, guiding efforts within the team and collaborating with other teams.
* Conduct hands\-on analysis and modeling of large\-scale data to generate insights that boost ads revenue while maintaining a positive advertiser and shopper experience.
* Lead end\-to\-end Machine Learning projects that involve high levels of ambiguity, scale, and complexity.
* Build, experiment, optimize, and deploy machine learning models, collaborating with software engineers to bring your models into production.
* Run A/B experiments, gather data, and perform statistical analysis to validate your models.
* Develop scalable and automated processes for large\-scale data analysis, model development, validation, and serving.
* Explore and research innovative machine learning approaches to push the boundaries of what’s possible.
**BASIC QUALIFICATIONS**
------------------------
* 3\+ years of building models for business application experience
* PhD, or Master's degree and 5\+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50">
      <c r="A50" t="inlineStr">
        <is>
          <t>in-396270c1a9b067d4</t>
        </is>
      </c>
      <c r="B50" t="inlineStr">
        <is>
          <t>Senior Applied Scientist, Sponsored Products and Brands</t>
        </is>
      </c>
      <c r="C50" t="inlineStr">
        <is>
          <t>Amazon.com</t>
        </is>
      </c>
      <c r="D50" t="inlineStr">
        <is>
          <t>indeed</t>
        </is>
      </c>
      <c r="E50">
        <f>HYPERLINK("https://www.indeed.com/viewjob?jk=396270c1a9b067d4", "https://www.indeed.com/viewjob?jk=396270c1a9b067d4")</f>
        <v/>
      </c>
      <c r="F50">
        <f>HYPERLINK("https://www.amazon.jobs/jobs/3130062/senior-applied-scientist-sponsored-products-and-brands?cmpid=DA_INAD200785B", "https://www.amazon.jobs/jobs/3130062/senior-applied-scientist-sponsored-products-and-brands?cmpid=DA_INAD200785B")</f>
        <v/>
      </c>
      <c r="G50" t="inlineStr">
        <is>
          <t>Seattle, WA, US</t>
        </is>
      </c>
      <c r="H50" s="2" t="n">
        <v>45979</v>
      </c>
      <c r="I50" t="inlineStr">
        <is>
          <t>**DESCRIPTION**
---------------
The Sponsored Products and Brands team at Amazon Ads is re\-imagining the advertising landscape through novel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ecosystem. If you're energized by solving complex challenges and pushing the boundaries of what's possible with AI, join us in shaping the future of advertising.  
Key job responsibilities  
As an applied scientist on our team, you will  
* Develop AI solutions for Sponsored Brands advertiser and shopper experiences. Build recommendation systems that leverage generative models to develop and improve campaigns.
* You invent and design new solutions for scientifically\-complex problem areas and/or opportunities in new business initiatives.
* You drive or heavily influence the design of scientifically\-complex software solutions or systems, for which you personally write significant parts of the critical scientific novelty. You take ownership of these components, providing a system\-wide view and design guidance. These systems or solutions can be brand new or evolve from existing ones.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Work closely with engineers and product managers to design, implement and launch AI solutions end\-to\-end;
* Design and conduct A/B experiments to evaluate proposed solutions based on in\-depth data analyses;
* Think big about the arc of development of Gen AI over a multi\-year horizon, and identify new opportunities to apply these technologies to solve real\-world problems
* Effectively communicate technical and non\-technical ideas with teammates and stakeholders;
* Translate complex scientific challenges into clear and impactful solutions for business stakeholders.
* Mentor and guide junior scientists, fostering a collaborative and high\-performing team culture.
* Stay up\-to\-date with advancements and the latest modeling techniques in the field
About the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\#GenAI**BASIC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 Deep curiosity, and basic knowledge on Gen AI
* Deep curiosity, and basic knowledge on Gen AI
**PREFERRED QUALIFICATIONS**
----------------------------
* Experience with modeling tools such as R, scikit\-learn, Spark MLLib, MxNet, Tensorflow, numpy, scipy etc.
* Experience with large scale distributed systems such as Hadoop, Spark etc.
* Previous work on agents or LLMs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WA, Seattle \- 167,100\.00 \- 226,100\.00 USD annually</t>
        </is>
      </c>
    </row>
    <row r="51">
      <c r="A51" t="inlineStr">
        <is>
          <t>in-0164f06ba1e6ea87</t>
        </is>
      </c>
      <c r="B51" t="inlineStr">
        <is>
          <t>Senior Applied Scientist, Sponsored Products and Brands</t>
        </is>
      </c>
      <c r="C51" t="inlineStr">
        <is>
          <t>Amazon.com</t>
        </is>
      </c>
      <c r="D51" t="inlineStr">
        <is>
          <t>indeed</t>
        </is>
      </c>
      <c r="E51">
        <f>HYPERLINK("https://www.indeed.com/viewjob?jk=0164f06ba1e6ea87", "https://www.indeed.com/viewjob?jk=0164f06ba1e6ea87")</f>
        <v/>
      </c>
      <c r="F51">
        <f>HYPERLINK("https://www.amazon.jobs/jobs/3130062/senior-applied-scientist-sponsored-products-and-brands?cmpid=DA_INAD200785B", "https://www.amazon.jobs/jobs/3130062/senior-applied-scientist-sponsored-products-and-brands?cmpid=DA_INAD200785B")</f>
        <v/>
      </c>
      <c r="G51" t="inlineStr">
        <is>
          <t>New York, NY, US</t>
        </is>
      </c>
      <c r="H51" s="2" t="n">
        <v>45979</v>
      </c>
      <c r="I51" t="inlineStr">
        <is>
          <t>**DESCRIPTION**
---------------
The Sponsored Products and Brands team at Amazon Ads is re\-imagining the advertising landscape through novel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ecosystem. If you're energized by solving complex challenges and pushing the boundaries of what's possible with AI, join us in shaping the future of advertising.  
Key job responsibilities  
As an applied scientist on our team, you will  
* Develop AI solutions for Sponsored Brands advertiser and shopper experiences. Build recommendation systems that leverage generative models to develop and improve campaigns.
* You invent and design new solutions for scientifically\-complex problem areas and/or opportunities in new business initiatives.
* You drive or heavily influence the design of scientifically\-complex software solutions or systems, for which you personally write significant parts of the critical scientific novelty. You take ownership of these components, providing a system\-wide view and design guidance. These systems or solutions can be brand new or evolve from existing ones.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Work closely with engineers and product managers to design, implement and launch AI solutions end\-to\-end;
* Design and conduct A/B experiments to evaluate proposed solutions based on in\-depth data analyses;
* Think big about the arc of development of Gen AI over a multi\-year horizon, and identify new opportunities to apply these technologies to solve real\-world problems
* Effectively communicate technical and non\-technical ideas with teammates and stakeholders;
* Translate complex scientific challenges into clear and impactful solutions for business stakeholders.
* Mentor and guide junior scientists, fostering a collaborative and high\-performing team culture.
* Stay up\-to\-date with advancements and the latest modeling techniques in the field
About the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\#GenAI**BASIC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 Deep curiosity, and basic knowledge on Gen AI
* Deep curiosity, and basic knowledge on Gen AI
**PREFERRED QUALIFICATIONS**
----------------------------
* Experience with modeling tools such as R, scikit\-learn, Spark MLLib, MxNet, Tensorflow, numpy, scipy etc.
* Experience with large scale distributed systems such as Hadoop, Spark etc.
* Previous work on agents or LLMs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WA, Seattle \- 167,100\.00 \- 226,100\.00 USD annually</t>
        </is>
      </c>
    </row>
    <row r="52">
      <c r="A52" t="inlineStr">
        <is>
          <t>in-04b565d72dcd4e4e</t>
        </is>
      </c>
      <c r="B52" t="inlineStr">
        <is>
          <t>Principal Applied Scientist, Amazon AGI</t>
        </is>
      </c>
      <c r="C52" t="inlineStr">
        <is>
          <t>Amazon.com</t>
        </is>
      </c>
      <c r="D52" t="inlineStr">
        <is>
          <t>indeed</t>
        </is>
      </c>
      <c r="E52">
        <f>HYPERLINK("https://www.indeed.com/viewjob?jk=04b565d72dcd4e4e", "https://www.indeed.com/viewjob?jk=04b565d72dcd4e4e")</f>
        <v/>
      </c>
      <c r="F52">
        <f>HYPERLINK("https://www.amazon.jobs/jobs/3128808/principal-applied-scientist-amazon-agi?cmpid=DA_INAD200785B", "https://www.amazon.jobs/jobs/3128808/principal-applied-scientist-amazon-agi?cmpid=DA_INAD200785B")</f>
        <v/>
      </c>
      <c r="G52" t="inlineStr">
        <is>
          <t>San Francisco, CA, US</t>
        </is>
      </c>
      <c r="H52" s="2" t="n">
        <v>45964</v>
      </c>
      <c r="I52" t="inlineStr">
        <is>
          <t>**DESCRIPTION**
---------------
The Artificial General Intelligence (AGI) team is looking for a passionate, talented, and inventive Principal Applied Scientist with a strong deep learning and generative AI background, to focus on the development of software development skills of Nova foundational models.  
As a Principal Applied Scientist, you are a trusted part of the technical leadership. You bring business and industry context to science and technology decisions. You set the standard for scientific excellence and make decisions that affect the way we build and integrate algorithms. You solicit differing views across the organization and are willing to change your mind as you learn more. Your artifacts are exemplary and often used as reference across organization.  
You are a hands\-on scientific leader. Your solutions are exemplary in terms of algorithm design, clarity, model structure, efficiency, and extensibility. You tackle intrinsically hard problems, acquiring expertise as needed. You decompose complex problems into straightforward solutions.  
You amplify your impact by leading scientific reviews within your organization or at your location. You scrutinize and review experimental design, modeling, verification and other research procedures. You probe assumptions, illuminate pitfalls, and foster shared understanding. You align teams toward coherent strategies. You educate, keeping the scientific community up to date on advanced techniques, state of the art approaches, the latest technologies, and trends. You help managers guide the career growth of other scientists by mentoring and play a significant role in hiring and developing scientists and leads.  
Key job responsibilities  
You will be responsible for defining key research directions, adopting or inventing new machine learning techniques, conducting rigorous experiments, publishing results, and ensuring that research is translated into practice. You will develop long\-term strategies, persuade teams to adopt those strategies, propose goals and deliver on them. You will also participate in organizational planning, hiring, mentorship and leadership development. You will be technically strong and with a passion for building scalable science and engineering solutions. You will serve as a key scientific resource in full\-cycle development (conception, design, implementation, testing to documentation, delivery, and maintenance).
**BASIC QUALIFICATIONS**
------------------------
* 5\+ years of hands\-on work in predictive modeling and analysis experience
* PhD in Electrical Engineering, Computer Science, Mathematics, or a related technical field
* Experience working in predictive modeling and analysis
* Experience distilling informal customer requirements into problem definitions, dealing with ambiguity and competing objectives
* Experience programming in Java, C\+\+, Python or related language
* Experience with leading experienced scientists as well as having a record of developing junior members from academia or industry to a career track in a business environment
**PREFERRED QUALIFICATIONS**
----------------------------
* 10\+ years of relevant work in industry or academia experience
* Knowledge of problem solving, algorithm design and complexity analysis
* Experience creating novel algorithms and advancing the state of the art
* Have peer\-reviewed scientific contributions in premier journals and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3">
      <c r="A53" t="inlineStr">
        <is>
          <t>in-1a8cf04b32051abf</t>
        </is>
      </c>
      <c r="B53" t="inlineStr">
        <is>
          <t>Principal Applied Scientist, Amazon AGI</t>
        </is>
      </c>
      <c r="C53" t="inlineStr">
        <is>
          <t>Amazon.com</t>
        </is>
      </c>
      <c r="D53" t="inlineStr">
        <is>
          <t>indeed</t>
        </is>
      </c>
      <c r="E53">
        <f>HYPERLINK("https://www.indeed.com/viewjob?jk=1a8cf04b32051abf", "https://www.indeed.com/viewjob?jk=1a8cf04b32051abf")</f>
        <v/>
      </c>
      <c r="F53">
        <f>HYPERLINK("https://www.amazon.jobs/jobs/3128808/principal-applied-scientist-amazon-agi?cmpid=DA_INAD200785B", "https://www.amazon.jobs/jobs/3128808/principal-applied-scientist-amazon-agi?cmpid=DA_INAD200785B")</f>
        <v/>
      </c>
      <c r="G53" t="inlineStr">
        <is>
          <t>Boston, MA, US</t>
        </is>
      </c>
      <c r="H53" s="2" t="n">
        <v>45964</v>
      </c>
      <c r="I53" t="inlineStr">
        <is>
          <t>**DESCRIPTION**
---------------
The Artificial General Intelligence (AGI) team is looking for a passionate, talented, and inventive Principal Applied Scientist with a strong deep learning and generative AI background, to focus on the development of software development skills of Nova foundational models.  
As a Principal Applied Scientist, you are a trusted part of the technical leadership. You bring business and industry context to science and technology decisions. You set the standard for scientific excellence and make decisions that affect the way we build and integrate algorithms. You solicit differing views across the organization and are willing to change your mind as you learn more. Your artifacts are exemplary and often used as reference across organization.  
You are a hands\-on scientific leader. Your solutions are exemplary in terms of algorithm design, clarity, model structure, efficiency, and extensibility. You tackle intrinsically hard problems, acquiring expertise as needed. You decompose complex problems into straightforward solutions.  
You amplify your impact by leading scientific reviews within your organization or at your location. You scrutinize and review experimental design, modeling, verification and other research procedures. You probe assumptions, illuminate pitfalls, and foster shared understanding. You align teams toward coherent strategies. You educate, keeping the scientific community up to date on advanced techniques, state of the art approaches, the latest technologies, and trends. You help managers guide the career growth of other scientists by mentoring and play a significant role in hiring and developing scientists and leads.  
Key job responsibilities  
You will be responsible for defining key research directions, adopting or inventing new machine learning techniques, conducting rigorous experiments, publishing results, and ensuring that research is translated into practice. You will develop long\-term strategies, persuade teams to adopt those strategies, propose goals and deliver on them. You will also participate in organizational planning, hiring, mentorship and leadership development. You will be technically strong and with a passion for building scalable science and engineering solutions. You will serve as a key scientific resource in full\-cycle development (conception, design, implementation, testing to documentation, delivery, and maintenance).
**BASIC QUALIFICATIONS**
------------------------
* 5\+ years of hands\-on work in predictive modeling and analysis experience
* PhD in Electrical Engineering, Computer Science, Mathematics, or a related technical field
* Experience working in predictive modeling and analysis
* Experience distilling informal customer requirements into problem definitions, dealing with ambiguity and competing objectives
* Experience programming in Java, C\+\+, Python or related language
* Experience with leading experienced scientists as well as having a record of developing junior members from academia or industry to a career track in a business environment
**PREFERRED QUALIFICATIONS**
----------------------------
* 10\+ years of relevant work in industry or academia experience
* Knowledge of problem solving, algorithm design and complexity analysis
* Experience creating novel algorithms and advancing the state of the art
* Have peer\-reviewed scientific contributions in premier journals and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4">
      <c r="A54" t="inlineStr">
        <is>
          <t>in-430802ebfcc08d68</t>
        </is>
      </c>
      <c r="B54" t="inlineStr">
        <is>
          <t>Applied Scientist, AWS Agentic AI</t>
        </is>
      </c>
      <c r="C54" t="inlineStr">
        <is>
          <t>Amazon Web Services</t>
        </is>
      </c>
      <c r="D54" t="inlineStr">
        <is>
          <t>indeed</t>
        </is>
      </c>
      <c r="E54">
        <f>HYPERLINK("https://www.indeed.com/viewjob?jk=430802ebfcc08d68", "https://www.indeed.com/viewjob?jk=430802ebfcc08d68")</f>
        <v/>
      </c>
      <c r="F54">
        <f>HYPERLINK("https://www.amazon.jobs/jobs/3141517/applied-scientist-aws-agentic-ai-?cmpid=DA_INAD200785B", "https://www.amazon.jobs/jobs/3141517/applied-scientist-aws-agentic-ai-?cmpid=DA_INAD200785B")</f>
        <v/>
      </c>
      <c r="G54" t="inlineStr">
        <is>
          <t>New York, NY, US</t>
        </is>
      </c>
      <c r="H54" s="2" t="n">
        <v>45962</v>
      </c>
      <c r="I54" t="inlineStr">
        <is>
          <t>**DESCRIPTION**
---------------
Amazon Agentic AI is looking for motivated scientists to join its newly created org focusing on agentic AI. This group is entrusted with developing core natural language processing, agents, generative AI, AI reasoning and planning, and model training for AWS, with a focus on code development, broadly defined. You will invent, implement, and deploy state of the art deep learning algorithms and systems. You will build prototypes and explore conceptually new solutions. You will interact closely with our customers and with the academic community. You will be at the heart of a growing and exciting focus area for AWS Agentic AI, a generative AI–powered assistant for enterprise computing, and work with other acclaimed engineers and world famous scientists.  
As an Applied Scientist, you are recognized for your expertise, advise team members on a range of machine learning topics, and work closely with software engineers to drive the delivery of end\-to\-end modeling solutions. Your work focuses on ambiguous problem areas where the business problem or opportunity may not yet be defined. The problems that you take on require scientific breakthroughs.  
You take a long\-term view of the business objectives, product roadmaps, technologies, and how they should evolve. You drive mindful discussions with customers, engineers, and scientist peers. You bring perspective and provide context for current technology choices, and make recommendations on the right modeling and component design approach to achieve the desired customer experience and business outcome.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5">
      <c r="A55" t="inlineStr">
        <is>
          <t>in-076c7942821c4731</t>
        </is>
      </c>
      <c r="B55" t="inlineStr">
        <is>
          <t>Applied Scientist, AWS Agentic AI</t>
        </is>
      </c>
      <c r="C55" t="inlineStr">
        <is>
          <t>Amazon Web Services</t>
        </is>
      </c>
      <c r="D55" t="inlineStr">
        <is>
          <t>indeed</t>
        </is>
      </c>
      <c r="E55">
        <f>HYPERLINK("https://www.indeed.com/viewjob?jk=076c7942821c4731", "https://www.indeed.com/viewjob?jk=076c7942821c4731")</f>
        <v/>
      </c>
      <c r="F55">
        <f>HYPERLINK("https://www.amazon.jobs/jobs/3141517/applied-scientist-aws-agentic-ai-?cmpid=DA_INAD200785B", "https://www.amazon.jobs/jobs/3141517/applied-scientist-aws-agentic-ai-?cmpid=DA_INAD200785B")</f>
        <v/>
      </c>
      <c r="G55" t="inlineStr">
        <is>
          <t>Seattle, WA, US</t>
        </is>
      </c>
      <c r="H55" s="2" t="n">
        <v>45962</v>
      </c>
      <c r="I55" t="inlineStr">
        <is>
          <t>**DESCRIPTION**
---------------
Amazon Agentic AI is looking for motivated scientists to join its newly created org focusing on agentic AI. This group is entrusted with developing core natural language processing, agents, generative AI, AI reasoning and planning, and model training for AWS, with a focus on code development, broadly defined. You will invent, implement, and deploy state of the art deep learning algorithms and systems. You will build prototypes and explore conceptually new solutions. You will interact closely with our customers and with the academic community. You will be at the heart of a growing and exciting focus area for AWS Agentic AI, a generative AI–powered assistant for enterprise computing, and work with other acclaimed engineers and world famous scientists.  
As an Applied Scientist, you are recognized for your expertise, advise team members on a range of machine learning topics, and work closely with software engineers to drive the delivery of end\-to\-end modeling solutions. Your work focuses on ambiguous problem areas where the business problem or opportunity may not yet be defined. The problems that you take on require scientific breakthroughs.  
You take a long\-term view of the business objectives, product roadmaps, technologies, and how they should evolve. You drive mindful discussions with customers, engineers, and scientist peers. You bring perspective and provide context for current technology choices, and make recommendations on the right modeling and component design approach to achieve the desired customer experience and business outcome.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6">
      <c r="A56" t="inlineStr">
        <is>
          <t>in-59b2767653af3178</t>
        </is>
      </c>
      <c r="B56" t="inlineStr">
        <is>
          <t>Applied Scientist, AWS Agentic AI</t>
        </is>
      </c>
      <c r="C56" t="inlineStr">
        <is>
          <t>Amazon Web Services</t>
        </is>
      </c>
      <c r="D56" t="inlineStr">
        <is>
          <t>indeed</t>
        </is>
      </c>
      <c r="E56">
        <f>HYPERLINK("https://www.indeed.com/viewjob?jk=59b2767653af3178", "https://www.indeed.com/viewjob?jk=59b2767653af3178")</f>
        <v/>
      </c>
      <c r="F56">
        <f>HYPERLINK("https://www.amazon.jobs/jobs/3141517/applied-scientist-aws-agentic-ai-?cmpid=DA_INAD200785B", "https://www.amazon.jobs/jobs/3141517/applied-scientist-aws-agentic-ai-?cmpid=DA_INAD200785B")</f>
        <v/>
      </c>
      <c r="G56" t="inlineStr">
        <is>
          <t>Santa Clara, CA, US</t>
        </is>
      </c>
      <c r="H56" s="2" t="n">
        <v>45962</v>
      </c>
      <c r="I56" t="inlineStr">
        <is>
          <t>**DESCRIPTION**
---------------
Amazon Agentic AI is looking for motivated scientists to join its newly created org focusing on agentic AI. This group is entrusted with developing core natural language processing, agents, generative AI, AI reasoning and planning, and model training for AWS, with a focus on code development, broadly defined. You will invent, implement, and deploy state of the art deep learning algorithms and systems. You will build prototypes and explore conceptually new solutions. You will interact closely with our customers and with the academic community. You will be at the heart of a growing and exciting focus area for AWS Agentic AI, a generative AI–powered assistant for enterprise computing, and work with other acclaimed engineers and world famous scientists.  
As an Applied Scientist, you are recognized for your expertise, advise team members on a range of machine learning topics, and work closely with software engineers to drive the delivery of end\-to\-end modeling solutions. Your work focuses on ambiguous problem areas where the business problem or opportunity may not yet be defined. The problems that you take on require scientific breakthroughs.  
You take a long\-term view of the business objectives, product roadmaps, technologies, and how they should evolve. You drive mindful discussions with customers, engineers, and scientist peers. You bring perspective and provide context for current technology choices, and make recommendations on the right modeling and component design approach to achieve the desired customer experience and business outcome.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7">
      <c r="A57" t="inlineStr">
        <is>
          <t>in-37fe8a24580707c3</t>
        </is>
      </c>
      <c r="B57" t="inlineStr">
        <is>
          <t>Applied Scientist, Prime Video - Content Understanding, Localization &amp; Enrichment Team</t>
        </is>
      </c>
      <c r="C57" t="inlineStr">
        <is>
          <t>Amazon.com</t>
        </is>
      </c>
      <c r="D57" t="inlineStr">
        <is>
          <t>indeed</t>
        </is>
      </c>
      <c r="E57">
        <f>HYPERLINK("https://www.indeed.com/viewjob?jk=37fe8a24580707c3", "https://www.indeed.com/viewjob?jk=37fe8a24580707c3")</f>
        <v/>
      </c>
      <c r="F57">
        <f>HYPERLINK("https://www.amazon.jobs/jobs/3111928/applied-scientist-prime-video--content-understanding-localization--enrichment-team?cmpid=DA_INAD200785B", "https://www.amazon.jobs/jobs/3111928/applied-scientist-prime-video--content-understanding-localization--enrichment-team?cmpid=DA_INAD200785B")</f>
        <v/>
      </c>
      <c r="G57" t="inlineStr">
        <is>
          <t>San Francisco, CA, US</t>
        </is>
      </c>
      <c r="H57" s="2" t="n">
        <v>45943</v>
      </c>
      <c r="I57"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subscriptions such as Apple TV\+, HBO Max, Peacock,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team member,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We are looking for passionate, hard\-working, and talented individuals to help us push the envelope of content localization. We work on a broad array of research areas and applications, including but not limited to multimodal machine translation, speech synthesis, speech analysis, and asset quality assessment. Candidates should be prepared to help drive innovation in one or more areas of machine learning, audio processing, and natural language understanding.  
The ideal candidate would have experience in audio processing, natural language understanding and machine learning. Familiarity with machine translation, foundational models, and speech synthesis will be a plus. As an Applied Scientist, you should be a strong communicator, able to describe scientifically rigorous work to business stakeholders of varying levels of technical sophistication. You will closely partner with the solution development teams, and should be intensely curious about how the research is moving the needle for business. Strong inter\-personal and mentoring skills to develop applied science talent in the team is another important requirement.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\- 171,600\.00 \- 222,200\.00 USD annually  
USA, WA, Seattle \- 142,800\.00 \- 193,200\.00 USD annually</t>
        </is>
      </c>
    </row>
    <row r="58">
      <c r="A58" t="inlineStr">
        <is>
          <t>in-4033cfcdc91852b1</t>
        </is>
      </c>
      <c r="B58" t="inlineStr">
        <is>
          <t>Applied Scientist, Prime Video - Content Understanding, Localization &amp; Enrichment Team</t>
        </is>
      </c>
      <c r="C58" t="inlineStr">
        <is>
          <t>Amazon.com</t>
        </is>
      </c>
      <c r="D58" t="inlineStr">
        <is>
          <t>indeed</t>
        </is>
      </c>
      <c r="E58">
        <f>HYPERLINK("https://www.indeed.com/viewjob?jk=4033cfcdc91852b1", "https://www.indeed.com/viewjob?jk=4033cfcdc91852b1")</f>
        <v/>
      </c>
      <c r="F58">
        <f>HYPERLINK("https://www.amazon.jobs/jobs/3111928/applied-scientist-prime-video--content-understanding-localization--enrichment-team?cmpid=DA_INAD200785B", "https://www.amazon.jobs/jobs/3111928/applied-scientist-prime-video--content-understanding-localization--enrichment-team?cmpid=DA_INAD200785B")</f>
        <v/>
      </c>
      <c r="G58" t="inlineStr">
        <is>
          <t>Seattle, WA, US</t>
        </is>
      </c>
      <c r="H58" s="2" t="n">
        <v>45943</v>
      </c>
      <c r="I58"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subscriptions such as Apple TV\+, HBO Max, Peacock,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team member,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We are looking for passionate, hard\-working, and talented individuals to help us push the envelope of content localization. We work on a broad array of research areas and applications, including but not limited to multimodal machine translation, speech synthesis, speech analysis, and asset quality assessment. Candidates should be prepared to help drive innovation in one or more areas of machine learning, audio processing, and natural language understanding.  
The ideal candidate would have experience in audio processing, natural language understanding and machine learning. Familiarity with machine translation, foundational models, and speech synthesis will be a plus. As an Applied Scientist, you should be a strong communicator, able to describe scientifically rigorous work to business stakeholders of varying levels of technical sophistication. You will closely partner with the solution development teams, and should be intensely curious about how the research is moving the needle for business. Strong inter\-personal and mentoring skills to develop applied science talent in the team is another important requirement.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\- 171,600\.00 \- 222,200\.00 USD annually  
USA, WA, Seattle \- 142,800\.00 \- 193,200\.00 USD annually</t>
        </is>
      </c>
    </row>
    <row r="59">
      <c r="A59" t="inlineStr">
        <is>
          <t>in-a9e8e697def3d5bf</t>
        </is>
      </c>
      <c r="B59" t="inlineStr">
        <is>
          <t>Principal Applied Scientist, Advertiser Growth, Amazon Sponsored Products &amp; Brands</t>
        </is>
      </c>
      <c r="C59" t="inlineStr">
        <is>
          <t>Amazon.com</t>
        </is>
      </c>
      <c r="D59" t="inlineStr">
        <is>
          <t>indeed</t>
        </is>
      </c>
      <c r="E59">
        <f>HYPERLINK("https://www.indeed.com/viewjob?jk=a9e8e697def3d5bf", "https://www.indeed.com/viewjob?jk=a9e8e697def3d5bf")</f>
        <v/>
      </c>
      <c r="F59">
        <f>HYPERLINK("https://www.amazon.jobs/jobs/3115279/principal-applied-scientist-advertiser-growth-amazon-sponsored-products--brands?cmpid=DA_INAD200785B", "https://www.amazon.jobs/jobs/3115279/principal-applied-scientist-advertiser-growth-amazon-sponsored-products--brands?cmpid=DA_INAD200785B")</f>
        <v/>
      </c>
      <c r="G59" t="inlineStr">
        <is>
          <t>New York, NY, US</t>
        </is>
      </c>
      <c r="H59" s="2" t="n">
        <v>45942</v>
      </c>
      <c r="I59" t="inlineStr">
        <is>
          <t>**DESCRIPTION**
---------------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Key job responsibilities  
The Principal Applied Scientist in Advertiser Guidance team will lead 50\+ builders in pioneering a new generation of agentic AI applications for Amazon advertisers. You will define and lead the science roadmap of developing agentic experiences for recommendations and guidance delivered to \+1\.6MM Sponsored Products and Brand advertisers across multiple channels (Ad Console, Sales\-managed, and 3P partners).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As a Principal Scientist, you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the Ads Org.
**BASIC QUALIFICATIONS**
------------------------
* PhD in Computer Science, Statistics or related field.
* 5\+ years of applied ML experience in building customer\-facing recommender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0">
      <c r="A60" t="inlineStr">
        <is>
          <t>in-960d135b65bd6fe0</t>
        </is>
      </c>
      <c r="B60" t="inlineStr">
        <is>
          <t>Principal Applied Scientist, Advertiser Growth, Amazon Sponsored Products &amp; Brands</t>
        </is>
      </c>
      <c r="C60" t="inlineStr">
        <is>
          <t>Amazon.com</t>
        </is>
      </c>
      <c r="D60" t="inlineStr">
        <is>
          <t>indeed</t>
        </is>
      </c>
      <c r="E60">
        <f>HYPERLINK("https://www.indeed.com/viewjob?jk=960d135b65bd6fe0", "https://www.indeed.com/viewjob?jk=960d135b65bd6fe0")</f>
        <v/>
      </c>
      <c r="F60">
        <f>HYPERLINK("https://www.amazon.jobs/jobs/3115279/principal-applied-scientist-advertiser-growth-amazon-sponsored-products--brands?cmpid=DA_INAD200785B", "https://www.amazon.jobs/jobs/3115279/principal-applied-scientist-advertiser-growth-amazon-sponsored-products--brands?cmpid=DA_INAD200785B")</f>
        <v/>
      </c>
      <c r="G60" t="inlineStr">
        <is>
          <t>Seattle, WA, US</t>
        </is>
      </c>
      <c r="H60" s="2" t="n">
        <v>45942</v>
      </c>
      <c r="I60" t="inlineStr">
        <is>
          <t>**DESCRIPTION**
---------------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Key job responsibilities  
The Principal Applied Scientist in Advertiser Guidance team will lead 50\+ builders in pioneering a new generation of agentic AI applications for Amazon advertisers. You will define and lead the science roadmap of developing agentic experiences for recommendations and guidance delivered to \+1\.6MM Sponsored Products and Brand advertisers across multiple channels (Ad Console, Sales\-managed, and 3P partners).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As a Principal Scientist, you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the Ads Org.
**BASIC QUALIFICATIONS**
------------------------
* PhD in Computer Science, Statistics or related field.
* 5\+ years of applied ML experience in building customer\-facing recommender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1">
      <c r="A61" t="inlineStr">
        <is>
          <t>in-879fbb32a28baaea</t>
        </is>
      </c>
      <c r="B61" t="inlineStr">
        <is>
          <t>Principal Applied Scientist, Advertiser Growth, Amazon Sponsored Products &amp; Brands</t>
        </is>
      </c>
      <c r="C61" t="inlineStr">
        <is>
          <t>Amazon.com</t>
        </is>
      </c>
      <c r="D61" t="inlineStr">
        <is>
          <t>indeed</t>
        </is>
      </c>
      <c r="E61">
        <f>HYPERLINK("https://www.indeed.com/viewjob?jk=879fbb32a28baaea", "https://www.indeed.com/viewjob?jk=879fbb32a28baaea")</f>
        <v/>
      </c>
      <c r="F61">
        <f>HYPERLINK("https://www.amazon.jobs/jobs/3115279/principal-applied-scientist-advertiser-growth-amazon-sponsored-products--brands?cmpid=DA_INAD200785B", "https://www.amazon.jobs/jobs/3115279/principal-applied-scientist-advertiser-growth-amazon-sponsored-products--brands?cmpid=DA_INAD200785B")</f>
        <v/>
      </c>
      <c r="G61" t="inlineStr">
        <is>
          <t>Palo Alto, CA, US</t>
        </is>
      </c>
      <c r="H61" s="2" t="n">
        <v>45942</v>
      </c>
      <c r="I61" t="inlineStr">
        <is>
          <t>**DESCRIPTION**
---------------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Key job responsibilities  
The Principal Applied Scientist in Advertiser Guidance team will lead 50\+ builders in pioneering a new generation of agentic AI applications for Amazon advertisers. You will define and lead the science roadmap of developing agentic experiences for recommendations and guidance delivered to \+1\.6MM Sponsored Products and Brand advertisers across multiple channels (Ad Console, Sales\-managed, and 3P partners).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As a Principal Scientist, you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the Ads Org.
**BASIC QUALIFICATIONS**
------------------------
* PhD in Computer Science, Statistics or related field.
* 5\+ years of applied ML experience in building customer\-facing recommender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2">
      <c r="A62" t="inlineStr">
        <is>
          <t>in-5b92cb1ce681f085</t>
        </is>
      </c>
      <c r="B62" t="inlineStr">
        <is>
          <t>Applied Scientist</t>
        </is>
      </c>
      <c r="C62" t="inlineStr">
        <is>
          <t>Amazon.com</t>
        </is>
      </c>
      <c r="D62" t="inlineStr">
        <is>
          <t>indeed</t>
        </is>
      </c>
      <c r="E62">
        <f>HYPERLINK("https://www.indeed.com/viewjob?jk=5b92cb1ce681f085", "https://www.indeed.com/viewjob?jk=5b92cb1ce681f085")</f>
        <v/>
      </c>
      <c r="F62">
        <f>HYPERLINK("https://www.amazon.jobs/jobs/3106501/applied-scientist?cmpid=DA_INAD200785B", "https://www.amazon.jobs/jobs/3106501/applied-scientist?cmpid=DA_INAD200785B")</f>
        <v/>
      </c>
      <c r="G62" t="inlineStr">
        <is>
          <t>Seattle, WA, US</t>
        </is>
      </c>
      <c r="H62" s="2" t="n">
        <v>45939</v>
      </c>
      <c r="I62" t="inlineStr">
        <is>
          <t>**DESCRIPTION**
---------------
We are looking for a passionate Applied Scientist to help pioneer the next generation of agentic AI applications for Amazon advertisers. In this role, you will design agentic architectures, develop tools and datasets, and contribute to building systems that can reason, plan, and act autonomously across complex advertiser workflows.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Beyond building models, you will advance the agent ecosystem by experimenting with and applying core primitives such as tool orchestration, multi\-step reasoning, and adaptive preference\-driven behavior. This role requires working independently on ambiguous technical problems, collaborating closely with scientists, engineers, and product managers to bring innovative solutions into production.  
Key job responsibilities  
* Design and build agents to guide advertisers in conversational and non\-conversational experience.
* Design and implement advanced model and agent optimization techniques, including supervised fine\-tuning, instruction tuning and preference optimization (e.g., DPO/IPO).
* Curate datasets and tools for MCP.
* Build evaluation pipelines for agent workflows, including automated benchmarks, multi\-step reasoning tests, and safety guardrails.
* Develop agentic architectures (e.g., CoT, ToT, ReAct) that integrate planning, tool use, and long\-horizon reasoning.
* Prototype and iterate on multi\-agent orchestration frameworks and workflows.
* Collaborate with peers across engineering and product to bring scientific innovations into production.
* Stay current with the latest research in LLMs, RL, and agent\-based AI, and translate findings into practical applications.
About the team  
The Sponsored Products and Brands team at Amazon Ads is re\-imagining the advertising landscape through the latest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Advertiser Guidance team within Sponsored Products and Brands is focused on guiding and supporting 1\.6MM advertisers to meet their advertising needs of creating and managing ad campaigns. At this scale, the complexity of diverse advertiser goals, campaign types, and market dynamics creates both a massive technical challenge and a transformative opportunity: even small improvements in guidance systems can have outsized impact on advertiser success and Amazon’s retail ecosystem.  
Our vision is to build a highly personalized, context\-aware agentic advertiser guidance system that leverages LLMs together with tools such as auction simulations, ML models, and optimization algorithms. This agentic framework, will operate across both chat and non\-chat experiences in the ad console, scaling to natural language queries as well as proactively delivering guidance based on deep understanding of the advertiser. To execute this vision, we collaborate closely with stakeholders across Ad Console, Sales, and Marketing to identify opportunities—from high\-level product guidance down to granular keyword recommendations—and deliver them through a tailored, personalized experience. Our work is grounded in state\-of\-the\-art agent architectures, tool integration, reasoning frameworks, and model customization approaches (including tuning, MCP, and preference optimization), ensuring our systems are both scalable and adaptive.**BASIC QUALIFICATIONS**
------------------------
* PhD, or Master's degree and 4\+ years of CS, CE, ML or related field experience
* 3\+ years of building models for business application experience
* Experience programming in Java, C\+\+, Python or related language
* Experience in designing experiments and statistical analysis of results
**PREFERRED QUALIFICATIONS**
----------------------------
* Experience in professional software development
* Experience in state\-of\-the\-art deep learning models architecture design and deep learning training and optimization and model pruning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3">
      <c r="A63" t="inlineStr">
        <is>
          <t>in-833be4d6dcee028d</t>
        </is>
      </c>
      <c r="B63" t="inlineStr">
        <is>
          <t>Sr. Applied Scientist, SPB Advertiser Guidance</t>
        </is>
      </c>
      <c r="C63" t="inlineStr">
        <is>
          <t>Amazon.com</t>
        </is>
      </c>
      <c r="D63" t="inlineStr">
        <is>
          <t>indeed</t>
        </is>
      </c>
      <c r="E63">
        <f>HYPERLINK("https://www.indeed.com/viewjob?jk=833be4d6dcee028d", "https://www.indeed.com/viewjob?jk=833be4d6dcee028d")</f>
        <v/>
      </c>
      <c r="F63">
        <f>HYPERLINK("https://www.amazon.jobs/jobs/3106497/sr-applied-scientist-spb-advertiser-guidance?cmpid=DA_INAD200785B", "https://www.amazon.jobs/jobs/3106497/sr-applied-scientist-spb-advertiser-guidance?cmpid=DA_INAD200785B")</f>
        <v/>
      </c>
      <c r="G63" t="inlineStr">
        <is>
          <t>New York, NY, US</t>
        </is>
      </c>
      <c r="H63" s="2" t="n">
        <v>45939</v>
      </c>
      <c r="I63" t="inlineStr">
        <is>
          <t>**DESCRIPTION**
---------------
We are looking for a passionate Applied Scientist to help pioneer the next generation of agentic AI applications for Amazon advertisers. In this role, you will design agentic architectures, develop tools and datasets, and contribute to building systems that can reason, plan, and act autonomously across complex advertiser workflows.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Beyond building models, you will advance the agent ecosystem by experimenting with and applying core primitives such as tool orchestration, multi\-step reasoning, and adaptive preference\-driven behavior. This role requires working independently on ambiguous technical problems, collaborating closely with scientists, engineers, and product managers to bring innovative solutions into production.  
Key job responsibilities  
* Lead business, science and engineering strategy and roadmap for Sponsored Products Agentic Advertiser Guidance.
* Design and build agents to guide advertisers in conversational and non\-conversational experience.
* Design and implement advanced model and agent optimization techniques, including supervised fine\-tuning, instruction tuning and preference optimization (e.g., DPO/IPO).
* Curate datasets and tools for MCP.
* Build evaluation pipelines for agent workflows, including automated benchmarks, multi\-step reasoning tests, and safety guardrails.
* Develop agentic architectures (e.g., CoT, ToT, ReAct) that integrate planning, tool use, and long\-horizon reasoning.
* Prototype and iterate on multi\-agent orchestration frameworks and workflows.
* Collaborate with peers across engineering and product to bring scientific innovations into production.
* Stay current with the latest research in LLMs, RL, and agent\-based AI, and translate findings into practical applications.
About the team  
The Sponsored Products and Brands team at Amazon Ads is re\-imagining the advertising landscape through the latest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Advertiser Guidance team within Sponsored Products and Brands is focused on guiding and supporting 1\.6MM advertisers to meet their advertising needs of creating and managing ad campaigns. At this scale, the complexity of diverse advertiser goals, campaign types, and market dynamics creates both a massive technical challenge and a transformative opportunity: even small improvements in guidance systems can have outsized impact on advertiser success and Amazon’s retail ecosystem.
Our vision is to build a highly personalized, context\-aware agentic advertiser guidance system that leverages LLMs together with tools such as auction simulations, ML models, and optimization algorithms. This agentic framework, will operate across both chat and non\-chat experiences in the ad console, scaling to natural language queries as well as proactively delivering guidance based on deep understanding of the advertiser. To execute this vision, we collaborate closely with stakeholders across Ad Console, Sales, and Marketing to identify opportunities—from high\-level product guidance down to granular keyword recommendations—and deliver them through a tailored, personalized experience. Our work is grounded in state\-of\-the\-art agent architectures, tool integration, reasoning frameworks, and model customization approaches (including tuning, MCP, and preference optimization), ensuring our systems are both scalable and adaptive.**BASIC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4">
      <c r="A64" t="inlineStr">
        <is>
          <t>in-11f7c729fa7d5325</t>
        </is>
      </c>
      <c r="B64" t="inlineStr">
        <is>
          <t>Applied Scientist</t>
        </is>
      </c>
      <c r="C64" t="inlineStr">
        <is>
          <t>Amazon.com</t>
        </is>
      </c>
      <c r="D64" t="inlineStr">
        <is>
          <t>indeed</t>
        </is>
      </c>
      <c r="E64">
        <f>HYPERLINK("https://www.indeed.com/viewjob?jk=11f7c729fa7d5325", "https://www.indeed.com/viewjob?jk=11f7c729fa7d5325")</f>
        <v/>
      </c>
      <c r="F64">
        <f>HYPERLINK("https://www.amazon.jobs/jobs/3106501/applied-scientist?cmpid=DA_INAD200785B", "https://www.amazon.jobs/jobs/3106501/applied-scientist?cmpid=DA_INAD200785B")</f>
        <v/>
      </c>
      <c r="G64" t="inlineStr">
        <is>
          <t>New York, NY, US</t>
        </is>
      </c>
      <c r="H64" s="2" t="n">
        <v>45939</v>
      </c>
      <c r="I64" t="inlineStr">
        <is>
          <t>**DESCRIPTION**
---------------
We are looking for a passionate Applied Scientist to help pioneer the next generation of agentic AI applications for Amazon advertisers. In this role, you will design agentic architectures, develop tools and datasets, and contribute to building systems that can reason, plan, and act autonomously across complex advertiser workflows.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Beyond building models, you will advance the agent ecosystem by experimenting with and applying core primitives such as tool orchestration, multi\-step reasoning, and adaptive preference\-driven behavior. This role requires working independently on ambiguous technical problems, collaborating closely with scientists, engineers, and product managers to bring innovative solutions into production.  
Key job responsibilities  
* Design and build agents to guide advertisers in conversational and non\-conversational experience.
* Design and implement advanced model and agent optimization techniques, including supervised fine\-tuning, instruction tuning and preference optimization (e.g., DPO/IPO).
* Curate datasets and tools for MCP.
* Build evaluation pipelines for agent workflows, including automated benchmarks, multi\-step reasoning tests, and safety guardrails.
* Develop agentic architectures (e.g., CoT, ToT, ReAct) that integrate planning, tool use, and long\-horizon reasoning.
* Prototype and iterate on multi\-agent orchestration frameworks and workflows.
* Collaborate with peers across engineering and product to bring scientific innovations into production.
* Stay current with the latest research in LLMs, RL, and agent\-based AI, and translate findings into practical applications.
About the team  
The Sponsored Products and Brands team at Amazon Ads is re\-imagining the advertising landscape through the latest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Advertiser Guidance team within Sponsored Products and Brands is focused on guiding and supporting 1\.6MM advertisers to meet their advertising needs of creating and managing ad campaigns. At this scale, the complexity of diverse advertiser goals, campaign types, and market dynamics creates both a massive technical challenge and a transformative opportunity: even small improvements in guidance systems can have outsized impact on advertiser success and Amazon’s retail ecosystem.  
Our vision is to build a highly personalized, context\-aware agentic advertiser guidance system that leverages LLMs together with tools such as auction simulations, ML models, and optimization algorithms. This agentic framework, will operate across both chat and non\-chat experiences in the ad console, scaling to natural language queries as well as proactively delivering guidance based on deep understanding of the advertiser. To execute this vision, we collaborate closely with stakeholders across Ad Console, Sales, and Marketing to identify opportunities—from high\-level product guidance down to granular keyword recommendations—and deliver them through a tailored, personalized experience. Our work is grounded in state\-of\-the\-art agent architectures, tool integration, reasoning frameworks, and model customization approaches (including tuning, MCP, and preference optimization), ensuring our systems are both scalable and adaptive.**BASIC QUALIFICATIONS**
------------------------
* PhD, or Master's degree and 4\+ years of CS, CE, ML or related field experience
* 3\+ years of building models for business application experience
* Experience programming in Java, C\+\+, Python or related language
* Experience in designing experiments and statistical analysis of results
**PREFERRED QUALIFICATIONS**
----------------------------
* Experience in professional software development
* Experience in state\-of\-the\-art deep learning models architecture design and deep learning training and optimization and model pruning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5">
      <c r="A65" t="inlineStr">
        <is>
          <t>in-ca42b010a0eb9630</t>
        </is>
      </c>
      <c r="B65" t="inlineStr">
        <is>
          <t>Sr. Applied Scientist, SPB Advertiser Guidance</t>
        </is>
      </c>
      <c r="C65" t="inlineStr">
        <is>
          <t>Amazon.com</t>
        </is>
      </c>
      <c r="D65" t="inlineStr">
        <is>
          <t>indeed</t>
        </is>
      </c>
      <c r="E65">
        <f>HYPERLINK("https://www.indeed.com/viewjob?jk=ca42b010a0eb9630", "https://www.indeed.com/viewjob?jk=ca42b010a0eb9630")</f>
        <v/>
      </c>
      <c r="F65">
        <f>HYPERLINK("https://www.amazon.jobs/jobs/3106497/sr-applied-scientist-spb-advertiser-guidance?cmpid=DA_INAD200785B", "https://www.amazon.jobs/jobs/3106497/sr-applied-scientist-spb-advertiser-guidance?cmpid=DA_INAD200785B")</f>
        <v/>
      </c>
      <c r="G65" t="inlineStr">
        <is>
          <t>Palo Alto, CA, US</t>
        </is>
      </c>
      <c r="H65" s="2" t="n">
        <v>45939</v>
      </c>
      <c r="I65" t="inlineStr">
        <is>
          <t>**DESCRIPTION**
---------------
We are looking for a passionate Applied Scientist to help pioneer the next generation of agentic AI applications for Amazon advertisers. In this role, you will design agentic architectures, develop tools and datasets, and contribute to building systems that can reason, plan, and act autonomously across complex advertiser workflows.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Beyond building models, you will advance the agent ecosystem by experimenting with and applying core primitives such as tool orchestration, multi\-step reasoning, and adaptive preference\-driven behavior. This role requires working independently on ambiguous technical problems, collaborating closely with scientists, engineers, and product managers to bring innovative solutions into production.  
Key job responsibilities  
* Lead business, science and engineering strategy and roadmap for Sponsored Products Agentic Advertiser Guidance.
* Design and build agents to guide advertisers in conversational and non\-conversational experience.
* Design and implement advanced model and agent optimization techniques, including supervised fine\-tuning, instruction tuning and preference optimization (e.g., DPO/IPO).
* Curate datasets and tools for MCP.
* Build evaluation pipelines for agent workflows, including automated benchmarks, multi\-step reasoning tests, and safety guardrails.
* Develop agentic architectures (e.g., CoT, ToT, ReAct) that integrate planning, tool use, and long\-horizon reasoning.
* Prototype and iterate on multi\-agent orchestration frameworks and workflows.
* Collaborate with peers across engineering and product to bring scientific innovations into production.
* Stay current with the latest research in LLMs, RL, and agent\-based AI, and translate findings into practical applications.
About the team  
The Sponsored Products and Brands team at Amazon Ads is re\-imagining the advertising landscape through the latest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Advertiser Guidance team within Sponsored Products and Brands is focused on guiding and supporting 1\.6MM advertisers to meet their advertising needs of creating and managing ad campaigns. At this scale, the complexity of diverse advertiser goals, campaign types, and market dynamics creates both a massive technical challenge and a transformative opportunity: even small improvements in guidance systems can have outsized impact on advertiser success and Amazon’s retail ecosystem.
Our vision is to build a highly personalized, context\-aware agentic advertiser guidance system that leverages LLMs together with tools such as auction simulations, ML models, and optimization algorithms. This agentic framework, will operate across both chat and non\-chat experiences in the ad console, scaling to natural language queries as well as proactively delivering guidance based on deep understanding of the advertiser. To execute this vision, we collaborate closely with stakeholders across Ad Console, Sales, and Marketing to identify opportunities—from high\-level product guidance down to granular keyword recommendations—and deliver them through a tailored, personalized experience. Our work is grounded in state\-of\-the\-art agent architectures, tool integration, reasoning frameworks, and model customization approaches (including tuning, MCP, and preference optimization), ensuring our systems are both scalable and adaptive.**BASIC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6">
      <c r="A66" t="inlineStr">
        <is>
          <t>in-94881f94eca1065f</t>
        </is>
      </c>
      <c r="B66" t="inlineStr">
        <is>
          <t>Sr. Applied Scientist, SPB Advertiser Guidance</t>
        </is>
      </c>
      <c r="C66" t="inlineStr">
        <is>
          <t>Amazon.com</t>
        </is>
      </c>
      <c r="D66" t="inlineStr">
        <is>
          <t>indeed</t>
        </is>
      </c>
      <c r="E66">
        <f>HYPERLINK("https://www.indeed.com/viewjob?jk=94881f94eca1065f", "https://www.indeed.com/viewjob?jk=94881f94eca1065f")</f>
        <v/>
      </c>
      <c r="F66">
        <f>HYPERLINK("https://www.amazon.jobs/jobs/3106497/sr-applied-scientist-spb-advertiser-guidance?cmpid=DA_INAD200785B", "https://www.amazon.jobs/jobs/3106497/sr-applied-scientist-spb-advertiser-guidance?cmpid=DA_INAD200785B")</f>
        <v/>
      </c>
      <c r="G66" t="inlineStr">
        <is>
          <t>Seattle, WA, US</t>
        </is>
      </c>
      <c r="H66" s="2" t="n">
        <v>45939</v>
      </c>
      <c r="I66" t="inlineStr">
        <is>
          <t>**DESCRIPTION**
---------------
We are looking for a passionate Applied Scientist to help pioneer the next generation of agentic AI applications for Amazon advertisers. In this role, you will design agentic architectures, develop tools and datasets, and contribute to building systems that can reason, plan, and act autonomously across complex advertiser workflows.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Beyond building models, you will advance the agent ecosystem by experimenting with and applying core primitives such as tool orchestration, multi\-step reasoning, and adaptive preference\-driven behavior. This role requires working independently on ambiguous technical problems, collaborating closely with scientists, engineers, and product managers to bring innovative solutions into production.  
Key job responsibilities  
* Lead business, science and engineering strategy and roadmap for Sponsored Products Agentic Advertiser Guidance.
* Design and build agents to guide advertisers in conversational and non\-conversational experience.
* Design and implement advanced model and agent optimization techniques, including supervised fine\-tuning, instruction tuning and preference optimization (e.g., DPO/IPO).
* Curate datasets and tools for MCP.
* Build evaluation pipelines for agent workflows, including automated benchmarks, multi\-step reasoning tests, and safety guardrails.
* Develop agentic architectures (e.g., CoT, ToT, ReAct) that integrate planning, tool use, and long\-horizon reasoning.
* Prototype and iterate on multi\-agent orchestration frameworks and workflows.
* Collaborate with peers across engineering and product to bring scientific innovations into production.
* Stay current with the latest research in LLMs, RL, and agent\-based AI, and translate findings into practical applications.
About the team  
The Sponsored Products and Brands team at Amazon Ads is re\-imagining the advertising landscape through the latest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Advertiser Guidance team within Sponsored Products and Brands is focused on guiding and supporting 1\.6MM advertisers to meet their advertising needs of creating and managing ad campaigns. At this scale, the complexity of diverse advertiser goals, campaign types, and market dynamics creates both a massive technical challenge and a transformative opportunity: even small improvements in guidance systems can have outsized impact on advertiser success and Amazon’s retail ecosystem.
Our vision is to build a highly personalized, context\-aware agentic advertiser guidance system that leverages LLMs together with tools such as auction simulations, ML models, and optimization algorithms. This agentic framework, will operate across both chat and non\-chat experiences in the ad console, scaling to natural language queries as well as proactively delivering guidance based on deep understanding of the advertiser. To execute this vision, we collaborate closely with stakeholders across Ad Console, Sales, and Marketing to identify opportunities—from high\-level product guidance down to granular keyword recommendations—and deliver them through a tailored, personalized experience. Our work is grounded in state\-of\-the\-art agent architectures, tool integration, reasoning frameworks, and model customization approaches (including tuning, MCP, and preference optimization), ensuring our systems are both scalable and adaptive.**BASIC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7">
      <c r="A67" t="inlineStr">
        <is>
          <t>in-c0998d59781081f1</t>
        </is>
      </c>
      <c r="B67" t="inlineStr">
        <is>
          <t>Applied Scientist</t>
        </is>
      </c>
      <c r="C67" t="inlineStr">
        <is>
          <t>Amazon.com</t>
        </is>
      </c>
      <c r="D67" t="inlineStr">
        <is>
          <t>indeed</t>
        </is>
      </c>
      <c r="E67">
        <f>HYPERLINK("https://www.indeed.com/viewjob?jk=c0998d59781081f1", "https://www.indeed.com/viewjob?jk=c0998d59781081f1")</f>
        <v/>
      </c>
      <c r="F67">
        <f>HYPERLINK("https://www.amazon.jobs/jobs/3106501/applied-scientist?cmpid=DA_INAD200785B", "https://www.amazon.jobs/jobs/3106501/applied-scientist?cmpid=DA_INAD200785B")</f>
        <v/>
      </c>
      <c r="G67" t="inlineStr">
        <is>
          <t>Palo Alto, CA, US</t>
        </is>
      </c>
      <c r="H67" s="2" t="n">
        <v>45939</v>
      </c>
      <c r="I67" t="inlineStr">
        <is>
          <t>**DESCRIPTION**
---------------
We are looking for a passionate Applied Scientist to help pioneer the next generation of agentic AI applications for Amazon advertisers. In this role, you will design agentic architectures, develop tools and datasets, and contribute to building systems that can reason, plan, and act autonomously across complex advertiser workflows.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Beyond building models, you will advance the agent ecosystem by experimenting with and applying core primitives such as tool orchestration, multi\-step reasoning, and adaptive preference\-driven behavior. This role requires working independently on ambiguous technical problems, collaborating closely with scientists, engineers, and product managers to bring innovative solutions into production.  
Key job responsibilities  
* Design and build agents to guide advertisers in conversational and non\-conversational experience.
* Design and implement advanced model and agent optimization techniques, including supervised fine\-tuning, instruction tuning and preference optimization (e.g., DPO/IPO).
* Curate datasets and tools for MCP.
* Build evaluation pipelines for agent workflows, including automated benchmarks, multi\-step reasoning tests, and safety guardrails.
* Develop agentic architectures (e.g., CoT, ToT, ReAct) that integrate planning, tool use, and long\-horizon reasoning.
* Prototype and iterate on multi\-agent orchestration frameworks and workflows.
* Collaborate with peers across engineering and product to bring scientific innovations into production.
* Stay current with the latest research in LLMs, RL, and agent\-based AI, and translate findings into practical applications.
About the team  
The Sponsored Products and Brands team at Amazon Ads is re\-imagining the advertising landscape through the latest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The Advertiser Guidance team within Sponsored Products and Brands is focused on guiding and supporting 1\.6MM advertisers to meet their advertising needs of creating and managing ad campaigns. At this scale, the complexity of diverse advertiser goals, campaign types, and market dynamics creates both a massive technical challenge and a transformative opportunity: even small improvements in guidance systems can have outsized impact on advertiser success and Amazon’s retail ecosystem.  
Our vision is to build a highly personalized, context\-aware agentic advertiser guidance system that leverages LLMs together with tools such as auction simulations, ML models, and optimization algorithms. This agentic framework, will operate across both chat and non\-chat experiences in the ad console, scaling to natural language queries as well as proactively delivering guidance based on deep understanding of the advertiser. To execute this vision, we collaborate closely with stakeholders across Ad Console, Sales, and Marketing to identify opportunities—from high\-level product guidance down to granular keyword recommendations—and deliver them through a tailored, personalized experience. Our work is grounded in state\-of\-the\-art agent architectures, tool integration, reasoning frameworks, and model customization approaches (including tuning, MCP, and preference optimization), ensuring our systems are both scalable and adaptive.**BASIC QUALIFICATIONS**
------------------------
* PhD, or Master's degree and 4\+ years of CS, CE, ML or related field experience
* 3\+ years of building models for business application experience
* Experience programming in Java, C\+\+, Python or related language
* Experience in designing experiments and statistical analysis of results
**PREFERRED QUALIFICATIONS**
----------------------------
* Experience in professional software development
* Experience in state\-of\-the\-art deep learning models architecture design and deep learning training and optimization and model pruning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8">
      <c r="A68" t="inlineStr">
        <is>
          <t>in-ab1bdeaa65950282</t>
        </is>
      </c>
      <c r="B68" t="inlineStr">
        <is>
          <t>Applied Scientist, Workplace Health &amp; Safety</t>
        </is>
      </c>
      <c r="C68" t="inlineStr">
        <is>
          <t>Amazon.com</t>
        </is>
      </c>
      <c r="D68" t="inlineStr">
        <is>
          <t>indeed</t>
        </is>
      </c>
      <c r="E68">
        <f>HYPERLINK("https://www.indeed.com/viewjob?jk=ab1bdeaa65950282", "https://www.indeed.com/viewjob?jk=ab1bdeaa65950282")</f>
        <v/>
      </c>
      <c r="F68">
        <f>HYPERLINK("https://www.amazon.jobs/jobs/3144886/applied-scientist-workplace-health--safety-?cmpid=DA_INAD200785B", "https://www.amazon.jobs/jobs/3144886/applied-scientist-workplace-health--safety-?cmpid=DA_INAD200785B")</f>
        <v/>
      </c>
      <c r="G68" t="inlineStr">
        <is>
          <t>Bellevue, WA, US</t>
        </is>
      </c>
      <c r="H68" s="2" t="n">
        <v>45917</v>
      </c>
      <c r="I68" t="inlineStr">
        <is>
          <t>**DESCRIPTION**
---------------
Are you driven by the challenge of solving complex problems that directly impact the safety and well\-being of millions of Amazon Associates worldwide? Do you want to push the boundaries of AI to build innovative solutions that make workplaces safer and more efficient? If so, we invite you to join our WHS DataTech team as an Applied Scientist and take your career to the next level!  
At WHS DataTech, we leverage Large Language Models (LLMs), Computer Vision, and AI\-driven innovations to develop industry\-leading solutions that proactively enhance workplace safety. Our work spans real\-time risk assessment, predictive analytics, and AI\-powered insights, all aimed at creating a safer work environment at scale.  
As an Applied Scientist specializing in LLMs and Computer Vision, you will play a pivotal role in shaping our next\-generation safety solutions. You’ll be at the forefront of innovation, designing and implementing AI\-powered features that redefine workplace safety. Your work will drive strategic decisions, optimize system architecture, and influence best practices, ensuring our technology remains industry\-leading.  
Key job responsibilities  
* Apply LLM model to analyze complex unstructured datasets and extract meaningful insights.
* Collaborate with software engineers to implement and deploy machine learning (LLM or CV) solutions.
* Conduct experiments and evaluate model performance, iterating and improving as needed.
* Stay up\-to\-date with the latest advancements in machine learning and related fields.
* Collaborate with cross\-functional teams to understand business needs and identify areas for application of machine learning.
* Present findings and recommendations to stakeholders and contribute to the overall research and development strategy.
A day in the life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About the team  
WHS DataTech is a multidisciplinary team of scientists and engineers dedicated to building AI\-powered solutions that improve workplace safety across Amazon. We work at the intersection of large\-scale data, advanced machine learning, and computer vision, delivering innovations that enhance decision\-making, streamline operations, and protect millions of associates worldwide. Our collaborative culture emphasizes scientific rigor, engineering excellence, and a strong mission focus on creating safer, more efficient workplaces.**BASIC QUALIFICATIONS**
------------------------
* 3\+ years of building models for business application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 PhD degree in Computer Science or Computer engineering
* A formal PhD degree in Computer Science or Computer engineering or can be replaced by 5 years of relevant experience on top of a MSc, and 7 years on top of a BSc.
**PREFERRED QUALIFICATIONS**
----------------------------
* Experience using Unix/Linux
* Experience in professional software development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9">
      <c r="A69" t="inlineStr">
        <is>
          <t>in-d61d3203bfe80609</t>
        </is>
      </c>
      <c r="B69" t="inlineStr">
        <is>
          <t>Applied Scientist, Workplace Health &amp; Safety</t>
        </is>
      </c>
      <c r="C69" t="inlineStr">
        <is>
          <t>Amazon.com</t>
        </is>
      </c>
      <c r="D69" t="inlineStr">
        <is>
          <t>indeed</t>
        </is>
      </c>
      <c r="E69">
        <f>HYPERLINK("https://www.indeed.com/viewjob?jk=d61d3203bfe80609", "https://www.indeed.com/viewjob?jk=d61d3203bfe80609")</f>
        <v/>
      </c>
      <c r="F69">
        <f>HYPERLINK("https://www.amazon.jobs/jobs/3144886/applied-scientist-workplace-health--safety-?cmpid=DA_INAD200785B", "https://www.amazon.jobs/jobs/3144886/applied-scientist-workplace-health--safety-?cmpid=DA_INAD200785B")</f>
        <v/>
      </c>
      <c r="G69" t="inlineStr">
        <is>
          <t>Nashville, TN, US</t>
        </is>
      </c>
      <c r="H69" s="2" t="n">
        <v>45917</v>
      </c>
      <c r="I69" t="inlineStr">
        <is>
          <t>**DESCRIPTION**
---------------
Are you driven by the challenge of solving complex problems that directly impact the safety and well\-being of millions of Amazon Associates worldwide? Do you want to push the boundaries of AI to build innovative solutions that make workplaces safer and more efficient? If so, we invite you to join our WHS DataTech team as an Applied Scientist and take your career to the next level!  
At WHS DataTech, we leverage Large Language Models (LLMs), Computer Vision, and AI\-driven innovations to develop industry\-leading solutions that proactively enhance workplace safety. Our work spans real\-time risk assessment, predictive analytics, and AI\-powered insights, all aimed at creating a safer work environment at scale.  
As an Applied Scientist specializing in LLMs and Computer Vision, you will play a pivotal role in shaping our next\-generation safety solutions. You’ll be at the forefront of innovation, designing and implementing AI\-powered features that redefine workplace safety. Your work will drive strategic decisions, optimize system architecture, and influence best practices, ensuring our technology remains industry\-leading.  
Key job responsibilities  
* Apply LLM model to analyze complex unstructured datasets and extract meaningful insights.
* Collaborate with software engineers to implement and deploy machine learning (LLM or CV) solutions.
* Conduct experiments and evaluate model performance, iterating and improving as needed.
* Stay up\-to\-date with the latest advancements in machine learning and related fields.
* Collaborate with cross\-functional teams to understand business needs and identify areas for application of machine learning.
* Present findings and recommendations to stakeholders and contribute to the overall research and development strategy.
A day in the life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About the team  
WHS DataTech is a multidisciplinary team of scientists and engineers dedicated to building AI\-powered solutions that improve workplace safety across Amazon. We work at the intersection of large\-scale data, advanced machine learning, and computer vision, delivering innovations that enhance decision\-making, streamline operations, and protect millions of associates worldwide. Our collaborative culture emphasizes scientific rigor, engineering excellence, and a strong mission focus on creating safer, more efficient workplaces.**BASIC QUALIFICATIONS**
------------------------
* 3\+ years of building models for business application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 PhD degree in Computer Science or Computer engineering
* A formal PhD degree in Computer Science or Computer engineering or can be replaced by 5 years of relevant experience on top of a MSc, and 7 years on top of a BSc.
**PREFERRED QUALIFICATIONS**
----------------------------
* Experience using Unix/Linux
* Experience in professional software development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0">
      <c r="A70" t="inlineStr">
        <is>
          <t>in-40fc55b923f4c7e2</t>
        </is>
      </c>
      <c r="B70" t="inlineStr">
        <is>
          <t>Applied Scientist II, Creative X - RAPID</t>
        </is>
      </c>
      <c r="C70" t="inlineStr">
        <is>
          <t>Amazon.com</t>
        </is>
      </c>
      <c r="D70" t="inlineStr">
        <is>
          <t>indeed</t>
        </is>
      </c>
      <c r="E70">
        <f>HYPERLINK("https://www.indeed.com/viewjob?jk=40fc55b923f4c7e2", "https://www.indeed.com/viewjob?jk=40fc55b923f4c7e2")</f>
        <v/>
      </c>
      <c r="F70">
        <f>HYPERLINK("https://www.amazon.jobs/jobs/3083576/applied-scientist-ii-creative-x--rapid?cmpid=DA_INAD200785B", "https://www.amazon.jobs/jobs/3083576/applied-scientist-ii-creative-x--rapid?cmpid=DA_INAD200785B")</f>
        <v/>
      </c>
      <c r="G70" t="inlineStr">
        <is>
          <t>Seattle, WA, US</t>
        </is>
      </c>
      <c r="H70" s="2" t="n">
        <v>45908</v>
      </c>
      <c r="I70" t="inlineStr">
        <is>
          <t>**DESCRIPTION**
---------------
About Amazon Advertising:  
Amazon Advertising operates at the intersection of eCommerce and advertising, offering a rich array of digital display advertising solutions with the goal of helping our customers find and discover anything they want to buy. We help advertisers of all types to reach Amazon customers on Amazon.com, across our other owned and operated sites, on other high quality sites across the web, and on millions of mobile devices. We start with the customer and work backwards in everything we do, including advertising. If you’re interested in joining a rapidly growing team working to build a unique, world\-class advertising group with a relentless focus on the customer, you’ve come to the right place.  
About our team:  
Our team, CreativeX optimizations, is responsible for tailoring the visual experience of ads to each context in real time. To accomplish this, we are investing in latent\-diffusion models, large language models (LLM), reinforced learning (RL), Computer Vision, and related methods.  
Key job responsibilities  
We are looking for talented Applied Scientists who are adept at a variety of skills, especially with reinforcement learning and recommendations, and familiarity with LLMs, latent diffusion, or related foundational models that will accelerate our plans to dynamically optimize ad creatives on behalf of advertisers. Every member of the team is expected to build customer (advertiser) facing features, contribute to the collaborative spirit within the team, publish, patent, and bring state\-of\-the\-art research to raise the bar within the team.
**BASIC QUALIFICATIONS**
------------------------
* PhD, or Master's degree and 3\+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 Experience building machine learning models or developing algorithms for business application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71">
      <c r="A71" t="inlineStr">
        <is>
          <t>in-e76358e8f2e8e231</t>
        </is>
      </c>
      <c r="B71" t="inlineStr">
        <is>
          <t>Applied Scientist II, Creative X - RAPID</t>
        </is>
      </c>
      <c r="C71" t="inlineStr">
        <is>
          <t>Amazon.com</t>
        </is>
      </c>
      <c r="D71" t="inlineStr">
        <is>
          <t>indeed</t>
        </is>
      </c>
      <c r="E71">
        <f>HYPERLINK("https://www.indeed.com/viewjob?jk=e76358e8f2e8e231", "https://www.indeed.com/viewjob?jk=e76358e8f2e8e231")</f>
        <v/>
      </c>
      <c r="F71">
        <f>HYPERLINK("https://www.amazon.jobs/jobs/3083576/applied-scientist-ii-creative-x--rapid?cmpid=DA_INAD200785B", "https://www.amazon.jobs/jobs/3083576/applied-scientist-ii-creative-x--rapid?cmpid=DA_INAD200785B")</f>
        <v/>
      </c>
      <c r="G71" t="inlineStr">
        <is>
          <t>New York, NY, US</t>
        </is>
      </c>
      <c r="H71" s="2" t="n">
        <v>45908</v>
      </c>
      <c r="I71" t="inlineStr">
        <is>
          <t>**DESCRIPTION**
---------------
About Amazon Advertising:  
Amazon Advertising operates at the intersection of eCommerce and advertising, offering a rich array of digital display advertising solutions with the goal of helping our customers find and discover anything they want to buy. We help advertisers of all types to reach Amazon customers on Amazon.com, across our other owned and operated sites, on other high quality sites across the web, and on millions of mobile devices. We start with the customer and work backwards in everything we do, including advertising. If you’re interested in joining a rapidly growing team working to build a unique, world\-class advertising group with a relentless focus on the customer, you’ve come to the right place.  
About our team:  
Our team, CreativeX optimizations, is responsible for tailoring the visual experience of ads to each context in real time. To accomplish this, we are investing in latent\-diffusion models, large language models (LLM), reinforced learning (RL), Computer Vision, and related methods.  
Key job responsibilities  
We are looking for talented Applied Scientists who are adept at a variety of skills, especially with reinforcement learning and recommendations, and familiarity with LLMs, latent diffusion, or related foundational models that will accelerate our plans to dynamically optimize ad creatives on behalf of advertisers. Every member of the team is expected to build customer (advertiser) facing features, contribute to the collaborative spirit within the team, publish, patent, and bring state\-of\-the\-art research to raise the bar within the team.
**BASIC QUALIFICATIONS**
------------------------
* PhD, or Master's degree and 3\+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 Experience building machine learning models or developing algorithms for business application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72">
      <c r="A72" t="inlineStr">
        <is>
          <t>in-32eec509df81d3e2</t>
        </is>
      </c>
      <c r="B72" t="inlineStr">
        <is>
          <t>Applied Scientist III, StoreGen</t>
        </is>
      </c>
      <c r="C72" t="inlineStr">
        <is>
          <t>Amazon.com</t>
        </is>
      </c>
      <c r="D72" t="inlineStr">
        <is>
          <t>indeed</t>
        </is>
      </c>
      <c r="E72">
        <f>HYPERLINK("https://www.indeed.com/viewjob?jk=32eec509df81d3e2", "https://www.indeed.com/viewjob?jk=32eec509df81d3e2")</f>
        <v/>
      </c>
      <c r="F72">
        <f>HYPERLINK("https://www.amazon.jobs/jobs/3065534/applied-scientist-iii-storegen?cmpid=DA_INAD200785B", "https://www.amazon.jobs/jobs/3065534/applied-scientist-iii-storegen?cmpid=DA_INAD200785B")</f>
        <v/>
      </c>
      <c r="G72" t="inlineStr">
        <is>
          <t>Sunnyvale, CA, US</t>
        </is>
      </c>
      <c r="H72" s="2" t="n">
        <v>45868</v>
      </c>
      <c r="I72" t="inlineStr">
        <is>
          <t>**DESCRIPTION**
---------------
Join our Generative AI focus team to innovate Software Development at Amazon  
Are you ready to be part of a team that's redefining the future of software engineering? Our team is Amazon's ambitious initiative to pioneer AI development practices that will fundamentally transform how we build software at scale.  
Our Mission  
We’re building the next generation of development tools — uncovering how LLMs can originate new ways of thinking, building, and collaborating.  
What Makes Us Different  
* Ground\-floor opportunity to shape the future of software development
* Direct impact on Amazon's global engineering practices
* Working with the latest technologies and large language models
* Culture of experimentation and innovative thinking
What We’re Looking For  
You’ll lead the research, design, and development of AI technologies that challenge conventional software practices and uncover new ways for engineers to build and collaborate.  
You’re comfortable working in ambiguous spaces, exploring emergent behaviors, and collaborating with designers, prototypers, and engineers to test hypotheses in live, evolving systems.  
You explore where LLMs behave in unexpected yet promising ways, especially in tasks like context retention, code reasoning, or agent behavior , and use those moments to uncover new AI\-native workflows.  
We’re looking for applied scientists with experience in areas like:  
\+ Information retrieval  
\+ Context and memory modeling  
\+ Agent behavior and autonomy  
\+ Code understanding and generation  
\+ Human\-AI interaction  
What You'll Do  
* Prototype new ways of working with LLMs in engineering workflows
* Help shape and evaluate scientific approaches behind agentic systems and engineering tools
* Move fast with engineers and prototypers to guide design decisions and model choices
* Make sense of unexpected model behavior and guide what to try next
Impact  
Your work will surface where LLMs can meaningfully change how Amazon engineers build.  
You’ll help the team uncover which surprises are worth pursuing and where to push beyond what’s already known.  
Always find a way ️**BASIC QUALIFICATIONS**
------------------------
* 3\+ years of building machine learning models for business application experience
* PhD, or Master's degree and 6\+ years of applied research experience
* Experience in patents or publications at top\-tier peer\-reviewed conferences or journals
* Strong analytical, mathematical, and coding skills (e.g., Python, C\+\+, or Java)
* Previous work on agents or LLMs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3">
      <c r="A73" t="inlineStr">
        <is>
          <t>in-4cb5544244319a2b</t>
        </is>
      </c>
      <c r="B73" t="inlineStr">
        <is>
          <t>Applied Scientist III, StoreGen</t>
        </is>
      </c>
      <c r="C73" t="inlineStr">
        <is>
          <t>Amazon.com</t>
        </is>
      </c>
      <c r="D73" t="inlineStr">
        <is>
          <t>indeed</t>
        </is>
      </c>
      <c r="E73">
        <f>HYPERLINK("https://www.indeed.com/viewjob?jk=4cb5544244319a2b", "https://www.indeed.com/viewjob?jk=4cb5544244319a2b")</f>
        <v/>
      </c>
      <c r="F73">
        <f>HYPERLINK("https://www.amazon.jobs/jobs/3065534/applied-scientist-iii-storegen?cmpid=DA_INAD200785B", "https://www.amazon.jobs/jobs/3065534/applied-scientist-iii-storegen?cmpid=DA_INAD200785B")</f>
        <v/>
      </c>
      <c r="G73" t="inlineStr">
        <is>
          <t>Seattle, WA, US</t>
        </is>
      </c>
      <c r="H73" s="2" t="n">
        <v>45868</v>
      </c>
      <c r="I73" t="inlineStr">
        <is>
          <t>**DESCRIPTION**
---------------
Join our Generative AI focus team to innovate Software Development at Amazon  
Are you ready to be part of a team that's redefining the future of software engineering? Our team is Amazon's ambitious initiative to pioneer AI development practices that will fundamentally transform how we build software at scale.  
Our Mission  
We’re building the next generation of development tools — uncovering how LLMs can originate new ways of thinking, building, and collaborating.  
What Makes Us Different  
* Ground\-floor opportunity to shape the future of software development
* Direct impact on Amazon's global engineering practices
* Working with the latest technologies and large language models
* Culture of experimentation and innovative thinking
What We’re Looking For  
You’ll lead the research, design, and development of AI technologies that challenge conventional software practices and uncover new ways for engineers to build and collaborate.  
You’re comfortable working in ambiguous spaces, exploring emergent behaviors, and collaborating with designers, prototypers, and engineers to test hypotheses in live, evolving systems.  
You explore where LLMs behave in unexpected yet promising ways, especially in tasks like context retention, code reasoning, or agent behavior , and use those moments to uncover new AI\-native workflows.  
We’re looking for applied scientists with experience in areas like:  
\+ Information retrieval  
\+ Context and memory modeling  
\+ Agent behavior and autonomy  
\+ Code understanding and generation  
\+ Human\-AI interaction  
What You'll Do  
* Prototype new ways of working with LLMs in engineering workflows
* Help shape and evaluate scientific approaches behind agentic systems and engineering tools
* Move fast with engineers and prototypers to guide design decisions and model choices
* Make sense of unexpected model behavior and guide what to try next
Impact  
Your work will surface where LLMs can meaningfully change how Amazon engineers build.  
You’ll help the team uncover which surprises are worth pursuing and where to push beyond what’s already known.  
Always find a way ️**BASIC QUALIFICATIONS**
------------------------
* 3\+ years of building machine learning models for business application experience
* PhD, or Master's degree and 6\+ years of applied research experience
* Experience in patents or publications at top\-tier peer\-reviewed conferences or journals
* Strong analytical, mathematical, and coding skills (e.g., Python, C\+\+, or Java)
* Previous work on agents or LLMs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4">
      <c r="A74" t="inlineStr">
        <is>
          <t>in-af4dd854b9e2e811</t>
        </is>
      </c>
      <c r="B74" t="inlineStr">
        <is>
          <t>Sr. Applied Scientist, Amazon Advertising</t>
        </is>
      </c>
      <c r="C74" t="inlineStr">
        <is>
          <t>Amazon.com</t>
        </is>
      </c>
      <c r="D74" t="inlineStr">
        <is>
          <t>indeed</t>
        </is>
      </c>
      <c r="E74">
        <f>HYPERLINK("https://www.indeed.com/viewjob?jk=af4dd854b9e2e811", "https://www.indeed.com/viewjob?jk=af4dd854b9e2e811")</f>
        <v/>
      </c>
      <c r="F74">
        <f>HYPERLINK("https://www.amazon.jobs/jobs/3035686/sr-applied-scientist-amazon-advertising?cmpid=DA_INAD200785B", "https://www.amazon.jobs/jobs/3035686/sr-applied-scientist-amazon-advertising?cmpid=DA_INAD200785B")</f>
        <v/>
      </c>
      <c r="G74" t="inlineStr">
        <is>
          <t>Los Angeles, CA, US</t>
        </is>
      </c>
      <c r="H74" s="2" t="n">
        <v>45851</v>
      </c>
      <c r="I74"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5">
      <c r="A75" t="inlineStr">
        <is>
          <t>in-ad679fa7236bf9aa</t>
        </is>
      </c>
      <c r="B75" t="inlineStr">
        <is>
          <t>Sr. Applied Scientist, Amazon Advertising</t>
        </is>
      </c>
      <c r="C75" t="inlineStr">
        <is>
          <t>Amazon.com</t>
        </is>
      </c>
      <c r="D75" t="inlineStr">
        <is>
          <t>indeed</t>
        </is>
      </c>
      <c r="E75">
        <f>HYPERLINK("https://www.indeed.com/viewjob?jk=ad679fa7236bf9aa", "https://www.indeed.com/viewjob?jk=ad679fa7236bf9aa")</f>
        <v/>
      </c>
      <c r="F75">
        <f>HYPERLINK("https://www.amazon.jobs/jobs/3035686/sr-applied-scientist-amazon-advertising?cmpid=DA_INAD200785B", "https://www.amazon.jobs/jobs/3035686/sr-applied-scientist-amazon-advertising?cmpid=DA_INAD200785B")</f>
        <v/>
      </c>
      <c r="G75" t="inlineStr">
        <is>
          <t>Palo Alto, CA, US</t>
        </is>
      </c>
      <c r="H75" s="2" t="n">
        <v>45851</v>
      </c>
      <c r="I75"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6">
      <c r="A76" t="inlineStr">
        <is>
          <t>in-9f990f35464f3be2</t>
        </is>
      </c>
      <c r="B76" t="inlineStr">
        <is>
          <t>Sr. Applied Scientist, Amazon Advertising</t>
        </is>
      </c>
      <c r="C76" t="inlineStr">
        <is>
          <t>Amazon.com</t>
        </is>
      </c>
      <c r="D76" t="inlineStr">
        <is>
          <t>indeed</t>
        </is>
      </c>
      <c r="E76">
        <f>HYPERLINK("https://www.indeed.com/viewjob?jk=9f990f35464f3be2", "https://www.indeed.com/viewjob?jk=9f990f35464f3be2")</f>
        <v/>
      </c>
      <c r="F76">
        <f>HYPERLINK("https://www.amazon.jobs/jobs/3035686/sr-applied-scientist-amazon-advertising?cmpid=DA_INAD200785B", "https://www.amazon.jobs/jobs/3035686/sr-applied-scientist-amazon-advertising?cmpid=DA_INAD200785B")</f>
        <v/>
      </c>
      <c r="G76" t="inlineStr">
        <is>
          <t>Simi Valley, CA, US</t>
        </is>
      </c>
      <c r="H76" s="2" t="n">
        <v>45851</v>
      </c>
      <c r="I76"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7">
      <c r="A77" t="inlineStr">
        <is>
          <t>in-e12e9654859ed6d9</t>
        </is>
      </c>
      <c r="B77" t="inlineStr">
        <is>
          <t>Sr. Applied Scientist, Amazon Advertising</t>
        </is>
      </c>
      <c r="C77" t="inlineStr">
        <is>
          <t>Amazon.com</t>
        </is>
      </c>
      <c r="D77" t="inlineStr">
        <is>
          <t>indeed</t>
        </is>
      </c>
      <c r="E77">
        <f>HYPERLINK("https://www.indeed.com/viewjob?jk=e12e9654859ed6d9", "https://www.indeed.com/viewjob?jk=e12e9654859ed6d9")</f>
        <v/>
      </c>
      <c r="F77">
        <f>HYPERLINK("https://www.amazon.jobs/jobs/3035686/sr-applied-scientist-amazon-advertising?cmpid=DA_INAD200785B", "https://www.amazon.jobs/jobs/3035686/sr-applied-scientist-amazon-advertising?cmpid=DA_INAD200785B")</f>
        <v/>
      </c>
      <c r="G77" t="inlineStr">
        <is>
          <t>Arlington, VA, US</t>
        </is>
      </c>
      <c r="H77" s="2" t="n">
        <v>45851</v>
      </c>
      <c r="I77"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8">
      <c r="A78" t="inlineStr">
        <is>
          <t>in-95f1e769fe75abcb</t>
        </is>
      </c>
      <c r="B78" t="inlineStr">
        <is>
          <t>Sr. Applied Scientist, Amazon Advertising</t>
        </is>
      </c>
      <c r="C78" t="inlineStr">
        <is>
          <t>Amazon.com</t>
        </is>
      </c>
      <c r="D78" t="inlineStr">
        <is>
          <t>indeed</t>
        </is>
      </c>
      <c r="E78">
        <f>HYPERLINK("https://www.indeed.com/viewjob?jk=95f1e769fe75abcb", "https://www.indeed.com/viewjob?jk=95f1e769fe75abcb")</f>
        <v/>
      </c>
      <c r="F78">
        <f>HYPERLINK("https://www.amazon.jobs/jobs/3035686/sr-applied-scientist-amazon-advertising?cmpid=DA_INAD200785B", "https://www.amazon.jobs/jobs/3035686/sr-applied-scientist-amazon-advertising?cmpid=DA_INAD200785B")</f>
        <v/>
      </c>
      <c r="G78" t="inlineStr">
        <is>
          <t>Austin, TX, US</t>
        </is>
      </c>
      <c r="H78" s="2" t="n">
        <v>45851</v>
      </c>
      <c r="I78"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9">
      <c r="A79" t="inlineStr">
        <is>
          <t>in-522dd25596c064f7</t>
        </is>
      </c>
      <c r="B79" t="inlineStr">
        <is>
          <t>Sr. Applied Scientist, Amazon Advertising</t>
        </is>
      </c>
      <c r="C79" t="inlineStr">
        <is>
          <t>Amazon.com</t>
        </is>
      </c>
      <c r="D79" t="inlineStr">
        <is>
          <t>indeed</t>
        </is>
      </c>
      <c r="E79">
        <f>HYPERLINK("https://www.indeed.com/viewjob?jk=522dd25596c064f7", "https://www.indeed.com/viewjob?jk=522dd25596c064f7")</f>
        <v/>
      </c>
      <c r="F79">
        <f>HYPERLINK("https://www.amazon.jobs/jobs/3035686/sr-applied-scientist-amazon-advertising?cmpid=DA_INAD200785B", "https://www.amazon.jobs/jobs/3035686/sr-applied-scientist-amazon-advertising?cmpid=DA_INAD200785B")</f>
        <v/>
      </c>
      <c r="G79" t="inlineStr">
        <is>
          <t>New York, NY, US</t>
        </is>
      </c>
      <c r="H79" s="2" t="n">
        <v>45851</v>
      </c>
      <c r="I79"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0">
      <c r="A80" t="inlineStr">
        <is>
          <t>in-0366e427c11c1d8a</t>
        </is>
      </c>
      <c r="B80" t="inlineStr">
        <is>
          <t>Sr. Applied Scientist, Amazon Advertising</t>
        </is>
      </c>
      <c r="C80" t="inlineStr">
        <is>
          <t>Amazon.com</t>
        </is>
      </c>
      <c r="D80" t="inlineStr">
        <is>
          <t>indeed</t>
        </is>
      </c>
      <c r="E80">
        <f>HYPERLINK("https://www.indeed.com/viewjob?jk=0366e427c11c1d8a", "https://www.indeed.com/viewjob?jk=0366e427c11c1d8a")</f>
        <v/>
      </c>
      <c r="F80">
        <f>HYPERLINK("https://www.amazon.jobs/jobs/3035686/sr-applied-scientist-amazon-advertising?cmpid=DA_INAD200785B", "https://www.amazon.jobs/jobs/3035686/sr-applied-scientist-amazon-advertising?cmpid=DA_INAD200785B")</f>
        <v/>
      </c>
      <c r="G80" t="inlineStr">
        <is>
          <t>Seattle, WA, US</t>
        </is>
      </c>
      <c r="H80" s="2" t="n">
        <v>45851</v>
      </c>
      <c r="I80"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1">
      <c r="A81" t="inlineStr">
        <is>
          <t>in-708b2828fe1c3c0d</t>
        </is>
      </c>
      <c r="B81" t="inlineStr">
        <is>
          <t>Sr. Applied Scientist, Amazon Advertising</t>
        </is>
      </c>
      <c r="C81" t="inlineStr">
        <is>
          <t>Amazon.com</t>
        </is>
      </c>
      <c r="D81" t="inlineStr">
        <is>
          <t>indeed</t>
        </is>
      </c>
      <c r="E81">
        <f>HYPERLINK("https://www.indeed.com/viewjob?jk=708b2828fe1c3c0d", "https://www.indeed.com/viewjob?jk=708b2828fe1c3c0d")</f>
        <v/>
      </c>
      <c r="F81">
        <f>HYPERLINK("https://www.amazon.jobs/jobs/3035686/sr-applied-scientist-amazon-advertising?cmpid=DA_INAD200785B", "https://www.amazon.jobs/jobs/3035686/sr-applied-scientist-amazon-advertising?cmpid=DA_INAD200785B")</f>
        <v/>
      </c>
      <c r="G81" t="inlineStr">
        <is>
          <t>West Hollywood, CA, US</t>
        </is>
      </c>
      <c r="H81" s="2" t="n">
        <v>45851</v>
      </c>
      <c r="I81"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2">
      <c r="A82" t="inlineStr">
        <is>
          <t>in-e75c17dccf58ecde</t>
        </is>
      </c>
      <c r="B82" t="inlineStr">
        <is>
          <t>Sr. Applied Scientist, Sales AI</t>
        </is>
      </c>
      <c r="C82" t="inlineStr">
        <is>
          <t>Amazon.com</t>
        </is>
      </c>
      <c r="D82" t="inlineStr">
        <is>
          <t>indeed</t>
        </is>
      </c>
      <c r="E82">
        <f>HYPERLINK("https://www.indeed.com/viewjob?jk=e75c17dccf58ecde", "https://www.indeed.com/viewjob?jk=e75c17dccf58ecde")</f>
        <v/>
      </c>
      <c r="F82">
        <f>HYPERLINK("https://www.amazon.jobs/jobs/3020528/sr-applied-scientist-sales-ai?cmpid=DA_INAD200785B", "https://www.amazon.jobs/jobs/3020528/sr-applied-scientist-sales-ai?cmpid=DA_INAD200785B")</f>
        <v/>
      </c>
      <c r="G82" t="inlineStr">
        <is>
          <t>Seattle, WA, US</t>
        </is>
      </c>
      <c r="H82" s="2" t="n">
        <v>45830</v>
      </c>
      <c r="I82" t="inlineStr">
        <is>
          <t>**DESCRIPTION**
---------------
Are you interested in shaping the future of Advertising and B2B Sales? We are a growing science and engineering team with an exciting charter and need your passion, innovative thinking, and creativity to help take our products to new heights.  
Amazon Advertising is one of Amazon's fastest growing and most profitable businesses, responsible for defining and delivering a collection of advertising products that drive discovery and sales. Our products are strategically important to our businesses driving long term growth. We deliver billions of ad impressions and millions of clicks and break fresh ground in product and technical innovations every day!  
Within the Advertising Sales organization, we are building a central AI/ML team and are seeking top science talent to build new, science\-backed services to drive success for our customers. Our goal is to transform the way account teams operate by creating actionable insights and recommendations they can share with their advertising accounts, and ingesting Generative AI throughout their end\-to\-end workflows to improve their work efficiency.  
As a part of our team, you will bring deep expertise in quantitative modeling (forecasting, recommender systems, reinforcement learning, causal inferencing or generative artificial intelligence) to build and refine models that can be implemented in production. You will be a thought leader as we chart new courses with our ad sales support technologies, and you have the communication skills necessary to explain complex technical approaches to a variety of stakeholders and customers. As a senior lead, you will have the excitement to take iterative approaches to tackle big, long\-term problems.  
Why you will love this opportunity: Amazon has invested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ads impressions, millions of clicks daily, and break fresh ground to create world\-class products. We are a highly motivated, collaborative, and fun\-loving team with an entrepreneurial spirit with a broad mandate to experiment and innovate.  
Impact and Career Growth: You will invent new experiences and influence customer\-facing shopping experiences; this is your opportunity to work within the fastest growing businesses across all of Amazon! Define a long\-term scientific vision for our advertising sales business, driven from our customers' needs, translating that direction into specific plans for scientists, engineers and product teams. This role combines scientific leadership, organizational ability, technical strength, product focus, and business understanding.  
Key job responsibilities  
* Conceptualize and lead state\-of\-the\-art research on new Machine Learning and Generative Artificial Intelligence solutions to optimize all aspects of the Ad Sales business
* Guide the technical approach for the design and implementation of successful models and algorithms in support of expert cross\-functional teams delivering on demanding projects
* Conduct deep data analysis to derive insights to the business, and identify gaps and new opportunities
* Run regular A/B experiments, gather data, and perform statistical analysis
* Work closely with software engineers to deliver end\-to\-end solutions into production
* Improve the scalability, efficiency and automation of large\-scale data analytics, model training, deployment and serving
About the team  
Sales AI is a central science and engineering organization within Amazon Advertising Sales that powers selling motions and account team workflows via state\-of\-the\-art of AI/ML services. Sales AI is investing in a range of sales intelligence models, including the development of advertiser insights, recommendations and Generative AI\-powered applications throughout account team workflows.**BASIC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 Applied research experience in Reinforcement Learning (RLHF, policy gradient methods), Large Language Models (fine\-tuning, guardrails, distributed training) and/or Natural Language Processing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3">
      <c r="A83" t="inlineStr">
        <is>
          <t>in-67bf39771291d575</t>
        </is>
      </c>
      <c r="B83" t="inlineStr">
        <is>
          <t>Sr. Applied Scientist, Sales AI</t>
        </is>
      </c>
      <c r="C83" t="inlineStr">
        <is>
          <t>Amazon.com</t>
        </is>
      </c>
      <c r="D83" t="inlineStr">
        <is>
          <t>indeed</t>
        </is>
      </c>
      <c r="E83">
        <f>HYPERLINK("https://www.indeed.com/viewjob?jk=67bf39771291d575", "https://www.indeed.com/viewjob?jk=67bf39771291d575")</f>
        <v/>
      </c>
      <c r="F83">
        <f>HYPERLINK("https://www.amazon.jobs/jobs/3020528/sr-applied-scientist-sales-ai?cmpid=DA_INAD200785B", "https://www.amazon.jobs/jobs/3020528/sr-applied-scientist-sales-ai?cmpid=DA_INAD200785B")</f>
        <v/>
      </c>
      <c r="G83" t="inlineStr">
        <is>
          <t>New York, NY, US</t>
        </is>
      </c>
      <c r="H83" s="2" t="n">
        <v>45830</v>
      </c>
      <c r="I83" t="inlineStr">
        <is>
          <t>**DESCRIPTION**
---------------
Are you interested in shaping the future of Advertising and B2B Sales? We are a growing science and engineering team with an exciting charter and need your passion, innovative thinking, and creativity to help take our products to new heights.  
Amazon Advertising is one of Amazon's fastest growing and most profitable businesses, responsible for defining and delivering a collection of advertising products that drive discovery and sales. Our products are strategically important to our businesses driving long term growth. We deliver billions of ad impressions and millions of clicks and break fresh ground in product and technical innovations every day!  
Within the Advertising Sales organization, we are building a central AI/ML team and are seeking top science talent to build new, science\-backed services to drive success for our customers. Our goal is to transform the way account teams operate by creating actionable insights and recommendations they can share with their advertising accounts, and ingesting Generative AI throughout their end\-to\-end workflows to improve their work efficiency.  
As a part of our team, you will bring deep expertise in quantitative modeling (forecasting, recommender systems, reinforcement learning, causal inferencing or generative artificial intelligence) to build and refine models that can be implemented in production. You will be a thought leader as we chart new courses with our ad sales support technologies, and you have the communication skills necessary to explain complex technical approaches to a variety of stakeholders and customers. As a senior lead, you will have the excitement to take iterative approaches to tackle big, long\-term problems.  
Why you will love this opportunity: Amazon has invested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ads impressions, millions of clicks daily, and break fresh ground to create world\-class products. We are a highly motivated, collaborative, and fun\-loving team with an entrepreneurial spirit with a broad mandate to experiment and innovate.  
Impact and Career Growth: You will invent new experiences and influence customer\-facing shopping experiences; this is your opportunity to work within the fastest growing businesses across all of Amazon! Define a long\-term scientific vision for our advertising sales business, driven from our customers' needs, translating that direction into specific plans for scientists, engineers and product teams. This role combines scientific leadership, organizational ability, technical strength, product focus, and business understanding.  
Key job responsibilities  
* Conceptualize and lead state\-of\-the\-art research on new Machine Learning and Generative Artificial Intelligence solutions to optimize all aspects of the Ad Sales business
* Guide the technical approach for the design and implementation of successful models and algorithms in support of expert cross\-functional teams delivering on demanding projects
* Conduct deep data analysis to derive insights to the business, and identify gaps and new opportunities
* Run regular A/B experiments, gather data, and perform statistical analysis
* Work closely with software engineers to deliver end\-to\-end solutions into production
* Improve the scalability, efficiency and automation of large\-scale data analytics, model training, deployment and serving
About the team  
Sales AI is a central science and engineering organization within Amazon Advertising Sales that powers selling motions and account team workflows via state\-of\-the\-art of AI/ML services. Sales AI is investing in a range of sales intelligence models, including the development of advertiser insights, recommendations and Generative AI\-powered applications throughout account team workflows.**BASIC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 Applied research experience in Reinforcement Learning (RLHF, policy gradient methods), Large Language Models (fine\-tuning, guardrails, distributed training) and/or Natural Language Processing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4">
      <c r="A84" t="inlineStr">
        <is>
          <t>in-4fb1ebd1f0ab1a8a</t>
        </is>
      </c>
      <c r="B84" t="inlineStr">
        <is>
          <t>Sr. Applied Scientist, Sales AI</t>
        </is>
      </c>
      <c r="C84" t="inlineStr">
        <is>
          <t>Amazon.com</t>
        </is>
      </c>
      <c r="D84" t="inlineStr">
        <is>
          <t>indeed</t>
        </is>
      </c>
      <c r="E84">
        <f>HYPERLINK("https://www.indeed.com/viewjob?jk=4fb1ebd1f0ab1a8a", "https://www.indeed.com/viewjob?jk=4fb1ebd1f0ab1a8a")</f>
        <v/>
      </c>
      <c r="F84">
        <f>HYPERLINK("https://www.amazon.jobs/jobs/3020528/sr-applied-scientist-sales-ai?cmpid=DA_INAD200785B", "https://www.amazon.jobs/jobs/3020528/sr-applied-scientist-sales-ai?cmpid=DA_INAD200785B")</f>
        <v/>
      </c>
      <c r="G84" t="inlineStr">
        <is>
          <t>Sunnyvale, CA, US</t>
        </is>
      </c>
      <c r="H84" s="2" t="n">
        <v>45830</v>
      </c>
      <c r="I84" t="inlineStr">
        <is>
          <t>**DESCRIPTION**
---------------
Are you interested in shaping the future of Advertising and B2B Sales? We are a growing science and engineering team with an exciting charter and need your passion, innovative thinking, and creativity to help take our products to new heights.  
Amazon Advertising is one of Amazon's fastest growing and most profitable businesses, responsible for defining and delivering a collection of advertising products that drive discovery and sales. Our products are strategically important to our businesses driving long term growth. We deliver billions of ad impressions and millions of clicks and break fresh ground in product and technical innovations every day!  
Within the Advertising Sales organization, we are building a central AI/ML team and are seeking top science talent to build new, science\-backed services to drive success for our customers. Our goal is to transform the way account teams operate by creating actionable insights and recommendations they can share with their advertising accounts, and ingesting Generative AI throughout their end\-to\-end workflows to improve their work efficiency.  
As a part of our team, you will bring deep expertise in quantitative modeling (forecasting, recommender systems, reinforcement learning, causal inferencing or generative artificial intelligence) to build and refine models that can be implemented in production. You will be a thought leader as we chart new courses with our ad sales support technologies, and you have the communication skills necessary to explain complex technical approaches to a variety of stakeholders and customers. As a senior lead, you will have the excitement to take iterative approaches to tackle big, long\-term problems.  
Why you will love this opportunity: Amazon has invested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ads impressions, millions of clicks daily, and break fresh ground to create world\-class products. We are a highly motivated, collaborative, and fun\-loving team with an entrepreneurial spirit with a broad mandate to experiment and innovate.  
Impact and Career Growth: You will invent new experiences and influence customer\-facing shopping experiences; this is your opportunity to work within the fastest growing businesses across all of Amazon! Define a long\-term scientific vision for our advertising sales business, driven from our customers' needs, translating that direction into specific plans for scientists, engineers and product teams. This role combines scientific leadership, organizational ability, technical strength, product focus, and business understanding.  
Key job responsibilities  
* Conceptualize and lead state\-of\-the\-art research on new Machine Learning and Generative Artificial Intelligence solutions to optimize all aspects of the Ad Sales business
* Guide the technical approach for the design and implementation of successful models and algorithms in support of expert cross\-functional teams delivering on demanding projects
* Conduct deep data analysis to derive insights to the business, and identify gaps and new opportunities
* Run regular A/B experiments, gather data, and perform statistical analysis
* Work closely with software engineers to deliver end\-to\-end solutions into production
* Improve the scalability, efficiency and automation of large\-scale data analytics, model training, deployment and serving
About the team  
Sales AI is a central science and engineering organization within Amazon Advertising Sales that powers selling motions and account team workflows via state\-of\-the\-art of AI/ML services. Sales AI is investing in a range of sales intelligence models, including the development of advertiser insights, recommendations and Generative AI\-powered applications throughout account team workflows.**BASIC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 Applied research experience in Reinforcement Learning (RLHF, policy gradient methods), Large Language Models (fine\-tuning, guardrails, distributed training) and/or Natural Language Processing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5">
      <c r="A85" t="inlineStr">
        <is>
          <t>in-3974a42b2453adf2</t>
        </is>
      </c>
      <c r="B85" t="inlineStr">
        <is>
          <t>Principal Applied Scientist, Delivery Foundation Model</t>
        </is>
      </c>
      <c r="C85" t="inlineStr">
        <is>
          <t>Amazon.com</t>
        </is>
      </c>
      <c r="D85" t="inlineStr">
        <is>
          <t>indeed</t>
        </is>
      </c>
      <c r="E85">
        <f>HYPERLINK("https://www.indeed.com/viewjob?jk=3974a42b2453adf2", "https://www.indeed.com/viewjob?jk=3974a42b2453adf2")</f>
        <v/>
      </c>
      <c r="F85">
        <f>HYPERLINK("https://www.amazon.jobs/jobs/3006938/principal-applied-scientist-delivery-foundation-model-?cmpid=DA_INAD200785B", "https://www.amazon.jobs/jobs/3006938/principal-applied-scientist-delivery-foundation-model-?cmpid=DA_INAD200785B")</f>
        <v/>
      </c>
      <c r="G85" t="inlineStr">
        <is>
          <t>Bellevue, WA, US</t>
        </is>
      </c>
      <c r="H85" s="2" t="n">
        <v>45810</v>
      </c>
      <c r="I85"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6">
      <c r="A86" t="inlineStr">
        <is>
          <t>in-1952eb28999e4ecb</t>
        </is>
      </c>
      <c r="B86" t="inlineStr">
        <is>
          <t>Principal Applied Scientist, Delivery Foundation Model</t>
        </is>
      </c>
      <c r="C86" t="inlineStr">
        <is>
          <t>Amazon.com</t>
        </is>
      </c>
      <c r="D86" t="inlineStr">
        <is>
          <t>indeed</t>
        </is>
      </c>
      <c r="E86">
        <f>HYPERLINK("https://www.indeed.com/viewjob?jk=1952eb28999e4ecb", "https://www.indeed.com/viewjob?jk=1952eb28999e4ecb")</f>
        <v/>
      </c>
      <c r="F86">
        <f>HYPERLINK("https://www.amazon.jobs/jobs/3006938/principal-applied-scientist-delivery-foundation-model-?cmpid=DA_INAD200785B", "https://www.amazon.jobs/jobs/3006938/principal-applied-scientist-delivery-foundation-model-?cmpid=DA_INAD200785B")</f>
        <v/>
      </c>
      <c r="G86" t="inlineStr">
        <is>
          <t>New York, NY, US</t>
        </is>
      </c>
      <c r="H86" s="2" t="n">
        <v>45810</v>
      </c>
      <c r="I86"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7">
      <c r="A87" t="inlineStr">
        <is>
          <t>in-5a507dea7a00c090</t>
        </is>
      </c>
      <c r="B87" t="inlineStr">
        <is>
          <t>Principal Applied Scientist, Delivery Foundation Model</t>
        </is>
      </c>
      <c r="C87" t="inlineStr">
        <is>
          <t>Amazon.com</t>
        </is>
      </c>
      <c r="D87" t="inlineStr">
        <is>
          <t>indeed</t>
        </is>
      </c>
      <c r="E87">
        <f>HYPERLINK("https://www.indeed.com/viewjob?jk=5a507dea7a00c090", "https://www.indeed.com/viewjob?jk=5a507dea7a00c090")</f>
        <v/>
      </c>
      <c r="F87">
        <f>HYPERLINK("https://www.amazon.jobs/jobs/3006938/principal-applied-scientist-delivery-foundation-model-?cmpid=DA_INAD200785B", "https://www.amazon.jobs/jobs/3006938/principal-applied-scientist-delivery-foundation-model-?cmpid=DA_INAD200785B")</f>
        <v/>
      </c>
      <c r="G87" t="inlineStr">
        <is>
          <t>Santa Clara, CA, US</t>
        </is>
      </c>
      <c r="H87" s="2" t="n">
        <v>45810</v>
      </c>
      <c r="I87"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8">
      <c r="A88" t="inlineStr">
        <is>
          <t>in-8a8fe27477c4a156</t>
        </is>
      </c>
      <c r="B88" t="inlineStr">
        <is>
          <t>Principal Applied Scientist, Delivery Foundation Model</t>
        </is>
      </c>
      <c r="C88" t="inlineStr">
        <is>
          <t>Amazon.com</t>
        </is>
      </c>
      <c r="D88" t="inlineStr">
        <is>
          <t>indeed</t>
        </is>
      </c>
      <c r="E88">
        <f>HYPERLINK("https://www.indeed.com/viewjob?jk=8a8fe27477c4a156", "https://www.indeed.com/viewjob?jk=8a8fe27477c4a156")</f>
        <v/>
      </c>
      <c r="F88">
        <f>HYPERLINK("https://www.amazon.jobs/jobs/3006938/principal-applied-scientist-delivery-foundation-model-?cmpid=DA_INAD200785B", "https://www.amazon.jobs/jobs/3006938/principal-applied-scientist-delivery-foundation-model-?cmpid=DA_INAD200785B")</f>
        <v/>
      </c>
      <c r="G88" t="inlineStr">
        <is>
          <t>Austin, TX, US</t>
        </is>
      </c>
      <c r="H88" s="2" t="n">
        <v>45810</v>
      </c>
      <c r="I88"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9">
      <c r="A89" t="inlineStr">
        <is>
          <t>in-a7ec9f8aff03aa90</t>
        </is>
      </c>
      <c r="B89" t="inlineStr">
        <is>
          <t>Senior Applied Scientist, Delivery Foundation Model</t>
        </is>
      </c>
      <c r="C89" t="inlineStr">
        <is>
          <t>Amazon.com</t>
        </is>
      </c>
      <c r="D89" t="inlineStr">
        <is>
          <t>indeed</t>
        </is>
      </c>
      <c r="E89">
        <f>HYPERLINK("https://www.indeed.com/viewjob?jk=a7ec9f8aff03aa90", "https://www.indeed.com/viewjob?jk=a7ec9f8aff03aa90")</f>
        <v/>
      </c>
      <c r="F89">
        <f>HYPERLINK("https://www.amazon.jobs/jobs/2998435/senior-applied-scientist-delivery-foundation-model-?cmpid=DA_INAD200785B", "https://www.amazon.jobs/jobs/2998435/senior-applied-scientist-delivery-foundation-model-?cmpid=DA_INAD200785B")</f>
        <v/>
      </c>
      <c r="G89" t="inlineStr">
        <is>
          <t>New York, NY, US</t>
        </is>
      </c>
      <c r="H89" s="2" t="n">
        <v>45806</v>
      </c>
      <c r="I89"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Senior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in engineering, technology, computer science, machine learning, robotics, operations research, statistics, mathematics or equivalent quantitative field, or Master's degree and 10\+ years of industry or academic research experience
* 5\+ years of building machine learning models or developing algorithms for business application experience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Experience mentoring junior scientists / engineers.**PREFERRED QUALIFICATIONS**
----------------------------
* Experience building foundation models for industry or research
* Experience designing multi\-modal model architectures
\- Experience building models for motion prediction, e.g.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0">
      <c r="A90" t="inlineStr">
        <is>
          <t>in-0ec006f7e779a98a</t>
        </is>
      </c>
      <c r="B90" t="inlineStr">
        <is>
          <t>Senior Applied Scientist, Delivery Foundation Model</t>
        </is>
      </c>
      <c r="C90" t="inlineStr">
        <is>
          <t>Amazon.com</t>
        </is>
      </c>
      <c r="D90" t="inlineStr">
        <is>
          <t>indeed</t>
        </is>
      </c>
      <c r="E90">
        <f>HYPERLINK("https://www.indeed.com/viewjob?jk=0ec006f7e779a98a", "https://www.indeed.com/viewjob?jk=0ec006f7e779a98a")</f>
        <v/>
      </c>
      <c r="F90">
        <f>HYPERLINK("https://www.amazon.jobs/jobs/2998435/senior-applied-scientist-delivery-foundation-model-?cmpid=DA_INAD200785B", "https://www.amazon.jobs/jobs/2998435/senior-applied-scientist-delivery-foundation-model-?cmpid=DA_INAD200785B")</f>
        <v/>
      </c>
      <c r="G90" t="inlineStr">
        <is>
          <t>Santa Clara, CA, US</t>
        </is>
      </c>
      <c r="H90" s="2" t="n">
        <v>45806</v>
      </c>
      <c r="I90"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Senior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in engineering, technology, computer science, machine learning, robotics, operations research, statistics, mathematics or equivalent quantitative field, or Master's degree and 10\+ years of industry or academic research experience
* 5\+ years of building machine learning models or developing algorithms for business application experience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Experience mentoring junior scientists / engineers.**PREFERRED QUALIFICATIONS**
----------------------------
* Experience building foundation models for industry or research
* Experience designing multi\-modal model architectures
\- Experience building models for motion prediction, e.g.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1">
      <c r="A91" t="inlineStr">
        <is>
          <t>in-587a7ab9200994cb</t>
        </is>
      </c>
      <c r="B91" t="inlineStr">
        <is>
          <t>Senior Applied Scientist, Delivery Foundation Model</t>
        </is>
      </c>
      <c r="C91" t="inlineStr">
        <is>
          <t>Amazon.com</t>
        </is>
      </c>
      <c r="D91" t="inlineStr">
        <is>
          <t>indeed</t>
        </is>
      </c>
      <c r="E91">
        <f>HYPERLINK("https://www.indeed.com/viewjob?jk=587a7ab9200994cb", "https://www.indeed.com/viewjob?jk=587a7ab9200994cb")</f>
        <v/>
      </c>
      <c r="F91">
        <f>HYPERLINK("https://www.amazon.jobs/jobs/2998435/senior-applied-scientist-delivery-foundation-model-?cmpid=DA_INAD200785B", "https://www.amazon.jobs/jobs/2998435/senior-applied-scientist-delivery-foundation-model-?cmpid=DA_INAD200785B")</f>
        <v/>
      </c>
      <c r="G91" t="inlineStr">
        <is>
          <t>Bellevue, WA, US</t>
        </is>
      </c>
      <c r="H91" s="2" t="n">
        <v>45806</v>
      </c>
      <c r="I91"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Senior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in engineering, technology, computer science, machine learning, robotics, operations research, statistics, mathematics or equivalent quantitative field, or Master's degree and 10\+ years of industry or academic research experience
* 5\+ years of building machine learning models or developing algorithms for business application experience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Experience mentoring junior scientists / engineers.**PREFERRED QUALIFICATIONS**
----------------------------
* Experience building foundation models for industry or research
* Experience designing multi\-modal model architectures
\- Experience building models for motion prediction, e.g.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2">
      <c r="A92" t="inlineStr">
        <is>
          <t>in-ffd5ff913d518082</t>
        </is>
      </c>
      <c r="B92" t="inlineStr">
        <is>
          <t>Principal Applied Scientist, Delivery Foundation Model</t>
        </is>
      </c>
      <c r="C92" t="inlineStr">
        <is>
          <t>Amazon.com</t>
        </is>
      </c>
      <c r="D92" t="inlineStr">
        <is>
          <t>indeed</t>
        </is>
      </c>
      <c r="E92">
        <f>HYPERLINK("https://www.indeed.com/viewjob?jk=ffd5ff913d518082", "https://www.indeed.com/viewjob?jk=ffd5ff913d518082")</f>
        <v/>
      </c>
      <c r="F92">
        <f>HYPERLINK("https://www.amazon.jobs/jobs/2998635/principal-applied-scientist-delivery-foundation-model-?cmpid=DA_INAD200785B", "https://www.amazon.jobs/jobs/2998635/principal-applied-scientist-delivery-foundation-model-?cmpid=DA_INAD200785B")</f>
        <v/>
      </c>
      <c r="G92" t="inlineStr">
        <is>
          <t>New York, NY, US</t>
        </is>
      </c>
      <c r="H92" s="2" t="n">
        <v>45757</v>
      </c>
      <c r="I92"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3">
      <c r="A93" t="inlineStr">
        <is>
          <t>in-4e798006b80d81ab</t>
        </is>
      </c>
      <c r="B93" t="inlineStr">
        <is>
          <t>Principal Applied Scientist, Delivery Foundation Model</t>
        </is>
      </c>
      <c r="C93" t="inlineStr">
        <is>
          <t>Amazon.com</t>
        </is>
      </c>
      <c r="D93" t="inlineStr">
        <is>
          <t>indeed</t>
        </is>
      </c>
      <c r="E93">
        <f>HYPERLINK("https://www.indeed.com/viewjob?jk=4e798006b80d81ab", "https://www.indeed.com/viewjob?jk=4e798006b80d81ab")</f>
        <v/>
      </c>
      <c r="F93">
        <f>HYPERLINK("https://www.amazon.jobs/jobs/2998635/principal-applied-scientist-delivery-foundation-model-?cmpid=DA_INAD200785B", "https://www.amazon.jobs/jobs/2998635/principal-applied-scientist-delivery-foundation-model-?cmpid=DA_INAD200785B")</f>
        <v/>
      </c>
      <c r="G93" t="inlineStr">
        <is>
          <t>Santa Clara, CA, US</t>
        </is>
      </c>
      <c r="H93" s="2" t="n">
        <v>45757</v>
      </c>
      <c r="I93"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4">
      <c r="A94" t="inlineStr">
        <is>
          <t>in-2e8f9d2e9c680443</t>
        </is>
      </c>
      <c r="B94" t="inlineStr">
        <is>
          <t>Principal Applied Scientist, Delivery Foundation Model</t>
        </is>
      </c>
      <c r="C94" t="inlineStr">
        <is>
          <t>Amazon.com</t>
        </is>
      </c>
      <c r="D94" t="inlineStr">
        <is>
          <t>indeed</t>
        </is>
      </c>
      <c r="E94">
        <f>HYPERLINK("https://www.indeed.com/viewjob?jk=2e8f9d2e9c680443", "https://www.indeed.com/viewjob?jk=2e8f9d2e9c680443")</f>
        <v/>
      </c>
      <c r="F94">
        <f>HYPERLINK("https://www.amazon.jobs/jobs/2998635/principal-applied-scientist-delivery-foundation-model-?cmpid=DA_INAD200785B", "https://www.amazon.jobs/jobs/2998635/principal-applied-scientist-delivery-foundation-model-?cmpid=DA_INAD200785B")</f>
        <v/>
      </c>
      <c r="G94" t="inlineStr">
        <is>
          <t>Bellevue, WA, US</t>
        </is>
      </c>
      <c r="H94" s="2" t="n">
        <v>45757</v>
      </c>
      <c r="I94"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5">
      <c r="A95" t="inlineStr">
        <is>
          <t>in-4dbb4c925cd28cc4</t>
        </is>
      </c>
      <c r="B95" t="inlineStr">
        <is>
          <t>Principal Applied Scientist, FAR (Frontier AI &amp; Robotics)</t>
        </is>
      </c>
      <c r="C95" t="inlineStr">
        <is>
          <t>Amazon.com</t>
        </is>
      </c>
      <c r="D95" t="inlineStr">
        <is>
          <t>indeed</t>
        </is>
      </c>
      <c r="E95">
        <f>HYPERLINK("https://www.indeed.com/viewjob?jk=4dbb4c925cd28cc4", "https://www.indeed.com/viewjob?jk=4dbb4c925cd28cc4")</f>
        <v/>
      </c>
      <c r="F95">
        <f>HYPERLINK("https://www.amazon.jobs/jobs/2938625/principal-applied-scientist-far-frontier-ai--robotics?cmpid=DA_INAD200785B", "https://www.amazon.jobs/jobs/2938625/principal-applied-scientist-far-frontier-ai--robotics?cmpid=DA_INAD200785B")</f>
        <v/>
      </c>
      <c r="G95" t="inlineStr">
        <is>
          <t>Seattle, WA, US</t>
        </is>
      </c>
      <c r="H95" s="2" t="n">
        <v>45740</v>
      </c>
      <c r="I95" t="inlineStr">
        <is>
          <t>**DESCRIPTION**
---------------
Join the next revolution in robotics at Amazon's Frontier AI \&amp; Robotics team, where you'll work alongside world\-renowned AI pioneers to lead key initiatives in robotic intelligence. As a Principal Applied Scientist, you'll spearhead the development of breakthrough foundation models that enable robots to perceive, understand, and interact with the world in unprecedented ways. You'll drive technical excellence in areas such as perception, manipulation, science understanding, sim2real transfer, multi\-modal foundation models, and multi\-task learning, designing novel algorithms that bridge the gap between state\-of\-the\-art research and real\-world deployment at Amazon scale.  
In this role, you'll combine hands\-on technical work with scientific leadership, ensuring your team delivers robust solutions for dynamic real\-world environments. You'll leverage Amazon's vast computational resources to tackle ambitious problems in areas like very large multi\-modal robotic foundation models and efficient, promptable model architectures that can scale across diverse robotic applications.  
Key job responsibilities  
* Lead technical initiatives in robotics foundation models, driving breakthrough approaches through hands\-on research and development in areas like open\-vocabulary panoptic scene understanding, scaling up multi\-modal LLMs, sim2real/real2sim techniques, end\-to\-end vision\-language\-action models, efficient model inference, video tokenization
* Design and implement novel deep learning architectures that push the boundaries of what robots can understand and accomplish
* Guide technical direction for specific research initiatives, ensuring robust performance in production environments
* Mentor and support fellow scientists while maintaining strong individual technical contributions
* Collaborate with engineering teams to optimize and scale models for real\-world applications
* Influence technical decisions and implementation strategies within your area of focus
A day in the life  
* Develop and implement novel foundation model architectures, working hands\-on with our extensive compute infrastructure
* Guide and support fellow scientists in solving complex technical challenges, from sim2real transfer to efficient multi\-task learning
* Lead focused technical initiatives from conception through deployment, ensuring successful integration with production systems
* Drive technical discussions within your team and with key stakeholders
* Conduct experiments and prototype new ideas using our massive compute cluster
* Mentor team members while maintaining significant hands\-on contribution to technical solutions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About the team  
At Frontier AI \&amp; Robotics, we're not just advancing robotics – we're reimagining it from the ground up. Our team is building the future of intelligent robotics through ground breaking foundation models and end\-to\-end learned systems. We tackle some of the most challenging problems in AI and robotics, from developing sophisticated perception systems to creating adaptive manipulation strategies that work in complex, real\-world scenarios.  
What sets us apart is our unique combination of ambitious research vision and practical impact. We leverage Amazon's massive computational infrastructure and rich real\-world datasets to train and deploy state\-of\-the\-art foundation models. Our work spans the full spectrum of robotics intelligence – from multimodal perception using images, videos, and sensor data, to sophisticated manipulation strategies that can handle diverse real\-world scenarios. We're building systems that don't just work in the lab, but scale to meet the demands of Amazon's global operations.  
Join us if you're excited about pushing the boundaries of what's possible in robotics, working with world\-class researchers, and seeing your innovations deployed at unprecedented scale.**BASIC QUALIFICATIONS**
------------------------
* PhD, or Master's degree and 6\+ years of applied research experience
* 5\+ years of industry or academic research experience
* Experience programming in Java, C\+\+, Python or related language
* 5\+ years of building machine learning models or developing algorithms for business application experience
* Experience in patents or publication at top\-tier conferences (NeurIPS, ICML, ICLR, CVPR, ICCV, RSS, CoRL).
* Extensive track record of leading technical projects.
* Experience mentoring junior scientists / engineers.
* Demonstrated expertise in deep learning and model development.
**PREFERRED QUALIFICATIONS**
----------------------------
* Experience as first\-author publications at major conferences
* Experience leading research initiatives in robotics or foundation models
* Track record of successful production ML deployments
* Experience with large\-scale distributed systems
* Experience in technical leadership and team mentorship
* Experience bridging research with practical engineering implementation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6">
      <c r="A96" t="inlineStr">
        <is>
          <t>in-51787ae150e78afe</t>
        </is>
      </c>
      <c r="B96" t="inlineStr">
        <is>
          <t>Principal Applied Scientist, FAR (Frontier AI &amp; Robotics)</t>
        </is>
      </c>
      <c r="C96" t="inlineStr">
        <is>
          <t>Amazon.com</t>
        </is>
      </c>
      <c r="D96" t="inlineStr">
        <is>
          <t>indeed</t>
        </is>
      </c>
      <c r="E96">
        <f>HYPERLINK("https://www.indeed.com/viewjob?jk=51787ae150e78afe", "https://www.indeed.com/viewjob?jk=51787ae150e78afe")</f>
        <v/>
      </c>
      <c r="F96">
        <f>HYPERLINK("https://www.amazon.jobs/jobs/2938625/principal-applied-scientist-far-frontier-ai--robotics?cmpid=DA_INAD200785B", "https://www.amazon.jobs/jobs/2938625/principal-applied-scientist-far-frontier-ai--robotics?cmpid=DA_INAD200785B")</f>
        <v/>
      </c>
      <c r="G96" t="inlineStr">
        <is>
          <t>San Francisco, CA, US</t>
        </is>
      </c>
      <c r="H96" s="2" t="n">
        <v>45740</v>
      </c>
      <c r="I96" t="inlineStr">
        <is>
          <t>**DESCRIPTION**
---------------
Join the next revolution in robotics at Amazon's Frontier AI \&amp; Robotics team, where you'll work alongside world\-renowned AI pioneers to lead key initiatives in robotic intelligence. As a Principal Applied Scientist, you'll spearhead the development of breakthrough foundation models that enable robots to perceive, understand, and interact with the world in unprecedented ways. You'll drive technical excellence in areas such as perception, manipulation, science understanding, sim2real transfer, multi\-modal foundation models, and multi\-task learning, designing novel algorithms that bridge the gap between state\-of\-the\-art research and real\-world deployment at Amazon scale.  
In this role, you'll combine hands\-on technical work with scientific leadership, ensuring your team delivers robust solutions for dynamic real\-world environments. You'll leverage Amazon's vast computational resources to tackle ambitious problems in areas like very large multi\-modal robotic foundation models and efficient, promptable model architectures that can scale across diverse robotic applications.  
Key job responsibilities  
* Lead technical initiatives in robotics foundation models, driving breakthrough approaches through hands\-on research and development in areas like open\-vocabulary panoptic scene understanding, scaling up multi\-modal LLMs, sim2real/real2sim techniques, end\-to\-end vision\-language\-action models, efficient model inference, video tokenization
* Design and implement novel deep learning architectures that push the boundaries of what robots can understand and accomplish
* Guide technical direction for specific research initiatives, ensuring robust performance in production environments
* Mentor and support fellow scientists while maintaining strong individual technical contributions
* Collaborate with engineering teams to optimize and scale models for real\-world applications
* Influence technical decisions and implementation strategies within your area of focus
A day in the life  
* Develop and implement novel foundation model architectures, working hands\-on with our extensive compute infrastructure
* Guide and support fellow scientists in solving complex technical challenges, from sim2real transfer to efficient multi\-task learning
* Lead focused technical initiatives from conception through deployment, ensuring successful integration with production systems
* Drive technical discussions within your team and with key stakeholders
* Conduct experiments and prototype new ideas using our massive compute cluster
* Mentor team members while maintaining significant hands\-on contribution to technical solutions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About the team  
At Frontier AI \&amp; Robotics, we're not just advancing robotics – we're reimagining it from the ground up. Our team is building the future of intelligent robotics through ground breaking foundation models and end\-to\-end learned systems. We tackle some of the most challenging problems in AI and robotics, from developing sophisticated perception systems to creating adaptive manipulation strategies that work in complex, real\-world scenarios.  
What sets us apart is our unique combination of ambitious research vision and practical impact. We leverage Amazon's massive computational infrastructure and rich real\-world datasets to train and deploy state\-of\-the\-art foundation models. Our work spans the full spectrum of robotics intelligence – from multimodal perception using images, videos, and sensor data, to sophisticated manipulation strategies that can handle diverse real\-world scenarios. We're building systems that don't just work in the lab, but scale to meet the demands of Amazon's global operations.  
Join us if you're excited about pushing the boundaries of what's possible in robotics, working with world\-class researchers, and seeing your innovations deployed at unprecedented scale.**BASIC QUALIFICATIONS**
------------------------
* PhD, or Master's degree and 6\+ years of applied research experience
* 5\+ years of industry or academic research experience
* Experience programming in Java, C\+\+, Python or related language
* 5\+ years of building machine learning models or developing algorithms for business application experience
* Experience in patents or publication at top\-tier conferences (NeurIPS, ICML, ICLR, CVPR, ICCV, RSS, CoRL).
* Extensive track record of leading technical projects.
* Experience mentoring junior scientists / engineers.
* Demonstrated expertise in deep learning and model development.
**PREFERRED QUALIFICATIONS**
----------------------------
* Experience as first\-author publications at major conferences
* Experience leading research initiatives in robotics or foundation models
* Track record of successful production ML deployments
* Experience with large\-scale distributed systems
* Experience in technical leadership and team mentorship
* Experience bridging research with practical engineering implementation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7">
      <c r="A97" t="inlineStr">
        <is>
          <t>in-c50ec0df73d219a8</t>
        </is>
      </c>
      <c r="B97" t="inlineStr">
        <is>
          <t>Lead AI/ML Engineer - Remote or Hybrid in NJ/MN/DC</t>
        </is>
      </c>
      <c r="C97" t="inlineStr">
        <is>
          <t>Optum</t>
        </is>
      </c>
      <c r="D97" t="inlineStr">
        <is>
          <t>indeed</t>
        </is>
      </c>
      <c r="E97">
        <f>HYPERLINK("https://www.indeed.com/viewjob?jk=c50ec0df73d219a8", "https://www.indeed.com/viewjob?jk=c50ec0df73d219a8")</f>
        <v/>
      </c>
      <c r="F97">
        <f>HYPERLINK("https://uhg.taleo.net/careersection/10000/jobdetail.ftl?job=2337536&amp;lang=en", "https://uhg.taleo.net/careersection/10000/jobdetail.ftl?job=2337536&amp;lang=en")</f>
        <v/>
      </c>
      <c r="G97" t="inlineStr">
        <is>
          <t>Basking Ridge, NJ, US</t>
        </is>
      </c>
      <c r="H97" s="2" t="n">
        <v>46058</v>
      </c>
      <c r="I97" t="inlineStr">
        <is>
          <t>Optum is a global organization that delivers care, aided by technology to help millions of people live healthier lives. The work you do with our team will directly improve health outcomes by connecting people with the care, pharmacy benefits, data and resources they need to feel their best. Here, you will find a culture guided by inclusion, talented peers, comprehensive benefits and career development opportunities. Come make an impact on the communities we serve as you help us advance health optimization on a global scale. Join us to start **Caring. Connecting. Growing together.**
The Provider Digital Technology team is focused on delivering a unified, intuitive digital entry point for UnitedHealthcare providers and partners to access tools, services, and information. We build consistent, secure, and scalable capabilities that simplify how providers discover, navigate, and engage with UHC's digital ecosystem. By working across UnitedHealthcare and the broader UnitedHealth Group organization, we reduce friction, enhance provider experience, and help advance UHC's mission to make the health system work better for everyone.
Our team collaborates closely with engineering, platform, and business partners to integrate diverse applications and data sources into a seamless provider experience across Portal, API, EDI, Chat, and Voice channels. We are also advancing the responsible use of AI, including developing digital assistants and chatbots for both chat and voice interactions, always with a focus on safety, compliance, and improving provider workflows. Our work plays a critical role in scaling digital access, supporting the evolving needs of healthcare providers, and enabling faster, more efficient problem\-solving across the care delivery ecosystem.
You'll enjoy the flexibility to work remotely \* from anywhere within the U.S. as you take on some tough challenges.
MN/DC \- This position follows a hybrid schedule with four in\-office days per week.
NJ \- This position follows a hybrid schedule with three in\-office days per week.
 **Primary Responsibilities:**
* Lead AI/ML adoption across the team, driving innovative use of both Generative AI and traditional ML techniques
* Design, develop, test, deploy, maintain, and continuously improve AI\-powered software solutions to meet customer and business needs
* Build responsible AI solutions and service components to support the Provider community, ensuring compliance with ethical and regulatory standards
* Develop new features leveraging AI/ML, including Generative AI models, predictive analytics, and automation capabilities
* Provide technical leadership for AI initiatives, including Chatbots and conversational AI solutions
* Partner with product management, architects, and engineering leadership to deliver creative, scalable AI solutions for healthcare challenges
* Drive alignment with enterprise AI strategies and ensure solutions meet business objectives and engineering best practices
* Accountable for high\-quality software deliverables and operational excellence
* Mentor and train team members on AI/ML technologies, frameworks, and responsible AI practices
* Collaborate with broader engineering teams to integrate AI into cloud modernization efforts and digital\-first initiatives
* Exercise independent judgment to prioritize, plan, and manage AI\-related activities and projects
You'll be rewarded and recognized for your performance in an environment that will challenge you and give you clear direction on what it takes to succeed in your role as well as provide development for other roles you may be interested in.
**Required Qualifications:**
* Undergraduate degree or equivalent experience
* 8\+ years of software engineering experience
* 5\+ years of hands\-on experience building AI/ML solutions, including LLMs, Generative AI, and traditional ML models
* 5\+ years of experience with Web and API development
* 5\+ years of experience hosting applications in cloud environments (AWS preferred)
* Solid experience with Chatbots, Conversational AI, and NLP\-based solutions
* Solid experience with Agentic AI (MCP or similar agent orchestration frameworks) and Strands Agents
* Solid experience in Python or Java
* Solid knowledge of security, access controls, logging, monitoring, performance tuning, disaster recovery, and production operations
 **Preferred Qualifications:**
* BS in Computer Science, Engineering, or related technical field (or equivalent experience)
* Experience in the healthcare industry
* Full\-stack engineering experience
* All employees working remotely will be required to adhere to UnitedHealth Group's Telecommuter Policy.
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The salary for this role will range from $112,700 to $193,200 annually based on full\-time employment. We comply with all minimum wage laws as applicable.
 **Application Deadline:** This will be posted for a minimum of 2 business days or until a sufficient candidate pool has been collected. Job posting may come down early due to volume of applicants.
 *At UnitedHealth Group, our mission is to help people live healthier lives and make the health system work better for everyone. We believe everyone\-of every race, gender, sexuality, age, location and income\-deserves the opportunity to live their healthiest life. Today, however, there are still far too many barriers to good health which are disproportionately experienced by people of color, historically marginalized groups and those with lower incomes. We are committed to mitigating our impact on the environment and enabling and delivering equitable care that addresses health disparities and improves health outcomes \- an enterprise priority reflected in our mission.*
 *UnitedHealth Group is an Equal Employment Opportunity employer under applicable law and qualified applicants will receive consideration for employment without regard to race, national origin, religion, age, color, sex, sexual orientation, gender identity, disability, or protected veteran status, or any other characteristic protected by local, state, or federal laws, rules, or regulations.*
 *UnitedHealth Group is a drug\-free workplace. Candidates are required to pass a drug test before beginning employment.*</t>
        </is>
      </c>
    </row>
    <row r="98">
      <c r="A98" t="inlineStr">
        <is>
          <t>in-204f2d33ee0a5626</t>
        </is>
      </c>
      <c r="B98" t="inlineStr">
        <is>
          <t>Jr. AI Engineer</t>
        </is>
      </c>
      <c r="C98" t="inlineStr">
        <is>
          <t>iConvergenceSolutions</t>
        </is>
      </c>
      <c r="D98" t="inlineStr">
        <is>
          <t>indeed</t>
        </is>
      </c>
      <c r="E98">
        <f>HYPERLINK("https://www.indeed.com/viewjob?jk=204f2d33ee0a5626", "https://www.indeed.com/viewjob?jk=204f2d33ee0a5626")</f>
        <v/>
      </c>
      <c r="F98">
        <f>HYPERLINK("http://www.indeed.com/job/jr-ai-engineer-204f2d33ee0a5626", "http://www.indeed.com/job/jr-ai-engineer-204f2d33ee0a5626")</f>
        <v/>
      </c>
      <c r="G98" t="inlineStr">
        <is>
          <t>Plano, TX, US</t>
        </is>
      </c>
      <c r="H98" s="2" t="n">
        <v>46058</v>
      </c>
      <c r="I98" t="inlineStr">
        <is>
          <t>Proficiency in Generative AI, NLP, LLM tuning (Open AI preferably),  
Agents (langgraph, Llama Index, Autogen), GPT functions, Prompt  
Engineering, Agentic workflows
Experience in: Python, Spark, Structured streaming, Pyspark, SQL, Unix  
(Shell scripting), Databricks, Azure, R(optional)
Packages: Scikit\-Learn, NumPy, Pandas, TensorFlow, Keras, pytorch
Database: Mysql, Teradata, No\-sql (Mongo preferably), In memory db  
(Redis preferably)
Business Intelligence: Power BI (optional)
Experience with observability tools like Splunk, Dynatrace, Elastic  
Search (Preferred)
Pay: $20\.00 \- $25\.00 per hour
Work Location: In person</t>
        </is>
      </c>
    </row>
    <row r="99">
      <c r="A99" t="inlineStr">
        <is>
          <t>in-9edb9b7e739f9557</t>
        </is>
      </c>
      <c r="B99" t="inlineStr">
        <is>
          <t>Sr. Machine Learning Engineer (Perception and Tracking)</t>
        </is>
      </c>
      <c r="C99" t="inlineStr">
        <is>
          <t>Ouster</t>
        </is>
      </c>
      <c r="D99" t="inlineStr">
        <is>
          <t>indeed</t>
        </is>
      </c>
      <c r="E99">
        <f>HYPERLINK("https://www.indeed.com/viewjob?jk=9edb9b7e739f9557", "https://www.indeed.com/viewjob?jk=9edb9b7e739f9557")</f>
        <v/>
      </c>
      <c r="F99">
        <f>HYPERLINK("https://ouster.applytojob.com/apply/POaf4TokKv/Sr-Machine-Learning-Engineer-Perception-And-Tracking?source=INDE&amp;~", "https://ouster.applytojob.com/apply/POaf4TokKv/Sr-Machine-Learning-Engineer-Perception-And-Tracking?source=INDE&amp;~")</f>
        <v/>
      </c>
      <c r="G99" t="inlineStr">
        <is>
          <t>San Francisco, CA, US</t>
        </is>
      </c>
      <c r="H99" s="2" t="n">
        <v>46058</v>
      </c>
      <c r="I99" t="inlineStr">
        <is>
          <t>At Ouster, we build sensors and tools for engineers, roboticists, and researchers, so they can make the world safer and more efficient. We've transformed LIDAR from an analog device with thousands of components to an elegant digital device powered by one chip\-scale laser array and one CMOS sensor. The result is a full range of high\-resolution LIDAR sensors that deliver superior imaging at a dramatically lower price. Our advanced sensor hardware and vision algorithms are used in autonomous cars, robotics, industrial, and smart infrastructure applications (among many others). If you’re motivated by solving big problems, we’re hiring key roles across the company and need your help!  
We are looking for a highly technical Machine Learning Engineer to lead our efforts in **Object Detection and Tracking**. You will not simply be "importing" pre\-made models; you will be architecting deep neural networks, translating state\-of\-the\-art research papers into code, and optimizing these systems for real\-time, on\-device performance.
This role requires a deep knowledge of neural network architectures. You should be confident ripping apart a model to modify layers, loss functions, and data flows to fit our specific constraints.
### **Key Responsibilities**
* **Architect Unified Models:** Design and train DNN models that perform Object Detection and Tracking simultaneously, leveraging temporal information to improve consistency.
* **Research to Production:** Evaluate state\-of\-the\-art research papers and prototype these concepts (turning papers into code) and adapt them into robust, production\-grade solutions.
* **Deep Model Customization:** Go beyond standard libraries by implementing custom loss functions, modifying internal model architectures, and designing specific data augmentation strategies to squeeze out maximum performance.
* **Edge Optimization:** Ensure high accuracy is matched by high efficiency. Optimize models for real\-time inference and on\-device deployment.
* **Data Strategy:** Develop training recipes for data\-constrained environments and effective post\-training strategies.
### **Required Qualifications**
* **Core Stack:**
	+ 5\+ years proficiency in Python and PyTorch.
	+ 3\+ years proficiency in C\+\+ for production deployment and optimization.
* **Detection \&amp; Tracking:** Deep theoretical and practical understanding of modern object detectors (e.g., Transformers, YOLO variants, R\-CNNs) and tracking algorithms (e.g., DeepSORT, Kalman Filters, Optical Flow).
* **Architecture Internals:** Proven experience not being dependent on "out\-of\-the\-box" APIs. You have a track record of modifying model architectures via extensive experimentation to meet specific requirements.
* **Low\-Data Regimes:** Experience improving model generalization with limited data using Transfer Learning, Domain Adaptation, or Few\-Shot Learning.
* **Mathematical Foundation:** Strong grasp of linear algebra and probability as it applies to custom loss function design and geometric 3D vision.
### **Preferred Qualifications**
* **3D / LiDAR Experience:** Hands\-on experience with 3D Point Cloud data (LiDAR) is a massive plus.
* **Deployment Tools:** Experience with TensorRT, ONNX Runtime, or edge\-specific hardware (NVIDIA Jetson, etc.).
The base pay will be dependent on your skills, work experience, location, and qualifications. This role may also be eligible for equity \&amp; benefits. ($180,000\-220,000\)  
We acknowledge the confidence gap at Ouster. You do not need to meet all of these requirements to be the ideal candidate for this role.
Ouster is an Equal Employment Opportunity employer that pursues and hires a diverse workforce. Ouster does not make employment decisions on the basis of race, color, religion, ethnic or national origin, nationality, sex, gender, gender\-identity, sexual orientation, disability, age, military status, or any other basis protected by local, state, or federal laws. Ouster also strives for a healthy and safe workplace, and prohibits harassment of any kind. Pursuant to the San Francisco Fair Chance Ordinance, Ouster considers qualified applicants with arrest and conviction records for employment. If you have a disability or special need that requires accommodation, please let us know.
POaf4TokKv</t>
        </is>
      </c>
    </row>
    <row r="100">
      <c r="A100" t="inlineStr">
        <is>
          <t>in-83d0e5c4dbd53089</t>
        </is>
      </c>
      <c r="B100" t="inlineStr">
        <is>
          <t>AI Engineer, Agent Platform</t>
        </is>
      </c>
      <c r="C100" t="inlineStr"/>
      <c r="D100" t="inlineStr">
        <is>
          <t>indeed</t>
        </is>
      </c>
      <c r="E100">
        <f>HYPERLINK("https://www.indeed.com/viewjob?jk=83d0e5c4dbd53089", "https://www.indeed.com/viewjob?jk=83d0e5c4dbd53089")</f>
        <v/>
      </c>
      <c r="F100">
        <f>HYPERLINK("https://workforcenow.adp.com/mascsr/default/mdf/recruitment/recruitment.html?cid=637f43c7-d6c0-488d-a842-5b86f64f91ff&amp;ccId=19000101_000001&amp;jobId=579855&amp;source=IN&amp;lang=en_US", "https://workforcenow.adp.com/mascsr/default/mdf/recruitment/recruitment.html?cid=637f43c7-d6c0-488d-a842-5b86f64f91ff&amp;ccId=19000101_000001&amp;jobId=579855&amp;source=IN&amp;lang=en_US")</f>
        <v/>
      </c>
      <c r="G100" t="inlineStr">
        <is>
          <t>Irving, TX, US</t>
        </is>
      </c>
      <c r="H100" s="2" t="n">
        <v>46058</v>
      </c>
      <c r="I100" t="inlineStr">
        <is>
          <t>Location: Remote
Department: Information Technology
Reports To: Director of Engineering
**Position Overview**
---------------------
**We’re seeking a Mid\-Level AI Engineer to help build, evaluate, and harden production AI agents that power real clinical workflows. This role is execution\-focused and hands\-on: you’ll work closely with Staff and Senior engineers to optimize prompts, build evaluation harnesses, instrument observability, and support customer\-facing deployments.**
---------------------------------------------------------------------------------------------------------------------------------------------------------------------------------------------------------------------------------------------------------------------------------------------------------------------------------------------------------------
**You’ll operate at the intersection of AI behavior, workflow reliability, and real\-world usage, helping ensure that agents are explainable, measurable, safe, and continuously improving in production. This is an ideal role for an engineer who wants to deepen their expertise in agent systems, evaluation, and applied AI in regulated environments.**
-------------------------------------------------------------------------------------------------------------------------------------------------------------------------------------------------------------------------------------------------------------------------------------------------------------------------------------------------------------
**This role is critical to turning AI experimentation into a repeatable, trustworthy production system. You’ll be close to real users, real data, and real outcomes, learning how high\-impact AI systems are built, validated, and scaled responsibly.**
---------------------------------------------------------------------------------------------------------------------------------------------------------------------------------------------------------------------------------------------------------
**Key Responsibilities**
------------------------
* Develop, refine, and test prompts to improve accuracy, consistency, and cost efficiency.
* Collaborate with Staff engineers to align prompts with safety policies, workflow constraints, and clinical acceptance criteria.
* Treat prompts as production artifacts: versioned, reviewed, tested, and rolled out through controlled releases.
* Implement and maintain offline evaluation suites, including golden datasets and regression tests.
* Write evals that measure workflow\-level outcomes (accuracy, escalation rate, acceptance rate, error categories).
* Help wire evaluations into CI/CD pipelines to prevent regressions before release.
* Instrument workflows with structured logging, metrics, and traceability.
* Analyze eval results and partner with senior engineers to recommend improvements.
* Work closely with product, clinical, and customer teams to support real deployments.
* Assist with workflow configuration, prompt tuning, and debugging in customer environments.
* Translate customer feedback and production learnings into concrete platform improvements.
* Help bridge the gap between prototype behavior and production\-grade reliability.
* Contribute to shared agent libraries, tooling, and utilities under the guidance of senior engineers.
* Follow established reference architectures, safety patterns, and release discipline.
* Participate in design reviews, code reviews, and post\-incident retrospectives.
**Required Qualifications**
---------------------------
* 5\-7 years of experience building and shipping production software systems.
* Strong proficiency in Python (experience with C\# or multi\-language systems is a plus).
* Hands\-on experience working with LLMs, prompts, and tool\-calling workflows.
* Experience writing tests or evaluation logic for complex systems (AI or non\-AI).
* Familiarity with logging, monitoring, and debugging distributed or asynchronous systems.
* Comfort working in fast\-moving environments with real users and production constraints.
* Driven to succeed
* Eligible to work in the U.S. without relying solely on a student visa or a visa sponsored by a third\-party employer.
**Preferred Qualifications**
----------------------------
* Experience with MLOps tooling, evaluation frameworks, experiment tracking, or data analysis tooling.
* Familiarity with vector databases, embeddings, or retrieval\-augmented generation (RAG).
* Exposure to regulated or high\-stakes domains (healthcare, fintech, security).
* Experience supporting customer deployments or working in a forward\-deployed / solutions role.
* Interest in AI safety, auditability, and explainable systems.
**Core Competencies:**
----------------------
* Flexible, Detail Oriented, Customer Focus, Team Working, Initiative, Problem Solving, Organized, Self\-Motivated
**General:**
------------
* Adopt the OnPoint culture of respect, integrity, and accountability that contributes to an internal environment of teamwork and promotes a positive brand image to our external customers.
* Incorporate a data\-centric leadership mindset to your role.
* Comply with OnPoint procedures, policies, and regulations relevant to your role.
* Successfully completes all OnPoint training requirements (i.e. HIPAA, compliance, etc.)
* Responsible for compliance with all regulatory requirements and/or guidelines. These requirements/guidelines include, but are not limited to: HIPAA, Federal Fraud and Abuse laws.
* Able to communicate effectively with others, both verbally and in writing.
* Proven ability to manage time, meet deadlines and prioritize.
* Able to maintain standards and professionalism during periods of fluctuating workloads.
* Provide professional service to direct customers and vendors/delivery partners of OnPoint in all interactions.
* Build effective working relationships with other team members.
* Manage daily tasks to ensure business needs are consistently met.
* Excellent communication and customer service skills.
* Able to work independently and as part of a team.
* Able to handle multiple tasks and prioritize work effectively.
**Physical Demands:**
---------------------
The physical demands described here are representative of those that must be met by an employee to successfully perform the essential functions of this job. While performing the duties of this job, the employee is regularly required to speak, hear, read, and type. This is largely a sedentary role; however, some shipping may be required. This position requires the ability to occasionally lift office products and supplies up to 40 pounds.**Work Environment:**
---------------------
To perform this job successfully, an individual must be able to perform each essential duty satisfactorily. The requirements listed above are representative of the knowledge, skill and/or ability required.
Please note this job description is not designed to cover or contain a comprehensive listing of activities, duties, or responsibilities that are required of the employee for this job. Duties, responsibilities, and activities may change at any time, with or without notice.</t>
        </is>
      </c>
    </row>
    <row r="101">
      <c r="A101" t="inlineStr">
        <is>
          <t>in-ed3a696a20526f83</t>
        </is>
      </c>
      <c r="B101" t="inlineStr">
        <is>
          <t>Data and Machine Learning Engineer - Vision Language Models, Data &amp; Machine Learning (DML)</t>
        </is>
      </c>
      <c r="C101" t="inlineStr">
        <is>
          <t>Amazon Web Services</t>
        </is>
      </c>
      <c r="D101" t="inlineStr">
        <is>
          <t>indeed</t>
        </is>
      </c>
      <c r="E101">
        <f>HYPERLINK("https://www.indeed.com/viewjob?jk=ed3a696a20526f83", "https://www.indeed.com/viewjob?jk=ed3a696a20526f83")</f>
        <v/>
      </c>
      <c r="F101">
        <f>HYPERLINK("https://www.amazon.jobs/jobs/3173014/data-and-machine-learning-engineer--vision-language-models-data--machine-learning-dml?cmpid=DA_INAD200785B", "https://www.amazon.jobs/jobs/3173014/data-and-machine-learning-engineer--vision-language-models-data--machine-learning-dml?cmpid=DA_INAD200785B")</f>
        <v/>
      </c>
      <c r="G101" t="inlineStr">
        <is>
          <t>Arlington, VA, US</t>
        </is>
      </c>
      <c r="H101" s="2" t="n">
        <v>46051</v>
      </c>
      <c r="I101" t="inlineStr">
        <is>
          <t>**DESCRIPTION**
---------------
This position requires that the candidate selected be a US Citizen and currently possess and maintain an active Top Secret security clearance.  
Join a sizeable team of data scientists, research scientists, and machine learning engineers that develop vision language models (VLMs) on overhead imagery for a high\-impact government customer. We own the entire machine learning development life cycle, developing models on customer data:
* Exploring the data and brainstorming and prioritizing ideas for model development
* Implementing new features
* Training models in support of experimental or performance goals
* T\&amp;E\-ing, packaging, and delivering models
We perform this work on both unclassified and classified networks, with portions of our team working on each network.
We seek a new team member to work on the classified networks. You would work collaboratively with teammates to develop and use a python codebase for fine\-tuning VLMs.
You would have great opportunities to learn from team members and technical leads, while also having opportunities for ownership of important project workflows. You would work with Jupyter Notebooks, the Linux command line, GitLab, and Visual Studio Code.
Key job responsibilities  
With support from technical leads, carry out tasking across the entire machine learning development lifecycle to fine\-tune VLMs on overhead imagery:
* Run data conversion pipelines to transform customer data into the structure needed by models for training
* Perform EDA on the customer data
* Train VLMs on overhead imagery
* Develop and implement hyper\-parameter optimization strategies
* Test and Evaluate models and analyze results
* Package and deliver models to the customer
* Implement new features to the code base
* Collaborate with the rest of the team on long term strategy and short\-medium term implementation.
* Contribute to presentations to the customer regarding the team’s work.
**BASIC QUALIFICATIONS**
------------------------
* 3\+ years of data querying languages (e.g. SQL), scripting languages (e.g. Python) or statistical/mathematical software (e.g. R, SAS, Matlab, etc.) experience
* 3\+ years of machine learning/statistical modeling data analysis tools and techniques, and parameters that affect their performance experience
* Bachelor's degree or above in computer science, machine learning, engineering, or related fields
* Current, active US Government Security Clearance of Top Secret or above
**PREFERRED QUALIFICATIONS**
----------------------------
* Experience in a ML or data scientist role with a large technology company
* Experience working on multi\-team, cross\-disciplinary projects
* Master's degree or above in computer science, machine learning, engineering, or related fields
* Knowledge of Linux, PyTorch, and Git workflows for computer vision requirements
* Experience developing visual language models leveraging satellite imagery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Arlington \- 136,000\.00 \- 184,000\.00 USD annually  
USA, VA, Herndon \- 136,000\.00 \- 184,000\.00 USD annually</t>
        </is>
      </c>
    </row>
    <row r="102">
      <c r="A102" t="inlineStr">
        <is>
          <t>in-36ae0b8f33787447</t>
        </is>
      </c>
      <c r="B102" t="inlineStr">
        <is>
          <t>Data and Machine Learning Engineer - Vision Language Models, Data &amp; Machine Learning (DML)</t>
        </is>
      </c>
      <c r="C102" t="inlineStr">
        <is>
          <t>Amazon Web Services</t>
        </is>
      </c>
      <c r="D102" t="inlineStr">
        <is>
          <t>indeed</t>
        </is>
      </c>
      <c r="E102">
        <f>HYPERLINK("https://www.indeed.com/viewjob?jk=36ae0b8f33787447", "https://www.indeed.com/viewjob?jk=36ae0b8f33787447")</f>
        <v/>
      </c>
      <c r="F102">
        <f>HYPERLINK("https://www.amazon.jobs/jobs/3173014/data-and-machine-learning-engineer--vision-language-models-data--machine-learning-dml?cmpid=DA_INAD200785B", "https://www.amazon.jobs/jobs/3173014/data-and-machine-learning-engineer--vision-language-models-data--machine-learning-dml?cmpid=DA_INAD200785B")</f>
        <v/>
      </c>
      <c r="G102" t="inlineStr">
        <is>
          <t>Herndon, VA, US</t>
        </is>
      </c>
      <c r="H102" s="2" t="n">
        <v>46051</v>
      </c>
      <c r="I102" t="inlineStr">
        <is>
          <t>**DESCRIPTION**
---------------
This position requires that the candidate selected be a US Citizen and currently possess and maintain an active Top Secret security clearance.  
Join a sizeable team of data scientists, research scientists, and machine learning engineers that develop vision language models (VLMs) on overhead imagery for a high\-impact government customer. We own the entire machine learning development life cycle, developing models on customer data:
* Exploring the data and brainstorming and prioritizing ideas for model development
* Implementing new features
* Training models in support of experimental or performance goals
* T\&amp;E\-ing, packaging, and delivering models
We perform this work on both unclassified and classified networks, with portions of our team working on each network.
We seek a new team member to work on the classified networks. You would work collaboratively with teammates to develop and use a python codebase for fine\-tuning VLMs.
You would have great opportunities to learn from team members and technical leads, while also having opportunities for ownership of important project workflows. You would work with Jupyter Notebooks, the Linux command line, GitLab, and Visual Studio Code.
Key job responsibilities  
With support from technical leads, carry out tasking across the entire machine learning development lifecycle to fine\-tune VLMs on overhead imagery:
* Run data conversion pipelines to transform customer data into the structure needed by models for training
* Perform EDA on the customer data
* Train VLMs on overhead imagery
* Develop and implement hyper\-parameter optimization strategies
* Test and Evaluate models and analyze results
* Package and deliver models to the customer
* Implement new features to the code base
* Collaborate with the rest of the team on long term strategy and short\-medium term implementation.
* Contribute to presentations to the customer regarding the team’s work.
**BASIC QUALIFICATIONS**
------------------------
* 3\+ years of data querying languages (e.g. SQL), scripting languages (e.g. Python) or statistical/mathematical software (e.g. R, SAS, Matlab, etc.) experience
* 3\+ years of machine learning/statistical modeling data analysis tools and techniques, and parameters that affect their performance experience
* Bachelor's degree or above in computer science, machine learning, engineering, or related fields
* Current, active US Government Security Clearance of Top Secret or above
**PREFERRED QUALIFICATIONS**
----------------------------
* Experience in a ML or data scientist role with a large technology company
* Experience working on multi\-team, cross\-disciplinary projects
* Master's degree or above in computer science, machine learning, engineering, or related fields
* Knowledge of Linux, PyTorch, and Git workflows for computer vision requirements
* Experience developing visual language models leveraging satellite imagery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Arlington \- 136,000\.00 \- 184,000\.00 USD annually  
USA, VA, Herndon \- 136,000\.00 \- 184,000\.00 USD annually</t>
        </is>
      </c>
    </row>
    <row r="103">
      <c r="A103" t="inlineStr">
        <is>
          <t>in-3c98cf3b6b4cb452</t>
        </is>
      </c>
      <c r="B103" t="inlineStr">
        <is>
          <t>Machine Learning Engineer, WWPS ProServe Data and Machine Learning</t>
        </is>
      </c>
      <c r="C103" t="inlineStr">
        <is>
          <t>Amazon Web Services</t>
        </is>
      </c>
      <c r="D103" t="inlineStr">
        <is>
          <t>indeed</t>
        </is>
      </c>
      <c r="E103">
        <f>HYPERLINK("https://www.indeed.com/viewjob?jk=3c98cf3b6b4cb452", "https://www.indeed.com/viewjob?jk=3c98cf3b6b4cb452")</f>
        <v/>
      </c>
      <c r="F103">
        <f>HYPERLINK("https://www.amazon.jobs/jobs/3168182/machine-learning-engineer-wwps-proserve-data-and-machine-learning?cmpid=DA_INAD200785B", "https://www.amazon.jobs/jobs/3168182/machine-learning-engineer-wwps-proserve-data-and-machine-learning?cmpid=DA_INAD200785B")</f>
        <v/>
      </c>
      <c r="G103" t="inlineStr">
        <is>
          <t>Arlington, VA, US</t>
        </is>
      </c>
      <c r="H103" s="2" t="n">
        <v>46044</v>
      </c>
      <c r="I103" t="inlineStr">
        <is>
          <t>**DESCRIPTION**
---------------
The Amazon Web Services Professional Services (ProServe) team is seeking a skilled Machine Learning Engineer to join our team at Amazon Web Services (AWS). Are you looking to work at the forefront of Machine Learning and AI? Would you be excited to apply Generative AI algorithms to solve real world problems with significant impact? In this role, you'll work directly with customers to design, evangelize, implement, and scale AI/ML solutions that meet their technical requirements and business objectives. You'll be a key player in driving customer success through their AI transformation journey, providing deep expertise in machine learning, generative AI, and best practices throughout the project lifecycle.  
As a Machine Learning Engineer within the AWS Professional Services organization, you will be proficient in architecting complex, scalable, and secure machine learning solutions tailored to meet the specific needs of each customer. You'll help customers imagine and scope the use cases that will create the greatest value for their businesses, select and train and fine tune the right models, and define paths to navigate technical or business challenges. Working closely with stakeholders, you'll assess current data infrastructure, develop proof\-of\-concepts, and propose effective strategies for implementing AI and generative AI solutions at scale. You will design and run experiments, research new algorithms, and find new ways of optimizing risk, profitability, and customer experience.  
The AWS Professional Services organization is a global team of experts that help customers realize their desired business outcomes when using the AWS Cloud. We work together with customer teams and the AWS Partner Network (APN) to execute enterprise cloud computing initiatives. Our team provides assistance through a collection of offerings which help customers achieve specific outcomes related to enterprise cloud adoption. We also deliver focused guidance through our global specialty practices, which cover a variety of solutions, technologies, and industries.  
This position requires that the candidate selected be a US Citizen and must currently possess and maintain an active TS/SCI security clearance with polygraph.  
Key job responsibilities  
* Designing and implementing complex, scalable, and secure AI/ML solutions on AWS tailored to customer needs, including selecting and fine\-tuning appropriate models for specific use cases
* Developing and deploying machine learning models and generative AI applications that solve real\-world business problems, conducting experiments and optimizing for performance at scale
* Collaborating with customer stakeholders to identify high\-value AI/ML use cases, gather requirements, and propose effective strategies for implementing machine learning and generative AI solutions
* Providing technical guidance on applying AI, machine learning, and generative AI responsibly and cost\-efficiently, troubleshooting throughout project delivery and ensuring adherence to best practices
* Acting as a trusted advisor to customers on the latest advancements in AI/ML, emerging technologies, and innovative approaches to leveraging diverse data sources for maximum business impact
* Sharing knowledge within the organization through mentoring, training, creating reusable AI/ML artifacts, and working with team members to prototype new technologies and evaluate technical feasibility
About the team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Bachelor's degree or above in Science, Technology, Engineering, or Mathematics (STEM), or experience working in Science, Technology, Engineering, or Mathematics (STEM)
* 3\+ years of data querying languages (e.g. SQL), scripting languages (e.g. Python) or statistical/mathematical software (e.g. R, SAS, Matlab, etc.) experience
* 3\+ years of machine learning/statistical modeling data analysis tools and techniques, and parameters that affect their performance experience
* Experience in professional software engineering \&amp; best practices for the full software development life cycle, including coding standards, software architectures, code reviews, source control management, continuous deployments, testing, and operational excellence
* Current, active US Government Security Clearance of TS/SCI with Polygraph
**PREFERRED QUALIFICATIONS**
----------------------------
* Master's degree or above in Science, Technology, Engineering, or Mathematics (STEM)
* Knowledge of machine learning concepts and their application to reasoning and problem\-solving
* Experience in defining and creating benchmarks for assessing GenAI model performance
* Experience working on multi\-team, cross\-disciplinary projects
* Experience applying quantitative analysis to solve business problems and making data\-driven business decisions
* Experience with Python, SQL/NoSQL, and API development for building and deploying AI/ML solutions
* Experience working with Large Language Models (LLMs), prompt engineering, and generative AI frameworks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Arlington \- 136,000\.00 \- 184,000\.00 USD annually  
USA, VA, Herndon \- 136,000\.00 \- 184,000\.00 USD annually</t>
        </is>
      </c>
    </row>
    <row r="104">
      <c r="A104" t="inlineStr">
        <is>
          <t>in-8ae79ca8952ef80a</t>
        </is>
      </c>
      <c r="B104" t="inlineStr">
        <is>
          <t>Machine Learning Engineer, WWPS ProServe Data and Machine Learning</t>
        </is>
      </c>
      <c r="C104" t="inlineStr">
        <is>
          <t>Amazon Web Services</t>
        </is>
      </c>
      <c r="D104" t="inlineStr">
        <is>
          <t>indeed</t>
        </is>
      </c>
      <c r="E104">
        <f>HYPERLINK("https://www.indeed.com/viewjob?jk=8ae79ca8952ef80a", "https://www.indeed.com/viewjob?jk=8ae79ca8952ef80a")</f>
        <v/>
      </c>
      <c r="F104">
        <f>HYPERLINK("https://www.amazon.jobs/jobs/3168182/machine-learning-engineer-wwps-proserve-data-and-machine-learning?cmpid=DA_INAD200785B", "https://www.amazon.jobs/jobs/3168182/machine-learning-engineer-wwps-proserve-data-and-machine-learning?cmpid=DA_INAD200785B")</f>
        <v/>
      </c>
      <c r="G104" t="inlineStr">
        <is>
          <t>Herndon, VA, US</t>
        </is>
      </c>
      <c r="H104" s="2" t="n">
        <v>46044</v>
      </c>
      <c r="I104" t="inlineStr">
        <is>
          <t>**DESCRIPTION**
---------------
The Amazon Web Services Professional Services (ProServe) team is seeking a skilled Machine Learning Engineer to join our team at Amazon Web Services (AWS). Are you looking to work at the forefront of Machine Learning and AI? Would you be excited to apply Generative AI algorithms to solve real world problems with significant impact? In this role, you'll work directly with customers to design, evangelize, implement, and scale AI/ML solutions that meet their technical requirements and business objectives. You'll be a key player in driving customer success through their AI transformation journey, providing deep expertise in machine learning, generative AI, and best practices throughout the project lifecycle.  
As a Machine Learning Engineer within the AWS Professional Services organization, you will be proficient in architecting complex, scalable, and secure machine learning solutions tailored to meet the specific needs of each customer. You'll help customers imagine and scope the use cases that will create the greatest value for their businesses, select and train and fine tune the right models, and define paths to navigate technical or business challenges. Working closely with stakeholders, you'll assess current data infrastructure, develop proof\-of\-concepts, and propose effective strategies for implementing AI and generative AI solutions at scale. You will design and run experiments, research new algorithms, and find new ways of optimizing risk, profitability, and customer experience.  
The AWS Professional Services organization is a global team of experts that help customers realize their desired business outcomes when using the AWS Cloud. We work together with customer teams and the AWS Partner Network (APN) to execute enterprise cloud computing initiatives. Our team provides assistance through a collection of offerings which help customers achieve specific outcomes related to enterprise cloud adoption. We also deliver focused guidance through our global specialty practices, which cover a variety of solutions, technologies, and industries.  
This position requires that the candidate selected be a US Citizen and must currently possess and maintain an active TS/SCI security clearance with polygraph.  
Key job responsibilities  
* Designing and implementing complex, scalable, and secure AI/ML solutions on AWS tailored to customer needs, including selecting and fine\-tuning appropriate models for specific use cases
* Developing and deploying machine learning models and generative AI applications that solve real\-world business problems, conducting experiments and optimizing for performance at scale
* Collaborating with customer stakeholders to identify high\-value AI/ML use cases, gather requirements, and propose effective strategies for implementing machine learning and generative AI solutions
* Providing technical guidance on applying AI, machine learning, and generative AI responsibly and cost\-efficiently, troubleshooting throughout project delivery and ensuring adherence to best practices
* Acting as a trusted advisor to customers on the latest advancements in AI/ML, emerging technologies, and innovative approaches to leveraging diverse data sources for maximum business impact
* Sharing knowledge within the organization through mentoring, training, creating reusable AI/ML artifacts, and working with team members to prototype new technologies and evaluate technical feasibility
About the team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Bachelor's degree or above in Science, Technology, Engineering, or Mathematics (STEM), or experience working in Science, Technology, Engineering, or Mathematics (STEM)
* 3\+ years of data querying languages (e.g. SQL), scripting languages (e.g. Python) or statistical/mathematical software (e.g. R, SAS, Matlab, etc.) experience
* 3\+ years of machine learning/statistical modeling data analysis tools and techniques, and parameters that affect their performance experience
* Experience in professional software engineering \&amp; best practices for the full software development life cycle, including coding standards, software architectures, code reviews, source control management, continuous deployments, testing, and operational excellence
* Current, active US Government Security Clearance of TS/SCI with Polygraph
**PREFERRED QUALIFICATIONS**
----------------------------
* Master's degree or above in Science, Technology, Engineering, or Mathematics (STEM)
* Knowledge of machine learning concepts and their application to reasoning and problem\-solving
* Experience in defining and creating benchmarks for assessing GenAI model performance
* Experience working on multi\-team, cross\-disciplinary projects
* Experience applying quantitative analysis to solve business problems and making data\-driven business decisions
* Experience with Python, SQL/NoSQL, and API development for building and deploying AI/ML solutions
* Experience working with Large Language Models (LLMs), prompt engineering, and generative AI frameworks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Arlington \- 136,000\.00 \- 184,000\.00 USD annually  
USA, VA, Herndon \- 136,000\.00 \- 184,000\.00 USD annually</t>
        </is>
      </c>
    </row>
    <row r="105">
      <c r="A105" t="inlineStr">
        <is>
          <t>in-ea12ca0b773a6b8e</t>
        </is>
      </c>
      <c r="B105" t="inlineStr">
        <is>
          <t>Machine Learning Engineer, WWPS ProServe Data and Machine Learning</t>
        </is>
      </c>
      <c r="C105" t="inlineStr">
        <is>
          <t>Amazon Web Services</t>
        </is>
      </c>
      <c r="D105" t="inlineStr">
        <is>
          <t>indeed</t>
        </is>
      </c>
      <c r="E105">
        <f>HYPERLINK("https://www.indeed.com/viewjob?jk=ea12ca0b773a6b8e", "https://www.indeed.com/viewjob?jk=ea12ca0b773a6b8e")</f>
        <v/>
      </c>
      <c r="F105">
        <f>HYPERLINK("https://www.amazon.jobs/jobs/3168180/machine-learning-engineer-wwps-proserve-data-and-machine-learning?cmpid=DA_INAD200785B", "https://www.amazon.jobs/jobs/3168180/machine-learning-engineer-wwps-proserve-data-and-machine-learning?cmpid=DA_INAD200785B")</f>
        <v/>
      </c>
      <c r="G105" t="inlineStr">
        <is>
          <t>Herndon, VA, US</t>
        </is>
      </c>
      <c r="H105" s="2" t="n">
        <v>46043</v>
      </c>
      <c r="I105" t="inlineStr">
        <is>
          <t>**DESCRIPTION**
---------------
The Amazon Web Services Professional Services (ProServe) team is seeking a skilled Machine Learning Engineer to join our team at Amazon Web Services (AWS). Are you looking to work at the forefront of Machine Learning and AI? Would you be excited to apply Generative AI algorithms to solve real world problems with significant impact? In this role, you'll work directly with customers to design, evangelize, implement, and scale AI/ML solutions that meet their technical requirements and business objectives. You'll be a key player in driving customer success through their AI transformation journey, providing deep expertise in machine learning, generative AI, and best practices throughout the project lifecycle.  
As a Machine Learning Engineer within the AWS Professional Services organization, you will be proficient in architecting complex, scalable, and secure machine learning solutions tailored to meet the specific needs of each customer. You'll help customers imagine and scope the use cases that will create the greatest value for their businesses, select and train and fine tune the right models, and define paths to navigate technical or business challenges. Working closely with stakeholders, you'll assess current data infrastructure, develop proof\-of\-concepts, and propose effective strategies for implementing AI and generative AI solutions at scale. You will design and run experiments, research new algorithms, and find new ways of optimizing risk, profitability, and customer experience.  
The AWS Professional Services organization is a global team of experts that help customers realize their desired business outcomes when using the AWS Cloud. We work together with customer teams and the AWS Partner Network (APN) to execute enterprise cloud computing initiatives. Our team provides assistance through a collection of offerings which help customers achieve specific outcomes related to enterprise cloud adoption. We also deliver focused guidance through our global specialty practices, which cover a variety of solutions, technologies, and industries.  
This position requires that the candidate selected must currently possess and maintain an active TS/SCI security clearance with polygraph.  
Key job responsibilities  
* Designing and implementing complex, scalable, and secure AI/ML solutions on AWS tailored to customer needs, including selecting and fine\-tuning appropriate models for specific use cases
* Developing and deploying machine learning models and generative AI applications that solve real\-world business problems, conducting experiments and optimizing for performance at scale
* Collaborating with customer stakeholders to identify high\-value AI/ML use cases, gather requirements, and propose effective strategies for implementing machine learning and generative AI solutions
* Providing technical guidance on applying AI, machine learning, and generative AI responsibly and cost\-efficiently, troubleshooting throughout project delivery and ensuring adherence to best practices
* Acting as a trusted advisor to customers on the latest advancements in AI/ML, emerging technologies, and innovative approaches to leveraging diverse data sources for maximum business impact
* Sharing knowledge within the organization through mentoring, training, creating reusable AI/ML artifacts, and working with team members to prototype new technologies and evaluate technical feasibility
About the team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Bachelor's degree or above in Science, Technology, Engineering, or Mathematics (STEM), or experience working in Science, Technology, Engineering, or Mathematics (STEM)
* 2\+ years of data scientist experience
* 3\+ years of data querying languages (e.g. SQL), scripting languages (e.g. Python) or statistical/mathematical software (e.g. R, SAS, Matlab, etc.) experience
* 3\+ years of machine learning/statistical modeling data analysis tools and techniques, and parameters that affect their performance experience
* 1\+ years of working with or evaluating AI systems experience
* Knowledge of professional software engineering \&amp; best practices for full software development life cycle, including coding standards, software architectures, code reviews, source control management, continuous deployments, testing, and operational excellence
* Experience in professional software engineering \&amp; best practices for the full software development life cycle, including coding standards, software architectures, code reviews, source control management, continuous deployments, testing, and operational excellence
**PREFERRED QUALIFICATIONS**
----------------------------
* Master's degree or above in Science, Technology, Engineering, or Mathematics (STEM)
* Knowledge of machine learning concepts and their application to reasoning and problem\-solving
* Experience in defining and creating benchmarks for assessing GenAI model performance
* Experience working on multi\-team, cross\-disciplinary projects
* Experience applying quantitative analysis to solve business problems and making data\-driven business decisions
* Experience with Python, SQL/NoSQL, and API development for building and deploying AI/ML solutions
* Experience working with Large Language Models (LLMs), prompt engineering, and generative AI frameworks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Arlington \- 136,000\.00 \- 184,000\.00 USD annually  
USA, VA, Herndon \- 136,000\.00 \- 184,000\.00 USD annually</t>
        </is>
      </c>
    </row>
    <row r="106">
      <c r="A106" t="inlineStr">
        <is>
          <t>in-f5737c7853e63e6b</t>
        </is>
      </c>
      <c r="B106" t="inlineStr">
        <is>
          <t>Machine Learning Engineer, WWPS ProServe Data and Machine Learning</t>
        </is>
      </c>
      <c r="C106" t="inlineStr">
        <is>
          <t>Amazon Web Services</t>
        </is>
      </c>
      <c r="D106" t="inlineStr">
        <is>
          <t>indeed</t>
        </is>
      </c>
      <c r="E106">
        <f>HYPERLINK("https://www.indeed.com/viewjob?jk=f5737c7853e63e6b", "https://www.indeed.com/viewjob?jk=f5737c7853e63e6b")</f>
        <v/>
      </c>
      <c r="F106">
        <f>HYPERLINK("https://www.amazon.jobs/jobs/3168180/machine-learning-engineer-wwps-proserve-data-and-machine-learning?cmpid=DA_INAD200785B", "https://www.amazon.jobs/jobs/3168180/machine-learning-engineer-wwps-proserve-data-and-machine-learning?cmpid=DA_INAD200785B")</f>
        <v/>
      </c>
      <c r="G106" t="inlineStr">
        <is>
          <t>Arlington, VA, US</t>
        </is>
      </c>
      <c r="H106" s="2" t="n">
        <v>46043</v>
      </c>
      <c r="I106" t="inlineStr">
        <is>
          <t>**DESCRIPTION**
---------------
The Amazon Web Services Professional Services (ProServe) team is seeking a skilled Machine Learning Engineer to join our team at Amazon Web Services (AWS). Are you looking to work at the forefront of Machine Learning and AI? Would you be excited to apply Generative AI algorithms to solve real world problems with significant impact? In this role, you'll work directly with customers to design, evangelize, implement, and scale AI/ML solutions that meet their technical requirements and business objectives. You'll be a key player in driving customer success through their AI transformation journey, providing deep expertise in machine learning, generative AI, and best practices throughout the project lifecycle.  
As a Machine Learning Engineer within the AWS Professional Services organization, you will be proficient in architecting complex, scalable, and secure machine learning solutions tailored to meet the specific needs of each customer. You'll help customers imagine and scope the use cases that will create the greatest value for their businesses, select and train and fine tune the right models, and define paths to navigate technical or business challenges. Working closely with stakeholders, you'll assess current data infrastructure, develop proof\-of\-concepts, and propose effective strategies for implementing AI and generative AI solutions at scale. You will design and run experiments, research new algorithms, and find new ways of optimizing risk, profitability, and customer experience.  
The AWS Professional Services organization is a global team of experts that help customers realize their desired business outcomes when using the AWS Cloud. We work together with customer teams and the AWS Partner Network (APN) to execute enterprise cloud computing initiatives. Our team provides assistance through a collection of offerings which help customers achieve specific outcomes related to enterprise cloud adoption. We also deliver focused guidance through our global specialty practices, which cover a variety of solutions, technologies, and industries.  
This position requires that the candidate selected must currently possess and maintain an active TS/SCI security clearance with polygraph.  
Key job responsibilities  
* Designing and implementing complex, scalable, and secure AI/ML solutions on AWS tailored to customer needs, including selecting and fine\-tuning appropriate models for specific use cases
* Developing and deploying machine learning models and generative AI applications that solve real\-world business problems, conducting experiments and optimizing for performance at scale
* Collaborating with customer stakeholders to identify high\-value AI/ML use cases, gather requirements, and propose effective strategies for implementing machine learning and generative AI solutions
* Providing technical guidance on applying AI, machine learning, and generative AI responsibly and cost\-efficiently, troubleshooting throughout project delivery and ensuring adherence to best practices
* Acting as a trusted advisor to customers on the latest advancements in AI/ML, emerging technologies, and innovative approaches to leveraging diverse data sources for maximum business impact
* Sharing knowledge within the organization through mentoring, training, creating reusable AI/ML artifacts, and working with team members to prototype new technologies and evaluate technical feasibility
About the team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Bachelor's degree or above in Science, Technology, Engineering, or Mathematics (STEM), or experience working in Science, Technology, Engineering, or Mathematics (STEM)
* 2\+ years of data scientist experience
* 3\+ years of data querying languages (e.g. SQL), scripting languages (e.g. Python) or statistical/mathematical software (e.g. R, SAS, Matlab, etc.) experience
* 3\+ years of machine learning/statistical modeling data analysis tools and techniques, and parameters that affect their performance experience
* 1\+ years of working with or evaluating AI systems experience
* Knowledge of professional software engineering \&amp; best practices for full software development life cycle, including coding standards, software architectures, code reviews, source control management, continuous deployments, testing, and operational excellence
* Experience in professional software engineering \&amp; best practices for the full software development life cycle, including coding standards, software architectures, code reviews, source control management, continuous deployments, testing, and operational excellence
**PREFERRED QUALIFICATIONS**
----------------------------
* Master's degree or above in Science, Technology, Engineering, or Mathematics (STEM)
* Knowledge of machine learning concepts and their application to reasoning and problem\-solving
* Experience in defining and creating benchmarks for assessing GenAI model performance
* Experience working on multi\-team, cross\-disciplinary projects
* Experience applying quantitative analysis to solve business problems and making data\-driven business decisions
* Experience with Python, SQL/NoSQL, and API development for building and deploying AI/ML solutions
* Experience working with Large Language Models (LLMs), prompt engineering, and generative AI frameworks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Arlington \- 136,000\.00 \- 184,000\.00 USD annually  
USA, VA, Herndon \- 136,000\.00 \- 184,000\.00 USD annually</t>
        </is>
      </c>
    </row>
    <row r="107">
      <c r="A107" t="inlineStr">
        <is>
          <t>in-78cd05b5f2002acc</t>
        </is>
      </c>
      <c r="B107" t="inlineStr">
        <is>
          <t>Applied Scientist, Alexa Smart Home</t>
        </is>
      </c>
      <c r="C107" t="inlineStr">
        <is>
          <t>Amazon.com</t>
        </is>
      </c>
      <c r="D107" t="inlineStr">
        <is>
          <t>indeed</t>
        </is>
      </c>
      <c r="E107">
        <f>HYPERLINK("https://www.indeed.com/viewjob?jk=78cd05b5f2002acc", "https://www.indeed.com/viewjob?jk=78cd05b5f2002acc")</f>
        <v/>
      </c>
      <c r="F107">
        <f>HYPERLINK("https://www.amazon.jobs/jobs/3169205/applied-scientist-alexa-smart-home?cmpid=DA_INAD200785B", "https://www.amazon.jobs/jobs/3169205/applied-scientist-alexa-smart-home?cmpid=DA_INAD200785B")</f>
        <v/>
      </c>
      <c r="G107" t="inlineStr">
        <is>
          <t>Sunnyvale, CA, US</t>
        </is>
      </c>
      <c r="H107" s="2" t="n">
        <v>46033</v>
      </c>
      <c r="I107" t="inlineStr">
        <is>
          <t>**DESCRIPTION**
---------------
The Smart Home team is focused on making Alexa\+ the user interface for the future home. From the simplest voice commands (turn on the lights, turn down the heat) to use cases spanning home security, home entertainment, and the home environment, we are evolving Alexa\+ into intelligent, indispensable companion that automates daily routines, simplifies interaction with appliances and electronics, and alerts when something unusual is detected. You will be part of a team delivering features that are highly anticipated by media and well received by our customers.  
Key job responsibilities  
As an Applied Scientist, you will work with other scientists and software developers to design and build the next generation of Smart Home voice and ambient controls using the latest Large Language Models and ML methods. And, you will have the satisfaction of working on a product your friends and family can relate to, and want to use every day.  
About the team  
We are a team of Scientists and Machine Learning Engineers that work together to make Alexa\+ Smart Home easier to control and manage through voice, and become proactive through ambient intelligence, with feature like automatic actions that help customer meet their energy, comfort and safety preferences.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WA, Seattle \- 142,800\.00 \- 193,200\.00 USD annually</t>
        </is>
      </c>
    </row>
    <row r="108">
      <c r="A108" t="inlineStr">
        <is>
          <t>in-b43ba81109ccf2d7</t>
        </is>
      </c>
      <c r="B108" t="inlineStr">
        <is>
          <t>Applied Scientist, Alexa Smart Home</t>
        </is>
      </c>
      <c r="C108" t="inlineStr">
        <is>
          <t>Amazon.com</t>
        </is>
      </c>
      <c r="D108" t="inlineStr">
        <is>
          <t>indeed</t>
        </is>
      </c>
      <c r="E108">
        <f>HYPERLINK("https://www.indeed.com/viewjob?jk=b43ba81109ccf2d7", "https://www.indeed.com/viewjob?jk=b43ba81109ccf2d7")</f>
        <v/>
      </c>
      <c r="F108">
        <f>HYPERLINK("https://www.amazon.jobs/jobs/3169205/applied-scientist-alexa-smart-home?cmpid=DA_INAD200785B", "https://www.amazon.jobs/jobs/3169205/applied-scientist-alexa-smart-home?cmpid=DA_INAD200785B")</f>
        <v/>
      </c>
      <c r="G108" t="inlineStr">
        <is>
          <t>Seattle, WA, US</t>
        </is>
      </c>
      <c r="H108" s="2" t="n">
        <v>46033</v>
      </c>
      <c r="I108" t="inlineStr">
        <is>
          <t>**DESCRIPTION**
---------------
The Smart Home team is focused on making Alexa\+ the user interface for the future home. From the simplest voice commands (turn on the lights, turn down the heat) to use cases spanning home security, home entertainment, and the home environment, we are evolving Alexa\+ into intelligent, indispensable companion that automates daily routines, simplifies interaction with appliances and electronics, and alerts when something unusual is detected. You will be part of a team delivering features that are highly anticipated by media and well received by our customers.  
Key job responsibilities  
As an Applied Scientist, you will work with other scientists and software developers to design and build the next generation of Smart Home voice and ambient controls using the latest Large Language Models and ML methods. And, you will have the satisfaction of working on a product your friends and family can relate to, and want to use every day.  
About the team  
We are a team of Scientists and Machine Learning Engineers that work together to make Alexa\+ Smart Home easier to control and manage through voice, and become proactive through ambient intelligence, with feature like automatic actions that help customer meet their energy, comfort and safety preferences.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WA, Seattle \- 142,800\.00 \- 193,200\.00 USD annually</t>
        </is>
      </c>
    </row>
    <row r="109">
      <c r="A109" t="inlineStr">
        <is>
          <t>in-7ab853dc2e12b56c</t>
        </is>
      </c>
      <c r="B109" t="inlineStr">
        <is>
          <t>ML Engineer, GO-AI Technology &amp; Development Team</t>
        </is>
      </c>
      <c r="C109" t="inlineStr">
        <is>
          <t>Amazon.com</t>
        </is>
      </c>
      <c r="D109" t="inlineStr">
        <is>
          <t>indeed</t>
        </is>
      </c>
      <c r="E109">
        <f>HYPERLINK("https://www.indeed.com/viewjob?jk=7ab853dc2e12b56c", "https://www.indeed.com/viewjob?jk=7ab853dc2e12b56c")</f>
        <v/>
      </c>
      <c r="F109">
        <f>HYPERLINK("https://www.amazon.jobs/jobs/3173298/ml-engineer-goai-technology--development-team?cmpid=DA_INAD200785B", "https://www.amazon.jobs/jobs/3173298/ml-engineer-goai-technology--development-team?cmpid=DA_INAD200785B")</f>
        <v/>
      </c>
      <c r="G109" t="inlineStr">
        <is>
          <t>Seattle, WA, US</t>
        </is>
      </c>
      <c r="H109" s="2" t="n">
        <v>45998</v>
      </c>
      <c r="I109" t="inlineStr">
        <is>
          <t>**DESCRIPTION**
---------------
Amazon Robotics is at the forefront of applying state\-of\-the\-art AI to solve real\-world challenges at unprecedented scale. Our fulfillment centers handle more individual items than any company in the world, combining computer vision, mobile robots, advanced end\-of\-arm tooling, and high\-degree of freedom movement with state\-of\-the\-art artificial intelligence. We partner with customers across Amazon worldwide to conceive, develop, prototype, and deploy intelligent robotic systems that push the boundaries of industrial automation.  
Within Amazon Robotics, the Global Operations \- Artificial Intelligence (GO\-AI) team enables Amazon to accelerate and scale the next generation of AI\-powered robotic solutions. We're transforming how complex visual reasoning tasks are performed across Amazon's robotics operations, moving from traditional manual data annotation processes to state\-of\-the\-art foundation model solutions.
As a Machine Learning Engineer on GO\-AI's Technology \&amp; Development Team, you'll be at the center of this transformation. You'll work with massive\-scale, proprietary datasets to develop vision\-language models that achieve human\-level performance on complex real\-world tasks. Your work will directly impact millions of daily operations across Amazon's global fulfillment network.
This is a rare opportunity to build AI systems that operate at Amazon scale while solving novel technical challenges in computer vision, natural language processing, and human\-AI collaboration. You'll collaborate with world\-class scientists, engineers, and operations teams to deploy state\-of\-the\-art research into production systems that deliver real\-world impact at global scale.  
Key job responsibilities  
* Build and optimize distributed training infrastructure for large\-scale vision\-language models at unprecedented scale
* Design and implement high\-throughput production inference systems that serve foundation models at Amazon scale with strict latency and reliability requirements
* Develop large\-scale data and media processing pipelines to handle massive volumes of video, image, and annotation data for model training and evaluation
* Create automated retraining pipelines and performance monitoring systems to maintain model accuracy in dynamic production environments
* Work closely with scientists and engineers to deliver scalable, high\-performance systems that power state\-of\-the\-art AI applications
A day in the life  
Amazon offers a full range of benefits that assist you and eligible family members, including domestic partners.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 Experience programming in Java, C\+\+, Python or related language
* Knowledge of ML frameworks including JAX, PyTorch, vLLM, SGLang, Dynamo, TorchXLA, and TensorRT
* Experience building large\-scale machine learning and AI solutions at Internet scale
**PREFERRED QUALIFICATIONS**
----------------------------
* 5\+ years of full software development life cycle, including coding standards, code reviews, source control management, build processes, testing, and operations experience
* Bachelor's degree in computer science, engineering, mathematics or equivalent, or Master's degree
* Experience in processing data with a massively parallel technology (such as Redshift, Teradata, Netezza, Spark or Hadoop based big data solution)
* Experience with video and image processing and compression algorithms and standards, computer vision and/or machine learning
* Experience with training and deploying machine learning systems to solve large\-scale optimizations
* Experience working cross functionally with tech teams
* Knowledge of automation control system logic, mechanism and protocol
* Mathematics and Statistics: strong understanding of linear algebra, calculus, probability, and statistics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Boston \- 168,100\.00 \- 227,400\.00 USD annually  
USA, MA, N.Reading \- 168,100\.00 \- 227,400\.00 USD annually  
USA, MA, Westboro \- 168,100\.00 \- 227,400\.00 USD annually  
USA, WA, Seattle \- 168,100\.00 \- 227,400\.00 USD annually</t>
        </is>
      </c>
    </row>
    <row r="110">
      <c r="A110" t="inlineStr">
        <is>
          <t>in-cc30eecb44cf538d</t>
        </is>
      </c>
      <c r="B110" t="inlineStr">
        <is>
          <t>ML Engineer, GO-AI Technology &amp; Development Team</t>
        </is>
      </c>
      <c r="C110" t="inlineStr">
        <is>
          <t>Amazon.com</t>
        </is>
      </c>
      <c r="D110" t="inlineStr">
        <is>
          <t>indeed</t>
        </is>
      </c>
      <c r="E110">
        <f>HYPERLINK("https://www.indeed.com/viewjob?jk=cc30eecb44cf538d", "https://www.indeed.com/viewjob?jk=cc30eecb44cf538d")</f>
        <v/>
      </c>
      <c r="F110">
        <f>HYPERLINK("https://www.amazon.jobs/jobs/3173298/ml-engineer-goai-technology--development-team?cmpid=DA_INAD200785B", "https://www.amazon.jobs/jobs/3173298/ml-engineer-goai-technology--development-team?cmpid=DA_INAD200785B")</f>
        <v/>
      </c>
      <c r="G110" t="inlineStr">
        <is>
          <t>Boston, MA, US</t>
        </is>
      </c>
      <c r="H110" s="2" t="n">
        <v>45998</v>
      </c>
      <c r="I110" t="inlineStr">
        <is>
          <t>**DESCRIPTION**
---------------
Amazon Robotics is at the forefront of applying state\-of\-the\-art AI to solve real\-world challenges at unprecedented scale. Our fulfillment centers handle more individual items than any company in the world, combining computer vision, mobile robots, advanced end\-of\-arm tooling, and high\-degree of freedom movement with state\-of\-the\-art artificial intelligence. We partner with customers across Amazon worldwide to conceive, develop, prototype, and deploy intelligent robotic systems that push the boundaries of industrial automation.  
Within Amazon Robotics, the Global Operations \- Artificial Intelligence (GO\-AI) team enables Amazon to accelerate and scale the next generation of AI\-powered robotic solutions. We're transforming how complex visual reasoning tasks are performed across Amazon's robotics operations, moving from traditional manual data annotation processes to state\-of\-the\-art foundation model solutions.
As a Machine Learning Engineer on GO\-AI's Technology \&amp; Development Team, you'll be at the center of this transformation. You'll work with massive\-scale, proprietary datasets to develop vision\-language models that achieve human\-level performance on complex real\-world tasks. Your work will directly impact millions of daily operations across Amazon's global fulfillment network.
This is a rare opportunity to build AI systems that operate at Amazon scale while solving novel technical challenges in computer vision, natural language processing, and human\-AI collaboration. You'll collaborate with world\-class scientists, engineers, and operations teams to deploy state\-of\-the\-art research into production systems that deliver real\-world impact at global scale.  
Key job responsibilities  
* Build and optimize distributed training infrastructure for large\-scale vision\-language models at unprecedented scale
* Design and implement high\-throughput production inference systems that serve foundation models at Amazon scale with strict latency and reliability requirements
* Develop large\-scale data and media processing pipelines to handle massive volumes of video, image, and annotation data for model training and evaluation
* Create automated retraining pipelines and performance monitoring systems to maintain model accuracy in dynamic production environments
* Work closely with scientists and engineers to deliver scalable, high\-performance systems that power state\-of\-the\-art AI applications
A day in the life  
Amazon offers a full range of benefits that assist you and eligible family members, including domestic partners.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 Experience programming in Java, C\+\+, Python or related language
* Knowledge of ML frameworks including JAX, PyTorch, vLLM, SGLang, Dynamo, TorchXLA, and TensorRT
* Experience building large\-scale machine learning and AI solutions at Internet scale
**PREFERRED QUALIFICATIONS**
----------------------------
* 5\+ years of full software development life cycle, including coding standards, code reviews, source control management, build processes, testing, and operations experience
* Bachelor's degree in computer science, engineering, mathematics or equivalent, or Master's degree
* Experience in processing data with a massively parallel technology (such as Redshift, Teradata, Netezza, Spark or Hadoop based big data solution)
* Experience with video and image processing and compression algorithms and standards, computer vision and/or machine learning
* Experience with training and deploying machine learning systems to solve large\-scale optimizations
* Experience working cross functionally with tech teams
* Knowledge of automation control system logic, mechanism and protocol
* Mathematics and Statistics: strong understanding of linear algebra, calculus, probability, and statistics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Boston \- 168,100\.00 \- 227,400\.00 USD annually  
USA, MA, N.Reading \- 168,100\.00 \- 227,400\.00 USD annually  
USA, MA, Westboro \- 168,100\.00 \- 227,400\.00 USD annually  
USA, WA, Seattle \- 168,100\.00 \- 227,400\.00 USD annually</t>
        </is>
      </c>
    </row>
    <row r="111">
      <c r="A111" t="inlineStr">
        <is>
          <t>in-b4c889e09a328dd3</t>
        </is>
      </c>
      <c r="B111" t="inlineStr">
        <is>
          <t>ML Engineer, GO-AI Technology &amp; Development Team</t>
        </is>
      </c>
      <c r="C111" t="inlineStr">
        <is>
          <t>Amazon.com</t>
        </is>
      </c>
      <c r="D111" t="inlineStr">
        <is>
          <t>indeed</t>
        </is>
      </c>
      <c r="E111">
        <f>HYPERLINK("https://www.indeed.com/viewjob?jk=b4c889e09a328dd3", "https://www.indeed.com/viewjob?jk=b4c889e09a328dd3")</f>
        <v/>
      </c>
      <c r="F111">
        <f>HYPERLINK("https://www.amazon.jobs/jobs/3173298/ml-engineer-goai-technology--development-team?cmpid=DA_INAD200785B", "https://www.amazon.jobs/jobs/3173298/ml-engineer-goai-technology--development-team?cmpid=DA_INAD200785B")</f>
        <v/>
      </c>
      <c r="G111" t="inlineStr">
        <is>
          <t>Westborough, MA, US</t>
        </is>
      </c>
      <c r="H111" s="2" t="n">
        <v>45998</v>
      </c>
      <c r="I111" t="inlineStr">
        <is>
          <t>**DESCRIPTION**
---------------
Amazon Robotics is at the forefront of applying state\-of\-the\-art AI to solve real\-world challenges at unprecedented scale. Our fulfillment centers handle more individual items than any company in the world, combining computer vision, mobile robots, advanced end\-of\-arm tooling, and high\-degree of freedom movement with state\-of\-the\-art artificial intelligence. We partner with customers across Amazon worldwide to conceive, develop, prototype, and deploy intelligent robotic systems that push the boundaries of industrial automation.  
Within Amazon Robotics, the Global Operations \- Artificial Intelligence (GO\-AI) team enables Amazon to accelerate and scale the next generation of AI\-powered robotic solutions. We're transforming how complex visual reasoning tasks are performed across Amazon's robotics operations, moving from traditional manual data annotation processes to state\-of\-the\-art foundation model solutions.
As a Machine Learning Engineer on GO\-AI's Technology \&amp; Development Team, you'll be at the center of this transformation. You'll work with massive\-scale, proprietary datasets to develop vision\-language models that achieve human\-level performance on complex real\-world tasks. Your work will directly impact millions of daily operations across Amazon's global fulfillment network.
This is a rare opportunity to build AI systems that operate at Amazon scale while solving novel technical challenges in computer vision, natural language processing, and human\-AI collaboration. You'll collaborate with world\-class scientists, engineers, and operations teams to deploy state\-of\-the\-art research into production systems that deliver real\-world impact at global scale.  
Key job responsibilities  
* Build and optimize distributed training infrastructure for large\-scale vision\-language models at unprecedented scale
* Design and implement high\-throughput production inference systems that serve foundation models at Amazon scale with strict latency and reliability requirements
* Develop large\-scale data and media processing pipelines to handle massive volumes of video, image, and annotation data for model training and evaluation
* Create automated retraining pipelines and performance monitoring systems to maintain model accuracy in dynamic production environments
* Work closely with scientists and engineers to deliver scalable, high\-performance systems that power state\-of\-the\-art AI applications
A day in the life  
Amazon offers a full range of benefits that assist you and eligible family members, including domestic partners.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 Experience programming in Java, C\+\+, Python or related language
* Knowledge of ML frameworks including JAX, PyTorch, vLLM, SGLang, Dynamo, TorchXLA, and TensorRT
* Experience building large\-scale machine learning and AI solutions at Internet scale
**PREFERRED QUALIFICATIONS**
----------------------------
* 5\+ years of full software development life cycle, including coding standards, code reviews, source control management, build processes, testing, and operations experience
* Bachelor's degree in computer science, engineering, mathematics or equivalent, or Master's degree
* Experience in processing data with a massively parallel technology (such as Redshift, Teradata, Netezza, Spark or Hadoop based big data solution)
* Experience with video and image processing and compression algorithms and standards, computer vision and/or machine learning
* Experience with training and deploying machine learning systems to solve large\-scale optimizations
* Experience working cross functionally with tech teams
* Knowledge of automation control system logic, mechanism and protocol
* Mathematics and Statistics: strong understanding of linear algebra, calculus, probability, and statistics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Boston \- 168,100\.00 \- 227,400\.00 USD annually  
USA, MA, N.Reading \- 168,100\.00 \- 227,400\.00 USD annually  
USA, MA, Westboro \- 168,100\.00 \- 227,400\.00 USD annually  
USA, WA, Seattle \- 168,100\.00 \- 227,400\.00 USD annually</t>
        </is>
      </c>
    </row>
    <row r="112">
      <c r="A112" t="inlineStr">
        <is>
          <t>in-4787a01825915734</t>
        </is>
      </c>
      <c r="B112" t="inlineStr">
        <is>
          <t>ML Engineer, GO-AI Technology &amp; Development Team</t>
        </is>
      </c>
      <c r="C112" t="inlineStr">
        <is>
          <t>Amazon.com</t>
        </is>
      </c>
      <c r="D112" t="inlineStr">
        <is>
          <t>indeed</t>
        </is>
      </c>
      <c r="E112">
        <f>HYPERLINK("https://www.indeed.com/viewjob?jk=4787a01825915734", "https://www.indeed.com/viewjob?jk=4787a01825915734")</f>
        <v/>
      </c>
      <c r="F112">
        <f>HYPERLINK("https://www.amazon.jobs/jobs/3173298/ml-engineer-goai-technology--development-team?cmpid=DA_INAD200785B", "https://www.amazon.jobs/jobs/3173298/ml-engineer-goai-technology--development-team?cmpid=DA_INAD200785B")</f>
        <v/>
      </c>
      <c r="G112" t="inlineStr">
        <is>
          <t>Reading, MA, US</t>
        </is>
      </c>
      <c r="H112" s="2" t="n">
        <v>45998</v>
      </c>
      <c r="I112" t="inlineStr">
        <is>
          <t>**DESCRIPTION**
---------------
Amazon Robotics is at the forefront of applying state\-of\-the\-art AI to solve real\-world challenges at unprecedented scale. Our fulfillment centers handle more individual items than any company in the world, combining computer vision, mobile robots, advanced end\-of\-arm tooling, and high\-degree of freedom movement with state\-of\-the\-art artificial intelligence. We partner with customers across Amazon worldwide to conceive, develop, prototype, and deploy intelligent robotic systems that push the boundaries of industrial automation.  
Within Amazon Robotics, the Global Operations \- Artificial Intelligence (GO\-AI) team enables Amazon to accelerate and scale the next generation of AI\-powered robotic solutions. We're transforming how complex visual reasoning tasks are performed across Amazon's robotics operations, moving from traditional manual data annotation processes to state\-of\-the\-art foundation model solutions.
As a Machine Learning Engineer on GO\-AI's Technology \&amp; Development Team, you'll be at the center of this transformation. You'll work with massive\-scale, proprietary datasets to develop vision\-language models that achieve human\-level performance on complex real\-world tasks. Your work will directly impact millions of daily operations across Amazon's global fulfillment network.
This is a rare opportunity to build AI systems that operate at Amazon scale while solving novel technical challenges in computer vision, natural language processing, and human\-AI collaboration. You'll collaborate with world\-class scientists, engineers, and operations teams to deploy state\-of\-the\-art research into production systems that deliver real\-world impact at global scale.  
Key job responsibilities  
* Build and optimize distributed training infrastructure for large\-scale vision\-language models at unprecedented scale
* Design and implement high\-throughput production inference systems that serve foundation models at Amazon scale with strict latency and reliability requirements
* Develop large\-scale data and media processing pipelines to handle massive volumes of video, image, and annotation data for model training and evaluation
* Create automated retraining pipelines and performance monitoring systems to maintain model accuracy in dynamic production environments
* Work closely with scientists and engineers to deliver scalable, high\-performance systems that power state\-of\-the\-art AI applications
A day in the life  
Amazon offers a full range of benefits that assist you and eligible family members, including domestic partners.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 Experience programming in Java, C\+\+, Python or related language
* Knowledge of ML frameworks including JAX, PyTorch, vLLM, SGLang, Dynamo, TorchXLA, and TensorRT
* Experience building large\-scale machine learning and AI solutions at Internet scale
**PREFERRED QUALIFICATIONS**
----------------------------
* 5\+ years of full software development life cycle, including coding standards, code reviews, source control management, build processes, testing, and operations experience
* Bachelor's degree in computer science, engineering, mathematics or equivalent, or Master's degree
* Experience in processing data with a massively parallel technology (such as Redshift, Teradata, Netezza, Spark or Hadoop based big data solution)
* Experience with video and image processing and compression algorithms and standards, computer vision and/or machine learning
* Experience with training and deploying machine learning systems to solve large\-scale optimizations
* Experience working cross functionally with tech teams
* Knowledge of automation control system logic, mechanism and protocol
* Mathematics and Statistics: strong understanding of linear algebra, calculus, probability, and statistics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Boston \- 168,100\.00 \- 227,400\.00 USD annually  
USA, MA, N.Reading \- 168,100\.00 \- 227,400\.00 USD annually  
USA, MA, Westboro \- 168,100\.00 \- 227,400\.00 USD annually  
USA, WA, Seattle \- 168,100\.00 \- 227,400\.00 USD annually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sheetData>
    <row r="1">
      <c r="A1" s="1" t="inlineStr">
        <is>
          <t>job id</t>
        </is>
      </c>
      <c r="B1" s="1" t="inlineStr">
        <is>
          <t>title</t>
        </is>
      </c>
      <c r="C1" s="1" t="inlineStr">
        <is>
          <t>company</t>
        </is>
      </c>
      <c r="D1" s="1" t="inlineStr">
        <is>
          <t>site</t>
        </is>
      </c>
      <c r="E1" s="1" t="inlineStr">
        <is>
          <t>job_url</t>
        </is>
      </c>
      <c r="F1" s="1" t="inlineStr">
        <is>
          <t>job_url_direct</t>
        </is>
      </c>
      <c r="G1" s="1" t="inlineStr">
        <is>
          <t>location</t>
        </is>
      </c>
      <c r="H1" s="1" t="inlineStr">
        <is>
          <t>date posted</t>
        </is>
      </c>
      <c r="I1" s="1" t="inlineStr">
        <is>
          <t>description</t>
        </is>
      </c>
    </row>
    <row r="2">
      <c r="A2" t="inlineStr">
        <is>
          <t>li-4361639808</t>
        </is>
      </c>
      <c r="B2" t="inlineStr">
        <is>
          <t>Applied Scientist</t>
        </is>
      </c>
      <c r="C2" t="inlineStr">
        <is>
          <t>Microsoft</t>
        </is>
      </c>
      <c r="D2" t="inlineStr">
        <is>
          <t>linkedin</t>
        </is>
      </c>
      <c r="E2">
        <f>HYPERLINK("https://www.linkedin.com/jobs/view/4361639808", "https://www.linkedin.com/jobs/view/4361639808")</f>
        <v/>
      </c>
      <c r="F2">
        <f>HYPERLINK("https://apply.careers.microsoft.com/careers/job/1970393556620067?utm_source=linkedin&amp;domain=microsoft.com&amp;src=LinkedIn&amp;urlHash=pJZ4", "https://apply.careers.microsoft.com/careers/job/1970393556620067?utm_source=linkedin&amp;domain=microsoft.com&amp;src=LinkedIn&amp;urlHash=pJZ4")</f>
        <v/>
      </c>
      <c r="G2" t="inlineStr">
        <is>
          <t>Redmond, WA</t>
        </is>
      </c>
      <c r="H2" t="inlineStr"/>
      <c r="I2" t="inlineStr">
        <is>
          <t>**Overview**
 Are you a customer\-obsessed, AI (Artificial Intelligence)\-curious problem\-solver who thrives in an inclusive, collaborative global team? The Azure Customer Experience Platform (CXP) team’s mission is to transform Microsoft Cloud customers into fans. Through our deep engineering engagements with customers and teams across Microsoft, we analyze and amplify customer needs and drive the vision to improve Cloud quality, security, and reliability. Our culture of growth mindset and empowerment are central to who we are and how we work. In the new era of AI, this role within Azure CXP Data \&amp; Applied Sciences team will provide you the opportunity to work on cutting\-edge GenAI and ML (Machine Learning) solutions that drive specific, measurable, and impactful improvements to key areas of Azure customer experience. In an environment of high opportunity and impact, we are looking for an Applied Scientist II who can deliver on key initiatives for Security, Reliability and Quality through advanced AI solutions with a cross\-functional team of Product Managers, Designers, Engineers and Data Scientists. Every day, our customers stake their business and reputation on our cloud. You can help provide our customers with the world\-class cloud services they need to succeed.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As a Data and Applied Scientist in our team, you will: \- Engage with product and business groups to drive AI projects through their entire life cycle from idea creation through applied research, experimentation, implementation and finally to worldwide availability.
* Perform rigorous experiments and evaluations to assess the quality and impact of your solutions and improve them based on data and customer feedback.
* Communicate technical findings and insights effectively. \- Integrate ML models into production systems, monitor and optimize their performance, troubleshoot issues, and iterate improvements.
* Collaborate with cross\-functional teams including researchers, applied scientists, engineers, product managers and designers \- Ensure compliance to Microsoft Responsible AI standards throughout the AI system lifecycle
* Stay abreast of the latest advancements in machine learning, information retrieval, and recommendation systems, and contribute to the company's intellectual property through patents and publications.
**Qualifications**
**Minimum Qualifications:**
* Bachelor's Degree in Statistics, Econometrics, Computer Science, Electrical or Computer Engineering, or related field AND 2\+ years related experience (e.g., statistics, predictive analytics, research) OR Master's Degree in Statistics, Econometrics, Computer Science, Electrical or Computer Engineering, or related field AND 1\+ year(s) related experience (e.g., statistics, predictive analytics, research)
+ OR Doctorate in Statistics, Econometrics, Computer Science, Electrical or Computer Engineering, or related field
+ OR equivalent experience.
* Atleast 6\+ months of experience implementing solutions with LLMs and GenerativeAI.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Qualifications**
* 1\+ year(s) experience creating publications (e.g., patents, peer\-reviewed academic papers). Bachelor's Degree in Statistics, Econometrics, Computer Science, Electrical or Computer Engineering, or related field AND 5\+ years related experience (e.g., statistics, predictive analytics, research)
+ OR Master's Degree in Statistics, Econometrics, Computer Science, Electrical or Computer Engineering, or related field AND 3\+ years related experience (e.g., statistics, predictive analytics, research)
+ OR Doctorate in Statistics, Econometrics, Computer Science, Electrical or Computer Engineering, or related field AND 1\+ year(s) related experience (e.g., statistics, predictive analytics, research)
+ OR equivalent experience. \- Experience in Python, PyTorch, TensorFlow, langchain, or other machine learning frameworks.
* Experience delivering AI product features \- Relevant prior work experience, e.g., statistics, predictive analytics, research, GenAI. Applied Sciences IC3
**\#MSCareerEvents25 \#SHPE2025 \#AfroTech202**
 Applied Sciences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3">
      <c r="A3" t="inlineStr">
        <is>
          <t>li-4341702190</t>
        </is>
      </c>
      <c r="B3" t="inlineStr">
        <is>
          <t>Senior Data Scientist/AI Engineer (Remote)</t>
        </is>
      </c>
      <c r="C3" t="inlineStr">
        <is>
          <t>YouGov</t>
        </is>
      </c>
      <c r="D3" t="inlineStr">
        <is>
          <t>linkedin</t>
        </is>
      </c>
      <c r="E3">
        <f>HYPERLINK("https://www.linkedin.com/jobs/view/4341702190", "https://www.linkedin.com/jobs/view/4341702190")</f>
        <v/>
      </c>
      <c r="F3">
        <f>HYPERLINK("https://yougov.wd103.myworkdayjobs.com/LinkedIn/job/New-York-United-States-of-America/Senior-AI-Data-Scientist\u002d\u002dRemote-_JR0200-1?source=LinkedIn&amp;urlHash=hHR6", "https://yougov.wd103.myworkdayjobs.com/LinkedIn/job/New-York-United-States-of-America/Senior-AI-Data-Scientist\u002d\u002dRemote-_JR0200-1?source=LinkedIn&amp;urlHash=hHR6")</f>
        <v/>
      </c>
      <c r="G3" t="inlineStr">
        <is>
          <t>New York, United States</t>
        </is>
      </c>
      <c r="H3" t="inlineStr"/>
      <c r="I3" t="inlineStr">
        <is>
          <t>**THE TEAM \&amp; THE JOB**
 We are seeking a talented and self\-motivated Senior Data Scientist/AI Engineer to join our team. In this role, you will design, build, and deploy next generation AI\-driven tools for market research. You will work at the intersection of data science and AI engineering.
 We develop models and predictions using a combination of surveys, voter databases, census microdata, behavioral tracking and other sources. We handle the most difficult data problems at our company, including massive datasets, missing data, self\-selection, measurement error, fraud detection, attrition, and many more.
 This is a hands\-on role that requires both analytical and programming skills at an advanced level.
**What You Will Be Doing**
* Design and build AI\-powered applications to analyze, summarize, and generate insights from survey data.
* Contribute to technical design and architecture decisions for AI/ML systems.
* Develop and optimize prompts and chains.
* Build applications to simplify analytics and improve the efficiency of data processing.
* Work with structured and unstructured data
* Collaborate with data analysts, product managers, UI designers, and software developers to create great products.
* Contribute to model evaluation and performance tracking using both qualitative and quantitative metrics.
* Stay up to date with recent developments in AI and machine learning, including LLMs, fine tuning, and RAG pipelines.
* Handling ambiguous, complex problems with minimal guidance
* Contribute to technical vision, architectural decisions, or to help setting technical standards.
* Contribute to business impact and strategic problem\-solving at an organizational level as and when required.
**KEY COMPETENCIES**
* Master’s or PhD in data science or related field.
* Demonstrable progressive experience in senior data science/AI engineering roles.
* Advanced knowledge in Python and/or R for data analysis, modelling, and visualization.
* Experience working with LLM APIs and building LLM\-based applications and frameworks.
* Progressive experience with natural language processing, including topic modelling, text classification, and summarization.
* Experience in taking part in cross\-functional technical projects.
* Ability to write clean, maintainable, well\-documented code.
* Proven track record of delivering complex, high\-impact solutions.
* Ability to cross collaborate with other teams across the business.
 For roles based in California, New York, Colorado or Washington State, the base salary hiring range for this position is USD 188,864 \- USD 211,600\. Compensation offered will be determined by multiple factors including location, job\-related knowledge, skills and experience. Certain roles may be eligible for incentive compensation and additional benefits. All US based full time employees are eligible for the following benefits:
* Paid vacation, holidays and sick days
* Flexible working arrangement available
* Group medical, dental and vision insurance
* Company\-paid life and disability insurance
* Paid parental leave
* 401(k) with company match
**Why join YouGov?**
 Join our global team to help us achieve our social mission: to make millions of people’s opinions heard for the benefit of our local, national, and international communities.
 Understanding diversity of opinion requires diversity of background. Although our global panel of millions of people worldwide powers our research, our biggest asset is our people. If our research is to be truly representative of what the world thinks, we need people from all walks of life to be part of the team to bring their perspective to the work we do.
**Life at YouGov**
 We are driven by a set of shared values. We are fast, fearless, and innovative. We work diligently to get it right. We are guided by accuracy, ethics, and proven methodologies. We respect and trust each other, bringing these values into everything that we do.
 We strive to provide YouGovers with best\-in\-class benefits to support their physical, financial, and emotional wellbeing. We want our employees to have a sense of belonging and uniqueness in a supportive workplace, so they can bring their full selves to work.
**Equal Opportunity Employer**
 As an Equal Opportunity Employer, qualified applicants will receive consideration for employment without regard to race, color, religion, sex (including pregnancy, gender identity or expression, and sexual orientation), parental status, national origin, marital status, age, disability, genetic information, HIV status, political affiliation, socioeconomic background, veteran status or any other characteristic protected by law or in line with our responsibilities as a fair and ethic employer. All employment decisions are made based on occupational qualifications, merit, and business need.
**Data Privacy**
 To find out how we collect and use your personal data when you apply for a role at YouGov, please read our privacy notice at https://jobs.yougov.com/privacy</t>
        </is>
      </c>
    </row>
    <row r="4">
      <c r="A4" t="inlineStr">
        <is>
          <t>li-4359817670</t>
        </is>
      </c>
      <c r="B4" t="inlineStr">
        <is>
          <t>Marketing Applied Scientist II</t>
        </is>
      </c>
      <c r="C4" t="inlineStr">
        <is>
          <t>Uber</t>
        </is>
      </c>
      <c r="D4" t="inlineStr">
        <is>
          <t>linkedin</t>
        </is>
      </c>
      <c r="E4">
        <f>HYPERLINK("https://www.linkedin.com/jobs/view/4359817670", "https://www.linkedin.com/jobs/view/4359817670")</f>
        <v/>
      </c>
      <c r="F4" t="inlineStr"/>
      <c r="G4" t="inlineStr">
        <is>
          <t>Seattle, WA</t>
        </is>
      </c>
      <c r="H4" t="inlineStr"/>
      <c r="I4" t="inlineStr">
        <is>
          <t>**About The Role**
 We are looking for an economic\-minded applied scientist for the Marketing Science team to develop strategic insights and drive product strategy including running experimentation and conducting product deep dives. The scope of this role is global and spans Uber's Rides and Eats business!
**Responsibilities**
* Develop and lead careful statistical and econometric analyses (including designing, running, and evaluating large\-scale marketing experiments) in support of our business priorities.
* Collaborate with cross\-functional teams to develop strategic insights and research that speaks to their contexts.
* Present economic reasoning and analytical results to cross\-functional audiences within Uber including to Uber's senior leadership team.
**Basic Qualifications**
* Ph.D., M.S., or Bachelor's degree in Statistics, Economics, Machine Learning, Operations Research, or other quantitative fields. (If M.S. degree, a minimum of 1\+ years of industry experience required and if Bachelor's degree, a minimum of 3\+ years of industry experience as a Data Scientist or equivalent).
* Strong SQL, Python and/or R foundation and expertise.
* Knowledge of experimental design and analysis (e.g., advanced analytics, econometrics, causal inference).
**Preferred Qualifications**
* Ability to collaborate cross\-functionally and clearly and concisely communicate complex topics to audiences with different backgrounds.
* A track record of working independently and conducting rigorous quantitative research in an outcome\-oriented way with minimal oversight.
* Industry experience in marketing science or product research, particularly background in developing and bringing quantitative evidence to bear on marketing or product strategies.
* Excellent project management skills and the ability to develop and maintain collaborative and productive relationships with other teams around the company.
* Passion for Uber!
 For New York, NY\-based roles: The base salary range for this role is USD$161,000 per year \- USD$179,000 per year. For San Francisco, CA\-based roles: The base salary range for this role is USD$161,000 per year \- USD$179,000 per year. For Seattle, WA\-based roles: The base salary range for this role is USD$161,000 per year \- USD$179,000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 For New York, NY\-based roles: The base salary range for this role is USD$161,000 per year \- USD$179,000 per year. For San Francisco, CA\-based roles: The base salary range for this role is USD$161,000 per year \- USD$179,000 per year. For Seattle, WA\-based roles: The base salary range for this role is USD$161,000 per year \- USD$179,000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5">
      <c r="A5" t="inlineStr">
        <is>
          <t>li-4343924466</t>
        </is>
      </c>
      <c r="B5" t="inlineStr">
        <is>
          <t>Senior Applied Scientist</t>
        </is>
      </c>
      <c r="C5" t="inlineStr">
        <is>
          <t>Microsoft</t>
        </is>
      </c>
      <c r="D5" t="inlineStr">
        <is>
          <t>linkedin</t>
        </is>
      </c>
      <c r="E5">
        <f>HYPERLINK("https://www.linkedin.com/jobs/view/4343924466", "https://www.linkedin.com/jobs/view/4343924466")</f>
        <v/>
      </c>
      <c r="F5" t="inlineStr"/>
      <c r="G5" t="inlineStr">
        <is>
          <t>Mountain View, CA</t>
        </is>
      </c>
      <c r="H5" t="inlineStr"/>
      <c r="I5" t="inlineStr">
        <is>
          <t>**Overview**
 Microsoft is innovating rapidly in the advertising space to grow its share of this market by providing the ad industry with the state\-of\-the\-art online advertising platform and service and Microsoft's advertising team is at the core of this effort.
 In this role, the Senior Applied Scientist will design and implement state\-of\-the\-art machine learning models and algorithms that power key systems within Microsoft Ads, Microsoft Audience Network, Copilot, and beyond. Your work will directly impact millions of users and advertisers by delivering scalable solutions that enhance ad relevance and optimize user experiences.
 We are hiring for multiple Senior Applied Scientist roles on Microsoft Advertising team for the following team:
**Signals Modeling Team**
 (This role is available in Mountain View, CA, or Redmond, WA)
 The team focuses on understanding and predicting how the user interacts with the ads on the search results page. The probability that a user will click on an ad is one of the most critical inputs used in ranking the ads. Similarly, the probability of interacting with the advertiser’s page is important for measuring advertiser and user satisfaction.
 The role for this team is focused on building machine learned models for predicting such events. The team looks at all aspects of modeling including training data, features, the actual model (neural nets, linear models, decision trees etc.) and offline and online evaluation of those models.
 Engineers and scientists on our team work at the edge of machine learning and economics developing in the online stack as well as offline workflows. At its core, our team utilizes signals of user and advertiser intent to determine which ads are allocated and at what price.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Develop and deploy cutting\-edge machine learning models, including transformers, generative AI, and reinforcement learning, to optimize user interactions and ad relevance across Microsoft Ads and Copilot.
* Design scalable algorithms for online and offline systems, delivering innovative solutions for content selection, user engagement modeling, and ad generation.
* Drive experimentation through A/B testing and offline validation to evaluate model performance and refine user behavior predictions.
* Build robust data pipelines and frameworks for handling large\-scale, high\-dimensional datasets to support advanced AI applications.
* Stay at the forefront of AI research, incorporating the latest advancements to drive innovation and impact across Microsoft platforms.
**Qualifications**
**Required Qualifications:**
* Bachelor's Degree in Statistics, Econometrics, Computer Science, Electrical or Computer Engineering, or related field AND 4\+ years related experience (e.g., statistics predictive analytics, research)
+ OR Master's Degree in Statistics, Econometrics, Computer Science, Electrical or Computer Engineering, or related field AND 3\+ years related experience (e.g., statistics, predictive analytics, research) OR Doctorate in Statistics, Econometrics, Computer Science, Electrical or Computer Engineering, or related field AND 1\+ year(s) related experience (e.g., statistics, predictive analytics, research)
+ OR equivalent experience.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Qualifications**
* Master's Degree in Statistics, Econometrics, Computer Science, Electrical or Computer Engineering, or related field AND 6\+ years related experience (e.g., statistics, predictive analytics, research)
+ OR Doctorate in Statistics, Econometrics, Computer Science, Electrical or Computer Engineering, or related field AND 3\+ years related experience (e.g., statistics, predictive analytics, research)
+ OR equivalent experience.
* Proven experience in programming and data analysis skills
* 2\+ years of experience in developing and deploying large\-scale machine learning models..
* Proven expertise in the areas of Generative AI, deep learning, or transformers.
* 2\+ years of experience in reinforcement learning and contextual bandits.
 \#MicrosoftAI
 Applied Sciences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6">
      <c r="A6" t="inlineStr">
        <is>
          <t>li-4361081345</t>
        </is>
      </c>
      <c r="B6" t="inlineStr">
        <is>
          <t>Applied Scientist II, Sensing , Amazon Industrial Robotics</t>
        </is>
      </c>
      <c r="C6" t="inlineStr">
        <is>
          <t>Amazon</t>
        </is>
      </c>
      <c r="D6" t="inlineStr">
        <is>
          <t>linkedin</t>
        </is>
      </c>
      <c r="E6">
        <f>HYPERLINK("https://www.linkedin.com/jobs/view/4361081345", "https://www.linkedin.com/jobs/view/4361081345")</f>
        <v/>
      </c>
      <c r="F6" t="inlineStr"/>
      <c r="G6" t="inlineStr">
        <is>
          <t>Middlesex County, MA</t>
        </is>
      </c>
      <c r="H6" t="inlineStr"/>
      <c r="I6" t="inlineStr">
        <is>
          <t>**Description**
 Amazon Industrial Robotics is seeking exceptional talent to help develop the next generation of advanced robotics systems that will transform automation at Amazon's scale. We're building revolutionary robotic systems that combine cutting\-edge AI, sophisticated control systems, and advanced mechanical design to create adaptable automation solutions capable of working safely alongside humans in dynamic environments. This is a unique opportunity to shape the future of robotics and automation at an unprecedented scale, working with world\-class teams pushing the boundaries of what's possible in robotic manipulation, locomotion, and human\-robot interaction.
 As an Applied Scientist in Sensing, you will develop innovative and complex sensing systems for our emerging robotic solutions and improve existing on\-robot sensing to optimize performance and enhance customer experience. The ideal candidate has demonstrated experience designing and troubleshooting custom sensor systems from the ground up. They enjoy analytical problem solving and possess practical knowledge of robotic design, fabrication, assembly, and rapid prototyping. They thrive in an interdisciplinary environment and have led the development of complex sensing systems.
 Key job responsibilities
* Design and adapt holistic on\-robot sensing solutions for ambiguous problems with fluid requirements
* Mentor and develop junior scientists and engineers
* Work with an interdisciplinary team to execute product designs from concept to production including specification, design, prototyping, validation and testing
* Have responsibility for the designs and performance of a sensing system design
* Work with the Operations, Manufacturing, Supply Chain and Quality organizations as well as vendors to ensure a fast development and delivery of the sensing concepts to the team
* Develop overall safety concept of the sensing platform
* Exhibit role model behaviors of applied science best practices, thorough and predictive analysis and cradle to grave ownership
**Basic Qualifications**
* Experience working in a fast\-paced, rapidly changing operations environment
* PhD degree in Computer Vision, Machine Learning, AI, or Electrical engineering
* Technical leadership in conceptualization, design and development of sensing systems
* Strong Interest in sensing systems to support safe robot operation
* Deep knowledge of sensing and signal processing, estimation, computer vision, or machine learning
* Hands\-on experience crafting proof\-of\-concept models and prototypes
* Thorough understanding and use of principles, theories and concepts of perceptual analysis, as well as ability to apply them to system design
* Experience communicating concepts to leadership and writing technical documents
* Experience evaluating design, performance and tradeoffs of perceptual computing systems
**Preferred Qualifications**
* Experience working with interdisciplinary teams to execute product concept with an eye for production
* Demonstrated experience collaborating with Mechanical, Electrical and Controls engineers
* Experience with safety certification of sensing systems
* Experience with using sensing modalities in robot control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N.Reading \- 142,800\.00 \- 193,200\.00 USD annually
**Company** 
 \- Amazon.com Services LLC
 Job ID: A3175397</t>
        </is>
      </c>
    </row>
    <row r="7">
      <c r="A7" t="inlineStr">
        <is>
          <t>li-4317499853</t>
        </is>
      </c>
      <c r="B7" t="inlineStr">
        <is>
          <t>Staff ML Engineer</t>
        </is>
      </c>
      <c r="C7" t="inlineStr">
        <is>
          <t>Typeface</t>
        </is>
      </c>
      <c r="D7" t="inlineStr">
        <is>
          <t>linkedin</t>
        </is>
      </c>
      <c r="E7">
        <f>HYPERLINK("https://www.linkedin.com/jobs/view/4317499853", "https://www.linkedin.com/jobs/view/4317499853")</f>
        <v/>
      </c>
      <c r="F7">
        <f>HYPERLINK("https://job-boards.greenhouse.io/typeface/jobs/4833257007?gh_src=c2824f177us&amp;urlHash=pttT", "https://job-boards.greenhouse.io/typeface/jobs/4833257007?gh_src=c2824f177us&amp;urlHash=pttT")</f>
        <v/>
      </c>
      <c r="G7" t="inlineStr">
        <is>
          <t>Palo Alto, CA</t>
        </is>
      </c>
      <c r="H7" t="inlineStr"/>
      <c r="I7" t="inlineStr">
        <is>
          <t>**About Typeface**
 We help the world’s biggest brands move from brief to fully personalized campaigns — in days, not months.
 Founded by Abhay Parasnis and backed by Microsoft, GV, Salesforce, Lightspeed, Madrona and Menlo, we’re building category\-defining technology at the intersection of creativity and AI with real impact. Join us to help shape the future of enterprise marketing.
**What You’ll Do**
 As a Staff Machine Learning Engineer/Applied Scientist, you will be responsible for building machine learning models/systems and innovative web applications that deliver the power of Generative AI to our customers. You will work closely with designers, product managers and other engineers driving the technical designs and implementations.
**How You'll Make An Impact**
* Define the roadmap for generation of various content types including text, image, audio and video enabling us to generate brand\-affinized, hyper\-personalized, and safe content
* Own the delivery of key business, product and technology initiatives across design, specification, development, testing, and launch.
* Establish and implement processes for model training, fine\-tuning, testing, and operating the Generative AI models at significant scale.
* Investigate, prototype and deliver innovative solutions
* Collaborate with other engineers, Product and Business Teams to identify new ways to improve our product and drive growth
* Establish a data\-driven development culture by driving the definition, tracking, and operationalizing of feature, product, and company\-level metrics
**What You Bring**
* 10\+ years of prior experience designing, building and scaling systems for training, testing, and running Machine Learning models at scale
* Master’s or PhD degree in Computer Science or a related field
* Experience with building and evolving ML Training and Inferencing systems at significant scale with a purpose of solving real\-world problems.
* Have a track record of coming up with new ideas or improving upon existing ideas in machine learning, demonstrated by accomplishments such as first author publications or projects
* Proficiency in Python, C/C\+\+ (or equivalent)
* Ability to create self\-contained, reusable, and testable modules and passionate about prototyping
* Prior experience with AzureML, GCP Vertex, AWS Sagemaker or similar platforms
* Bonus: Hands\-on experience in deploying and tuning Generative AI models in cloud or on local system
* Bonus: Experience working at a high\-growth startup or tech company
* Bonus: Publications and research experiences in ML venues and/or vision/language applications
**Location**
 This is a hybrid role based in our Palo Alto HQ. We collaborate in\-office 3 days a week.
**Base Salary**
 The range for this role is $218,000\-$244,000\. Actual compensation may vary based on level, experience, and skillset as assessed in the interview process.
**Benefits**
* Competitive compensation — including salary, equity, and 401(k)
* Full medical, dental, and vision insurance for you and your family
* HSA and FSA options to support your financial wellness
* Flexible time off — including parental leave
* Well\-being programs — resources to support your mental and physical health
* Daily lunch \&amp; snacks
* Mentorship \&amp; impact — work closely with top AI leaders on products that ship
**Equality Opportunity Statement**
 We welcome and encourage applicants from all backgrounds. Employment decisions are made without regard to race, color, religion, sex, sexual orientation, gender identity or expression, national origin, age, disability, medical condition, veteran status, or any other legally protected status. We comply with applicable laws in every jurisdiction where we operate.
**Why You’ll Love Working Here**
* Build something big — Be part of a fast\-growing startup defining a new category: marketing orchestration powered by Agentic AI.
* Your work will matter — Trusted by Fortune 100 companies, our platform delivers 10x content velocity and 90% faster campaigns.
* A\+ team — Collaborate with veterans from Adobe, Microsoft, Google, and top AI companies.
* Backed by the best — GV, Salesforce Ventures, Microsoft, Lightspeed, Madrona and Menlo ($165M raised).
* Recognized for innovation — TIME Best Inventions, Fast Company Next Big Thing in Tech, Gartner Cool Vendor, Adweek AI Company of the Year, LinkedIn Top Startup, Webby Award (AI Work \&amp; Productivity).</t>
        </is>
      </c>
    </row>
    <row r="8">
      <c r="A8" t="inlineStr">
        <is>
          <t>li-4359817664</t>
        </is>
      </c>
      <c r="B8" t="inlineStr">
        <is>
          <t>Machine Learning Engineer II, Pricing</t>
        </is>
      </c>
      <c r="C8" t="inlineStr">
        <is>
          <t>Uber</t>
        </is>
      </c>
      <c r="D8" t="inlineStr">
        <is>
          <t>linkedin</t>
        </is>
      </c>
      <c r="E8">
        <f>HYPERLINK("https://www.linkedin.com/jobs/view/4359817664", "https://www.linkedin.com/jobs/view/4359817664")</f>
        <v/>
      </c>
      <c r="F8" t="inlineStr"/>
      <c r="G8" t="inlineStr">
        <is>
          <t>New York, NY</t>
        </is>
      </c>
      <c r="H8" t="inlineStr"/>
      <c r="I8" t="inlineStr">
        <is>
          <t>**About The Role**
 Uber's Marketplace is at the heart of Uber's business and the Dynamic Supply Pricing (DSP) team develops the models, algorithms, signals, and large\-scale distributed systems that power real\-time driver pricing for billions of rides. Engineers on the team work on cutting\-edge marketplace ML problems and real\-time multi\-objective optimizations serving 1M\+ predictions/second. They regularly present $1B\+ opportunities to executive stakeholders and receive close mentorship from the most senior engineers within the organization, setting you up for fast\-tracked career growth and the opportunity to learn from experienced technical leaders.
 We are looking for exceptional ML engineers with a track record of extraordinary impact and with a passion for building large\-scale systems that optimize multi\-sided real\-time marketplaces. In this role, you will lead the design, development, and productionization of advanced ML models and pricing algorithms, covering deep learning, causal modeling, and reinforcement learning. You will work with engineers, product managers, and scientists to set the team's technical direction and solve some of Uber's most challenging and most complex business problems in order to provide earnings opportunities for millions of drivers worldwide.
**What You Will Do**
* Design, develop, and productionize end\-to\-end ML solutions for large\-scale distributed systems serving billions of trips
* Develop novel pricing approaches for online marketplaces combining machine learning, algorithmic game theory, and optimization to provide earnings opportunities for millions of drivers
* Partner with senior engineers to plan the scope and execution of projects and mentor junior team members on design and implementation
* Work with a team of engineers, product managers, and scientists to design and deliver high\-impact technical solutions to complex business problems
**Basic Qualifications**
* Ph.D., M.S. or Bachelor's degree in Computer Science, Machine Learning, or Operations Research, or equivalent technical background with exceptional demonstrated impact
* 2\+ years of experience in developing and deploying machine learning models and optimization algorithms in large\-scale production environments
* Proficiency in programming languages such as Python, Scala, Java, or Go
* Experience with large\-scale data systems (e.g. Spark, Ray), real\-time processing (e.g. Flink), and microservices architectures
* Experience in the development, training, productionization and monitoring of ML solutions at scale, ranging from offline pipelines to online serving and MLOps
* Familiarity with modern ML algorithms (e.g. DNNs, multi\-task models, transformers) and mathematical optimization (e.g. LP, convex optimization), combined with proven ability and ambition to continuously deepen expertise in these areas
**Preferred Qualifications**
* Experience in translating ambiguous business problems into technical solutions in a structured and principled way
* Strong communication skills, including through documentation and design discussions
* Experience in developing and deploying pricing algorithms for multi\-sided real\-time marketplaces with strategic agent behavior
* Experience in reinforcement learning and causal machine learning
 For New York, NY\-based roles: The base salary range for this role is USD$171,000 per year \- USD$190,000 per year. For San Francisco, CA\-based roles: The base salary range for this role is USD$171,000 per year \- USD$190,000 per year. For Seattle, WA\-based roles: The base salary range for this role is USD$171,000 per year \- USD$190,000 per year. For Sunnyvale, CA\-based roles: The base salary range for this role is USD$171,000 per year \- USD$190,000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 For New York, NY\-based roles: The base salary range for this role is USD$171,000 per year \- USD$190,000 per year. For San Francisco, CA\-based roles: The base salary range for this role is USD$171,000 per year \- USD$190,000 per year. For Seattle, WA\-based roles: The base salary range for this role is USD$171,000 per year \- USD$190,000 per year. For Sunnyvale, CA\-based roles: The base salary range for this role is USD$171,000 per year \- USD$190,000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9">
      <c r="A9" t="inlineStr">
        <is>
          <t>li-4359588882</t>
        </is>
      </c>
      <c r="B9" t="inlineStr">
        <is>
          <t>Machine Learning Engineer</t>
        </is>
      </c>
      <c r="C9" t="inlineStr">
        <is>
          <t>Paylocity</t>
        </is>
      </c>
      <c r="D9" t="inlineStr">
        <is>
          <t>linkedin</t>
        </is>
      </c>
      <c r="E9">
        <f>HYPERLINK("https://www.linkedin.com/jobs/view/4359588882", "https://www.linkedin.com/jobs/view/4359588882")</f>
        <v/>
      </c>
      <c r="F9">
        <f>HYPERLINK("https://2000recruiting.paylocity.com/Recruiting/Jobs/Details/42409&amp;urlHash=RJAm", "https://2000recruiting.paylocity.com/Recruiting/Jobs/Details/42409&amp;urlHash=RJAm")</f>
        <v/>
      </c>
      <c r="G9" t="inlineStr"/>
      <c r="H9" t="inlineStr"/>
      <c r="I9" t="inlineStr">
        <is>
          <t>Job Type
 Full\-time
**Description**
**Position Title: Engineer Machine Learning**
 Paylocity is an award\-winning provider of cloud\-based HR and payroll software solutions, offering the most complete platform for the modern workforce. The company has become one of the fastest\-growing HCM software providers worldwide by offering an intuitive, easy\-to\-use product suite that helps businesses automate and streamline HR and payroll processes, attract and retain talent, and build a strong workplace culture.
 While traditional HR and payroll providers automate basic HR processes such as payroll and benefits administration, Paylocity goes further by developing tools that HR and businesses need to compete for talent and deliver against the expectations of the modern workforce.
 We give our employees what they need to succeed, including great benefits and perks! We offer medical, dental, vision, life, disability, and a 401(k) match, as well as perks that support you, your family, and your finances. And if it’s career development you desire, we provide that, too! At Paylocity, people matter most and have always been at the heart of our business.
 Take your career to the next level at one of G2's Top 100 Software Companies. Explore our Product \&amp; Technology positions to see where you fit!
 This is a fully remote position, allowing you to work from home or location of record within the U.S. with no in\-office requirements.? You must be available five days per week during designated work hours. The work arrangement for this role is subject to change based on business needs and individual performance. This may include adjustments to on\-site requirements or schedule expectations, as necessary.
**Position Overview**
 Paylocity is growing its Machine Learning Engineering organization! Our machine learning engineering team is responsible for developing infrastructure and tooling to help enable data driven decisions and insights at scale for millions of Paylocity users.
 As a Machine Learning Engineer in Product \&amp; Technology, you will help Paylocity build and deploy Machine Learning solutions, to help our teams build better products faster, more reliably, and at the scale we see in production for our customers. We develop machine learning models and infrastructure to support internal team strategies and collaborate closely with our data science organization to drive efficiency and best practices. Your primary focus will be to leverage your expertise in software development, machine learning algorithms, and data infrastructure to architect, develop, and optimize machine learning solutions. You will play a key role in driving the development of scalable and efficient machine learning models, contributing to the enhancement of product features, and the overall improvement of our infrastructure.
**Our Team Is**
* Building infrastructure that can power ML and AI features for millions of users
* Building and deploying platform\-wide recommendations to help companies follow HR best practices and allow employees to get the most out of our platform (Paylocity AI page)
* Baking AI Ethics into all our processes as a first\-class citizen (Blog Post)
* Working in a collaborative fully remote environment with a desire to share ideas and continuously improve
* Invested in staying current in machine learning engineering by applying the newest tools, technologies, and practices
* Excited to work on cutting\-edge technology!
**Primary Responsibilities**
 The below represents the primary duties of the position, others may be assigned as needed. To perform this job successfully, an individual must be able to perform each essential duty satisfactorily. The requirements listed below are representative of the knowledge, skill, and/or ability required. Reasonable accommodations may be made to enable individuals with disabilities to perform the essential functions.
* Collaborate closely with internal teams such as Data Science, Data Engineering, Paylocity’s Cloud Center of Excellence (CCOE), DevOps, and Delivery Platforms to understand requirements and ensure alignment of machine learning engineering solutions with overall business objectives and priorities.
* Leverage cutting\-edge big data technologies on AWS utilizing Databricks and Spark to develop scalable and efficient machine learning solutions for millions of users.
* Create automated data and modeling pipelines, collaborating with internal teams to ensure smooth integration and deployment of machine learning software features.
* Lead the optimization of CI/CD workflows, ensuring scalability and resilience while addressing complex challenges in automation in partnership with DevOps and Delivery Platforms.
* Proactively identify and resolve issues/bugs, ensuring AppSec vulnerabilities are identified and corrected, working closely with Application Security and CCOE teams.
* Drive the adoption of best practices in machine learning engineering across teams, contributing to the development of formal training programs and materials for MLE tool adoption.
* Actively participate in cross\-functional meetings and discussions, providing feedback, commentary, requirements, and questions to ensure alignment and drive project success.
**Education And Experience**
 The below represents the primary duties of the position, others may be assigned as needed. To perform this job successfully, an individual must be able to perform each essential duty satisfactorily. The requirements listed below are representative of the knowledge, skill, and/or ability required. Reasonable accommodations may be made to enable individuals with disabilities to perform the essential functions.
* Bachelor’s degree with at least 3 of machine learning engineering success or similar experience at software companies; or, advanced degree (master’s or PhD) preferred in machine learning engineering, data engineering, computer science, engineering, statistics, mathematics, data science, or other quantitative field, with no additional experience required.
* Experience in building production\-grade machine learning models and infrastructure in Python.
* Strong background in advanced Python and big data technologies
* Experience with cloud infrastructure (i.e., AWS, GCP, or Azure).
* Demonstrated experience with Infrastructure as Code (IAC) tools (i.e. CDK, Pulumi, etc.).
* Demonstrated ability to leverage machine learning engineering to drive business results.
* Skilled at translating business problems into machine learning engineering problems and communicating the results to non technical audiences.
* Able to work in a collaborative environment with a desire to share your ideas.
* Able to work independently and complete tasks with high quality, but unafraid to seek out suggestions from other team members.
* Strong understanding of data engineering and software engineering fundamentals.
* Self\-motivated, adaptable, and highly detail oriented.
**Preferred Skills**
* Professional or academic experience in HR, social science or psychology
* Contributions to open\-source software in Python
* Enthusiastic about how machine learning and infrastructure can lead to a superior customer experience.
* Be invested in staying current in machine learning and infrastructure by applying new technologies and practices
**Physical Requirements**
* Ability to sit for extended periods: The role requires sitting at a desk or workstation for long periods, typically 7\-8 hours a day.
* Use of computer and phone systems: The employee must be able to operate a computer, use phone systems, and type. This includes using multiple software programs and inquiries simultaneously.
 Paylocity is an equal\-opportunity employer. Paylocity is committed to the full inclusion of all individuals. We recruit, train, compensate, and promote regardless of race, religion, color, national origin, sex, disability, age, veteran status, and other protected status as required by applicable law. At Paylocity, we believe diversity makes us better.
 We embrace and encourage our employees’ differences in age, culture, ethnicity, family or marital status, gender identity or expression, language, national origin, physical and mental ability, political affiliation, race, religion or spiritual belief, sexual orientation, socio\-economic status, veteran status, and other characteristics that make our employees unique. We actively cultivate these differences through our employee resource groups (ERGs), employee experiences, perspectives, talents, and approaches to drive innovation in the software and services we provide our customers.
 We comply with federal and state disability laws and make reasonable accommodations for applicants and employees with disabilities. To request reasonable accommodation in the job application or interview process, please contact LeaveBenefits@paylocity.com. This email address is exclusively designated for such requests, aligning with federal and state disability laws. Please do not send resumes to this email address, as they will be removed.
 The base pay range for this position is $106,600 \- $198,000/yr; however, base pay offered may vary depending on job\-related knowledge, skills, and experience. This position offers a full range of benefits outlined here. This information is provided per the relevant state and local pay transparency laws for the location in which this position will be performed. Base pay information is based on market location. Applicants should apply via www.paylocity.com/careers.</t>
        </is>
      </c>
    </row>
    <row r="10">
      <c r="A10" t="inlineStr">
        <is>
          <t>li-4361053269</t>
        </is>
      </c>
      <c r="B10" t="inlineStr">
        <is>
          <t>Machine Learning Engineer II, Pricing</t>
        </is>
      </c>
      <c r="C10" t="inlineStr">
        <is>
          <t>Uber</t>
        </is>
      </c>
      <c r="D10" t="inlineStr">
        <is>
          <t>linkedin</t>
        </is>
      </c>
      <c r="E10">
        <f>HYPERLINK("https://www.linkedin.com/jobs/view/4361053269", "https://www.linkedin.com/jobs/view/4361053269")</f>
        <v/>
      </c>
      <c r="F10" t="inlineStr"/>
      <c r="G10" t="inlineStr">
        <is>
          <t>Seattle, WA</t>
        </is>
      </c>
      <c r="H10" t="inlineStr"/>
      <c r="I10" t="inlineStr">
        <is>
          <t>**About The Role**
 Uber's Marketplace is at the heart of Uber's business and the Dynamic Supply Pricing (DSP) team develops the models, algorithms, signals, and large\-scale distributed systems that power real\-time driver pricing for billions of rides. Engineers on the team work on cutting\-edge marketplace ML problems and real\-time multi\-objective optimizations serving 1M\+ predictions/second. They regularly present $1B\+ opportunities to executive stakeholders and receive close mentorship from the most senior engineers within the organization, setting you up for fast\-tracked career growth and the opportunity to learn from experienced technical leaders.
 We are looking for exceptional ML engineers with a track record of extraordinary impact and with a passion for building large\-scale systems that optimize multi\-sided real\-time marketplaces. In this role, you will lead the design, development, and productionization of advanced ML models and pricing algorithms, covering deep learning, causal modeling, and reinforcement learning. You will work with engineers, product managers, and scientists to set the team's technical direction and solve some of Uber's most challenging and most complex business problems in order to provide earnings opportunities for millions of drivers worldwide.
**What You Will Do**
* Design, develop, and productionize end\-to\-end ML solutions for large\-scale distributed systems serving billions of trips
* Develop novel pricing approaches for online marketplaces combining machine learning, algorithmic game theory, and optimization to provide earnings opportunities for millions of drivers
* Partner with senior engineers to plan the scope and execution of projects and mentor junior team members on design and implementation
* Work with a team of engineers, product managers, and scientists to design and deliver high\-impact technical solutions to complex business problems
**Basic Qualifications**
* Ph.D., M.S. or Bachelor's degree in Computer Science, Machine Learning, or Operations Research, or equivalent technical background with exceptional demonstrated impact
* 2\+ years of experience in developing and deploying machine learning models and optimization algorithms in large\-scale production environments
* Proficiency in programming languages such as Python, Scala, Java, or Go
* Experience with large\-scale data systems (e.g. Spark, Ray), real\-time processing (e.g. Flink), and microservices architectures
* Experience in the development, training, productionization and monitoring of ML solutions at scale, ranging from offline pipelines to online serving and MLOps
* Familiarity with modern ML algorithms (e.g. DNNs, multi\-task models, transformers) and mathematical optimization (e.g. LP, convex optimization), combined with proven ability and ambition to continuously deepen expertise in these areas
**Preferred Qualifications**
* Experience in translating ambiguous business problems into technical solutions in a structured and principled way
* Strong communication skills, including through documentation and design discussions
* Experience in developing and deploying pricing algorithms for multi\-sided real\-time marketplaces with strategic agent behavior
* Experience in reinforcement learning and causal machine learning
 For New York, NY\-based roles: The base salary range for this role is USD$171,000 per year \- USD$190,000 per year. For San Francisco, CA\-based roles: The base salary range for this role is USD$171,000 per year \- USD$190,000 per year. For Seattle, WA\-based roles: The base salary range for this role is USD$171,000 per year \- USD$190,000 per year. For Sunnyvale, CA\-based roles: The base salary range for this role is USD$171,000 per year \- USD$190,000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 For New York, NY\-based roles: The base salary range for this role is USD$171,000 per year \- USD$190,000 per year. For San Francisco, CA\-based roles: The base salary range for this role is USD$171,000 per year \- USD$190,000 per year. For Seattle, WA\-based roles: The base salary range for this role is USD$171,000 per year \- USD$190,000 per year. For Sunnyvale, CA\-based roles: The base salary range for this role is USD$171,000 per year \- USD$190,000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11">
      <c r="A11" t="inlineStr">
        <is>
          <t>li-4360556961</t>
        </is>
      </c>
      <c r="B11" t="inlineStr">
        <is>
          <t>Machine Learning Engineer II, Pricing</t>
        </is>
      </c>
      <c r="C11" t="inlineStr">
        <is>
          <t>Uber</t>
        </is>
      </c>
      <c r="D11" t="inlineStr">
        <is>
          <t>linkedin</t>
        </is>
      </c>
      <c r="E11">
        <f>HYPERLINK("https://www.linkedin.com/jobs/view/4360556961", "https://www.linkedin.com/jobs/view/4360556961")</f>
        <v/>
      </c>
      <c r="F11" t="inlineStr"/>
      <c r="G11" t="inlineStr">
        <is>
          <t>Sunnyvale, CA</t>
        </is>
      </c>
      <c r="H11" t="inlineStr"/>
      <c r="I11" t="inlineStr">
        <is>
          <t>**About The Role**
 Uber's Marketplace is at the heart of Uber's business and the Dynamic Supply Pricing (DSP) team develops the models, algorithms, signals, and large\-scale distributed systems that power real\-time driver pricing for billions of rides. Engineers on the team work on cutting\-edge marketplace ML problems and real\-time multi\-objective optimizations serving 1M\+ predictions/second. They regularly present $1B\+ opportunities to executive stakeholders and receive close mentorship from the most senior engineers within the organization, setting you up for fast\-tracked career growth and the opportunity to learn from experienced technical leaders.
 We are looking for exceptional ML engineers with a track record of extraordinary impact and with a passion for building large\-scale systems that optimize multi\-sided real\-time marketplaces. In this role, you will lead the design, development, and productionization of advanced ML models and pricing algorithms, covering deep learning, causal modeling, and reinforcement learning. You will work with engineers, product managers, and scientists to set the team's technical direction and solve some of Uber's most challenging and most complex business problems in order to provide earnings opportunities for millions of drivers worldwide.
**What You Will Do**
* Design, develop, and productionize end\-to\-end ML solutions for large\-scale distributed systems serving billions of trips
* Develop novel pricing approaches for online marketplaces combining machine learning, algorithmic game theory, and optimization to provide earnings opportunities for millions of drivers
* Partner with senior engineers to plan the scope and execution of projects and mentor junior team members on design and implementation
* Work with a team of engineers, product managers, and scientists to design and deliver high\-impact technical solutions to complex business problems
**Basic Qualifications**
* Ph.D., M.S. or Bachelor's degree in Computer Science, Machine Learning, or Operations Research, or equivalent technical background with exceptional demonstrated impact
* 2\+ years of experience in developing and deploying machine learning models and optimization algorithms in large\-scale production environments
* Proficiency in programming languages such as Python, Scala, Java, or Go
* Experience with large\-scale data systems (e.g. Spark, Ray), real\-time processing (e.g. Flink), and microservices architectures
* Experience in the development, training, productionization and monitoring of ML solutions at scale, ranging from offline pipelines to online serving and MLOps
* Familiarity with modern ML algorithms (e.g. DNNs, multi\-task models, transformers) and mathematical optimization (e.g. LP, convex optimization), combined with proven ability and ambition to continuously deepen expertise in these areas
**Preferred Qualifications**
* Experience in translating ambiguous business problems into technical solutions in a structured and principled way
* Strong communication skills, including through documentation and design discussions
* Experience in developing and deploying pricing algorithms for multi\-sided real\-time marketplaces with strategic agent behavior
* Experience in reinforcement learning and causal machine learning
 For New York, NY\-based roles: The base salary range for this role is USD$171,000 per year \- USD$190,000 per year. For San Francisco, CA\-based roles: The base salary range for this role is USD$171,000 per year \- USD$190,000 per year. For Seattle, WA\-based roles: The base salary range for this role is USD$171,000 per year \- USD$190,000 per year. For Sunnyvale, CA\-based roles: The base salary range for this role is USD$171,000 per year \- USD$190,000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 For New York, NY\-based roles: The base salary range for this role is USD$171,000 per year \- USD$190,000 per year. For San Francisco, CA\-based roles: The base salary range for this role is USD$171,000 per year \- USD$190,000 per year. For Seattle, WA\-based roles: The base salary range for this role is USD$171,000 per year \- USD$190,000 per year. For Sunnyvale, CA\-based roles: The base salary range for this role is USD$171,000 per year \- USD$190,000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12">
      <c r="A12" t="inlineStr">
        <is>
          <t>li-4369354521</t>
        </is>
      </c>
      <c r="B12" t="inlineStr">
        <is>
          <t>Machine Learning Engineer-MLOps</t>
        </is>
      </c>
      <c r="C12" t="inlineStr">
        <is>
          <t>hackajob</t>
        </is>
      </c>
      <c r="D12" t="inlineStr">
        <is>
          <t>linkedin</t>
        </is>
      </c>
      <c r="E12">
        <f>HYPERLINK("https://www.linkedin.com/jobs/view/4369354521", "https://www.linkedin.com/jobs/view/4369354521")</f>
        <v/>
      </c>
      <c r="F12">
        <f>HYPERLINK("https://www.hackajob.com/job/714acfde-01ca-11f1-b544-0a05e249917d-machine-learning-engineer-mlops?utm_source=LinkedIn&amp;utm_medium=JobAds&amp;utm_term=Automated&amp;utm_campaign=jp-morgan-machine-learning-engineer-mlops&amp;job_name=machine-learning-engineer-mlops&amp;company=jp-morgan&amp;workplace_type=on-site&amp;city=new-york&amp;country=united-states&amp;urlHash=KhBv", "https://www.hackajob.com/job/714acfde-01ca-11f1-b544-0a05e249917d-machine-learning-engineer-mlops?utm_source=LinkedIn&amp;utm_medium=JobAds&amp;utm_term=Automated&amp;utm_campaign=jp-morgan-machine-learning-engineer-mlops&amp;job_name=machine-learning-engineer-mlops&amp;company=jp-morgan&amp;workplace_type=on-site&amp;city=new-york&amp;country=united-states&amp;urlHash=KhBv")</f>
        <v/>
      </c>
      <c r="G12" t="inlineStr">
        <is>
          <t>New York, NY</t>
        </is>
      </c>
      <c r="H12" t="inlineStr"/>
      <c r="I12" t="inlineStr">
        <is>
          <t>***hackajob** 
 is collaborating with
 **J.P. Morgan** 
 to connect them with exceptional tech professionals for this role.*
**Job Description**
 We are looking for a Senior MLOps engineer to work closely with Data Scientists to build and deploy ML models on a modern MLOps stack.
 As Lead Machine Learning Engineer on the Recommendation Engine team, you’ll build and maintain pipelines for distributed model training on large compute clusters, batch/real\-time model serving, hyperparameter tuning at scale, model monitoring, production validation and other activities vital for model development, testing and deployment in a well\-managed, controlled environment.
 Our product, Personalization and Insights, builds and supports high throughput, low latency applications which leverage state of the art machine learning architectures, and which are deployed in AWS. These applications power personalized experiences across Chase Consumer \&amp; Community Banking channels, to help weave a user experience that includes traditional banking services with other services in the Travel, Merchant Offer Shopping, and Dining spaces.
 Job responsibilities
* Build, deploy, and maintain robust pipelines for distributed training on GPU\-enabled clusters to support scalable machine learning workflows.
* Develop and manage pipelines for high\-throughput, real\-time inference as well as batch inference, ensuring optimal performance and reliability.
* Implement quantization techniques and deploy large language models (LLMs) to maximize efficiency and resource utilization.
* Oversee the management and optimization of vector databases to support advanced AI and machine learning applications.
* Establish and maintain comprehensive monitoring and observability pipelines to ensure system health, performance, and rapid issue resolution.
* Collaborate with cross\-functional teams to integrate new technologies and continuously improve existing infrastructure.
* Partner with product, architecture, and other engineering teams to define scalable and performant technical solutions.
**Required Qualifications, Capabilities, And Skills**
* BS in Computer Science or related Engineering field with 3\+ years of experience Or MS degree in Computer Science or related Engineering field with 2\+ years experience.
* Solid knowledge and extensive experience in Python
* Solid fundamentals in cloud computing, preferably AWS
* Deep knowledge and passion for data science fundamentals, training and deploying models
* Experience in monitoring and observability tools to monitor model input/output and features stats
* Operational experience in big data/ML tools such as Ray, DuckDB, Spark
* Solid grounding in engineering fundamentals and analytical mindset
* Action Oriented and iterative development
**Preferred Qualifications, Capabilities, And Skills**
* Experience with recommendation and personalization systems is a plus.
* Solid fundamentals and experience in containers (docker ecosystem), container orchestration systems \[Kubernetes, ECS], DAG orchestration \[Airflow, Kubeflow etc]
* Good knowledge of Databases
**ABOUT US**
 JPMorganChase, one of the oldest financial institutions, offers innovative financial solutions to millions of consumers, small businesses and many of the world’s most prominent corporate, institutional and government clients under the J.P. Morgan and Chase brands. Our history spans over 200 years and today we are a leader in investment banking, consumer and small business banking, commercial banking, financial transaction processing and asset management.
 We offer a competitive total rewards package including base salary determined based on the role, experience, skill set and location. Those in eligible roles may receive commission\-based pay and/or discretionary incentive compensation, paid in the form of cash and/or forfeitable equity, awarded in recognition of individual achievements and contributions. We also offer a range of benefits and programs to meet employee needs, based on eligibility. These benefits include comprehensive health care coverage, on\-site health and wellness centers, a retirement savings plan, backup childcare, tuition reimbursement, mental health support, financial coaching and more. Additional details about total compensation and benefits will be provided during the hiring process.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We also make reasonable accommodations for applicants’ and employees’ religious practices and beliefs, as well as mental health or physical disability needs. Visit our FAQs for more information about requesting an accommodation.
 JPMorgan Chase \&amp; Co. is an Equal Opportunity Employer, including Disability/Veterans
**About The Team**
 J.P. Morgan’s Commercial \&amp; Investment Bank is a global leader across banking, markets, securities services and payments. Corporations, governments and institutions throughout the world entrust us with their business in more than 100 countries. The Commercial \&amp; Investment Bank provides strategic advice, raises capital, manages risk and extends liquidity in markets around the world.</t>
        </is>
      </c>
    </row>
    <row r="13">
      <c r="A13" t="inlineStr">
        <is>
          <t>li-4359589927</t>
        </is>
      </c>
      <c r="B13" t="inlineStr">
        <is>
          <t>AI/ML Engineer - Mission</t>
        </is>
      </c>
      <c r="C13" t="inlineStr">
        <is>
          <t>Tyto Athene, LLC</t>
        </is>
      </c>
      <c r="D13" t="inlineStr">
        <is>
          <t>linkedin</t>
        </is>
      </c>
      <c r="E13">
        <f>HYPERLINK("https://www.linkedin.com/jobs/view/4359589927", "https://www.linkedin.com/jobs/view/4359589927")</f>
        <v/>
      </c>
      <c r="F13" t="inlineStr"/>
      <c r="G13" t="inlineStr">
        <is>
          <t>Herndon, VA</t>
        </is>
      </c>
      <c r="H13" t="inlineStr"/>
      <c r="I13" t="inlineStr">
        <is>
          <t>**Description**
 Tyto Athene is searching for a mission oriented
 **AI/ML Engineer** 
 to join our CTO shop. This role is multi\-faceted. The successful candidate is a highly skilled and innovative AI/ML Engineer to pioneer the design, development, and deployment of cutting\-edge artificial intelligence and machine learning solutions at the DoD's tactical mission edge. This role is critical to achieving mission advantage by fusing diverse, real\-time sensor data streams in resource\-constrained, denied, degraded, intermittent, and limited (DDIL) environments. You will empower warfighters and intelligence analysts with immediate, actionable insights, enabling rapid decision\-making and enhancing situational awareness in critical operational scenarios. Your deep experience in supporting the mission of the US warfighter enables you to easily translate complex military mission requirements and operational challenges into actionable AI/ML problems and innovative solutions.
**Responsibilities**
**Edge AI/ML Model Design:**
* Design, develop, and optimize efficient and lightweight AI/ML models specifically for edge devices with limited computational power, memory, and energy.
* Implement techniques to ensure real\-time performance at the tactical edge.
* Develop and integrate on\-device learning and adaptive models that can continuously improve and adapt to changing mission environments without constant cloud connectivity.
* Engineer AI/ML solutions for disconnected or intermittently connected operations, ensuring robustness and functionality even when central network access is unavailable.
**Multi\-Modal Sensor Data Fusion \&amp; Perception**
* Architect and implement advanced sensor fusion to integrate and make sense of disparate and sensor data streams from various modalities.
* Develop multi\-sensor perception systems for object detection, tracking, classification, anomaly detection, and situation awareness in complex, dynamic, and potentially contested environments.
* Apply expertise in processing and fusing data from diverse sensor types including
* Address challenges of data synchronization, misalignment, and conflicting information from multiple sensors to generate a coherent and accurate operational picture.
**Mission\-Centric AI/ML Application**
* Develop AI/ML algorithms that enhance decision\-making speed and accuracy for warfighters and commanders.
* Focus on applications that provide a direct mission advantage, such as predictive intelligence, threat detection and identification, autonomous navigation, target recognition, battle damage assessment, and enhanced situational awareness.
* Collaborate directly with mission experts and end\-users to iteratively design, test, and refine AI/ML capabilities, ensuring operational relevance and usability.
**Robustness, Resiliency, \&amp; Adversarial AI**
* Design AI/ML systems that are robust to adversarial attacks and can accommodate the realities of mission sensor data quality and noise, environmental noise, ensuring reliable performance in contested and unpredictable operational settings.
* Implement techniques for explainable AI (XAI) to provide warfighters with transparency and confidence in model predictions, especially for critical decisions.
* Develop methods for model monitoring and health checks at the edge, ensuring sustained performance and alerting to degradation or compromise.
* Ensure AI/ML solutions comply with responsible AI principles and ethical guidelines for military applications.
**Secure MLOps At The Edge \&amp; DoD Compliance**
* Design and implement secure MLOps pipelines for continuous integration, continuous delivery (CI/CD), and lifecycle management of AI/ML models from development to deployment at the mission edge.
* Automate model testing, validation, and deployment processes in highly constrained and secure environments.
* Ensure all AI/ML development and deployment adheres to stringent DoD cybersecurity frameworks and secure coding practices.
* Support the integration of FISMA compliance controls into coding practices incorporating unique edge security considerations.
* Implement Zero Trust architectures for AI/ML solution access and data handling at the edge.
**Interoperability \&amp; Data Ecosystem Integration**
* Integrate AI/ML solutions with existing and legacy DoD tactical systems, command and control (C2\) platforms, and communications networks.
* Work to ensure seamless data flow and interoperability with various DoD data sources and fusion centers.
* Contribute to the establishment of tactical data lakes or similar constructs at the edge for local data ingestion and AI/ML processing.
**Qualifications**
**Required:**
* Bachelor's Degree in Engineering, Computer Science, or related field; equivalent, relevant experience will be considered
* Proficiency in PyTorch, Python, JavaScript/TypeScript
* Open\-source LLMs (e.g., Llama, Gemma, Qwen) and VLMs (e.g., Phi4, Qwen\-VL) using Huggingface
* Expertise in prompt engineering
* Building RAG pipelines using tools like LangChain or LlamaIndex.
**MLOps \&amp; Deployment**
* Hands\-on experience with Docker, Kubernetes, Helm; model serving frameworks like vLLM or Triton
* Observability tools such as Weights \&amp; Biases
* Vector databases like Qdrant or Milvus.
**Edge \&amp; On\-Device AI**
* Experience deploying models on edge devices
* Experience utilizing hardware acceleration tools like CUDA, ONNX, TensorRT
* Proven track record of designing, training, and deploying lightweight and efficient machine learning models for real\-time inference on resource\-constrained devices
* Experience with MLOps tools and practices for deploying and managing models in production, especially at the edge
**Integration \&amp; Protocols**
* Familiarity with the Model Context Protocol (MCP) for connecting AI models to external tools and data sources
* Understanding of secure, real\-time data access methodologies.
**Sensor Data Fusion**
* Extensive hands\-on experience with multi\-modal sensor data fusion techniques and algorithms.
* Demonstrated ability to work with and process diverse sensor data types (e.g., imagery, video, audio, RF, network logs, structured data).
* Experience with signal processing, computer vision, natural language processing (NLP), or other relevant domains for sensor data interpretation.
**DDIL \&amp; Tactical Edge Operations**
* Direct experience designing and implementing solutions DDIL communication environments.
* Familiarity with tactics, techniques, and procedures (TTPs) related to military operations at the tactical edge.
* Understanding of the challenges of data collection, storage, and processing in austere and contested operational environments.
* Deep understanding of unique DoD reference architectures such as CJADC2 and MPEs
* Significant experience as an agile and CI/CD practitioner
* Strong analytical and problem\-solving skills.
* Excellent communication and interpersonal skills.
* Ability to work effectively across functional groups to optimize product \&amp; service offerings.
* Understands the many aspects of United States Government/Department of Defense programs, including but not limited to program and project management, staffing, engineering, Operations and Maintenance (O\&amp;M), quality, logistics, technology, and regulations.
* Demonstrated ability to handle multiple projects simultaneously.
**Desired**
* Familiarity of NIST security guidelines, such as 800\-53 and 800\-63, and good understanding of security fundamentals, as well as authentication with OAuth, SAML etc.
* Knowledge of Go, Rust, or C\+\+ for edge optimization
* Experience integrating GenAI into full\-stack applications
* Handling large, multimodal datasets
* Fine\-tuning with LoRA.
* Associate level certification with Google, Azure or AWS cloud platforms
* Active SECRET security clearance preferred or be able to secure DoD Security clearance.
**Compensation**
**About Tyto Athene**
* Compensation is unique to each candidate and relative to the skills and experience they bring to the position. This does not guarantee a specific salary as compensation is based upon multiple factors such as education, experience, certifications, and other requirements, and may fall outside of the above\-stated range.
**Benefits**
* Highlights of our benefits include Health/Dental/Vision, 401(k) match, Paid Time Off, STD/LTD/Life Insurance, Referral Bonuses, professional development reimbursement, and parental leave.
 Tyto Athene is a trusted leader in IT services and solutions, delivering mission\-focused digital transformation that drives measurable success. Our expertise spans four core technology domains\-Network Modernization, Hybrid Cloud, Cybersecurity, and Enterprise IT\-empowering our clients with cutting\-edge solutions tailored to their evolving needs. With over 50 years of experience, Tyto Athene proudly support Defense, Intelligence, Space, National Security, Civilian, Health, and Public Safety clients across the United States and worldwide.
 At Tyto Athene, we believe that success starts with our people. We foster a collaborative, innovative, and mission\-driven environment where every team member plays a critical role in shaping the future of technology. Are you ready to join \#TeamTyto?
 Tyto Athene, LLC is an Equal Opportunity Employer; all qualified applicants will receive consideration for employment without regard to race, color, religion, sex, \[sexual orientation, gender identity,] national origin, disability, status as a protected veteran, or any characteristic protected by applicable law.
 Submit a Referral (https://careers\-gotyto.icims.com/jobs/1671/ai\-ml\-engineer\-\-\-mission/job?mode\=apply\&amp;apply\=yes\&amp;in\_iframe\=1\&amp;hashed\=\-1834326889\)
**Location** 
*US\-VA\-Reston*
**ID** 
*2026\-1671*
**Category** 
*Information Technology*
**Position Type** 
*Full\-Time*</t>
        </is>
      </c>
    </row>
    <row r="14">
      <c r="A14" t="inlineStr">
        <is>
          <t>li-4360596850</t>
        </is>
      </c>
      <c r="B14" t="inlineStr">
        <is>
          <t>Founding AI Engineer</t>
        </is>
      </c>
      <c r="C14" t="inlineStr">
        <is>
          <t>August</t>
        </is>
      </c>
      <c r="D14" t="inlineStr">
        <is>
          <t>linkedin</t>
        </is>
      </c>
      <c r="E14">
        <f>HYPERLINK("https://www.linkedin.com/jobs/view/4360596850", "https://www.linkedin.com/jobs/view/4360596850")</f>
        <v/>
      </c>
      <c r="F14" t="inlineStr"/>
      <c r="G14" t="inlineStr">
        <is>
          <t>New York, NY</t>
        </is>
      </c>
      <c r="H14" t="inlineStr"/>
      <c r="I14" t="inlineStr">
        <is>
          <t>At
 **August** 
 , we’re building AI designed for one thing: helping law firms practice better. Unlike tools built for the AmLaw 100, our focus is on midsized firms — where efficiency, client service, and competitive advantage matter most.
 Our platform helps lawyers draft, review, and analyze documents at scale, turning what used to take hours into minutes. We’re trusted by forward\-thinking firms across the U.S., Australia, and Asia, and backed by leading investors (NEA, Pear VC, Stanford Law) to grow globally.
 We move quickly, learn directly from clients, and believe that AI is transforming the practice of law.
**The Opportunity**
 August is building AGI for law. Our agents mimic a lawyers’ reasoning, research, and drafting, and our workflows already outperform lawyers in third\-party evaluations. We’re targeting mid\-market law firms, automating their legal work and allowing them to provide our tools directly to their clients. Join August at an early stage as we scale our agents to process thousands of documents simultaneously and create outputs exceeding human\-level accuracy.
 As a
 **Founding AI Engineer** 
 at August, you will design and scale production\-grade agents that perform legal tasks with expert\-level reasoning. You’ll work closely with the founders, legal experts, and product team to deploy AI systems in high\-stakes workflows used by real lawyers across the globe.
**What You'll Do**
* Build and deploy agentic systems using Python to automate, evaluate, and scale end\-to\-end legal workflows
* Zero\-to\-one product development: rapidly prototype, evaluate, integrate, and test new product features in close partnership with our customers and legal team.
* Develop new AI native workflows: implement streaming, long\-running tasks, procedural UX, etc. for new AI tasks, finding the balance between state\-of\-the\-art and pragmatism.
**About You**
* 3\+ years of experience building products on top of LLMs, either in grad school or in production environments; strong Python skills
* Demonstrated ability to ship quickly especially in early\-stage environments while building scalable enterprise software
* Grit \- experience working at early\-stage startups is a plus.
* Ideally candidates would have experience and deep understanding of how infrastructure\-layer (Kubernetes, Database, OS, Cloud Storage etc) software systems work.
**Why Join August**
* Founding Impact: Shape not just your role but the company.
* Uncapped Upside: Competitive base \+ commission, early equity ownership.
* Top\-tier Team: Work alongside people who move fast, think clearly, and care deeply.
* Category\-Defining Work: Help build the first true AI agents for the legal profession.
* Fast Growth: Scale your career as we scale the company.
* Exceptional Early Traction: \&gt;4x revenue growth in the past four months.
* Global Reach: Our clients span 4 continents and use August in multiple languages and jurisdictions
* Frontier of Applied AI: August has access to proprietary data inaccessible to foundation model providers. We build agents to automate all challenging knowledge work.
* Strategic investors: Backed by NEA and exceptional seed investors Pear VC and Afore Capital, August has the capital to execute
 Compensation Range: $175K \- $300K</t>
        </is>
      </c>
    </row>
    <row r="15">
      <c r="A15" t="inlineStr">
        <is>
          <t>li-4369339197</t>
        </is>
      </c>
      <c r="B15" t="inlineStr">
        <is>
          <t>Machine Learning Engineer - Remote</t>
        </is>
      </c>
      <c r="C15" t="inlineStr">
        <is>
          <t>CSAA Insurance Group, a AAA Insurer</t>
        </is>
      </c>
      <c r="D15" t="inlineStr">
        <is>
          <t>linkedin</t>
        </is>
      </c>
      <c r="E15">
        <f>HYPERLINK("https://www.linkedin.com/jobs/view/4369339197", "https://www.linkedin.com/jobs/view/4369339197")</f>
        <v/>
      </c>
      <c r="F15" t="inlineStr"/>
      <c r="G15" t="inlineStr">
        <is>
          <t>Phoenix, AZ</t>
        </is>
      </c>
      <c r="H15" t="inlineStr"/>
      <c r="I15" t="inlineStr">
        <is>
          <t>CSAA Insurance Group (CSAA IG), a AAA insurer, is one of the leading personal lines property and casualty insurance groups in the United States. Here, every employee shapes our mission. We build innovative, human\-centered solutions that help AAA members prevent, prepare for, and recover from life's uncertainties. You will join a collaborative, inclusive culture where your strengths have room to grow and your ideas can drive real impact. Step into a role where you can contribute to our shared success through meaningful work.
 We are actively hiring for a
 **Machine Learning Engineer** 
 \- Remote
**Your Role** 
 We are seeking a skilled and motivated
 **AI/ML Engineer** 
 to join our
 **Data \&amp; AI Platform Engineering** 
 team. In this role, you will contribute to the design, implementation, and support of AI and ML capabilities that operate as part of an enterprise data and AI platform.
 You will work closely with senior engineers, data scientists, and cross\-functional partners to deliver high\-quality AI/ML components that are production\-ready, well\-governed, and aligned with established engineering standards. This role requires strong
 **software engineering fundamentals** 
 , experience working with
 **unstructured data and metadata** 
 , and an understanding of how
 **semantic modeling** 
 can improve how users discover and interact with data and AI solutions.
 You will also stay current with evolving AI technologies, including
 **Large Language Models (LLMs)** 
 and foundation model platforms, and apply them responsibly within a governed enterprise environment.
**Your Work**
**Design and Implementation**
* Design, implement, and support AI and ML components under the guidance of senior engineers and architects.
* Build AI/ML solutions that are secure, stable, testable, and maintainable, following established platform and engineering patterns.
* Apply existing engineering and AI/ML frameworks to ensure consistency, scalability, and operational readiness.
* Evaluate tradeoffs between performance, scalability, cost, and usability when implementing solutions.
**Unstructured Data, Metadata, and Semantics**
* Implement pipelines to ingest, process, and enrich unstructured and semi\-structured data such as documents and text.
* Work with metadata, embeddings, and semantic representations to improve search, retrieval, and downstream AI use cases.
* Apply semantic modeling techniques to help make data more discoverable, interpretable, and useful to end users and applications.
**Code Quality and Engineering Practices**
* Write high\-quality, production\-grade code using modern software engineering best practices.
* Contribute to automated testing, code reviews, and CI/CD pipelines for AI/ML systems.
* Turn well\-defined designs into working software and deliver on commitments reliably.
**Problem Solving and Collaboration**
* Implement solutions to moderately complex problems by understanding requirements, constraints, and business context.
* Collaborate with data scientists, platform engineers, and business partners to deliver effective AI/ML capabilities.
* Contribute to user stories, technical documentation, and design discussions.
**Automation and Operational Excellence**
* Support MLOps / FMOps practices such as model deployment, versioning, monitoring, and troubleshooting.
* Identify operational issues and work with the team to improve reliability, observability, and maintainability.
* Contribute improvements to existing pipelines, tools, and platform components.
**LLMs and Foundation Models**
* Apply LLMs and prompt engineering techniques to business use cases under established architectural and governance guidelines.
* Contribute to solutions using managed model platforms such as AWS Bedrock.
* Assist in evaluating and integrating new AI capabilities into the platform.
**Data and AI Governance**
* Build AI/ML solutions that adhere to data and AI governance standards, including documentation, lineage, and testing requirements.
* Partner with governance and compliance teams to ensure AI/ML implementations meet enterprise expectations.
* Follow established practices for model versioning, validation, and transparency.
**Required Experience, Education And Skills**
* Bachelor’s degree in Computer Science, Data Science, Engineering, or a related field.
* 3\+ years of experience in AI/ML engineering or applied machine learning.
* Experience delivering AI/ML solutions that are used in production environments.
* Hands\-on experience working with unstructured data, embeddings, or semantic techniques.
* Strong programming skills, particularly in Python; experience with Java or similar languages is a plus.
* Experience with AI/ML frameworks and libraries (e.g., TensorFlow, PyTorch, Scikit\-learn).
* Experience deploying AI/ML workloads on cloud platforms, preferably AWS and AWS Bedrock
* Experience with data processing technologies such as Spark, SQL, or NoSQL systems.
* Familiarity with Palantir (Foundry, AIP, or related tools) is required.
* Exposure to MLOps/FMOps practices and governed AI environments
**What would make us excited about you?**
* Strong problem\-solving and analytical skills with attention to detail.
* Effective communication and collaboration skills in cross\-functional teams.
* Ability to operate in an agile, fast\-paced engineering environment.
* Desire to learn, grow, and deepen expertise in AI/ML engineering and platform development.
* Actively shapes our company culture (e.g., participating in employee resource groups, volunteering, etc.)
* Lives into cultural norms (e.g., willing to have cameras when it matters helping onboard new team members, building relationships, etc.)
* Travels as needed for role, including divisional / team meetings and other in\-person meetings
* Fulfills business needs, which may include investing extra time, helping other teams, etc
 Please note we are hiring for this role remote anywhere in the United States with the following exceptions Hawaii and Alaska.
**Why Choose a Career at CSAA IG?**
 At CSAA IG, we are a mission\-driven organization proudly committed to empowering our members, our employees, and our communities to thrive
 **.**
**Recognition** 
 We offer a total compensation package, annual bonus eligibility for most roles, 401(k) with a company match, and so much more! Read more about what we offer and what it is like to be a part of our dynamic team at https//careers.csaainsurance.aaa.com/us/en/benefits.
**Career Growth** 
 We believe in growth for everyone. Here at CSAA IG, leaders and mentors partner with employees to align interests, unlock development opportunities, and support long‑term success.
**Flexible Workplace** 
 We embrace a remote\-first culture through our Flexible Workplace. Most employees hold Home\-Flex roles, working primarily from home, often with the flexibility to work from various locations including CSAA offices. Our flexible workplace empowers you to balance remote work with intentional in‑person moments that deepen connection and collaboration.
**Inclusion and Belonging** 
 An inclusive and welcoming workplace is the cornerstone of our success. By fostering an environment where people feel valued and heard, we deepen our ability to understand and meet the unique needs of our members. This strengthens innovation and enhances our products and services, giving us a competitive edge in the market.
**Sustainability** 
 As climate change leads to more frequent and severe weather events, we are taking bold action to build more resilient communities and reduce our environmental impact. Submit your application to be considered. We communicate via email, so check your inbox and/or your spam folder to ensure you don’t miss important updates from us.
 CSAA is committed to providing reasonable accommodations to qualified applicants and employees with disabilities or other limitations. If you would like to request an accommodation to participate in the job application or interview process, please contact TalentAcquistion@csaa.com
 If you apply and are selected to continue in the recruiting process, we will schedule a preliminary call with you to discuss the role and will disclose during that call the available salary/hourly rate range based on your location. Factors used to determine the actual salary offered may include location, experience, or education.
 CSAA does not provide visa sponsorship for this role. Applicants must have authorization to work indefinitely in the US. Please do not apply for this role if at any time (now or in the future) you will need immigration support (i.e., H\-1B, TN, STEM OPT Training Plans, etc.).
 CSAA Insurance Group is an equal opportunity employer.
 00</t>
        </is>
      </c>
    </row>
    <row r="16">
      <c r="A16" t="inlineStr">
        <is>
          <t>li-4362992394</t>
        </is>
      </c>
      <c r="B16" t="inlineStr">
        <is>
          <t>Senior Staff Machine Learning Engineer — Agentic AI</t>
        </is>
      </c>
      <c r="C16" t="inlineStr">
        <is>
          <t>NVIDIA</t>
        </is>
      </c>
      <c r="D16" t="inlineStr">
        <is>
          <t>linkedin</t>
        </is>
      </c>
      <c r="E16">
        <f>HYPERLINK("https://www.linkedin.com/jobs/view/4362992394", "https://www.linkedin.com/jobs/view/4362992394")</f>
        <v/>
      </c>
      <c r="F16">
        <f>HYPERLINK("https://nvidia.wd5.myworkdayjobs.com/NVIDIAExternalCareerSite/job/US-CA-Santa-Clara/Senior-Staff-Machine-Learning-Engineer\u002d\u002d-Enterprise-AI_JR2000014?source=jobboardlinkedin&amp;urlHash=kwrK", "https://nvidia.wd5.myworkdayjobs.com/NVIDIAExternalCareerSite/job/US-CA-Santa-Clara/Senior-Staff-Machine-Learning-Engineer\u002d\u002d-Enterprise-AI_JR2000014?source=jobboardlinkedin&amp;urlHash=kwrK")</f>
        <v/>
      </c>
      <c r="G16" t="inlineStr">
        <is>
          <t>Santa Clara, CA</t>
        </is>
      </c>
      <c r="H16" t="inlineStr"/>
      <c r="I16" t="inlineStr">
        <is>
          <t>NVIDIA’s invention of the GPU in 1999 sparked the growth of the PC\-gaming market, redefined modern computer graphics, and revolutionized parallel computing. More recently, GPU\-accelerated deep learning ignited modern AI—the next era of computing—with the GPU acting as the brain of computers, robots, and self\-driving cars that can perceive and understand the world. Today, we are increasingly known as “the AI computing company.”
 We are seeking a Senior Staff Machine Learning Engineer to join our Enterprise AI team and build intelligent, scalable solutions that transform enterprise operations. You will develop and productionize advanced AI systems spanning smart assistants, software\-engineering productivity, and data\-driven analytics.
**What You’ll Be Doing**
* Develop Intelligent AI Solutions – Leverage NVIDIA AI technologies and GPUs to build pioneering NLP and Generative AI solutions—such as Retrieval\-Augmented Generation (RAG) pipelines and agentic workflows—that solve real\-world enterprise and supply\-chain problems.
* Own Key AI Features – Drive the end\-to\-end development of LLM\-powered applications, chatbots, and optimization engines that improve organizational efficiency and resilience.
* Design Robust ML Architectures – Create machine\-learning and combinatorial\-optimization designs targeting high\-impact challenges across employee productivity, engineering efficiency, AIOps, and supply\-chain operations, etc..
* Collaborate Across NVIDIA – Work closely with product, research, and engineering teams to translate requirements into ML solutions and deliver measurable business outcomes.
* Mentor \&amp; Share Best Practices – Guide junior engineers and peers on ML design patterns, code quality, and experiment methodology.
**What We Need To See**
* Master’s or Ph.D. in Computer Science, Operations Research, Industrial Engineering, or a related field, or equivalent experience.
* 10\+ years designing, building, and deploying machine\-learning models and systems in production with 12\+ years industry experience.
* Solid understanding of transformers, attention mechanisms, and modern NLP / LLM techniques; experience fine\-tuning or prompting large language models.
* Strong Python plus deep\-learning frameworks such as PyTorch or TensorFlow; familiarity with CUDA\-accelerated libraries (e.g., TensorRT\-LLM) is a plus.
* Proven track record to take a significant ML component or feature from concept to production and collaborate effectively with multi\-functional teams.
**Ways To Stand Out From The Crowd**
* Agentic AI Mastery – Practical experience with frameworks such as LangChain or LangGraph and a deep understanding of multi\-step reasoning and planning.
* LLM Inference Optimization – Expertise in accelerating LLM inference (e.g., KV caching, quantization) to achieve low latency at scale.
* End\-to\-End ML Systems Ownership – A portfolio showing full lifecycle ownership, from data ingestion to monitoring and continuous improvement.
* Research Impact – Publications or patents that advance NLP or enterprise AI.
 NVIDIA is widely considered one of the technology world’s most desirable employers. We have some of the most forward\-thinking and dedicated people on the planet working for us. If you’re creative, autonomous, and excited about shaping the future of Enterprise AI, we want to hear from you!
 Your base salary will be determined based on your location, experience, and the pay of employees in similar positions. The base salary range is 224,000 USD \- 356,500 USD for Level 5, and 272,000 USD \- 431,250 USD for Level 6\.
 You will also be eligible for equity and benefits .
 Applications for this job will be accepted at least until January 13, 2026\.
 This posting is for an existing vacancy.
 NVIDIA uses AI tools in its recruiting processes.
 NVIDIA is committed to fostering a diverse work environment and proud to be an equal opportunity employer. As we highly value diversity in our current and future employees, we do not discriminate (including in our hiring and promotion practices) on the basis of race, religion, color, national origin, gender, gender expression, sexual orientation, age, marital status, veteran status, disability status or any other characteristic protected by law.
 JR2000014</t>
        </is>
      </c>
    </row>
    <row r="17">
      <c r="A17" t="inlineStr">
        <is>
          <t>li-4359897326</t>
        </is>
      </c>
      <c r="B17" t="inlineStr">
        <is>
          <t>Staff Machine Learning Engineer - Ads</t>
        </is>
      </c>
      <c r="C17" t="inlineStr">
        <is>
          <t>Uber</t>
        </is>
      </c>
      <c r="D17" t="inlineStr">
        <is>
          <t>linkedin</t>
        </is>
      </c>
      <c r="E17">
        <f>HYPERLINK("https://www.linkedin.com/jobs/view/4359897326", "https://www.linkedin.com/jobs/view/4359897326")</f>
        <v/>
      </c>
      <c r="F17">
        <f>HYPERLINK("https://tnl2.jometer.com/v2/job?jz=5wqzs4688776f8c7a542359f87375db63c558KMAGUCAAAABQ&amp;iis=Job%20Board%20-%20Recruitment%20Marketing&amp;iisn=LinkedIn&amp;urlHash=W4gI", "https://tnl2.jometer.com/v2/job?jz=5wqzs4688776f8c7a542359f87375db63c558KMAGUCAAAABQ&amp;iis=Job%20Board%20-%20Recruitment%20Marketing&amp;iisn=LinkedIn&amp;urlHash=W4gI")</f>
        <v/>
      </c>
      <c r="G17" t="inlineStr">
        <is>
          <t>New York, NY</t>
        </is>
      </c>
      <c r="H17" t="inlineStr"/>
      <c r="I17" t="inlineStr">
        <is>
          <t>The Ads Machine Learning team at Uber is responsible for designing, building, and evolving the core ML systems that powers ads selection, ranking, pricing, and delivery across the Uber ecosystem. We develop a deep understanding of user intent and merchant objectives to produce high quality ML signals that drive large scale auction based decision making. These systems operate under strict latency, reliability, and fairness constraints while serving billions of predictions that directly impact user experience, advertiser performance, and revenue outcomes.
 As a Staff Machine Learning Engineer, you will play a central role in defining and executing the Ads ML technical roadmap. You will lead the design of next generation recommendation and auction architectures, enable step function improvements in model quality and serving efficiency, and raise the bar on observability and reliability of online ML systems. This role requires end to end ownership across modeling, training, online inference, and system integration, as well as close collaboration with product, infrastructure, and platform teams. Delivering robust, scalable, and measurable ad recommendations is critical to Uber's rapidly growing Ads business, making this a highly visible and high impact role.
**What The Candidate Will Do**
* Lead the design and evolution of machine learning models that power ads ranking, pricing, and auction systems at scale.
* Own end to end ML systems, including training pipelines, feature infrastructure, and low latency online inference for real time and batch use cases.
* Apply advanced statistical and ML techniques to improve ads relevance, marketplace efficiency, and advertiser outcomes.
* Define experimentation strategies, success metrics, and evaluation frameworks, and drive iteration through rigorous offline and online testing.
* Establish model and system observability through metrics, dashboards, and reliability best practices.
* Translate ambiguous product goals into durable ML architectures in close partnership with Product and Engineering.
* Provide technical leadership through mentorship, design reviews, and raising engineering standards across the Ads ML org.
* Stay current on advances in machine learning and ads auction systems, and drive adoption where they deliver clear impact.
**Basic Qualifications:**
* Bachelor's degree or equivalent experience in Computer Science, Computer Engineering, Data Science, Machine Learning, Statistics, or a related quantitative field.
* Demonstrated ownership of designing, deploying, and evolving large scale machine learning systems powering ads ranking, auction, or pricing in production environments.
* Strong proficiency in Python for building production ML systems and defining model, feature, and training abstractions used across teams.
* Deep understanding of SQL with experience driving production decision making, data validation, and system level analysis.
* Strong grasp of big data and distributed system architectures, with experience designing data platforms and ETL pipelines that support Ads ML workloads.
* Hands on experience building and operating batch data pipelines using Spark or comparable distributed compute frameworks, with accountability for data quality and correctness.
* Proven expertise in experimentation and evaluation, including A/B testing and offline metrics for ads auctions, ranking quality, and marketplace outcomes.
* Experience defining and operationalizing model and serving level metrics, and building observability for reliable online ML inference systems.
* Experience owning or influencing online model serving, including latency aware inference, scalability, and reliability considerations.
* Strong grounding in statistical methods, with the ability to reason about bias, uncertainty, and tradeoffs in ads and marketplace systems.
* Demonstrated ability to influence product and technical direction by synthesizing complex modeling insights into clear recommendations.
* Ability to operate independently in ambiguous problem spaces, set technical direction, and drive alignment across ML, product, and platform teams.
* Strong communication skills across technical and executive audiences, with a consistent track record of mentorship and feedback.
**Preferred Qualifications :**
* 7 or more years of industry experience as a Machine Learning Engineer or equivalent, with demonstrated impact at Staff or equivalent scope.
* Proven experience leading large, ambiguous technical initiatives and setting direction across teams in fast moving, cross functional environments.
* Experience designing, scaling, and operating production ML systems end to end, including training, deployment, and online inference.
* Hands on experience with online model serving and inference optimization, including latency aware systems, GPU based serving, or platforms such as Triton.
* Direct experience building or evolving ads auction systems, including ranking, pricing, calibration, or marketplace tradeoffs.
* Experience applying state of the art deep learning architectures for large scale recommendation or ranking systems, including modern GenRec patterns.
* Advanced degree (M.S. or Ph.D.) in Machine Learning, Data Science, or a related field is a plus.
 For New York, NY\-based roles: The base hourly rate amount for this role is USD$30\.00 per hour. You will also be eligible for various benefits., For New York, NY\-based roles: The base hourly rate amount for this role is USD$30\.00 per hour. You will also be eligible for various benefits.</t>
        </is>
      </c>
    </row>
    <row r="18">
      <c r="A18" t="inlineStr">
        <is>
          <t>li-4359588370</t>
        </is>
      </c>
      <c r="B18" t="inlineStr">
        <is>
          <t>Staff Machine Learning Engineer - Ads</t>
        </is>
      </c>
      <c r="C18" t="inlineStr">
        <is>
          <t>Uber</t>
        </is>
      </c>
      <c r="D18" t="inlineStr">
        <is>
          <t>linkedin</t>
        </is>
      </c>
      <c r="E18">
        <f>HYPERLINK("https://www.linkedin.com/jobs/view/4359588370", "https://www.linkedin.com/jobs/view/4359588370")</f>
        <v/>
      </c>
      <c r="F18" t="inlineStr"/>
      <c r="G18" t="inlineStr">
        <is>
          <t>San Francisco, CA</t>
        </is>
      </c>
      <c r="H18" t="inlineStr"/>
      <c r="I18" t="inlineStr">
        <is>
          <t>The Ads Machine Learning team at Uber is responsible for designing, building, and evolving the core ML systems that powers ads selection, ranking, pricing, and delivery across the Uber ecosystem. We develop a deep understanding of user intent and merchant objectives to produce high quality ML signals that drive large scale auction based decision making. These systems operate under strict latency, reliability, and fairness constraints while serving billions of predictions that directly impact user experience, advertiser performance, and revenue outcomes.
 As a Staff Machine Learning Engineer, you will play a central role in defining and executing the Ads ML technical roadmap. You will lead the design of next generation recommendation and auction architectures, enable step function improvements in model quality and serving efficiency, and raise the bar on observability and reliability of online ML systems. This role requires end to end ownership across modeling, training, online inference, and system integration, as well as close collaboration with product, infrastructure, and platform teams. Delivering robust, scalable, and measurable ad recommendations is critical to Uber's rapidly growing Ads business, making this a highly visible and high impact role.
**What The Candidate Will Do**
* Lead the design and evolution of machine learning models that power ads ranking, pricing, and auction systems at scale.
* Own end to end ML systems, including training pipelines, feature infrastructure, and low latency online inference for real time and batch use cases.
* Apply advanced statistical and ML techniques to improve ads relevance, marketplace efficiency, and advertiser outcomes.
* Define experimentation strategies, success metrics, and evaluation frameworks, and drive iteration through rigorous offline and online testing.
* Establish model and system observability through metrics, dashboards, and reliability best practices.
* Translate ambiguous product goals into durable ML architectures in close partnership with Product and Engineering.
* Provide technical leadership through mentorship, design reviews, and raising engineering standards across the Ads ML org.
* Stay current on advances in machine learning and ads auction systems, and drive adoption where they deliver clear impact.
**Basic Qualifications:**
* Bachelor's degree or equivalent experience in Computer Science, Computer Engineering, Data Science, Machine Learning, Statistics, or a related quantitative field.
* Demonstrated ownership of designing, deploying, and evolving large scale machine learning systems powering ads ranking, auction, or pricing in production environments.
* Strong proficiency in Python for building production ML systems and defining model, feature, and training abstractions used across teams.
* Deep understanding of SQL with experience driving production decision making, data validation, and system level analysis.
* Strong grasp of big data and distributed system architectures, with experience designing data platforms and ETL pipelines that support Ads ML workloads.
* Hands on experience building and operating batch data pipelines using Spark or comparable distributed compute frameworks, with accountability for data quality and correctness.
* Proven expertise in experimentation and evaluation, including A/B testing and offline metrics for ads auctions, ranking quality, and marketplace outcomes.
* Experience defining and operationalizing model and serving level metrics, and building observability for reliable online ML inference systems.
* Experience owning or influencing online model serving, including latency aware inference, scalability, and reliability considerations.
* Strong grounding in statistical methods, with the ability to reason about bias, uncertainty, and tradeoffs in ads and marketplace systems.
* Demonstrated ability to influence product and technical direction by synthesizing complex modeling insights into clear recommendations.
* Ability to operate independently in ambiguous problem spaces, set technical direction, and drive alignment across ML, product, and platform teams.
* Strong communication skills across technical and executive audiences, with a consistent track record of mentorship and feedback.
**Preferred Qualifications :**
* 7 or more years of industry experience as a Machine Learning Engineer or equivalent, with demonstrated impact at Staff or equivalent scope.
* Proven experience leading large, ambiguous technical initiatives and setting direction across teams in fast moving, cross functional environments.
* Experience designing, scaling, and operating production ML systems end to end, including training, deployment, and online inference.
* Hands on experience with online model serving and inference optimization, including latency aware systems, GPU based serving, or platforms such as Triton.
* Direct experience building or evolving ads auction systems, including ranking, pricing, calibration, or marketplace tradeoffs.
* Experience applying state of the art deep learning architectures for large scale recommendation or ranking systems, including modern GenRec patterns.
* Advanced degree (M.S. or Ph.D.) in Machine Learning, Data Science, or a related field is a plus.
 For New York, NY\-based roles: The base hourly rate amount for this role is USD$30\.00 per hour. You will also be eligible for various benefits., For New York, NY\-based roles: The base hourly rate amount for this role is USD$30\.00 per hour. You will also be eligible for various benefits.</t>
        </is>
      </c>
    </row>
    <row r="19">
      <c r="A19" t="inlineStr">
        <is>
          <t>li-4369319197</t>
        </is>
      </c>
      <c r="B19" t="inlineStr">
        <is>
          <t>AI Engineer</t>
        </is>
      </c>
      <c r="C19" t="inlineStr">
        <is>
          <t>Niyam IT</t>
        </is>
      </c>
      <c r="D19" t="inlineStr">
        <is>
          <t>linkedin</t>
        </is>
      </c>
      <c r="E19">
        <f>HYPERLINK("https://www.linkedin.com/jobs/view/4369319197", "https://www.linkedin.com/jobs/view/4369319197")</f>
        <v/>
      </c>
      <c r="F19" t="inlineStr"/>
      <c r="G19" t="inlineStr">
        <is>
          <t>Ashburn, VA</t>
        </is>
      </c>
      <c r="H19" t="inlineStr"/>
      <c r="I19" t="inlineStr">
        <is>
          <t>**About Niyam IT, Inc. (Niyam)**
 Niyam IT was founded in 2007 by a group of consultants who shared a unique vision: a technology company steeped in orderly process yet driven by passion and innovation. Over the following decade, we fine\-tuned our craft and built an impressive track record of successful outcomes, securing our reputation as the go\-to provider of smart, innovative solutions.
 Today, Niyam is at the forefront of the industry, leading the way in crafting mission\-critical technologies for Emergency Preparedness \&amp; Response, Natural Resource Management, Law Enforcement \&amp; Justice, Health IT, and Global Citizen Services.
**What We Offer**
* Flexible Work Hours: Life doesn’t always fit into a 9\-to\-5 schedule. We offer flexibility to help you manage your work\-life balance effectively.
* Remote Work: Niyam IT understands the value of flexibility. We offer remote work.
* Career Growth: Niyam IT is not just a job; it’s a career journey. We provide a supportive environment for your professional development and offer fully paid opportunities for training and advancement within the company.
* Great People: Our people are the blueprint of who Niyam IT is to the industry and community.
* Great Environment: Niyam IT fosters a great environment where innovation, collaboration, and personal growth thrive.
* Diversity \&amp; Inclusion: We believe in the strength of diverse perspectives. Your unique ideas are welcomed and celebrated every day at Niyam IT.
 Join us in creating a workplace where innovation, diversity, and well\-being thrive. Your journey at Niyam IT awaits. Apply today!
 Niyam is seeking an experienced AI Engineer to support one of our federal clients. The AI Engineer will support the development, integration, and sustainment of AI\-enabled capabilities within a secure mobile and cloud\-based application in a federal environment. Working as part of a cross\-functional Agile team, this role will focus on implementing and maintaining generative AI features, including LLM\-powered services and retrieval\-augmented generation solutions, under the guidance of senior technical leadership. The AI Engineer will contribute to day\-to\-day development, deployment, and operational support activities while following established DevSecOps, security, and compliance practices. This position will be onsite at client location in Ashburn, VA three (3\) days per week.
**Roles And Responsibilities**
* Support the development and maintenance of AI\-enabled features within a secure mobile and cloud\-based application as part of a cross\-functional Agile team.
* Implement and integrate generative AI components, including prompt\-based workflows and LLM\-powered services, under the guidance of the Solution Architect or Technical Lead.
* Assist in building and maintaining retrieval\-augmented generation (RAG) solutions using embeddings and vector stores to support semantic search and data retrieval use cases.
* Deploy and operate AI/ML models using managed cloud platforms such as Vertex AI, AWS SageMaker, or Azure ML, following established deployment and monitoring patterns.
* Develop Python\-based services and scripts using approved coding standards, version control practices, and CI/CD pipelines.
* Participate in Agile ceremonies and complete assigned tasks within sprint timelines, contributing to team deliverables and continuous improvement efforts.
* Follow established DevSecOps, security, and privacy requirements when developing and operating AI solutions in a federal environment.
* Document technical implementations and operational procedures to support system sustainment, audits, and knowledge sharing.
* Support demonstrations of the solutions or technologies under consideration to internal and/or client teams.
**Qualifications And Education Requirements**
* US Citizenship with ability to successfully complete a federal background investigation.
* Bachelor’s degree in Computer Science, Information Systems, Software Engineering, or related field (equivalent practical experience may be considered).
* 3\+ years of professional software engineering experience with demonstrated ownership of production systems.
* Strong understanding of modern generative AI systems, including LLM architectures, training vs inference tradeoffs, and prompt and agent design.
* Hands on experience with Vertex AI or equivalent platforms such as SageMaker or Azure ML for model deployment, monitoring, and scaling.
* Experience building LLM\-powered applications using embeddings and vector stores for retrieval\-augmented generation and semantic search.
* Strong understanding of AI ethics, bias mitigation, and explainability.
* Proficiency in Python with strong software engineering fundamentals including testing, version control, and CI/CD.
* Experience optimizing latency, cost, and reliability of AI services in distributed production environments.
* Ability to reason about model limitations, data quality, security, and privacy in real\-world AI deployments.
**Preferred Skills**
* AI/ML technologies.
* Agile SAFe delivery.
* CI/CD.
* DevSecOps.
 Application Deadline: This will be posted for a minimum of 2 business days or until a sufficient candidate pool has been collected. Job posting may come down early due to volume of applicants.
 Niyam IT, Inc. is an Equal Opportunity (“EEO”) Employer. All qualified applicants will receive consideration without regard to race, color, creed, religion, sex, sexual orientation, gender identity, pregnancy, marital status, partnership status, age, citizenship status, veteran or military status, medical condition, genetic information, national origin, disability, unemployment status or any other characteristic prohibited by federal, state and/or local laws.</t>
        </is>
      </c>
    </row>
    <row r="20">
      <c r="A20" t="inlineStr">
        <is>
          <t>li-4324614002</t>
        </is>
      </c>
      <c r="B20" t="inlineStr">
        <is>
          <t>Principal Gen AI Engineer</t>
        </is>
      </c>
      <c r="C20" t="inlineStr">
        <is>
          <t>Toyota North America</t>
        </is>
      </c>
      <c r="D20" t="inlineStr">
        <is>
          <t>linkedin</t>
        </is>
      </c>
      <c r="E20">
        <f>HYPERLINK("https://www.linkedin.com/jobs/view/4324614002", "https://www.linkedin.com/jobs/view/4324614002")</f>
        <v/>
      </c>
      <c r="F20">
        <f>HYPERLINK("https://careers.toyota.com/us/en/job/TOYOUS10263339EXTERNALENUS/Principal-Gen-AI-Engineer?utm_source=linkedin&amp;utm_medium=phenom-feeds&amp;src=SNS-12160&amp;urlHash=oO7V", "https://careers.toyota.com/us/en/job/TOYOUS10263339EXTERNALENUS/Principal-Gen-AI-Engineer?utm_source=linkedin&amp;utm_medium=phenom-feeds&amp;src=SNS-12160&amp;urlHash=oO7V")</f>
        <v/>
      </c>
      <c r="G20" t="inlineStr">
        <is>
          <t>Plano, TX</t>
        </is>
      </c>
      <c r="H20" t="inlineStr"/>
      <c r="I20" t="inlineStr">
        <is>
          <t>**Overview**
**Who we are**
 Collaborative. Respectful. A place to dream and do. These are just a few words that describe what life is like at Toyota. As one of the world’s most admired brands, Toyota is growing and leading the future of mobility through innovative, high\-quality solutions designed to enhance lives and delight those we serve. We’re looking for talented team members who want to Dream. Do. Grow. with us.
 An important part of the Toyota family is Toyota Financial Services (TFS), the finance and insurance brand for Toyota and Lexus in North America. While TFS is a separate business entity, it is an essential part of this world\-changing company\- delivering on Toyota's vision to move people beyond what's possible. At TFS, you will help create best\-in\-class customer experience in an innovative, collaborative environment.
**Who We Are**
 Collaborative. Respectful. A place to dream and do. These are just a few words that describe what life is like at Toyota. As one of the world’s most admired brands, Toyota is growing and leading the future of mobility through innovative, high\-quality solutions designed to enhance lives and delight those we serve. We’re looking for diverse, talented team members who want to Dream. Do. Grow. with us.
*To save time applying, Toyota does not offer sponsorship of job applicants for employment\-based visas or any other work authorization for this position at this time.*
**Who We’re Looking For**
 Toyota Financial Services is looking for a passionate and highly\-motivated Principal/Senior Lead Gen AI Engineer. The primary responsibility of this role is to drive the design of secure, scalable, and modern applications, with a strong emphasis on AI and GenAI\-enabling technologies.
 Reporting to the National Manager, Domain Architecture Leader, this is a senior\-level individual contributor role within the Architecture organization, focused on delivering hands\-on solution designs and proofs of concept that bring innovative ideas to life. You will work closely with Domain Architects, product teams, and engineers to solve real business problems by developing good scalable GenAI Solutions.
**What You’ll Be Doing**
* Design scalable and robust GenAI architectures using LLMs, multimodal models, and retrieval\-augmented generation (RAG).
* Fine\-tune foundation models using domain\-specific data.
* Implement prompt engineering, instruction tuning, and reinforcement learning from human feedback (RLHF).
* Integrate GenAI capabilities into enterprise platforms using APIs, SDKs, and orchestration tools.
* Implement responsible AI practices including bias detection, hallucination mitigation, and explainability.
* Monitor and optimize model performance, latency, and cost.
* Use techniques like quantization, distillation, and caching to improve efficiency.
* Stay ahead of GenAI trends and emerging technologies.
* Drive experimentation with new models, agents, and frameworks (e.g., LangChain, LlamaIndex, OpenAI, Anthropic, etc.).
* Ensure compliance with data privacy, security, and regulatory standards.
* Evaluate and select appropriate model types (open\-source vs proprietary) based on business needs.
* Lead hands\-on solution evaluations, prototypes, and proofs of concept, especially for initiatives involving AI, GenAI, and emerging technologies
* Make informed architectural trade\-offs based on business needs, performance, cost, and long\-term maintainability
* Contribute reusable patterns and documentation that support solution delivery across teams
* Stay informed on trends in cloud services, architecture frameworks, and GenAI tooling
**What You Bring**
* 10\+ years of software engineering and development experience
* Proven experience in building and deploying GenAI applications in production.
* Strong programming skills in Python and familiarity with GenAI libraries (Transformers, LangChain, Hugging Face, etc.).
* Deep understanding of LLMs, embeddings, vector databases (e.g., FAISS, Pinecone, Weaviate).
* Experience with cloud platforms (AWS, Azure, GCP) and containerization (Docker, Kubernetes).
* Familiarity with CI/CD for ML workflows and versioning tools like MLflow or DVC.
* Knowledge of prompt engineering, few\-shot learning, and agent\-based systems.
* Hands\-on experience designing and building cloud\-native solutions (preferably on AWS)
* Experience with modern architecture styles: microservices, APIs, event\-driven systems
* Strong ability to articulate technical solutions, trade\-offs, and system behavior to both technical and non\-technical stakeholders
**Added bonus if you have**
* Exposure to GenAI tools and frameworks (e.g., LLMs, vector databases, prompt orchestration, LangChain, Bedrock)
* Familiarity with AWS AI/ML services (e.g., SageMaker, Bedrock, Comprehend, Lex)
* AWS AI certification
* Financial Services experience
**What We’ll Bring**
 During your interview process, our team can fill you in on all the details of our industry\-leading benefits and career development opportunities. A few highlights include:
* A work environment built on teamwork, flexibility, and respect
* Professional growth and development programs to help advance your career, as well as tuition reimbursement
* Team Member Vehicle Purchase Discount.
* Toyota Team Member Lease Vehicle Program (if applicable).
* Comprehensive health care and wellness plans for your entire family
* Toyota 401(k) Savings Plan featuring a company match, as well as an annual retirement contribution from Toyota regardless of whether you contribute
* Paid holidays and paid time off
* Referral services related to prenatal services, adoption, childcare, schools, and more
* Tax Advantaged Accounts (Health Savings Account, Health Care FSA, Dependent Care FSA)
**Belonging at Toyota**
 Our success begins and ends with our people. We embrace all perspectives and value unique human experiences. Respect for all is our North Star. Toyota is proud to have 10\+ different Business Partnering Groups across 100 different North American chapter locations that support team members’ efforts to dream, do and grow without questioning that they belong.
 Applicants for our positions are considered without regard to race, ethnicity, national origin, sex, sexual orientation, gender identity or expression, age, disability, religion, military or veteran status, or any other characteristics protected by law.
 Have a question, need assistance with your application or do you require any special accommodations? Please send an email to talent.acquisition@toyota.com.</t>
        </is>
      </c>
    </row>
    <row r="21">
      <c r="A21" t="inlineStr">
        <is>
          <t>li-4361034424</t>
        </is>
      </c>
      <c r="B21" t="inlineStr">
        <is>
          <t>Azure AI Engineer</t>
        </is>
      </c>
      <c r="C21" t="inlineStr">
        <is>
          <t>Rockefeller Capital Management</t>
        </is>
      </c>
      <c r="D21" t="inlineStr">
        <is>
          <t>linkedin</t>
        </is>
      </c>
      <c r="E21">
        <f>HYPERLINK("https://www.linkedin.com/jobs/view/4361034424", "https://www.linkedin.com/jobs/view/4361034424")</f>
        <v/>
      </c>
      <c r="F21">
        <f>HYPERLINK("https://careers.rockco.com/jobs/4472?lang=en-us&amp;urlHash=OMeY", "https://careers.rockco.com/jobs/4472?lang=en-us&amp;urlHash=OMeY")</f>
        <v/>
      </c>
      <c r="G21" t="inlineStr">
        <is>
          <t>Trenton, NJ</t>
        </is>
      </c>
      <c r="H21" t="inlineStr"/>
      <c r="I21" t="inlineStr">
        <is>
          <t>**About Rockefeller Capital Management**
 Rockefeller Capital Management was established in 2018 as a leading independent financial advisory services firm. Originally founded in 1882 as the family office of John D. Rockefeller, the Firm has evolved to offer strategic advice to ultra\- and high\-net\-worth individuals and families, institutions, and corporations from offices in 32 markets throughout the United States, as well as an office in London. The Firm oversees $198 billion in client assets as of December 31, 2025\.
**Position**
 Rockefeller Capital Management is seeking a talented and experienced Azure Engineer. The ideal candidate will have experience in managing and optimizing the Azure Cloud Platform. This position offers an exciting opportunity to work on cutting\-edge cloud solutions, helping RCM to enhance its operational efficiency and drive innovation.
**Responsibilities**
* Azure Platform Engineering: Design, develop, and maintain the Azure cloud infrastructure to support RCM’s applications and services.
* Azure AI foundry: Very good understanding of Azure AI foundry and engineering
* Identity and Access Management: Develop and enforce identity and access protocols to protect sensitive data and resources on Azure.
* Azure Networking: Configure and manage Azure networking services, including virtual networks, load balancers, and VPNs, to ensure robust and scalable connectivity.
* Azure Services Management: Oversee the deployment and management of various Azure resources, such as compute, key vaults, storage, and databases, to optimize performance and cost\-efficiency.
* Good knowledge of Azure Entra (formerly Azure Active Directory) for identity and access management.
* Solution Design and Implementation: Collaborate with cross\-functional teams to design and implement cloud solutions that meet business requirements and adhere to industry best practices.
* Infrastructure as Code (IaC): Utilize IaC tools (e.g., Terraform, ARM templates) to automate the provisioning and management of cloud infrastructure.
* Cloud Infrastructure Operations: Monitor, maintain, and troubleshoot the Azure cloud infrastructure to ensure high availability, security, and performance.
**Qualifications**
* Bachelor’s degree in computer science, Information Technology, or a related field.
* 3\-5 years of experience in software development and cloud platform management, with a strong focus on Azure services.
* Proficiency in Azure services, including Azure Platform Engineering, Landing Zone Implementation, Azure AI Foundry, Identity and Access Management, Azure Networking, and Azure Services Management.
* Experience with Solution Design and Implementation in a cloud environment.
* Knowledge of Infrastructure as Code (IaC) tools such as Terraform or ARM templates.
* Strong problem\-solving skills and the ability to troubleshoot complex cloud infrastructure issues.
* Excellent communication and collaboration skills, with the ability to work effectively in a team\-oriented environment.
**Compensation Range**
 The anticipated base salary range for this role is $95,000 to $115,000\. Base salary for the role will depend on several factors, including a candidate’s qualifications, skills, competencies, and experience, and may fall outside of the range shown. In addition, this role may be eligible for a discretionary bonus. Rockefeller Capital Management offers a comprehensive benefit package including health coverage, vacation time, paid leave, retirement plan, and more. Visit careers.rockco.com to learn more about additional opportunities and benefits offerings.
**Disclosure**
 Rockefeller \&amp; Co. LLC, Rockefeller Financial LLC, Rockefeller Trust Company, N.A., The Rockefeller Trust Company (Delaware), Rockefeller Financial Services, Inc. and all other subsidiaries of Rockefeller Capital Management L.P. (individually and collectively, “Rockefeller”) is an equal opportunity employer and does not discriminate on the basis of race, religion, sex, gender, sexual orientation, gender identity or expression, national origin, citizenship, age, military or veteran status, marital or partnership status, caregiver status, legally recognized disability, or any other basis protected by applicable federal, state or local law (“protected characteristics”).
 Rockefeller Capital Management participates in the E\-Verify program in certain locations, as required by law.</t>
        </is>
      </c>
    </row>
    <row r="22">
      <c r="A22" t="inlineStr">
        <is>
          <t>li-4369306152</t>
        </is>
      </c>
      <c r="B22" t="inlineStr">
        <is>
          <t>Artificial intelligence/Machine Learning Engineer</t>
        </is>
      </c>
      <c r="C22" t="inlineStr">
        <is>
          <t>Jobs via Dice</t>
        </is>
      </c>
      <c r="D22" t="inlineStr">
        <is>
          <t>linkedin</t>
        </is>
      </c>
      <c r="E22">
        <f>HYPERLINK("https://www.linkedin.com/jobs/view/4369306152", "https://www.linkedin.com/jobs/view/4369306152")</f>
        <v/>
      </c>
      <c r="F22" t="inlineStr"/>
      <c r="G22" t="inlineStr"/>
      <c r="H22" t="inlineStr"/>
      <c r="I22" t="inlineStr">
        <is>
          <t>Dice is the leading career destination for tech experts at every stage of their careers. Our client, GDH, is seeking the following. Apply via Dice today!
**Role Summary**
 This position involves developing and implementing advanced AI and machine learning solutions to support mission\-critical systems across healthcare, defense, and regulatory sectors. The AI/ML Engineer will work on designing, deploying, and maintaining scalable data\-driven applications that enhance decision\-making processes. The role requires collaboration across technical teams to ensure reliable, secure, and efficient AI integrations within complex environments.
**Responsibilities**
* Understand client business processes to identify opportunities for AI/ML integration and automation.
* Design, develop, test, and deploy machine learning models and AI\-driven applications.
* Build and maintain data pipelines for preprocessing, feature engineering, and model training.
* Apply deep learning, natural language processing (NLP), and predictive analytics to relevant datasets.
* Integrate AI/ML models into production systems ensuring scalability and operational stability.
* Evaluate, validate, and refine models through continuous monitoring and improvement.
* Document methodologies, ensure reproducibility, and maintain compliance with industry standards.
* Collaborate with engineering, data science, and operations teams to deploy secure and efficient solutions.
* Support broader automation initiatives, including RPA and DevOps processes.
* Maintain expertise in current AI/ML trends and tools to support innovation efforts.
**Qualifications**
* Bachelor’s degree in Computer Science, Data Science, Engineering, or related field, with 5\+ years of AI/ML development experience; or 8\+ years of relevant experience in lieu of degree.
* Minimum of 3\+ years of experience in machine learning, deep learning, or AI application development.
* Proficiency in Python and experience with ML frameworks such as TensorFlow, PyTorch, and Scikit\-learn.
* Hands\-on experience building ML pipelines and deploying scalable APIs using FastAPI, Docker, and cloud platforms.
* Knowledge of natural language processing (NLP), computer vision, and time series modeling.
* Strong understanding of relational and NoSQL databases, including PostgreSQL, MySQL, and MSSQL.
* Experience with cloud services (Azure, AWS, Google Cloud Platform) and containerized/serverless deployment environments.
* Familiarity with identity and access management, secure integrations, and API\-driven architecture.
* Solid Linux, DevOps, and CI/CD expertise, with experience managing environments for ML deployments.
* Excellent communication skills, both written and verbal.
**Publishing Pay Range:** 
 $80\.00 \- $90\.00 USD Hourly
*This is a fully remote role and can be performed from an approved location.*</t>
        </is>
      </c>
    </row>
    <row r="23">
      <c r="A23" t="inlineStr">
        <is>
          <t>li-4369301154</t>
        </is>
      </c>
      <c r="B23" t="inlineStr">
        <is>
          <t>ML Engineer</t>
        </is>
      </c>
      <c r="C23" t="inlineStr">
        <is>
          <t>Jobs via Dice</t>
        </is>
      </c>
      <c r="D23" t="inlineStr">
        <is>
          <t>linkedin</t>
        </is>
      </c>
      <c r="E23">
        <f>HYPERLINK("https://www.linkedin.com/jobs/view/4369301154", "https://www.linkedin.com/jobs/view/4369301154")</f>
        <v/>
      </c>
      <c r="F23" t="inlineStr"/>
      <c r="G23" t="inlineStr">
        <is>
          <t>Murphy, TX</t>
        </is>
      </c>
      <c r="H23" t="inlineStr"/>
      <c r="I23" t="inlineStr">
        <is>
          <t>**Core Technical Skills**
* Strong Databricks and PySpark experience.
* Advanced SQL and data modeling for slowly changing dimensions / temporal mappings.
* Experience building production\-grade data pipelines.
* Solid Python skills and familiarity with Gen AI, LLM, NLP and ML workflows.
* Familiarity with Unity Catalog
* Familiarity with Azure
* Good team player role
**Nice to have :**
* Delta Lake, MLflow, and workflow orchestration experience.
* Migrations involving identifier remapping or historical backfills.
**Note: Job Description and Background Check**
**Candidates may be subjected to a Background Check /Drug Test as required by the end client before the assignment starts.**</t>
        </is>
      </c>
    </row>
    <row r="24">
      <c r="A24" t="inlineStr">
        <is>
          <t>li-4361025407</t>
        </is>
      </c>
      <c r="B24" t="inlineStr">
        <is>
          <t>AI/ML Engineer</t>
        </is>
      </c>
      <c r="C24" t="inlineStr">
        <is>
          <t>Jobs via Dice</t>
        </is>
      </c>
      <c r="D24" t="inlineStr">
        <is>
          <t>linkedin</t>
        </is>
      </c>
      <c r="E24">
        <f>HYPERLINK("https://www.linkedin.com/jobs/view/4361025407", "https://www.linkedin.com/jobs/view/4361025407")</f>
        <v/>
      </c>
      <c r="F24" t="inlineStr"/>
      <c r="G24" t="inlineStr">
        <is>
          <t>Berkeley Heights, NJ</t>
        </is>
      </c>
      <c r="H24" t="inlineStr"/>
      <c r="I24" t="inlineStr">
        <is>
          <t>Dice is the leading career destination for tech experts at every stage of their careers. Our client, Envision Technology Solutions, is seeking the following. Apply via Dice today!
**AI/ML Engineer**
**new jersey (Onsite)**
**Contract**
**Mandatory Skills:**
* Model development \&amp; deployment
* REST API integration for ML models
**Preferred Skills:**
* Experience with NLP, deep learning
* Cloud ML platforms (AWS SageMaker, Azure AI)</t>
        </is>
      </c>
    </row>
    <row r="25">
      <c r="A25" t="inlineStr">
        <is>
          <t>li-4369193462</t>
        </is>
      </c>
      <c r="B25" t="inlineStr">
        <is>
          <t>AI/ML Engineer - 6</t>
        </is>
      </c>
      <c r="C25" t="inlineStr">
        <is>
          <t>Jobs via Dice</t>
        </is>
      </c>
      <c r="D25" t="inlineStr">
        <is>
          <t>linkedin</t>
        </is>
      </c>
      <c r="E25">
        <f>HYPERLINK("https://www.linkedin.com/jobs/view/4369193462", "https://www.linkedin.com/jobs/view/4369193462")</f>
        <v/>
      </c>
      <c r="F25" t="inlineStr"/>
      <c r="G25" t="inlineStr">
        <is>
          <t>Auburn Hills, MI</t>
        </is>
      </c>
      <c r="H25" t="inlineStr"/>
      <c r="I25" t="inlineStr">
        <is>
          <t>Dice is the leading career destination for tech experts at every stage of their careers. Our client, Marvel Technologies Inc, is seeking the following. Apply via Dice today!
 "We are seeking an innovative AI/ML Engineer to design, develop, and implement cutting\-edge artificial intelligence and machine learning solutions. In this role, you will leverage Google's suite of AI products and technologies to create intelligent systems that solve complex business problems. You will work closely with cross\-functional teams to integrate AI capabilities into our products and services.
 This role requires a deep understanding of AI/ML principles, software development practices, and Google's AI technologies. The ideal candidate will have a proven track record of developing and deploying AI solutions using Google's ecosystem of tools and services. They should be passionate about staying current with Google's rapidly evolving AI landscape and capable of applying these cutting\-edge technologies to solve real\-world business problems."
 "Strong programming skills in Python, and familiarity with Java or C\+\+
* Solid understanding of machine learning algorithms and techniques
* Experience with deep learning frameworks (TensorFlow preferred)
* Familiarity with Google Cloud Platform (Google Cloud Platform) and its AI/ML services
* Knowledge of data processing and analysis techniques
* Strong analytical and problem\-solving skills
* Excellent communication and collaboration abilities"
 (18\+ years of experience):
* Shapes organizational AI/ML strategies aligned with Google's AI roadmap
* Pioneers adoption of cutting\-edge Google AI technologies (e.g., quantum ML)
* Designs ultra\-large\-scale AI systems leveraging Google's distributed computing capabilities
* Creates frameworks for measuring and optimizing AI/ML impact on business outcomes
* Implements innovative approaches to AI governance and ethics using Google's guidelines
* Leads transformative initiatives in AI/ML practices and culture"</t>
        </is>
      </c>
    </row>
    <row r="26">
      <c r="A26" t="inlineStr">
        <is>
          <t>li-4369302210</t>
        </is>
      </c>
      <c r="B26" t="inlineStr">
        <is>
          <t>AI Engineer</t>
        </is>
      </c>
      <c r="C26" t="inlineStr">
        <is>
          <t>Jobs via Dice</t>
        </is>
      </c>
      <c r="D26" t="inlineStr">
        <is>
          <t>linkedin</t>
        </is>
      </c>
      <c r="E26">
        <f>HYPERLINK("https://www.linkedin.com/jobs/view/4369302210", "https://www.linkedin.com/jobs/view/4369302210")</f>
        <v/>
      </c>
      <c r="F26" t="inlineStr"/>
      <c r="G26" t="inlineStr"/>
      <c r="H26" t="inlineStr"/>
      <c r="I26" t="inlineStr">
        <is>
          <t>Dice is the leading career destination for tech experts at every stage of their careers. Our client, ProHire Solution, is seeking the following. Apply via Dice today!
**Position Name:** 
 AI Engineer
 **Location:** 
 Remote
 **Job Type:** 
 Full\-Time
 **Work Authorization/Security Clearance:** 
 Must be able to obtain Public Trust Clearance
**Job Description:**
 The AI Engineer will design, develop, and deploy artificial intelligence solutions\-\-\-including Microsoft Copilot features\-\-\-within the Dynamics 365 ecosystem. This role requires hands\-on expertise in customizing AI\-driven processes, integrating with Dynamics 365 (including Power Platform and Dataverse), and collaborating with cross\-functional teams to deliver advanced automation and user experience enhancements. The engineer will focus on solutions that elevate customer relationship management (CRM) and healthcare applications, particularly those supporting call center operations, ensuring intelligent automation, streamlined workflows, and enhanced patient or customer service quality within regulated environments.
**Key Responsibilities:**
* Copilot \&amp; Dynamics Integration: Design, build, and enhance Microsoft Copilot (out\-of\-the\-box and custom) features in Dynamics 365 for case management and business processes.
* AI Solution Development: Develop machine learning models, natural language processing (NLP) solutions, and custom data\-driven automation supporting Copilot and Dynamics workloads.
* Custom AI Implementation: Architect, develop, and deploy custom AI models or algorithms tailored to unique client or business needs where out\-of\-the\-box solutions are insufficient, ensuring seamless integration with Dynamics 365 and related systems.
* Data Engineering: Prepare, process, and analyze data sources (from Dataverse, Power Platform, external VA systems) for AI solution enablement.
* Prototyping \&amp; POC: Collaborate with business and technical leads to translate requirements into proof\-of\-concept (POC) Copilot use cases. Demo, refine, and iterate solutions as needed.
* Testing \&amp; Validation: Lead the validation of AI solutions through robust testing, performance monitoring, and refinement for real\-world scenarios.
* Documentation \&amp; Training: Support documentation, end\-user enablement, and handoff of AI\-based solutions to operations teams.
* Continuous Improvement: Monitor solution performance and feedback, propose improvements, and remain current on AI advancements relevant to Microsoft/Azure ecosystems.
* Compliance \&amp; Security: Ensure AI solutions align with VA, federal, and organizational policies on privacy, data security, and ethical use of AI.
**Qualifications:**
* Bachelor s or Master s in Computer Science, Engineering, or related STEM field.
* 3\+ years of hands\-on AI/ML engineering experience (ideally within enterprise/cloud applications).
* Expertise in Microsoft Azure AI services: AI Builder, Azure Cognitive Services, Power Platform AI integrations.
* Experience working with Microsoft Dynamics 365 APIs and developing custom plugins/extensions.
* Strong Python and/or C\# development skills (or other languages common to AI/automation).
* Familiarity with natural language processing (NLP), machine learning model deployment, and data engineering best practices.
* Experience with Agile Scrum delivery and working in cross\-functional teams.
* Excellent communication skills to liaise between technical and business groups.
**Preferred Skills**
* Microsoft certifications (e.g., Azure AI Engineer Associate, Power Platform certifications).
* Experience working with government (VA or similar) or healthcare\-related data and compliance.
* Prior experience deploying Copilot solutions or similar Microsoft AI\-based process automations.
* Understanding of Power BI and integrating AI outputs into dashboards. Sample Success Indicators
* Delivery of Copilot\-enabled processes that improve user efficiency or insight.
* Demonstrated ability to quickly prototype and iterate on business\-driven AI solutions.
* Quality documentation, training, and knowledge transfer to end\-users and stakeholders.</t>
        </is>
      </c>
    </row>
    <row r="27">
      <c r="A27" t="inlineStr">
        <is>
          <t>li-4369308134</t>
        </is>
      </c>
      <c r="B27" t="inlineStr">
        <is>
          <t>Gen AI Engineer</t>
        </is>
      </c>
      <c r="C27" t="inlineStr">
        <is>
          <t>Jobs via Dice</t>
        </is>
      </c>
      <c r="D27" t="inlineStr">
        <is>
          <t>linkedin</t>
        </is>
      </c>
      <c r="E27">
        <f>HYPERLINK("https://www.linkedin.com/jobs/view/4369308134", "https://www.linkedin.com/jobs/view/4369308134")</f>
        <v/>
      </c>
      <c r="F27">
        <f>HYPERLINK("https://click.appcast.io/t/yrUgS16l0lGaqz3ViDRw-5F2k4eyJUrNkOOZPWnPMv4=&amp;urlHash=H3-9", "https://click.appcast.io/t/yrUgS16l0lGaqz3ViDRw-5F2k4eyJUrNkOOZPWnPMv4=&amp;urlHash=H3-9")</f>
        <v/>
      </c>
      <c r="G27" t="inlineStr"/>
      <c r="H27" t="inlineStr"/>
      <c r="I27" t="inlineStr">
        <is>
          <t>Dice is the leading career destination for tech experts at every stage of their careers. Our client, Neodym Technologies, is seeking the following. Apply via Dice today!
 JPC\-7090\-09\-02/05
**Gen AI Engineer**
**100% remote**
**US Tech/World Bank**
 JD:
* The AI Engineer designs, builds, and operates secure, scalable AI systems that advance the organization’s digital strategy.
 The role centers on Retrieval\-Augmented Generation (RAG) pipelines, agentic AI (including Azure AI Agent Service and Model Context Protocol), and enterprise\-grade service delivery across Azure and AWS.
* The AI Engineer partners with product, platform, data, and security teams to deliver robust, compliant, and cost\-efficient AI capabilities.
* Architect and Implement AI Solutions.
* Design and build RAG pipelines using Azure AI/Search and vector databases: chunking, embeddings, hybrid/semantic ranking, re\-ranking, evaluation, and citation display.
* Build enterprise conversational systems (multi\-turn, retrieval\-grounded) with prompt lifecycle management, guardrails, audit logging, and telemetry.
* Support multiple LLMs and modalities: Azure OpenAI, Llama (Meta), Claude, etc.
* and task\-specific OSS models (vision, speech), with policy\-driven model routing for performance, safety, and cost.
* Integrate and Operate AI Infrastructure
* Implement Model Context Protocol (MCP) servers integrating with project related areas.
* Provide tool functions with RBAC scopes, schema versioning, rate limiting, request/response validation, and audit trails.
* Deploy Azure AI Agent Service (AGA) patterns for agent registry/broker/governance with agent telemetry and policy enforcement.
* Use Azure Batch for large\-scale, parallel inferencing/vectorization jobs; leverage AWS EMR for distributed data/feature processing in AI pipelines.
* Develop and Manage Data Pipelines
* Build ingestion and enrichment for RAG connectors and ETL/ELT: document
* normalization, PII redaction, metadata enrichment, SLA/SLO monitoring, and lineage.
* Operate large\-scale vectorization with quality gates and drift monitoring.
* Use Azure Data Factory (ADF) and Azure Databricks for orchestrated, scalable data
* processing; use AWS EMR for Hadoop/Spark workloads supporting AI features.
* Build Agentic AI Solutions
* Design secure tool\-calling and multi\-agent orchestration using Semantic Kernel, AutoGen, Microsoft Agent Framework, CrewAI, Agno, and LangChain or others.
* Know how to apply agent governance and MCP\-based controls across heterogeneous agents and runtimes (register, observe, govern, retire).
* Model Evaluation and Optimization
* Evaluate and fine\-tune open\-source and proprietary models; optimize for quality, latency, safety, and cost with A/B and offline eval suites.
* Implement CI/CD with automated tests, security scans.
* Have knowledge on how to secure model workloads.
**Software Engineering Emphasis (Core)**
* CS fundamentals: algorithms, data structures, complexity, distributed systems, networking, concurrency.
* SDLC excellence: clean architecture, design patterns, SOLID principles, unit/integration/e2e tests, testing pyramids.
* Secure coding \&amp; threat modeling for AI apps: input validation, sandboxed tool functions, secrets hygiene, role\-based access \&amp; least privilege.
* Performance engineering: profiling, caching, vector index tuning, latency/throughput optimization, and cost controls (token/embedding/compute).
* Collaboration \&amp; Delivery: Agile ceremonies, RACI clarity, cross\-functional delivery with product/design/data/security.
**Knowledge Requirements – Cloud AI Tech Stack (Azure \&amp; AWS)**
* Azure: Azure OpenAI; Azure AI/Search; Azure Machine Learning; Azure Kubernetes Service (AKS);
* Azure Functions; Azure API Management; Key Vault; Event Hub; App Insights; Log Analytics; Azure Batch; Azure Data Factory (ADF); Azure Databricks.
* AWS: Amazon SageMaker; AWS Bedrock; Amazon Kendra; Amazon Comprehend; AWS Lambda;
* Amazon API Gateway; AWS Secrets Manager; Amazon S3; Amazon CloudWatch; Elastic Kubernetes Service (EKS); Amazon EMR.
* Vector DBs \&amp; Indexing: Azure AI Search vector storage, Redis, FAISS/HNSW; hybrid search \+ semantic ranking.
* Frameworks: Semantic Kernel, AutoGen, Microsoft Agent Framework, CrewAI, Agno, LangChain.
* Local/Edge Inference: running models locally via Docker/Ollama/vLLM/Triton; GPU provisioning quantization (GGUF) for Llama\-family models.
**Educational Qualifications and Experience:**
**Education:**
* Bachelor’s degree in computer science, Engineering, Information Technology, Data Science —or equivalent hands\-on expertise.
* Experience: 6\+ years of software engineering experience, with at least 2\+ years in applied LLM/GenAI (RAG, agents, eval, safety).
**Certification Requirements:**
**Mandatory:**
* Microsoft Certified: Azure AI Fundamentals (AI\-900\).
* Microsoft Certified: Azure Data Fundamentals (DP\-900\).
* Responsible AI certifications.
* AWS Machine Learning Specialty.
* TensorFlow Developer.
* Kubernetes CKA/CKAD.
* SAFe Agile Software Engineering (ASE)
**Additional Value (Preferred):**
* Microsoft Certified: Azure AI Engineer Associate (AI\-102\)
* Microsoft Certified: Azure Data Scientist Associate (DP\-100\)
* Microsoft Certified: Azure Solutions Architect Expert (AZ\-305\)
* Microsoft Certified: Azure Developer Associate (AZ\-204\)
**Required Skills/Abilities:**
* GenAI architecture mastery: RAG, vector DBs, embeddings, transformer internals, multimodal pipelines.
* Agentic systems: Azure AI Agent Service patterns, MCP servers, registry/broker/governance, secure tool\-calling.
* Languages: C\# and Python (production\-grade), .Net, plus TypeScript for service/UI when needed.
* Azure \&amp; AWS services (see Knowledge Requirements) with hands\-on implementation and operations.
* Model ops: eval suites, safety tooling, fine\-tuning, guardrails, traceability.
* Business \&amp; delivery: solution architecture, stakeholder alignment, roadmap planning, measurable impact.
**Desired Skills/Abilities (not required but a plus):**
* Lang Chain, Hugging Face, MLflow; Kubernetes \+ GPU scheduling; vector search tuning (HNSW/IVF).
* Responsible AI: policy mapping, red\-team playbooks, incident response for AI.
* Hybrid/multi\-cloud deployments using Azure Arc and AWS Outposts; CI/CD for AI workloads across Azure DevOps and AWS CodePipeline.
**Experience Matrix for Levels:**
* Level I: 2\+ years of experience
* Level II: 5\+ years of experience
* Level III: 8\+ years of experience</t>
        </is>
      </c>
    </row>
    <row r="28">
      <c r="A28" t="inlineStr">
        <is>
          <t>li-4362383898</t>
        </is>
      </c>
      <c r="B28" t="inlineStr">
        <is>
          <t>Lead Machine Learning Engineer (Gen AI, Python, Go, AWS)</t>
        </is>
      </c>
      <c r="C28" t="inlineStr">
        <is>
          <t>Capital One</t>
        </is>
      </c>
      <c r="D28" t="inlineStr">
        <is>
          <t>linkedin</t>
        </is>
      </c>
      <c r="E28">
        <f>HYPERLINK("https://www.linkedin.com/jobs/view/4362383898", "https://www.linkedin.com/jobs/view/4362383898")</f>
        <v/>
      </c>
      <c r="F28" t="inlineStr"/>
      <c r="G28" t="inlineStr">
        <is>
          <t>New York, NY</t>
        </is>
      </c>
      <c r="H28" t="inlineStr"/>
      <c r="I28" t="inlineStr">
        <is>
          <t>As a Capital One Machine Learning Engineer (MLE) on the GenAI Workflows Serving team, you'll be part of an Agile team dedicated to designing, building, and productionizing Generative AI applications and Agentic Workflow systems at massive scale. You’ll participate in the detailed technical design, development, and implementation of complex machine learning applications leveraging cloud\-native platforms. You’ll focus on building robust ML serving architecture, developing high\-performance application code, and ensuring the high availability, security, and low latency of our Generative AI solutions. You will collaborate closely with multiple other AI/ML teams to drive innovation and continuously apply the latest innovations and best practices in machine learning engineering.
**What You’ll Do In The Role**
 The MLE role overlaps with many disciplines, such as Ops, Modeling, and Data Engineering. In this role, you'll be expected to perform many ML engineering activities, including one or more of the following:
* Design, build, and deliver GenAI models and components that solve complex business problems, while working in collaboration with the Product and Data Science teams.
* Design and implement cloud\-native ML Serving Platforms leveraging technologies like Docker, Kubernetes, KNative, and KServe to ensure optimized and scalable deployment of models.
* Solve complex scaling and high\-availability problems by writing and testing performant application code in Python and Go\-lang, developing and validating ML models, and automating tests and deployment.
* Implement advanced MLOps and GitOps practices for continuous integration and continuous deployment (CI/CD) using tools like ArgoCD to manage the entire lifecycle of models and applications.
* Leverage service mesh architectures like Istio to manage traffic, enhance security, and ensure resilience for high\-volume serving endpoints.
* Retrain, maintain, and monitor models in production.
* Construct optimized, scalable data pipelines to feed ML models.
* Ensure all code is well\-managed to reduce vulnerabilities, models are well\-governed from a risk perspective, and the ML follows best practices in Responsible and Explainable AI.
* Use programming languages like Python, Go, Scala or Java
****Basic Qualifications:****
* Bachelor’s Degree
* At least 6 years of experience designing and building data\-intensive solutions using distributed computing (Internship experience does not apply)
* At least 4 years of experience programming with Python, Scala, Go or Java
* At least 2 years of experience building, scaling, and optimizing ML systems
****Preferred Qualifications:****
* Master's or Doctoral Degree in computer science, electrical engineering, mathematics, or a similar field
* 3\+ years of experience building production\-ready data pipelines that feed ML models
* 3\+ years of on\-the\-job experience with an industry recognized ML framework such as scikit\-learn, PyTorch, Dask, Spark, or TensorFlow
* 2\+ years of experience developing performant, resilient, and maintainable code
* 2\+ years of experience with data gathering and preparation for ML models
* 2\+ years of people leader experience
* 1\+ years of experience leading teams developing ML solutions using industry best practices, patterns, and automation
* Experience developing and deploying ML solutions in a public cloud such as AWS, Azure, or Google Cloud Platform
* Experience designing, implementing, and scaling complex data pipelines for ML models and evaluating their performance
* ML industry impact through conference presentations, papers, blog posts, open source contributions, or patents
***At this time, Capital One will not sponsor a new applicant for employment authorization, or offer any immigration related support for this position (i.e. H1B, F\-1 OPT, F\-1 STEM OPT, F\-1 CPT, J\-1, TN, E\-2, E\-3, L\-1 and O\-1, or any EADs or other forms of work authorization that require immigration support from an employer).***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Cambridge, MA: $197,300 \- $225,100 for Lead Machine Learning Engineer
 McLean, VA: $197,300 \- $225,100 for Lead Machine Learning Engineer
 New York, NY: $215,200 \- $245,600 for Lead Machine Learning Engineer
 San Francisco, CA: $215,200 \- $245,600 for Lead Machine Learning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29">
      <c r="A29" t="inlineStr">
        <is>
          <t>li-4362314166</t>
        </is>
      </c>
      <c r="B29" t="inlineStr">
        <is>
          <t>Lead Machine Learning Engineer (Gen AI, Python, Go, AWS)</t>
        </is>
      </c>
      <c r="C29" t="inlineStr">
        <is>
          <t>Capital One</t>
        </is>
      </c>
      <c r="D29" t="inlineStr">
        <is>
          <t>linkedin</t>
        </is>
      </c>
      <c r="E29">
        <f>HYPERLINK("https://www.linkedin.com/jobs/view/4362314166", "https://www.linkedin.com/jobs/view/4362314166")</f>
        <v/>
      </c>
      <c r="F29" t="inlineStr"/>
      <c r="G29" t="inlineStr">
        <is>
          <t>San Francisco, CA</t>
        </is>
      </c>
      <c r="H29" t="inlineStr"/>
      <c r="I29" t="inlineStr">
        <is>
          <t>As a Capital One Machine Learning Engineer (MLE) on the GenAI Workflows Serving team, you'll be part of an Agile team dedicated to designing, building, and productionizing Generative AI applications and Agentic Workflow systems at massive scale. You’ll participate in the detailed technical design, development, and implementation of complex machine learning applications leveraging cloud\-native platforms. You’ll focus on building robust ML serving architecture, developing high\-performance application code, and ensuring the high availability, security, and low latency of our Generative AI solutions. You will collaborate closely with multiple other AI/ML teams to drive innovation and continuously apply the latest innovations and best practices in machine learning engineering.
**What You’ll Do In The Role**
 The MLE role overlaps with many disciplines, such as Ops, Modeling, and Data Engineering. In this role, you'll be expected to perform many ML engineering activities, including one or more of the following:
* Design, build, and deliver GenAI models and components that solve complex business problems, while working in collaboration with the Product and Data Science teams.
* Design and implement cloud\-native ML Serving Platforms leveraging technologies like Docker, Kubernetes, KNative, and KServe to ensure optimized and scalable deployment of models.
* Solve complex scaling and high\-availability problems by writing and testing performant application code in Python and Go\-lang, developing and validating ML models, and automating tests and deployment.
* Implement advanced MLOps and GitOps practices for continuous integration and continuous deployment (CI/CD) using tools like ArgoCD to manage the entire lifecycle of models and applications.
* Leverage service mesh architectures like Istio to manage traffic, enhance security, and ensure resilience for high\-volume serving endpoints.
* Retrain, maintain, and monitor models in production.
* Construct optimized, scalable data pipelines to feed ML models.
* Ensure all code is well\-managed to reduce vulnerabilities, models are well\-governed from a risk perspective, and the ML follows best practices in Responsible and Explainable AI.
* Use programming languages like Python, Go, Scala or Java
****Basic Qualifications:****
* Bachelor’s Degree
* At least 6 years of experience designing and building data\-intensive solutions using distributed computing (Internship experience does not apply)
* At least 4 years of experience programming with Python, Scala, Go or Java
* At least 2 years of experience building, scaling, and optimizing ML systems
****Preferred Qualifications:****
* Master's or Doctoral Degree in computer science, electrical engineering, mathematics, or a similar field
* 3\+ years of experience building production\-ready data pipelines that feed ML models
* 3\+ years of on\-the\-job experience with an industry recognized ML framework such as scikit\-learn, PyTorch, Dask, Spark, or TensorFlow
* 2\+ years of experience developing performant, resilient, and maintainable code
* 2\+ years of experience with data gathering and preparation for ML models
* 2\+ years of people leader experience
* 1\+ years of experience leading teams developing ML solutions using industry best practices, patterns, and automation
* Experience developing and deploying ML solutions in a public cloud such as AWS, Azure, or Google Cloud Platform
* Experience designing, implementing, and scaling complex data pipelines for ML models and evaluating their performance
* ML industry impact through conference presentations, papers, blog posts, open source contributions, or patents
***At this time, Capital One will not sponsor a new applicant for employment authorization, or offer any immigration related support for this position (i.e. H1B, F\-1 OPT, F\-1 STEM OPT, F\-1 CPT, J\-1, TN, E\-2, E\-3, L\-1 and O\-1, or any EADs or other forms of work authorization that require immigration support from an employer).***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Cambridge, MA: $197,300 \- $225,100 for Lead Machine Learning Engineer
 McLean, VA: $197,300 \- $225,100 for Lead Machine Learning Engineer
 New York, NY: $215,200 \- $245,600 for Lead Machine Learning Engineer
 San Francisco, CA: $215,200 \- $245,600 for Lead Machine Learning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30">
      <c r="A30" t="inlineStr">
        <is>
          <t>li-4369312054</t>
        </is>
      </c>
      <c r="B30" t="inlineStr">
        <is>
          <t>Gen AI Engineer</t>
        </is>
      </c>
      <c r="C30" t="inlineStr">
        <is>
          <t>Jobs via Dice</t>
        </is>
      </c>
      <c r="D30" t="inlineStr">
        <is>
          <t>linkedin</t>
        </is>
      </c>
      <c r="E30">
        <f>HYPERLINK("https://www.linkedin.com/jobs/view/4369312054", "https://www.linkedin.com/jobs/view/4369312054")</f>
        <v/>
      </c>
      <c r="F30">
        <f>HYPERLINK("https://click.appcast.io/t/_b67FqtnfUrkR-LiC7hS_eDMQhoiZlJt8R48IVvX0ME=&amp;urlHash=ZAxy", "https://click.appcast.io/t/_b67FqtnfUrkR-LiC7hS_eDMQhoiZlJt8R48IVvX0ME=&amp;urlHash=ZAxy")</f>
        <v/>
      </c>
      <c r="G30" t="inlineStr">
        <is>
          <t>Plano, TX</t>
        </is>
      </c>
      <c r="H30" t="inlineStr"/>
      <c r="I30" t="inlineStr">
        <is>
          <t>Dice is the leading career destination for tech experts at every stage of their careers. Our client, Vbeyond Corporation, is seeking the following. Apply via Dice today!
**Gen AI Engineer**
**Plano, TX**
**Full\-Time Permanent role**
**We need an immediate joiner and are unable to process the visa transfer at this time for this role**
**Must Have Technical/Functional Skills**
* Gen AI prompt engineering
* Connecting LLMs
* Agentic AI
* Model Context Protocol
* Hands\-on experience
**Roles \&amp; responsibilities:**
* Gen AI prompt engineering
* Connecting LLMs
* Agentic AI
* Model Context Protocol
* Hands\-on experience
**Generic Managerial Skills, If Any**
* No managerial skills required, but the candidate should be able to manage and run production calls in case critical
* Issues with any dependencies/ hand holding.
**Key Words in Resume**
* Gen AI prompt engineering
* Connecting LLMs
* Agentic AI
* Model Context Protocol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2026-02-06T09:08:18Z</dcterms:created>
  <dcterms:modified xsi:type="dcterms:W3CDTF">2026-02-06T09:08:18Z</dcterms:modified>
</cp:coreProperties>
</file>