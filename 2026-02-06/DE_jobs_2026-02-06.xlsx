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in-c2da6311d3c1dcb2</t>
        </is>
      </c>
      <c r="B2" t="inlineStr">
        <is>
          <t>Data Engineer – Oracle HCM Configuration</t>
        </is>
      </c>
      <c r="C2" t="inlineStr">
        <is>
          <t>DS Technologies Inc</t>
        </is>
      </c>
      <c r="D2" t="inlineStr">
        <is>
          <t>indeed</t>
        </is>
      </c>
      <c r="E2">
        <f>HYPERLINK("https://www.indeed.com/viewjob?jk=c2da6311d3c1dcb2", "https://www.indeed.com/viewjob?jk=c2da6311d3c1dcb2")</f>
        <v/>
      </c>
      <c r="F2">
        <f>HYPERLINK("https://ds-technologies-inc.careerplug.com/j/02vnwqf", "https://ds-technologies-inc.careerplug.com/j/02vnwqf")</f>
        <v/>
      </c>
      <c r="G2" t="inlineStr">
        <is>
          <t>US</t>
        </is>
      </c>
      <c r="H2" s="2" t="n">
        <v>46058</v>
      </c>
      <c r="I2" t="inlineStr">
        <is>
          <t>**About US:** We are a company that provides innovative, transformative IT services and solutions. We are passionate about helping our clients achieve their goals and exceed their expectations. We strive to provide the best possible experience for our clients and employees. We are committed to continuous improvement and innovation, and we are always looking for ways to improve our services and solutions. We believe in working collaboratively with our clients and employees to achieve success.
DS Technologies Inc is looking for **Data Engineer – Oracle HCM Configuration** rolefor one of our premier clients.  
**Job Title:** Data Engineer – Oracle HCM Configuration
**Location:** Remote  
**Duration:** Contract  
**Only W2**  
**Job Description:**  
We are seeking a skilled **Data Engineer** with strong expertise in **Oracle HCM Cloud configuration** to support ongoing enhancements, security management, and process improvements across HR technology systems. The ideal candidate will serve as a **Package Specialist – Oracle HCM Cloud**, responsible for maintaining user access, implementing configuration changes, and ensuring seamless integration within the Oracle HCM environment.  
**Key Skills:**  
Oracle HCM Cloud \| HCM Configuration \| Role\-Based Access \| Security Administration \| User Management \| Data Engineering \| Agile \| HRIS \| Oracle Cloud Infrastructure  
**Responsibilities:**  
* Maintain and manage **user access** within the Oracle HCM system, ensuring compliance with internal security policies.
* Build and maintain **custom roles** to support HCM applications and HR business processes.
* Respond to and resolve **access\-related issues and requests** related to Oracle HCM system functionality.
* Drive **agile execution** of Oracle HCM system configuration, upgrades, and implementation activities.
* Serve as a **domain expert** for Oracle HCM access and configuration, collaborating with Oracle for issue resolution, feature enablement, and quarterly improvements.
* Support **post\-launch configurations** and continuous enhancements for Oracle HCM Cloud.
* Collaborate with internal teams (CEG, HR Technology, and other business partners) to align on **security process improvements** and best practices.
* Participate in **configuration testing, validation, and documentation** to ensure reliability and compliance.
* Maintain detailed and up\-to\-date **security process documentation**.
**Key Qualifications:**  
* 5\+ years of experience in **Oracle HCM Cloud** system configuration and administration.
* Hands\-on experience with **user provisioning, access management, and role\-based security**.
* Proven ability to **design and implement custom roles** aligned with HR business processes.
* Strong understanding of **Oracle HCM modules**, workflows, and integrations.
* Experience working in **Agile environments** and managing system configuration releases.
Excellent problem\-solving skills and attention to detail.  
* 
Strong communication and collaboration skills across functional teams.  
* 
* Bachelor’s degree in **Computer Science, Information Systems, or related field**.
**Preferred Qualifications:**  
* Experience partnering with **Oracle Support** for product issues and quarterly patch enablement.
* Familiarity with **HCM Data Loader (HDL)** and **Fast Formulas**.
* Knowledge of **data governance** and **security compliance frameworks**.
This is a remote position.</t>
        </is>
      </c>
    </row>
    <row r="3">
      <c r="A3" t="inlineStr">
        <is>
          <t>in-97ec55d65f072c93</t>
        </is>
      </c>
      <c r="B3" t="inlineStr">
        <is>
          <t>Data Engineer – Data Warehouse</t>
        </is>
      </c>
      <c r="C3" t="inlineStr">
        <is>
          <t>DS Technologies Inc</t>
        </is>
      </c>
      <c r="D3" t="inlineStr">
        <is>
          <t>indeed</t>
        </is>
      </c>
      <c r="E3">
        <f>HYPERLINK("https://www.indeed.com/viewjob?jk=97ec55d65f072c93", "https://www.indeed.com/viewjob?jk=97ec55d65f072c93")</f>
        <v/>
      </c>
      <c r="F3">
        <f>HYPERLINK("https://ds-technologies-inc.careerplug.com/j/02vnwpy", "https://ds-technologies-inc.careerplug.com/j/02vnwpy")</f>
        <v/>
      </c>
      <c r="G3" t="inlineStr">
        <is>
          <t>New York, NY, US</t>
        </is>
      </c>
      <c r="H3" s="2" t="n">
        <v>46058</v>
      </c>
      <c r="I3" t="inlineStr">
        <is>
          <t>**About US:** We are a company that provides innovative, transformative IT services and solutions. We are passionate about helping our clients achieve their goals and exceed their expectations. We strive to provide the best possible experience for our clients and employees. We are committed to continuous improvement and innovation, and we are always looking for ways to improve our services and solutions. We believe in working collaboratively with our clients and employees to achieve success.
DS Technologies Inc is looking for **Data Engineer – Data Warehouse** rolefor one of our premier clients.  
**Job Title:** Data Engineer – Data Warehouse
**Location:** New York, NY (Hybrid – 3 days onsite at Amex Tower)  
**Duration:** Long Term Contract  
**Only W2**  
**Work Arrangement:**
* **Hybrid:** 3 days onsite at the **American Express Tower, New York, NY**.
**Job Description:**  
We are seeking an experienced **Data Engineer** with strong expertise in **ETL development, data warehousing, and large\-scale data processing**. The ideal candidate will have a solid understanding of data modeling, SQL, and Python\-based ETL pipeline development. This role involves building and maintaining data pipelines that enable analytics, governance, and reporting across various enterprise systems.  
**Key Responsibilities:**
* Design, develop, and deploy **ETL pipelines using Python** from scratch.
* Write **efficient, reusable, and modular code** adhering to OOP principles.
* Design and optimize **data models** including schemas, entity relationships, and transformations.
* Develop and analyze **SQL queries** across multiple RDBMS systems (SQL Server, DB2, Oracle).
* Work with **data warehouses** such as **BigQuery** and **Databricks Delta Lakehouse** for ingestion, cleansing, governance, and reporting.
* Create, manage, and monitor **Airflow DAGs** for scheduling and workflow automation.
* Collaborate with cross\-functional teams to ensure data consistency, accuracy, and accessibility.
* Troubleshoot data issues and optimize ETL performance.
**Required Skills \&amp; Experience:**
* **6\+ years** of experience in **Data Engineering, ETL Development, and Data Warehousing**.
* Strong programming skills in **Python** with proven experience in ETL pipeline design.
* Expertise in **SQL**, **RDBMS** (MS SQL Server, DB2, Oracle).
* Hands\-on experience with **Airflow** for orchestrating workflows.
* Solid understanding of **OOP concepts** and **data modeling** principles.
* Experience with **BigQuery**, **Databricks Delta Lakehouse**, or similar data warehouse technologies.
* Familiarity with **Spark** is a strong plus.
**Nice to Have:**
* Experience with **IBM Apptio** platform and cost management data workflows.
* Knowledge of **Node.js** for integration scripting or data API handling.
Flexible work from home options available.</t>
        </is>
      </c>
    </row>
    <row r="4">
      <c r="A4" t="inlineStr">
        <is>
          <t>in-1dfe4ecfc4a09ad5</t>
        </is>
      </c>
      <c r="B4" t="inlineStr">
        <is>
          <t>Data Engineer / BI Developer – Cloud Data Platform</t>
        </is>
      </c>
      <c r="C4" t="inlineStr">
        <is>
          <t>DS Technologies Inc</t>
        </is>
      </c>
      <c r="D4" t="inlineStr">
        <is>
          <t>indeed</t>
        </is>
      </c>
      <c r="E4">
        <f>HYPERLINK("https://www.indeed.com/viewjob?jk=1dfe4ecfc4a09ad5", "https://www.indeed.com/viewjob?jk=1dfe4ecfc4a09ad5")</f>
        <v/>
      </c>
      <c r="F4">
        <f>HYPERLINK("https://ds-technologies-inc.careerplug.com/j/02vnwph", "https://ds-technologies-inc.careerplug.com/j/02vnwph")</f>
        <v/>
      </c>
      <c r="G4" t="inlineStr">
        <is>
          <t>New York, NY, US</t>
        </is>
      </c>
      <c r="H4" s="2" t="n">
        <v>46058</v>
      </c>
      <c r="I4" t="inlineStr">
        <is>
          <t>**About US:** We are a company that provides innovative, transformative IT services and solutions. We are passionate about helping our clients achieve their goals and exceed their expectations. We strive to provide the best possible experience for our clients and employees. We are committed to continuous improvement and innovation, and we are always looking for ways to improve our services and solutions. We believe in working collaboratively with our clients and employees to achieve success.
DS Technologies Inc is looking for **Data Engineer / BI Developer – Cloud Data Platform** rolefor one of our premier clients.  
**Job Title:** Data Engineer / BI Developer – Cloud Data Platform
**Location:** New York, NY (Onsite)  
**Duration:** Contract  
**Only W2**  
**Job Description:**  
We are seeking a highly skilled **Data Engineer / BI Developer** to join our **Cloud Data Platform Managed Services** team. The ideal candidate will possess strong technical expertise in **PySpark**, **SQL**, and **data visualization**, with hands\-on experience in tools such as **Retool** and **Power BI**. This role requires a mix of backend data engineering and frontend dashboard development skills to design, build, and maintain scalable data pipelines and analytical solutions.  
**Key Skills:**  
PySpark \| SQL \| Python \| Java \| Retool \| Power BI \| Cloud Data Platforms \| ETL/ELT \| Dashboarding \| Front\-End Design \| Data Modeling \| Data Visualization  
**Key Responsibilities:**  
* Design, develop, and optimize **ETL/ELT data pipelines** using **PySpark**, **SQL**, and **cloud\-native services**.
* Develop interactive and dynamic **dashboards and visualizations** using **Retool** or **Power BI** to support business analytics and reporting needs.
* Collaborate with data scientists, analysts, and business stakeholders to translate requirements into scalable data models and reports.
* Integrate data from multiple sources (structured and unstructured) into unified datasets for analysis and visualization.
* Implement and manage **data transformation workflows**, ensuring accuracy, performance, and compliance with data governance standards.
* Participate in **infrastructure management** for the Cloud Data Platform, focusing on data accessibility, reliability, and scalability.
* Work closely with cross\-functional teams to ensure end\-to\-end data integrity and performance tuning.
Apply software engineering best practices such as version control, testing, and CI/CD in data pipeline development.  
* 
**Required Qualifications:**  
* **5\+ years** of hands\-on experience in **Data Engineering** and **Business Intelligence development**.
* Strong expertise in **PySpark** and **advanced SQL coding** for complex data transformations.
* Experience with **Retool** (preferred) and/or **Power BI** for dashboard development.
* Proficiency in **Python** and **Java** for data processing and integration.
* Understanding of **front\-end web design principles** to build user\-friendly data interfaces.
* Experience working with **cloud data platforms** (AWS, Azure, or GCP)
* Strong analytical and problem\-solving skills with an eye for data quality and accuracy.
* Self\-starter with the ability to define requirements, design solutions, and execute independently.
* Excellent communication and collaboration skills with cross\-functional stakeholders.
**Preferred Qualifications:**  
* Experience with **data warehouse modeling** and **performance tuning**.
* Familiarity with **data governance**, **security standards**, and **metadata management**.
* Exposure to **data visualization libraries** (e.g., D3\.js, Plotly) is a plus.
* Bachelor’s or master’s degree in computer science, **Data Engineering**, or a related field.</t>
        </is>
      </c>
    </row>
    <row r="5">
      <c r="A5" t="inlineStr">
        <is>
          <t>in-0a50936feade443c</t>
        </is>
      </c>
      <c r="B5" t="inlineStr">
        <is>
          <t>Database/Web Administrator – Data Engineer</t>
        </is>
      </c>
      <c r="C5" t="inlineStr">
        <is>
          <t>DS Technologies Inc</t>
        </is>
      </c>
      <c r="D5" t="inlineStr">
        <is>
          <t>indeed</t>
        </is>
      </c>
      <c r="E5">
        <f>HYPERLINK("https://www.indeed.com/viewjob?jk=0a50936feade443c", "https://www.indeed.com/viewjob?jk=0a50936feade443c")</f>
        <v/>
      </c>
      <c r="F5">
        <f>HYPERLINK("https://ds-technologies-inc.careerplug.com/j/02vnwp0", "https://ds-technologies-inc.careerplug.com/j/02vnwp0")</f>
        <v/>
      </c>
      <c r="G5" t="inlineStr">
        <is>
          <t>Phoenix, AZ, US</t>
        </is>
      </c>
      <c r="H5" s="2" t="n">
        <v>46058</v>
      </c>
      <c r="I5" t="inlineStr">
        <is>
          <t>**About US:** We are a company that provides innovative, transformative IT services and solutions. We are passionate about helping our clients achieve their goals and exceed their expectations. We strive to provide the best possible experience for our clients and employees. We are committed to continuous improvement and innovation, and we are always looking for ways to improve our services and solutions. We believe in working collaboratively with our clients and employees to achieve success.
DS Technologies Inc is looking for **Database/Web Administrator – Data Engineer** rolefor one of our premier clients.  
**Job Title:** Database/Web Administrator – Data Engineer
**Location:** Phoenix, AZ (Onsite)  
**Role Type:** Contract  
**Only W2**  
**Job Description:**  
We are seeking an experienced **Database/Web Administrator / Data Engineer** based in **Phoenix, AZ** to manage and optimize enterprise data assets. The ideal candidate will have hands\-on expertise in **MS SQL, ETL processes, and data warehousing**, and will be responsible for managing large datasets, building efficient data pipelines, and ensuring data integrity across multiple systems.  
**Key Responsibilities:**
* Oversee **data governance, transformation, and administration** across enterprise databases.
* Manage and maintain a **data lake** utilizing **Microsoft SQL Server**, ensuring performance, security, and reliability.
* Design, develop, and execute **complex SQL queries** for data integration, validation, and reporting.
* Normalize and optimize legacy data to improve tracking, reporting, and analytical capabilities.
* Collaborate with cross\-functional stakeholders, including business, product, and analytics teams, to define requirements and support implementation.
* Maintain **ETL pipelines** and perform data extraction, transformation, and loading tasks for structured and unstructured data sources.
* Ensure data quality, consistency, and integrity across multiple data repositories.
* Develop dashboards, reports, and actionable insights to support business decision\-making.
**Required Skills \&amp; Experience:**
* **5\+ years** of experience in **SQL Server administration**, **data engineering**, or **data warehousing**.
* Strong experience with **SQL query development**, **ETL processes**, and **data integration**.
* Hands\-on experience managing **large datasets** and performing data validation and transformation.
* Familiarity with **data governance and performance optimization** practices.
* Strong analytical, problem\-solving, and critical thinking skills.
* Experience producing reports and dashboards for business insights.
**Preferred Qualifications:**
* Experience with **Python** or **PowerShell** for scripting and automation.
* SQL Development certifications or relevant **data analytics credentials**.
* Knowledge of **modern data warehouse platforms** and **Big Data technologies**.</t>
        </is>
      </c>
    </row>
    <row r="6">
      <c r="A6" t="inlineStr">
        <is>
          <t>in-e4949f0bd8a5587a</t>
        </is>
      </c>
      <c r="B6" t="inlineStr">
        <is>
          <t>Contract Data Engineer</t>
        </is>
      </c>
      <c r="C6" t="inlineStr">
        <is>
          <t>Three Point Turn Inc</t>
        </is>
      </c>
      <c r="D6" t="inlineStr">
        <is>
          <t>indeed</t>
        </is>
      </c>
      <c r="E6">
        <f>HYPERLINK("https://www.indeed.com/viewjob?jk=e4949f0bd8a5587a", "https://www.indeed.com/viewjob?jk=e4949f0bd8a5587a")</f>
        <v/>
      </c>
      <c r="F6">
        <f>HYPERLINK("https://three-point-turn-inc.careerplug.com/j/02vnwl7", "https://three-point-turn-inc.careerplug.com/j/02vnwl7")</f>
        <v/>
      </c>
      <c r="G6" t="inlineStr">
        <is>
          <t>US</t>
        </is>
      </c>
      <c r="H6" s="2" t="n">
        <v>46058</v>
      </c>
      <c r="I6" t="inlineStr">
        <is>
          <t>**Benefits:**
* Flexible schedule
* Opportunity for advancement
* Training \&amp; development
**About Us:**  
Three Point Turn is a forward\-thinking technology company focused on delivering innovative, scalable solutions that empower organizations to harness their data and drive strategic growth. We're looking for a **Data Engineer** with a strong background in back\-end development and data warehousing to join us on a contract basis.  
**What You’ll Do:**  
* Design, build, and maintain back\-end systems using **C\#** and **SQL**
* Develop and optimize **data warehouse solutions** within the **Microsoft ecosystem**
* Leverage **Azure Synapse Analytics** and **Azure Data Services** to manage large\-scale data pipelines
* Integrate data from various sources for comprehensive **reporting and analytics**
* Collaborate with cross\-functional teams to deliver end\-to\-end **system integration** projects
* Maintain documentation and ensure data reliability and scalability
**What We’re Looking For:**  
* 5\+ years of experience as a **Data Engineer** or in a similar back\-end/data role
* Strong hands\-on experience with **C\#** and **SQL**
* Proven experience with **Data Warehousing** on the **Microsoft stack**
* Deep understanding of **Azure**, **Synapse**, and cloud\-based architecture
* Experience with **reporting solutions** and data modeling
Excellent problem\-solving skills and ability to work independently  
* 
* Bachelor’s degree in Computer Science, Engineering, or related field
**Nice to Have:**  
Experience with DevOps in data environments  
* 
Familiarity with Power BI or other visualization tools  
* 
Knowledge of ETL frameworks and best practices  
* 
* The magic word is purple. Please put this word at the beginning of your cover letter
This is a remote position.</t>
        </is>
      </c>
    </row>
    <row r="7">
      <c r="A7" t="inlineStr">
        <is>
          <t>in-19253c0e90d0d4b7</t>
        </is>
      </c>
      <c r="B7" t="inlineStr">
        <is>
          <t>Full Stack Data Engineer, Consultant</t>
        </is>
      </c>
      <c r="C7" t="inlineStr">
        <is>
          <t>Blue Shield of California</t>
        </is>
      </c>
      <c r="D7" t="inlineStr">
        <is>
          <t>indeed</t>
        </is>
      </c>
      <c r="E7">
        <f>HYPERLINK("https://www.indeed.com/viewjob?jk=19253c0e90d0d4b7", "https://www.indeed.com/viewjob?jk=19253c0e90d0d4b7")</f>
        <v/>
      </c>
      <c r="F7">
        <f>HYPERLINK("https://ecge.fa.us2.oraclecloud.com/hcmUI/CandidateExperience/en/sites/CX_1003/requisitions/preview/20260219", "https://ecge.fa.us2.oraclecloud.com/hcmUI/CandidateExperience/en/sites/CX_1003/requisitions/preview/20260219")</f>
        <v/>
      </c>
      <c r="G7" t="inlineStr">
        <is>
          <t>Oakland, CA, US</t>
        </is>
      </c>
      <c r="H7" s="2" t="n">
        <v>46058</v>
      </c>
      <c r="I7" t="inlineStr">
        <is>
          <t>**Your Role**
The Data Services and Solutions team is responsible for design, development, test, deployment and operation of large enterprise data warehouse/BI data solutions using cloud technologies. The Full Stack Data Engineer, Consultant will report to the Manager, Data Services and Solutions. In this role you will be the comprehensive subject matter expert in the technology products/platform feature space and apply, learn, and extend your skills beyond formal role boundaries. Having a desire to help achieve transformational healthcare improvement should serve as the inspiration behind the ideal candidate’s willingness to participate across many different activities within an agile working model.
Our leadership model is about developing great leaders at all levels and creating opportunities for our people to grow – personally, professionally, and financially. We are looking for leaders that are energized by creative and critical thinking, building and sustaining high\-performing teams, getting results the right way, and fostering continuous learning.
**Your Work**
In this role, you will:
* Build data pipelines: Create, maintain, and optimize workloads from development to production for specific use cases, with a focus on cloud\-native solutions and modern frameworks
* Develop the most efficient and cost\-effective implementation, leveraging reusable features where possible
* Drive operational excellence, including but not limited to Incident Management, process automation leveraging AI and ensuring smooth deployments for your technology products/platform features
* Execute and oversee the analysis and remediation of root causes, including deficiencies in technology, process, or resource capabilities and implement corrective actions
* Have the capability to leverage AI across development, testing, and deployment stages to drive innovation, reduce operational overhead, and enhance product quality
* Monitor and manage software configuration changes to anticipate and address data reliability and customer satisfaction issues, leveraging cloud monitoring tools and practices
* Coordinate sustaining support for multiple application platforms or business processes, ensuring seamless integration and operation in a cloud environment
* Work in agile/DevSecOps pod model alongside solution leads, data modelers, analysts, business partners and other developers in delivery of data
* Support of monitoring and tuning application code to assure optimal availability, performance and utilization of resources
* Provide technical expertise working with Analysts and Business Users to implement complex and varied functional specifications into technical designs
* Lead and mentor senior data engineers/developers and analysts
**Your Knowledge and Experience**
* Bachelor’s degree in Computer Science, Information Technology, Management Information Systems, or a related field (or equivalent experience), with a minimum of 7 years of relevant experience in enterprise application support and cloud\-based solution delivery
* Strong experience in design, coding, integration, and deployment on Windows and/or Linux platforms
* Expertise in cloud platforms (preferably Azure; AWS/GCP acceptable) and related services (ADLS, Synapse, Data Factory)
* Proficiency in SQL and Python, with strong scripting/automation skills
* Hands\-on experience with modern data stack tools: dbt, Snowflake or Databricks, BigQuery, Airflow or Tidal
* Strong knowledge of data modeling (Data Vault 2\.0\), data integration, data architecture, warehousing, and data quality
* Familiarity with CI/CD pipelines (Bitbucket, GitHub Actions) and Infrastructure as Code tools (Ansible)
* Familiarity with Collibra for data quality and governance
* Implement testing frameworks and validation processes for data pipelines
* Optimize performance and reliability of data workflows across development, testing, and deployment
* Strong knowledge of networking/security protocols (LDAP, Active Directory) and API integrations
* Unix/Linux command\-line proficiency and shell scripting
* Strong knowledge of Agile methodologies, and enterprise cloud integration
* Excellent communication skills for translating technical deliverables
* Preferred: Healthcare industry experience and Epic software knowledge
* Well versed of data governance, security standards, and production certification processes
**ABOUT THE TEAM  
About Stellarus and the Ascendiun Family of Companies**
Stellarus, launched in January 2025, is designed to scale innovative healthcare solutions that support customers in creating a health care experience deserving of their family, friends, and neighbors.
Stellarus is part of a family of organizations that is overseen by a nonprofit corporate entity named Ascendiun. The Ascendiun Family of Companies also includes Blue Shield of California and its subsidiary, Blue Shield of California Promise Health Plan and Altais, a clinical services company.
Stellarus’ vision is to empower its customers to create a healthcare experience that is worthy of their family, friends, and neighbors. Stellarus’ objective is to offer innovative, modern, scalable solutions that challenge the health care status quo. This very closely aligns with Blue Shield of California’s vision by using innovation to improve quality, affordability, and experience for members.
To achieve our mission, we foster an environment where all employees can thrive and contribute fully to address the needs of the various communities we serve. We are committed to creating and maintaining a supportive workplace that upholds our values and advances our goals.
**Our Values:**
At Stellarus, our core values of agility, trust, drive, courage and service shape our approach to developing innovative product offerings.
**Our Workplace Model:**
We believe in fostering a workplace environment that balances purposeful in\-person collaboration with flexibility \- providing clear expectations while respecting the diverse needs of our workforce. Our workplace model is designed around intentional in\-person interaction, collaboration, connection, creativity and flexibility:
* For most teams, this means coming into the office two days per week.
* Employees living more than 50 miles from an office location, out of state employees, and employees in certain member\-facing roles should work with their manager to determine in\-office time based on business need.
* For employees with medical conditions that may impact their ability to work in\-office, we are committed to engaging in an interactive process and providing reasonable accommodations to ensure their work environment is conducive to their success and well\-being.
The Company reserves the right to require more presence in the office based on business needs, and requirements are subject to change with periodic reviews.
**Physical Requirements:**
Office Environment \- roles involving part to full time schedule in Office Environment. Based in our physical offices and work from home office/deskwork \- Activity level: Sedentary, frequency most of work day.
**Equal Employment Opportunity:**
External hires must pass a background check/drug screen. Qualified applicants with arrest records and/or conviction records will be considered for employment in a manner consistent with Federal, State and local laws, including but not limited to the San Francisco Fair Chance Ordinance. All qualified applicants will receive consideration for employment without regards to race, color, religion, sex, national origin, sexual orientation, gender identity, protected veteran status or disability status and any other classification protected by Federal, State and local laws.</t>
        </is>
      </c>
    </row>
    <row r="8">
      <c r="A8" t="inlineStr">
        <is>
          <t>in-c545574cc45d7bd2</t>
        </is>
      </c>
      <c r="B8" t="inlineStr">
        <is>
          <t>Senior Backend &amp; Data Engineer</t>
        </is>
      </c>
      <c r="C8" t="inlineStr">
        <is>
          <t>CLOVEHITCH</t>
        </is>
      </c>
      <c r="D8" t="inlineStr">
        <is>
          <t>indeed</t>
        </is>
      </c>
      <c r="E8">
        <f>HYPERLINK("https://www.indeed.com/viewjob?jk=c545574cc45d7bd2", "https://www.indeed.com/viewjob?jk=c545574cc45d7bd2")</f>
        <v/>
      </c>
      <c r="F8">
        <f>HYPERLINK("https://clgt.applytojob.com/apply/Km1TXqE6GB/Senior-Backend-Data-Engineer?source=INDE&amp;~", "https://clgt.applytojob.com/apply/Km1TXqE6GB/Senior-Backend-Data-Engineer?source=INDE&amp;~")</f>
        <v/>
      </c>
      <c r="G8" t="inlineStr">
        <is>
          <t>Remote, US</t>
        </is>
      </c>
      <c r="H8" s="2" t="n">
        <v>46058</v>
      </c>
      <c r="I8" t="inlineStr">
        <is>
          <t>**Senior Backend \&amp; Data Engineer**  
**Description**  
CLGT Solutions, LLC dba CLOVEHITCH is a Service\-Disabled Veteran\-Owned Small Business focused upon providing professional solutions in the areas of training and talent acquisition.  
We’re looking for a Senior Backend and Data Engineer who is energized by the challenge of turning disparate, messy, real\-world data into structured, scalable, and accessible systems. You will be the primary architect of the "engine room" for our new Reporting Portal—a platform designed to bridge the gap between financial disbursements and physical compliance evidence.  
This role is ideal for someone who loves working across ingestion, modeling, and workflow orchestration, and who gets satisfaction from designing systems that are resilient, transparent, and easy for others to build on. You will partner closely with a Frontend Engineer to handle the backend data and infrastructure aspects of the product, ensuring that high\-volume financial data and unstructured evidence are seamlessly integrated.  
As you grow in the role, you will lead the implementation of machine learning models and large language models (LLMs) to automate compliance reviews and provide high\-speed analytical insights.  
**You will be responsible for:**  
**Data Architecture \&amp; Pipeline Development**
* Medallion Architecture: Design and implement a Medallion\-style data architecture (Bronze/Silver/Gold) to manage raw transaction data, immutable snapshots, and curated analytics.
* Pipeline Engineering: Build and maintain data pipelines that ingest, clean, and transform data from the Digital Transformation Bridge (DTB) and other sources.
* Immutable Audit Trails: Ensure all files and snapshots are stored in a non\-destructive environment with strict versioning to preserve original evidence.
* Performance Optimization: Implement high\-speed querying (e.g., AWS Athena) to enable complex ad\-hoc trend analyses against raw data in seconds.
**Backend \&amp; Infrastructure Engineering*** API Development: Build and maintain a high\-concurrency backend using Node.js and Express.
* Secure Access: Implement robust Identity \&amp; Access Control layers, including mandatory Multi\-Factor Authentication (MFA) and Role\-Based Access Control (RBAC).
* Infrastructure as Code: Provision and manage cloud infrastructure using Terraform within an AWS Commercial Cloud environment (EKS, RDS, S3, MSK).
* Submission Engine: Develop a robust engine for multi\-format uploads (PDF, DOCX, JPEG) featuring draft persistence and real\-time validation logic.
**AI, ML \&amp; Data Science Support*** LLM \&amp; NLP Integration: Build systems to parse and index unstructured text within uploaded documents using Large Language Models and NLP tools.
* Automated Analysis: Develop and operationalize machine learning models to assign compliance "confidence scores" and flag high\-risk items for manual review.
* Data Science Enablement: Support the internal Data Science Workbench by providing Python notebook access and direct data hooks for risk analysts.
**Cross\-Team Collaboration*** Frontend Partnership: Work daily with the Frontend Engineer to architect data flows, manage APIs, and ensure the UI can handle complex list management and in\-browser file rendering.
* Stakeholder Communication: Present technical tradeoffs and implementation paths to both technical and non\-technical team members.
* Agile Ownership: Participate in technical discussions and architectural decisions in an iterative, startup\-style environment.
**Qualifications:*** Experience: 4\+ years of professional experience in data engineering or data\-focused backend engineering, ideally in a startup or fast\-paced context.
* Backend Mastery: Strong proficiency in Node.js/Express and writing Python for data workflows.
* Modern Data Stack: Deep experience with SQL, data modeling, and workflow orchestration tools.
* Cloud Proficiency: Comfort provisioning infrastructure and deploying workflows to cloud platforms (specifically AWS).
* Data Technologies: Proficiency across modern storage technologies (PostgreSQL, S3, Lakehouses) and handling varied file formats.
* Adaptability: Ability to manage multiple projects, adapt to shifting priorities, and deliver high\-quality work on a Fall/Winter 2026 deployment schedule.
* Experience building and deploying Large Language Models (LLMs) or automated scoring algorithms in a production environment.
* Experience with event\-streaming architecture (e.g., Kafka/MSK) and API management tools (e.g., Kong or Apigee).
 **Work Environment**  
Remote / Flexible.  
**Physical Demands**  
Position is primarily sedentary, working while sitting.  
**Position Type \&amp; Hours of Work**  
Full\-time.  
**Travel**  
This position will not require travel.  
*CLOVEHITCH is an Equal Opportunity Employer. We prohibit discrimination and harassment of any kind based on race, color, sex, religion, sexual orientation, national origin, disability, veteran status, pregnancy, or any other protected characteristic as outlined by federal, state, or local laws.*
Km1TXqE6GB</t>
        </is>
      </c>
    </row>
    <row r="9">
      <c r="A9" t="inlineStr">
        <is>
          <t>in-2448094be20e3b12</t>
        </is>
      </c>
      <c r="B9" t="inlineStr">
        <is>
          <t>Staff Engineer - Finance BI Engineer (Hybrid)</t>
        </is>
      </c>
      <c r="C9" t="inlineStr">
        <is>
          <t>GEICO</t>
        </is>
      </c>
      <c r="D9" t="inlineStr">
        <is>
          <t>indeed</t>
        </is>
      </c>
      <c r="E9">
        <f>HYPERLINK("https://www.indeed.com/viewjob?jk=2448094be20e3b12", "https://www.indeed.com/viewjob?jk=2448094be20e3b12")</f>
        <v/>
      </c>
      <c r="F9">
        <f>HYPERLINK("https://click.appcast.io/t/2bp1CNSz2XLuGyA8VUSBqRJLid4_ZuuX8_SUCC00u_c=", "https://click.appcast.io/t/2bp1CNSz2XLuGyA8VUSBqRJLid4_ZuuX8_SUCC00u_c=")</f>
        <v/>
      </c>
      <c r="G9" t="inlineStr">
        <is>
          <t>Seattle, WA, US</t>
        </is>
      </c>
      <c r="H9" s="2" t="n">
        <v>46058</v>
      </c>
      <c r="I9" t="inlineStr">
        <is>
          <t>**At GEICO, we offer a rewarding career where your ambitions are met with endless possibilities.**
**Every day we honor our iconic brand by offering quality coverage to millions of customers and being there when they need us most. We thrive through relentless innovation to exceed our customers’ expectations while making a real impact for our company through our shared purpose.**
**When you join our company, we want you to feel valued, supported and proud to work here. That’s why we offer The GEICO Pledge: Great Company, Great Culture, Great Rewards and Great Careers.**
**Hybrid: PaloAlto, CA and Dallas, TX**
GEICO is seeking **Finance Data specialists** to support the build out of a **Finance Data Warehouse/Lake** by partnering with both Finance and Technology teams to redesign the way they use their technologies in managing GEICO's business. This individual must have strong functional and technical Finance Systems background to partner with the Business ensuring effective discussions to drive the capture, transformation, and analytics\-driven utilization of Finance data to meet Business goals.
The **Staff Engineer, Finance Data BI Specialist** will report to the Senior Manager of Finance Data \&amp; Analytics and will provide solutions on how to build out, maintain, and support a Finance Data repository to support FP\&amp;A processing and business intelligence analytics while also supporting the larger Finance organization’s need for Finance data and analytics. The Finance Data Specialist will work with multiple Finance and Technology leaders to support the build out the company’s Finance Data Warehouse/Lake to provide a central repository for all Financial related transactions so it can be a reconciled source of truth for processing and the source for Revenue and Expense analytics. This role is also accountable to support the delivery of technology solutions that will support FP\&amp;A Planning/Budgeting, financial reporting, Revenue/Expense Analytics, and the build out of the Finance Data Warehouse to become a reconciled source to allow the GL to become a “thin” ledger.
The ideal candidate has deep Finance Systems experience across multiple companies; a **background in ERP and Finance Data Warehouses** from both technical and functional aspects; and has supported the deployment of best practices leveraging their broad knowledge of various **ERPs (e.g. Oracle; Workday; SAP or PeopleSoft**). Prior Financial Systems experience is required for consideration.
**Position Responsibilities**
As a **Staff Engineer, Finance Data BI Specialist** supporting Finance functions you will:
* Leverage your strong Functional and Technical systems expertise to drive towards the right solutions to support Finance’s current and future needs
* Collaborate with Finance Leaders within the FP\&amp;A, Controllers, Financial Reporting, and Finance QA \&amp; Systems team along with the Data Engineering and Finance Technology leaders to ensure organizational goals are met
* Have a deep understanding of a few Finance functions to support the establishment of a vision and technology roadmap to build out a Finance Data Lake/Warehouse
* Have a good understanding of finance data lake/mart technologies, and approaches for data transformation using ETL/ELT tools such as Informatica, DBT, etc.
* Experience working with cloud data solutions (Delta Lake, Iceberg, Hudi, Snowflake, Redshift or equivalent)
* Develop high\-quality, accurate data visualizations and reports using tools like Power BI and Apache Superset to support data\-driven business decisions
* Support the implementation of a strong control and governance framework and maintain it for SOX and Audit reviews
* Support Business and Technology discussions at various levels to ensure alignment towards long term goals of Finance and Technology
* Analyze and translate business and functional specifications and change requests into technical specifications
* Share best practices and improve processes within and across teams
* **Qualifications**
* 15\+ years of Finance Systems experience with industry leading ERP solutions (e.g. implementing and supporting Oracle; Workday; SAP or PeopleSoft)
* 3\+ years of experience in implementing and supporting FP\&amp;A applications (Preferred)
* 3\+ years working with or supporting a Finance Data Lake/Warehouse/Mart along with various Financial Reporting tools
* Good understanding of Dimensional Data Modeling
* Deep knowledge of Power BI administration (workspaces, capacities, security, governance) and Power Platform administration (environments, Dataverse, flows, apps)
* Advanced knowledge of business intelligence tools (strong preference for Power BI) and ETL tools (strong preference for DBT)
* Strong understanding of identity, access management, and compliance in Microsoft 365 and Azure AD
* Experience architecting CI/CD pipelines for Power BI solutions (Azure DevOps or GitHub)
* Strong understanding of identity, access management, and compliance in Microsoft 365 and Azure AD.
* Experience with enterprise orchestration tools such as Airflow is preferred
* Finance domain expertise to be able to work with senior Finance leaders to interpret their process and functional needs into system solutions
* Good understanding of FP\&amp;A Budgeting, Planning, and forecasting processes
* Good understanding of accounting process and reporting expectations to partner with Finance teams
**Education**
* Bachelor’s degree in Computer Science, Information Systems, Engineering, Business Administration, or equivalent education or work experience
 **Annual Salary**
$110,000\.00 \- $260,000\.00
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
At this time, GEICO will not sponsor a new applicant for employment authorization for this position. **The GEICO Pledge:**
**Great Company:** At GEICO, we help our customers through life’s twists and turns. Our mission is to protect people when they need it most and we’re constantly evolving to stay ahead of their needs.
We’re an iconic brand that thrives on innovation, exceeding our customers’ expectations and enabling our collective success. From day one, you’ll take on exciting challenges that help you grow and collaborate with dynamic teams who want to make a positive impact on people’s lives.
**Great Careers:** We offer a career where you can learn, grow, and thrive through personalized development programs, created with your career – and your potential – in mind. You’ll have access to industry leading training, certification assistance, career mentorship and coaching with supportive leaders at all levels.
**Great Culture:** We foster an inclusive culture of shared success, rooted in integrity, a bias for action and a winning mindset. Grounded by our core values, we have an an established culture of caring, inclusion, and belonging, that values different perspectives. Our teams are led by dynamic, multi\-faceted teams led by supportive leaders, driven by performance excellence and unified under a shared purpose.
As part of our culture, we also offer employee engagement and recognition programs that reward the positive impact our work makes on the lives of our customers.
**Great Rewards:** We offer compensation and benefits built to enhance your physical well\-being, mental and emotional health and financial future.
* Comprehensive Total Rewards program that offers personalized coverage tailor\-made for you and your family’s overall well\-being.
* Financial benefits including market\-competitive compensation; a 401K savings plan vested from day one that offers a 6% match; performance and recognition\-based incentives; and tuition assistance.
* Access to additional benefits like mental healthcare as well as fertility and adoption assistance.
* Supports flexibility\- We provide workplace flexibility as well as our GEICO Flex program, which offers the ability to work from anywhere in the US for up to four weeks per year.
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
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with mutual respect by and for all associates and applicants.</t>
        </is>
      </c>
    </row>
    <row r="10">
      <c r="A10" t="inlineStr">
        <is>
          <t>in-2b2edd46bafb34af</t>
        </is>
      </c>
      <c r="B10" t="inlineStr">
        <is>
          <t>Data Engineer, Central InfraOps Analytics Team</t>
        </is>
      </c>
      <c r="C10" t="inlineStr">
        <is>
          <t>Amazon.com</t>
        </is>
      </c>
      <c r="D10" t="inlineStr">
        <is>
          <t>indeed</t>
        </is>
      </c>
      <c r="E10">
        <f>HYPERLINK("https://www.indeed.com/viewjob?jk=2b2edd46bafb34af", "https://www.indeed.com/viewjob?jk=2b2edd46bafb34af")</f>
        <v/>
      </c>
      <c r="F10">
        <f>HYPERLINK("https://www.amazon.jobs/jobs/3175557/data-engineer-central-infraops-analytics-team?cmpid=DA_INAD200785B", "https://www.amazon.jobs/jobs/3175557/data-engineer-central-infraops-analytics-team?cmpid=DA_INAD200785B")</f>
        <v/>
      </c>
      <c r="G10" t="inlineStr">
        <is>
          <t>Herndon, VA, US</t>
        </is>
      </c>
      <c r="H10" s="2" t="n">
        <v>46057</v>
      </c>
      <c r="I10" t="inlineStr">
        <is>
          <t>**DESCRIPTION**
---------------
As a Data Engineer you will enable data\-driven decision making within the Amazon Web Services Data Center Infrastructure Operations organization. The Infrastructure Operations Team is responsible for planning, implementing, monitoring and continuously improving the global Amazon Data Center infrastructure. The team supports all aspects of the Data Center based organizations, including but not limited to : Safety, Security, maintenance, operations, logistics, engineering and equipment management.  
Key job responsibilities  
Design, develop, and maintain ETL pipelines to ingest data into the data warehouse and data lake  
Create and optimize logical data models that drive physical design for the Infrastructure Operations organization  
Implement data quality measures and ongoing monitoring to ensure data integrity  
Build scalable, efficient, and maintainable data solutions that support business intelligence needs  
Optimize data storage and query performance across various data platforms  
Develop automated processes to replace manual data operations  
Collaborate with business stakeholders to understand data and reporting requirements  
Translate business questions into data solutions that drive decision\-making  
Mentor and develop peers in data engineering best practices  
Participate in code reviews, design discussions, and team planning  
Improve self\-service access to data for business users  
Enhance code quality and dependency management  
Automate manual processes to increase efficiency  
Identify and resolve root causes of complex data problems  
A day in the life  
At AWS, the Data Engineer fully embraces the "You Build It, You Own It" philosophy, taking complete ownership of data solutions from conception through deployment and ongoing maintenance. You design architectures, implement pipelines, and remain responsible for their health and evolution as business needs change.  
Each day begins with reviewing pipeline alerts and data quality metrics, followed by a 15\-30 minute team stand\-up to align on priorities and discuss blockers. You'll spend time monitoring infrastructure, reviewing logs for ETL pipeline health and data lake performance, then dedicate time to address stakeholder queries and prioritizing incoming requests via email, Slack and intake forms. The majority of your time is spent developing and maintaining ETL pipelines that ingest infrastructure operational data from global data centers, which includes writing code, debugging issues, optimizing queries, and implementing quality checks. The role requires frequent context switching between developing new data models, supporting existing infrastructure, and consulting on data utilization.  
Key challenges you'll tackle include unifying and understanding fragmented data from diverse data center systems, enabling infrastructure monitoring, supporting analytics for capacity planning, driving optimization through data insights, automating manual processes, creating self\-service access for business users, maintaining quality across massive datasets, ensuring compliance with strict security requirements, designing for scale as AWS expands globally, and modernizing legacy systems to reduce technical debt.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data engineering experience
* 3\+ years of developing and operating large\-scale data structures for business intelligence analytics using ETL/ELT processes experience
* Experience with data modeling, warehousing and building ETL pipelines
* Experience in at least one modern scripting or programming language, such as Python, Java, Scala, or NodeJS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Knowledge of batch and streaming data architectures like Kafka, Kinesis, Flink, Storm, Beam
* Experience working on and delivering end to end projects independently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\- 132,100\.00 \- 178,800\.00 USD annually</t>
        </is>
      </c>
    </row>
    <row r="11">
      <c r="A11" t="inlineStr">
        <is>
          <t>in-f1e42db5ed8b8e76</t>
        </is>
      </c>
      <c r="B11" t="inlineStr">
        <is>
          <t>Principal Data Engineer – R01560587</t>
        </is>
      </c>
      <c r="C11" t="inlineStr">
        <is>
          <t>Brillio LLC</t>
        </is>
      </c>
      <c r="D11" t="inlineStr">
        <is>
          <t>indeed</t>
        </is>
      </c>
      <c r="E11">
        <f>HYPERLINK("https://www.indeed.com/viewjob?jk=f1e42db5ed8b8e76", "https://www.indeed.com/viewjob?jk=f1e42db5ed8b8e76")</f>
        <v/>
      </c>
      <c r="F11">
        <f>HYPERLINK("https://careers.brillio.com/job-details?job-id=20871", "https://careers.brillio.com/job-details?job-id=20871")</f>
        <v/>
      </c>
      <c r="G11" t="inlineStr">
        <is>
          <t>San Francisco, CA, US</t>
        </is>
      </c>
      <c r="H11" s="2" t="n">
        <v>46057</v>
      </c>
      <c r="I11" t="inlineStr">
        <is>
          <t>**Principal Data Engineer \- R01560587**
========================================
**Principal Data Engineer**###### **Primary Skills**
* Snowflake data architecture and data engineering
* ETL Fundamentals, Zero Copy Cloning, SQL, SQL (Basic \+ Advanced), Python, Data Warehousing, Snowflake Data Exchange, Time Travel and Fail Safe, Snowpipe, SnowSQL, Modern Data Platform Fundamentals, Data Modelling Fundamentals, PLSQL, T\-SQL, Stored Procedures
###### **Job requirements**
Experience Range: 12 \- 15 years of experience, including significant hands\-on expertise in Snowflake data architecture and data engineering  
* 
Key Responsibilities:
* Design and implement scalable Snowflake data architectures to support enterprise data warehousing and analytics needs
* Optimize Snowflake performance through advanced tuning, warehousing strategies, and efficient data sharing solutions
* Develop robust data pipelines using Python and DBT, including modeling, testing, macros, and snapshot management
* Implement and enforce security best practices such as RBAC, data masking, and row\-level security across cloud data platforms
* Architect and manage AWS\-based data solutions leveraging S3, Redshift, Lambda, Glue, EC2, and IAM for secure and reliable data operations
* Orchestrate and monitor complex data workflows using Apache Airflow, including DAG design, operator configuration, and scheduling
* Utilize version control systems such as Git to manage codebase and facilitate collaborative data engineering workflows
Integrate and process high\-volume data using Apache ecosystem tools such as Spark, Kafka, and Hive, with an understanding of Hadoop environments  
* 
Required Skills:
* Advanced hands\-on experience with Snowflake, including performance tuning and warehousing strategies
* Expertise in Snowflake security features such as RBAC, data masking, and row\-level security
* Proficiency in advanced Python programming for data engineering tasks
* In\-depth knowledge of DBT for data modeling, testing, macros, and snapshot management
* Strong experience with AWS services including S3, Redshift, Lambda, Glue, EC2, and IAM
* Extensive experience designing and managing Apache Airflow DAGs and scheduling workflows
* Proficiency in version control using Git for collaborative development
* Hands\-on experience with Apache Spark, Kafka, and Hive
* Solid understanding of Hadoop ecosystem
* Expertise in SQL (basic and advanced), including SnowSQL, PLSQL, and T\-SQL
Strong requirement understanding, presentation, and documentation skills; ability to translate business needs into clear, structured functional/technical documents and present them effectively to stakeholders.  
* 
Preferred Skills:
* Experience with Salesforce Data Cloud integration
* Familiarity with data cataloging tools such as Alation
* Exposure to real\-time streaming architectures
* Experience working in multi\-cloud environments
* Knowledge of DevOps or DataOps practices
Certifications in data cloud technologies  
* 
Desired Qualifications:
* Bachelor’s or Master’s degree in Computer Science, Information Technology, Engineering, or a related field
* Relevant certifications in Snowflake, AWS, or data engineering technologies are highly desirable
**Salary: 140\-150 USD per year salary**</t>
        </is>
      </c>
    </row>
    <row r="12">
      <c r="A12" t="inlineStr">
        <is>
          <t>in-d089f8ae05b9ae91</t>
        </is>
      </c>
      <c r="B12" t="inlineStr">
        <is>
          <t>Data Engineer</t>
        </is>
      </c>
      <c r="C12" t="inlineStr">
        <is>
          <t>CGC Group</t>
        </is>
      </c>
      <c r="D12" t="inlineStr">
        <is>
          <t>indeed</t>
        </is>
      </c>
      <c r="E12">
        <f>HYPERLINK("https://www.indeed.com/viewjob?jk=d089f8ae05b9ae91", "https://www.indeed.com/viewjob?jk=d089f8ae05b9ae91")</f>
        <v/>
      </c>
      <c r="F12">
        <f>HYPERLINK("https://candidateportalnew.ceipal.com/job-details/KIm2RknWxmFYZmx3MSeoINi_LOUnmR1Y6UjJlDVYU7o#.job_boards.Indeed", "https://candidateportalnew.ceipal.com/job-details/KIm2RknWxmFYZmx3MSeoINi_LOUnmR1Y6UjJlDVYU7o#.job_boards.Indeed")</f>
        <v/>
      </c>
      <c r="G12" t="inlineStr">
        <is>
          <t>Miami, FL, US</t>
        </is>
      </c>
      <c r="H12" s="2" t="n">
        <v>46057</v>
      </c>
      <c r="I12" t="inlineStr">
        <is>
          <t>The Data Engineer is responsible for structuring, organizing, and analyzing operational and related data to support effective analysis and enable data\-driven decision\-making across the global operations team. This position advises and guides end users on the best tools to conduct analyses, interpret data, and implement best practices for end\-to\-end data projects. The Data Engineer acts as a key liaison between analytics and various operational areas to ensure data needs are met.
**Key Responsibilities:**
* Transform raw data from various sources into curated, user\-friendly datasets for operational teams. (30%)
* Maintain and optimize existing SQL jobs, processes, and datasets using industry best practices. (30%)
* Provide data support to teams and embedded analysts; interface with strategic customers as required. (15%)
* Monitor SQL processes to ensure data objects are refreshed correctly and on time. (15%)
* Develop effective tools, reports, and dashboards for business monitoring. (5%)
* Perform other duties as assigned. (5%)
* Adhere to corporate policies and procedures, including Code of Conduct and audit requirements.
**Knowledge, Skills \&amp; Abilities:**
* Expertise in relational databases, stored procedures, functions, and jobs.
* Strong software skills, especially in complex query writing and analytical functions.
* Familiarity with Apex and Tableau is a plus.
* Ability to work hands\-on with analysis as well as manage analytical projects.
* Strong analytical, problem\-solving, and research skills.
* High attention to detail and accuracy.
* Effective communication skills for presenting concepts or hypotheses.
* Self\-motivated with the ability to work independently.
* Strong time management and adaptability skills.
**Qualifications:**
* Bachelor's degree in Data Science, Statistics, Computer Science, or related discipline.
* 3 years of database experience or equivalent combination of education and experience.
* Experience structuring, organizing, and analyzing data to support effective analysis and data\-driven decision\-making.
* Experience advising and guiding teams on best practices for data analysis.
* Comfortable working hybrid.
* Comfortable in a temporary role.
**Compensation \&amp; Benefits:**
* **$45\.00/hour**, paid weekly on Fridays.
* Eligible for benefits including: Dental, Vision, Short\- \&amp; Long\-Term Disability, Voluntary Life \&amp; AD\&amp;D, Accident, Critical Illness, Hospital Indemnity, Health Advocate EAP, Health Equity Commuter Benefits, ZayZoon, and 401(k).
*We are an equal opportunity employer and prohibit discrimination/harassment without regard to race, color, religion, age, sex, national origin, disability status, genetics, protected veteran status, sexual orientation, gender identity or expression, or any other characteristic protected by federal, state, or local laws*</t>
        </is>
      </c>
    </row>
    <row r="13">
      <c r="A13" t="inlineStr">
        <is>
          <t>in-ffc16af76868fba5</t>
        </is>
      </c>
      <c r="B13" t="inlineStr">
        <is>
          <t>Data Engineer</t>
        </is>
      </c>
      <c r="C13" t="inlineStr">
        <is>
          <t>CACI International</t>
        </is>
      </c>
      <c r="D13" t="inlineStr">
        <is>
          <t>indeed</t>
        </is>
      </c>
      <c r="E13">
        <f>HYPERLINK("https://www.indeed.com/viewjob?jk=ffc16af76868fba5", "https://www.indeed.com/viewjob?jk=ffc16af76868fba5")</f>
        <v/>
      </c>
      <c r="F13">
        <f>HYPERLINK("https://careers.caci.com/global/en/job/CACIGLOBAL321892EXTERNALENGLOBAL/Data-Engineer?utm_source=indeed&amp;utm_medium=phenom-feeds", "https://careers.caci.com/global/en/job/CACIGLOBAL321892EXTERNALENGLOBAL/Data-Engineer?utm_source=indeed&amp;utm_medium=phenom-feeds")</f>
        <v/>
      </c>
      <c r="G13" t="inlineStr">
        <is>
          <t>Aberdeen Proving Ground, MD, US</t>
        </is>
      </c>
      <c r="H13" s="2" t="n">
        <v>46057</v>
      </c>
      <c r="I13" t="inlineStr">
        <is>
          <t>Job Title: Data Engineer
Job Category: Information Technology
Time Type: Full time
Minimum Clearance Required to Start: Secret
Employee Type: Regular
Percentage of Travel Required: Up to 10%
Type of Travel: Continental US
\* \* \***Exciting Career Opportunity: Data Architecture Expert**
**Join Our Innovative Team and Drive Data\-Driven Solutions!**
Are you a data architecture enthusiast with a passion for cloud technologies? We have an outstanding opportunity for a Data Architecture Expert to join our team and provide subject matter expertise to our Army client stakeholders and senior management. This is your chance to be at the forefront of data innovation, working on projects that have a profound impact.
**Responsibilities:**
* **Collaborate and Innovate:** Work closely with Army stakeholders to understand their business requirements and translate them into robust data architecture strategies and solutions.
* **Design the Future:** Create and develop prototypes of scalable, secure, and high\-performing data architectures, both on\-premises and in the cloud, leveraging the latest cloud technologies and services.
* **Build Together:** Partner with data engineers, data scientists, and IT professionals to design and implement data pipelines, data transformation processes, and data integration solutions.
* **Ensure Data Governance:** Implement data governance principles and best practices, including data quality controls, data privacy, and compliance, to maintain the integrity and security of data.
* **Optimize and Thrive:** Continuously monitor and optimize data platforms for performance, scalability, and cost efficiency, troubleshooting any issues that may arise with precision.
* **Stay Ahead of the Curve:** Keep up\-to\-date with the latest trends and advancements in data architecture and cloud technologies. Communicate the impact of these trends to Army stakeholders and advise on potential opportunities.
* **Mentor and Grow:** Provide guidance and mentorship to junior team members, fostering a collaborative and learning\-oriented culture.
**Qualifications:**
**Required:**
* **Educational Background:** A Bachelor's degree in Computer Science, Computer Engineering, Electrical Engineering, or a related field.
* **Experience:** At least 5 years of experience in software development, cloud engineering, or data engineering.
* **Data Architecture Expertise:** Significant experience and understanding of large data architectures such as Data Mesh, Data Fabric, Data Lakes, and Data Warehouses.
* **Security Clearance:** DoD Secret clearance with the ability to obtain a DoD Top Secret Clearance.
**Desired:**
* Master's degree in Computer Science, Computer Engineering, Electrical Engineering, or a related field.
* DoD Top Secret Clearance.
* Experience with ETL tools, message brokers, and API gateways for use with streaming or event\-based data (e.g., Apache NiFi, Kafka, Talend, Informatica).
* Strong knowledge of Linux and scripting languages such as PowerShell.
* Deep experience with data concepts including structured, semi\-structured, and unstructured data, data schemas, data storage, and ontologies.
* Experience with cloud platforms (AWS, Azure, Google) to leverage cloud services for scalable and flexible data solutions.
* Knowledge of programming languages (Python, Java).
* Experience with data processing and visualization tools (e.g., PowerBI, Kibana).
* Experience in working in Agile methodology.
**Why Join Us?**
* **Impactful Work:** Contribute to projects that directly support national security and defense operations.
* **Innovative Environment:** Be part of a forward\-thinking team that embraces the latest technologies and practices.
* **Professional Growth:** Enjoy mentorship opportunities, continuous learning, and career advancement in a supportive and dynamic workplace.
* **Collaborative Culture:** Work with a diverse group of experts who value teamwork, creativity, and excellence.
**Ready to Take the Next Step?**
If you’re excited about the opportunity to shape the future of data architecture and make a significant impact, we’d love to hear from you. Apply now and join our team of dedicated professionals!
* 
**\_\_\_\_\_\_\_\_\_\_\_\_\_\_\_\_\_\_\_\_\_\_\_\_\_\_\_\_\_\_\_\_\_\_\_\_\_\_\_\_\_\_\_\_\_\_\_\_\_\_\_\_\_\_\_\_\_\_\_\_\_\_\_\_\_\_\_\_\_\_\_\_\_**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**Your potential is limitless.** So is ours.
**\_\_\_\_\_\_\_\_\_\_\_\_\_\_\_\_\_\_\_\_\_\_\_\_\_\_\_\_\_\_\_\_\_\_\_\_\_\_\_\_\_\_\_\_\_\_\_\_\_\_\_\_\_\_\_\_\_\_\_\_\_\_\_\_\_\_\_\_\_\_\_\_\_**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The proposed salary range for this position is:
$99,300 \- 208,600 USD*CACI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14">
      <c r="A14" t="inlineStr">
        <is>
          <t>in-e0f4e0ce9e01655c</t>
        </is>
      </c>
      <c r="B14" t="inlineStr">
        <is>
          <t>Data Engineer</t>
        </is>
      </c>
      <c r="C14" t="inlineStr">
        <is>
          <t>HARAMAIN SYSTEMS INC.</t>
        </is>
      </c>
      <c r="D14" t="inlineStr">
        <is>
          <t>indeed</t>
        </is>
      </c>
      <c r="E14">
        <f>HYPERLINK("https://www.indeed.com/viewjob?jk=e0f4e0ce9e01655c", "https://www.indeed.com/viewjob?jk=e0f4e0ce9e01655c")</f>
        <v/>
      </c>
      <c r="F14">
        <f>HYPERLINK("https://jsco.re/h60ac", "https://jsco.re/h60ac")</f>
        <v/>
      </c>
      <c r="G14" t="inlineStr">
        <is>
          <t>Jersey City, NJ, US</t>
        </is>
      </c>
      <c r="H14" s="2" t="n">
        <v>46057</v>
      </c>
      <c r="I14" t="inlineStr">
        <is>
          <t>**Role : Data Engineer**
**Location : New Jersey, NJ onsite**
**Long term contract**
**Visa : USC and GC holders can apply**
About the Role We are looking for a highly skilled Senior Data Engineer with strong expertise in PySpark, Python, SQL, and database technologies, along with exposure to Data Science, AI/ML techniques. The ideal candidate will design and optimize scalable data pipelines, collaborate with cross\-functional teams, and contribute to the development of analytical and machine learning–driven solutions.
**Key Responsibilities**
**Data Engineering \&amp; Pipeline Development**
* Design, develop, and optimize large\-scale ETL/ELT pipelines using PySpark and distributed data processing frameworks.
* Build high\-performance data ingestion workflows from diverse structured and unstructured sources.
* Implement scalable data models, data marts, and warehousing solutions.
 **Programming \&amp; Database Expertise**
* Write clean, modular, and optimized code using Python for data processing and automation.
* Develop complex SQL queries, stored procedures, and performance\-tuned database operations.
* Work with relational and NoSQL databases (e.g., MySQL, PostgreSQL, SQL Server, MongoDB, etc.).
 **Data Science \+ AI/ML Collaboration**
* Partner with Data Science teams to productionize ML models and enable ML\-driven pipelines.
* Contribute to model deployment, feature engineering, and ML workflow optimization.
* Integrate ML models into scalable data platforms.
 **Architecture \&amp; Best Practices**
* Ensure data quality, reliability, lineage, and governance across data workflows.
* Drive best practices in coding, testing, CI/CD, and cloud\-based deployments.
* Work with cross‑functional teams to translate business requirements into robust data solutions.
 **Required Skills \&amp; Qualifications**
* 5\+ years of experience in Data Engineering with strong hands\-on work in PySpark.
* Strong proficiency in Python, including libraries for data processing.
* Advanced knowledge of SQL and performance optimization techniques.
* Experience with distributed data systems (Spark, Databricks, Hive, or similar).
* Exposure to AI/ML workflows, including model deployment or MLOps.
* Solid understanding of data modeling, warehousing concepts, and ETL/ELT architectures.
 **Good to Have**
* US Healthcare domain experience (HIPAA, claims data, EHR/EMR, HL7, FHIR, etc.).
* Experience with cloud platforms (Azure, AWS, GCP).
* Knowledge of MLflow, Airflow, or similar tools.</t>
        </is>
      </c>
    </row>
    <row r="15">
      <c r="A15" t="inlineStr">
        <is>
          <t>in-641eadecd85cbdb2</t>
        </is>
      </c>
      <c r="B15" t="inlineStr">
        <is>
          <t>Associate Data Engineer</t>
        </is>
      </c>
      <c r="C15" t="inlineStr">
        <is>
          <t>Covista</t>
        </is>
      </c>
      <c r="D15" t="inlineStr">
        <is>
          <t>indeed</t>
        </is>
      </c>
      <c r="E15">
        <f>HYPERLINK("https://www.indeed.com/viewjob?jk=641eadecd85cbdb2", "https://www.indeed.com/viewjob?jk=641eadecd85cbdb2")</f>
        <v/>
      </c>
      <c r="F15">
        <f>HYPERLINK("https://click.appcast.io/t/Xg4oTFcQl-S9QF1f0mR-jpwE58LbmLsixUtF-dWH09Q=", "https://click.appcast.io/t/Xg4oTFcQl-S9QF1f0mR-jpwE58LbmLsixUtF-dWH09Q=")</f>
        <v/>
      </c>
      <c r="G15" t="inlineStr">
        <is>
          <t>Lisle, IL, US</t>
        </is>
      </c>
      <c r="H15" s="2" t="n">
        <v>46057</v>
      </c>
      <c r="I15" t="inlineStr">
        <is>
          <t>Company Description
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
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
We operate on a hybrid schedule with four in\-office days per week (Monday–Thursday). This approach enhances creativity, innovation, communication, and relationship\-building, fostering a dynamic and collaborative work environment.
For more information, visit covista.com and follow us on LinkedIn, Instagram and YouTube.
Job Description
Covista is a data driven organization. The Data Engineering team builds data solutions that powers strategic and tactical business decisions and supports the Analytics and Artificial Intelligence operations. By implementing the data platform, data pipelines and data governance policies this team provides the basis for decision\-making in Covista. Covista is looking for a Senior Data Engineer who is a technical powerhouse who can scale our data platform to meet ever growing business needs.
* Work closely with various business, IT, Analyst and Data Science groups to collect business requirements.
* Work closely with Senior Data Engineers in the design \&amp; development phase and follow the CI/CD deployment pipeline.
* Collaborate with senior data engineers and develop optimal data solutions by applying the business logic and building objects in the semantic layer of the data warehouse.
* Follow the documentation standards and document the design and support strategy of all the data pipelines.
* Collaborate with senior data engineers to capture, store, and socialize data lineage and operational metadata.
* Play a crucial role in solving data pipeline issues and communicate the impact \&amp; status to stakeholders.
* Understand the pipeline flow, dependencies, origins and service levels of data systems to continuously improve the accuracy, timeliness, and availability of data.
* Performs other duties as assigned.
* Complies with all policies and standards.
Qualifications
* Bachelor's Degree Bachelor's Degree in Computer Science, Computer Engineering, Software Engineering, or other related technical field Required
* One (1\) plus year Experience in data engineering solutions such as data platforms, ingestion, data management, or analytics.
* One (1\) plus year Experience in any cloud platform (GCP, AWS, Azure).
* Excellent knowledge on SQL and Python programming.
* Experience working with Airflow as workflow management tools and build operators to connect, extract and ingest data as needed.
* Experience in tuning queries for performance and scalability.
* Excellent problem\-solving and critical\-thinking skills to recognize and comprehend complex data issues affecting the business environment.
Additional Information
*In support of the pay transparency laws enacted across the country, the expected salary range for this position is between $64,225\.00 and $116,083\.75\. Actual pay will be adjusted based on job\-related factors permitted by law, such as experience and training; geographic location; licensure and certifications; market factors; departmental budgets; and responsibility. Our Talent Acquisition Team will be happy to answer any questions you may have, and we look forward to learning more about your salary requirements. The position qualifies for the below benefits.*  
*Covista offers a robust suite of benefits including:*
* *Health, dental, vision, life and disability insurance*
* *401k Retirement Program \+ 6% employer match*
* *Participation in Covista's Flexible Time Off (FTO) Policy*
* *12 Paid Holidays*  
*For more information related to our benefits please visit:* *https://careers.covista.com/benefits*
Equal Opportunity – Minority / Female / Disability / V / Gender Identity / Sexual Orientation</t>
        </is>
      </c>
    </row>
    <row r="16">
      <c r="A16" t="inlineStr">
        <is>
          <t>in-806d45b68c4280fb</t>
        </is>
      </c>
      <c r="B16" t="inlineStr">
        <is>
          <t>Data Engineer</t>
        </is>
      </c>
      <c r="C16" t="inlineStr">
        <is>
          <t>Covista</t>
        </is>
      </c>
      <c r="D16" t="inlineStr">
        <is>
          <t>indeed</t>
        </is>
      </c>
      <c r="E16">
        <f>HYPERLINK("https://www.indeed.com/viewjob?jk=806d45b68c4280fb", "https://www.indeed.com/viewjob?jk=806d45b68c4280fb")</f>
        <v/>
      </c>
      <c r="F16">
        <f>HYPERLINK("https://click.appcast.io/t/mzOp3TuCLlrk3i3Vv-4ft6y7QDewZIKqKo06u3Irmm8=", "https://click.appcast.io/t/mzOp3TuCLlrk3i3Vv-4ft6y7QDewZIKqKo06u3Irmm8=")</f>
        <v/>
      </c>
      <c r="G16" t="inlineStr">
        <is>
          <t>Lisle, IL, US</t>
        </is>
      </c>
      <c r="H16" s="2" t="n">
        <v>46057</v>
      </c>
      <c r="I16" t="inlineStr">
        <is>
          <t>Company Description
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
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
We operate on a hybrid schedule with four in\-office days per week (Monday–Thursday). This approach enhances creativity, innovation, communication, and relationship\-building, fostering a dynamic and collaborative work environment.
For more information, visit covista.com and follow us on LinkedIn, Instagram and YouTube.
Job Description
Covista is a data driven organization. The Data Engineering team builds data solutions that powers strategic and tactical business decisions and supports the Analytics and Artificial Intelligence operations. By implementing data platform, data pipelines and data governance policies this team provide the basis for decision\-making in Covista.
* Work closely with various business, IT, Analyst and Data Science groups to collect business requirements. Design, develop, deploy and support high performance data pipelines both inbound and outbound.
* Develop the data platform by applying the business logic and building objects in the semantic layer of data warehouse.
* Optimize data pipelines for performance, scalability, and reliability. Ensure quality of critical data elements, prepare data quality remediation plans and collaborate with business and system owners to fix the quality issues at its root.
* Document the design and support strategy of the data pipelines
* Capture, store and socialize data lineage and operational metadata. Troubleshoot and resolve data engineering issues as they arise.
* Performs other duties as assigned.
* Complies with all policies and standards.
Qualifications
* Bachelor's Degree Computer Science, Computer Engineering, Software Engineering, or other related technical field Required
* Master's Degree Computer Science, Computer Engineering, Software Engineering, or other related technical field Preferred
* Three (3\) plus years experience in data engineering solutions such as data platforms, ingestion, data management, or publication/analytics Required and
* One (1\) plus year experience in Google cloud with services like BigQuery, Composer, GCS, DataStream, Dataflows Required
* Expert knowledge on SQL and Python programming
* Experience working with Airflow as workflow management tools and build operators to connect, extract and ingest data as needed.
* Experience in tuning queries for performance and scalability
* Experience in Real Time Data Ingestion using GCP PubSub, Kafka, Spark or similar.
* Excellent problem\-solving and critical\-thinking skills to recognize and comprehend complex data issues affecting the business environment.
Additional Information
*In support of the pay transparency laws enacted across the country, the expected salary range for this position is between $74,064\.94 and $133,901\.96\. Actual pay will be adjusted based on job\-related factors permitted by law, such as experience and training; geographic location; licensure and certifications; market factors; departmental budgets; and responsibility. Our Talent Acquisition Team will be happy to answer any questions you may have, and we look forward to learning more about your salary requirements. The position qualifies for the below benefits.*  
*Covista offers a robust suite of benefits including:*
* *Health, dental, vision, life and disability insurance*
* *401k Retirement Program \+ 6% employer match*
* *Participation in Covista’s Flexible Time Off (FTO) Policy*
* *12 Paid Holidays*  
*For more information related to our benefits please visit:* *https://careers.covista.com/benefits*  
*You are also eligible to participate in an annual incentive program, subject to the rules governing the program, whereby an award, if any, depends on various factors, including, without limitation, individual and organizational performance.*
Equal Opportunity – Minority / Female / Disability / V / Gender Identity / Sexual Orientation</t>
        </is>
      </c>
    </row>
    <row r="17">
      <c r="A17" t="inlineStr">
        <is>
          <t>in-20099a4262c0c877</t>
        </is>
      </c>
      <c r="B17" t="inlineStr">
        <is>
          <t>Data Engineer [On-Site]</t>
        </is>
      </c>
      <c r="C17" t="inlineStr">
        <is>
          <t>Regions Financial</t>
        </is>
      </c>
      <c r="D17" t="inlineStr">
        <is>
          <t>indeed</t>
        </is>
      </c>
      <c r="E17">
        <f>HYPERLINK("https://www.indeed.com/viewjob?jk=20099a4262c0c877", "https://www.indeed.com/viewjob?jk=20099a4262c0c877")</f>
        <v/>
      </c>
      <c r="F17">
        <f>HYPERLINK("https://careers.regions.com/us/en/job/RFCOUSR100098ENUSEXTERNAL/Data-Engineer-On-Site?utm_source=indeed&amp;utm_medium=phenom-feeds", "https://careers.regions.com/us/en/job/RFCOUSR100098ENUSEXTERNAL/Data-Engineer-On-Site?utm_source=indeed&amp;utm_medium=phenom-feeds")</f>
        <v/>
      </c>
      <c r="G17" t="inlineStr">
        <is>
          <t>Hoover, AL, US</t>
        </is>
      </c>
      <c r="H17" s="2" t="n">
        <v>46057</v>
      </c>
      <c r="I17" t="inlineStr">
        <is>
          <t>Thank you for your interest in a career at Regions. At Regions, we believe associates deserve more than just a job. We believe in offering performance\-driven individuals a place where they can build a career \-\-\- a place to expect more opportunities. If you are focused on results, dedicated to quality, strength and integrity, and possess the drive to succeed, then we are your employer of choice.
Regions is dedicated to taking appropriate steps to safeguard and protect private and personally identifiable information you submit. The information that you submit will be collected and reviewed by associates, consultants, and vendors of Regions in order to evaluate your qualifications and experience for job opportunities and will not be used for marketing purposes, sold, or shared outside of Regions unless required by law. Such information will be stored in accordance with regulatory requirements and in conjunction with Regions’ Retention Schedule for a minimum of three years. You may review, modify, or update your information by visiting and logging into the careers section of the system.
**Job Description:**  
At Regions, the Data Engineer supports the Data and Analytics organization by designing, optimizing, and developing data pipelines to support machine learning and artificial intelligence (AI) models. The Data Engineer works with a cross functional team of Data Scientists and Software Developers on feature engineering and scoring pipelines. This role supports software developers, database architects, data analysts, and data scientists on data initiatives and ensures optimal data delivery architecture is consistent throughout ongoing projects.
Primary Responsibilities
Partners with Regions Technology partners to Design, Build, and Maintain the data\-based structures and systems in support of Data and Analytics and Data Product use cases
Builds data pipelines to collect and arrange data and manage data storage in Regions’ big data environment
Builds robust, testable programs for moving, transforming, and loading data using big data tools such as Spark
Ensures data is prepared, arranged and ready for each defined business use case
Provides consultation to all areas of the organization that plan to use data to make decisions
Supports any team members in the development of such information delivery and aid in the automation of data products
This position is exempt from timekeeping requirements under the Fair Labor Standards Act and is not eligible for overtime pay.
Requirements
Bachelor's degree and four (4\) years of experience in a quantitative/analytical/STEM field or technical related field
Or Master's degree and two (2\) years of experience in in a quantitative/analytical/STEM field
Or Ph.D. in a quantitative/analytical/STEM field
One (1\) year of working programming experience in Python/PySpark, Scala, SQL
One (1\) year of working experience in Big Data Technology in Hadoop, Hive, Impala, Spark, or Kafka
Preferences
Background in Big Data Engineering and Advanced Data Analytics
Experience developing solutions for the financial services industry
Experience in Agile Software Development
Experience or exposure to cloud technologies and migrations
Prior banking or financial services experience
Skills and Competencies
Experience building data solutions at scale
Experience designing and building relational data structures in multiple environments
Experience with DevOps principals, CI/CD , and Software Development Lifecycle
Experience with No\-SQL databases
Experience working with large\-scale data Lakehouses
Proven record of accomplishment of delivering operational Data solutions including Report and Model Ready Data Assets
Significant experience working with senior executives in the use of data, reporting and visualizations to support strategic and operational decision making
Strong ability to transform and integrate complex data from multiple sources into accessible, understandable, and usable data assets and frameworks
Strong background in synthesizing data and analytics in a large (Fortune 500\), complex, and highly regulated environment
Strong communication skills through written and oral presentations
Strong technical background including database and business intelligence skills
This position is intended to be onsite, now or in the near future . Associates will have regular work hours, including full days in the office three or more days a week. The manager will set the work schedule for this position, including in\-office expectations. Regions will not provide relocation assistance for this position, and relocation would be at your expense. The location available for this role is Birmingham, AL.
Regions will not sponsor applicants for work visas for this position at this time. Applicants for this position must currently be authorized to work in the United States on a full\-time basis.
Position Type Full time
Compensation Details
Pay ranges are job specific and are provided as a point\-of\-market reference for compensation decisions. Other factors which directly impact pay for individual associates include: experience, skills, knowledge, contribution, job location and, most importantly, performance in the job role. As these factors vary by individuals, pay will also vary among individual associates within the same job.
The target information listed below is based on the Metropolitan Statistical Area Market Range for where the position is located and level of the position.
**Job Range Target:**  
**Minimum:** $86,711\.90 USD
**Median:** $119,550\.00 USD
**Incentive Pay Plans:** This job is not incentive eligible.
Benefits Information
Regions offers a benefits package that is flexible, comprehensive and recognizes that "one size does not fit all" for benefits\-eligible associates. Listed below is a synopsis of the benefits offered by Regions for informational purposes, which is not intended to be a complete summary of plan terms and conditions.
Paid Vacation/Sick Time
401K with Company Match
Medical, Dental and Vision Benefits
Disability Benefits
Health Savings Account
Flexible Spending Account
Life Insurance
Parental Leave
Employee Assistance Program
Associate Volunteer Program
Please note, benefits and plans may be changed, amended, or terminated with respect to all or any class of associate at any time. To learn more about Regions’ benefits, please click or copy the link below to your browser.
https://www.regions.com/about\-regions/welcome\-portal/benefits
Location Details Riverchase Operations Center
**Location:** Hoover, Alabama
Equal Opportunity Employer/including Disabled/Veterans
Job applications at Regions are accepted electronically through our career site for a minimum of five business days from the date of posting. Job postings for higher\-volume positions may remain active for longer than the minimum period due to business need and may be closed at any time thereafter at the discretion of the company.</t>
        </is>
      </c>
    </row>
    <row r="18">
      <c r="A18" t="inlineStr">
        <is>
          <t>in-d615674d444018f5</t>
        </is>
      </c>
      <c r="B18" t="inlineStr">
        <is>
          <t>(USA) Senior, Data Engineer</t>
        </is>
      </c>
      <c r="C18" t="inlineStr">
        <is>
          <t>Walmart</t>
        </is>
      </c>
      <c r="D18" t="inlineStr">
        <is>
          <t>indeed</t>
        </is>
      </c>
      <c r="E18">
        <f>HYPERLINK("https://www.indeed.com/viewjob?jk=d615674d444018f5", "https://www.indeed.com/viewjob?jk=d615674d444018f5")</f>
        <v/>
      </c>
      <c r="F18">
        <f>HYPERLINK("https://click.appcast.io/t/6532QBlEBllBU57Fi8rleZzgBkpyirDI80EOllSqMXQ=", "https://click.appcast.io/t/6532QBlEBllBU57Fi8rleZzgBkpyirDI80EOllSqMXQ=")</f>
        <v/>
      </c>
      <c r="G18" t="inlineStr">
        <is>
          <t>Dallas, TX, US</t>
        </is>
      </c>
      <c r="H18" s="2" t="n">
        <v>46056</v>
      </c>
      <c r="I18" t="inlineStr">
        <is>
          <t>**Position Summary...**
-----------------------
**What you'll do...**
---------------------
**Role summary:**  
As a Senior Data Engineer at Walmart, you will build and optimize scalable data pipelines and models that power critical business insights. You’ll leverage cloud technologies, automation, and modern data engineering practices to transform complex datasets into reliable, high‑quality assets. Partnering closely with cross‑functional teams, you’ll translate business needs into robust technical solutions that improve data accessibility, performance, and governance. This role requires strong technical expertise, a passion for solving complex data challenges, and the ability to drive innovation within a fast‑moving enterprise environment.  
**About the team:**  
We’re a small but high‑impact Data Engineering team building the data foundations that power measurement and feature innovation for our advertising products. Operating at the intersection of engineering, analytics, and product strategy, we deliver scalable pipelines and accurate performance insights that drive data‑informed decisions. Our agility and end‑to‑end ownership set us apart—we move quickly, collaborate closely across functions, and build systems that directly influence how advertisers measure success and how new ad features evolve. If you want to build reliable, scalable data systems with visible impact, this is the team for you.  
**What you'll do:**
* Design and build scalable data pipelines and models using **Databricks, PySpark, and SQL**.
* Integrate and transform data from multiple sources with strong **quality, observability, and governance**.
* Orchestrate and automate workflows using **Airflow** and **CI/CD pipelines** in GitHub Actions.
* Develop and maintain infrastructure using **Terraform** and support DevOps tasks such as deployments, monitoring, and environment management.
* Optimize pipelines for reliability, performance, and cost across cloud environments.
* Collaborate with Product, Data Science, and Engineering teams to deliver reliable, scalable, and efficient data solutions.
**What you'll bring:**
* Extensive experience in data engineering, including scalable pipeline development, data integration, and modeling.
* Strong proficiency in **SQL, Python, PySpark, Databricks**, and workflow orchestration with **Airflow**.
* Solid understanding of cloud platforms, especially **Google Cloud Platform**.
* Hands‑on experience with **CI/CD** using GitHub Actions and infrastructure automation with **Terraform**.
* Strong grounding in **data governance, data quality**, and compliance best practices.
* Ability to design resilient data architectures across warehouses, lakes, and streaming systems.
* Proven skill in translating complex business needs into effective data solutions.
* Familiarity with machine learning concepts and how they integrate with data engineering workflows.
* A passion for finding ways to integrate AI and LLMs into daily engineering  
activities and products, while not compromising simplicity and code  
maintainability.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Dallas, Texas US\-11571: The annual salary range for this position is $90,000\.00 \- $180,000\.00
Denver, Colorado US\-11581: The annual salary range for this position is $99,000\.00 \- $198,000\.00 Additional compensation includes annual or quarterly performance bonuses. Additional compensation for certain positions may also include :
* Stock
ㅤ
ㅤ
ㅤ
ㅤ
‎
**Minimum Qualifications...**
-----------------------------
*Outlined below are the required minimum qualifications for this position. If none are listed, there are no minimum qualifications.*
Option 1: Bachelor’s degree in Computer Science and 3 years' experience in software engineering or related field. Option 2: 5 years’ experience in  
software engineering or related field. Option 3: Master's degree in Computer Science and 1 year’s experience in software engineering or related  
field.  
2 years' experience in data engineering, database engineering, business intelligence, or business analytics.**Preferred Qualifications...**
-------------------------------
*Outlined below are the optional preferred qualifications for this position. If none are listed, there are no preferred qualifications.*
Data engineering, database engineering, business intelligence, or business analytics, ETL tools and working with large data sets in the cloud, Master’s degree in Computer Science or related field and 3 years' experience in software engineering,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culture.**Primary Location...**
-----------------------
14901 Quorum Dr, Dallas, TX 75254\-7521,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19">
      <c r="A19" t="inlineStr">
        <is>
          <t>in-2542945f64800cb1</t>
        </is>
      </c>
      <c r="B19" t="inlineStr">
        <is>
          <t>Staff, Data Engineer</t>
        </is>
      </c>
      <c r="C19" t="inlineStr">
        <is>
          <t>Sam's Club</t>
        </is>
      </c>
      <c r="D19" t="inlineStr">
        <is>
          <t>indeed</t>
        </is>
      </c>
      <c r="E19">
        <f>HYPERLINK("https://www.indeed.com/viewjob?jk=2542945f64800cb1", "https://www.indeed.com/viewjob?jk=2542945f64800cb1")</f>
        <v/>
      </c>
      <c r="F19">
        <f>HYPERLINK("https://click.appcast.io/t/quO2dB0a-5ZFIENgm2Ia1uXCiohmPV3genh4cbule4c=", "https://click.appcast.io/t/quO2dB0a-5ZFIENgm2Ia1uXCiohmPV3genh4cbule4c=")</f>
        <v/>
      </c>
      <c r="G19" t="inlineStr">
        <is>
          <t>Sunnyvale, CA, US</t>
        </is>
      </c>
      <c r="H19" s="2" t="n">
        <v>46054</v>
      </c>
      <c r="I19" t="inlineStr">
        <is>
          <t>**Position Summary...**
-----------------------
**What you'll do...**
---------------------
You have a deep interest and passion for technology. You have a passion to drive critical business initiatives with Data. You love writing and owning codes and enjoy working with people who will keep challenging you at every stage. You have strong problem solving, analytic, decision\- making and excellent communication with interpersonal skills. You are self\-driven and motivated with the desire to work in a fast\-paced, results\-driven agile environment with varied responsibilities.  
**About Team:**  
Sam's Club is our membership warehouse club, a business model that provides our members with high\-quality products at prices that are unrivaled by traditional retail. Sam's Club provides a carefully curated assortment of items, as well as developing and leading technologies and services such as Scan \&amp; Go, Club Pickup, and home delivery service in select markets. Sam's Club also provides travel, auto purchasing, pharmacy, optical, hearing aid centers, tire and battery centers, and a portfolio of business operations support services.
* **Set the technical vision and architecture** for scalable, intelligent data platforms that power millions of Sam’s Club customers and enable Agentic AI systems to reason, plan, and act autonomously.
* **Own end\-to\-end data architecture** for agent\-aware systems, ensuring data is discoverable, semantically rich, trustworthy, and optimized for LLMs, co\-pilots, and multi\-agent workflows.
* **Lead cross\-team technical strategy** by partnering with Engineering, AI/ML, Product, and Platform teams to align data roadmaps with long\-term autonomous decision\-making goals.
* **Influence product direction** by working closely with Product Management and Business stakeholders to define high\-impact data products that unlock intelligent automation, recommendations, and self\-optimizing systems.
* **Design foundational capabilities** that unify structured, semi\-structured, and unstructured data into context\-aware representations consumable by AI agents and knowledge systems.
* **Establish best practices and standards** for agent\-ready data modeling, semantic layers, metadata management, and knowledge graph design across the organization.
* **Drive operational excellence** by defining and implementing observability, telemetry, lineage, and auditability patterns tailored for data used in autonomous and regulated AI workflows.
* **Mentor and technically lead senior engineers**, providing architectural guidance, design reviews, and hands\-on support on complex, high\-risk initiatives.
* **Lead full\-lifecycle, multi\-quarter initiatives**, balancing near\-term delivery with long\-term platform scalability and adaptability for evolving AI paradigms.
* **Champion a data\-first, AI\-forward culture**, proactively identifying opportunities to modernize legacy systems and accelerate innovation in intelligent automation.
### **What you’ll bring:**
* **7–10\+ years of experience** in data engineering, building and operating large\-scale, distributed, fault\-tolerant data platforms.
* **Deep expertise in cloud\-native data ecosystems** (GCP or Azure preferred), including services such as BigQuery, Dataflow, Pub/Sub, or equivalent, with experience shaping platform\-level decisions.
* **Proven track record of designing data architectures** that scale across multiple teams and use cases, including batch, streaming, and hybrid systems.
* **Strong understanding of agent\-consumable data patterns**, including semantic modeling, embeddings, knowledge graphs, and context enrichment strategies.
* **Expert\-level skills in data modeling and system design**, with the ability to reason about how schema, latency, and storage choices impact retrieval quality and AI reasoning.
* **Hands\-on experience or strong familiarity with LLM\-enabled systems**, including prompt orchestration, retrieval\-augmented generation (RAG), or agent frameworks (e.g., LangChain, LlamaIndex, CrewAI).
* **Advanced knowledge of data governance and trust frameworks**, including quality, access control, lineage, and compliance—especially for AI auditability.
* **Fluency in Python, Java, or Scala**, with a strong engineering mindset around testability, maintainability, and performance; deep experience with Spark/PySpark.
* **Expert SQL skills** and experience optimizing analytical workloads across massive datasets.
* **Strong systems thinking and technical leadership**, with the ability to influence without authority and drive alignment across organizational boundaries.
* **Experience with real\-time and analytical tooling** such as Kafka, Spark Streaming, Druid, Presto, and how they fit into modern data and AI architectures.
At Sam's Club, we offer competitive pay as well as performance\-based bonus awards and other great benefits for a happier mind, body, and wallet!  
* **Health benefits** include medical, vision and dental coverage
* **Financial benefits** include 401(k), stock purchase and company\-paid life insurance
* **Paid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 **Other benefits** include short\-term and long\-term disability, company discounts, Military Leave Pay, adoption and surrogacy expense reimbursement, and more.
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$143,000\.00 \- $286,000\.00  
Additional compensation includes annual or quarterly performance bonuses.  
Additional compensation for certain positions may also include Regional Pay Zone (RPZ) (based on location). At Sam's Club,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 Other benefits** include short\-term and long\-term disability, company discounts, Military Leave Pay, adoption and surrogacy expense reimbursement, and more.
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$143,000\.00 \- $286,000\.00 Additional compensation includes annual or quarterly performance bonuses. Additional compensation for certain positions may also include Regional Pay Zone (RPZ) (based on location).
ㅤ
ㅤ
ㅤ
ㅤ
‎
**Minimum Qualifications...**
-----------------------------
*Outlined below are the required minimum qualifications for this position. If none are listed, there are no minimum qualifications.*
Option 1: Bachelor’s degree in Computer Science and 4 years' experience in software engineering or related field. Option 2: 6 years’ experience in software engineering or related field. Option 3: Master's degree in Computer Science and 2 years' experience in software engineering or related field.  
3 years' experience in data engineering, database engineering, business intelligence, or business analytics.**Preferred Qualifications...**
-------------------------------
*Outlined below are the optional preferred qualifications for this position. If none are listed, there are no preferred qualifications.*
Data engineering, database engineering, business intelligence, or business analytics, ETL tools and working with large data sets in the cloud, Master’s degree in Computer Science or related field and 4 years' experience in software engineering or related field,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culture.**Primary Location...**
-----------------------
815 Eleventh Ave, Sunnyvale, CA 94089\-4731,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20">
      <c r="A20" t="inlineStr">
        <is>
          <t>in-409ed6969469181d</t>
        </is>
      </c>
      <c r="B20" t="inlineStr">
        <is>
          <t>Senior, Data Engineer</t>
        </is>
      </c>
      <c r="C20" t="inlineStr">
        <is>
          <t>Sam's Club</t>
        </is>
      </c>
      <c r="D20" t="inlineStr">
        <is>
          <t>indeed</t>
        </is>
      </c>
      <c r="E20">
        <f>HYPERLINK("https://www.indeed.com/viewjob?jk=409ed6969469181d", "https://www.indeed.com/viewjob?jk=409ed6969469181d")</f>
        <v/>
      </c>
      <c r="F20">
        <f>HYPERLINK("https://click.appcast.io/t/yhUl4Z1jIPE6vpIlwr1W4I3eQ9ItHqzThqWpTAEGyH8=", "https://click.appcast.io/t/yhUl4Z1jIPE6vpIlwr1W4I3eQ9ItHqzThqWpTAEGyH8=")</f>
        <v/>
      </c>
      <c r="G20" t="inlineStr">
        <is>
          <t>Sunnyvale, CA, US</t>
        </is>
      </c>
      <c r="H20" s="2" t="n">
        <v>46054</v>
      </c>
      <c r="I20" t="inlineStr">
        <is>
          <t>**Position Summary...**
-----------------------
**What you'll do...**
---------------------
You have a deep interest and passion for technology. You have a passion to drive critical business initiatives with Data. You love writing and owning codes and enjoy working with people who will keep challenging you at every stage. You have strong problem solving, analytic, decision\- making and excellent communication with interpersonal skills. You are self\-driven and motivated with the desire to work in a fast\-paced, results\-driven agile environment with varied responsibilities.
**About Team:**  
Sam's Club is our membership warehouse club, a business model that provides our members with high\-quality products at prices that are unrivaled by traditional retail. Sam's Club provides a carefully curated assortment of items, as well as developing and leading technologies and services such as Scan \&amp; Go, Club Pickup, and home delivery service in select markets. Sam's Club also provides travel, auto purchasing, pharmacy, optical, hearing aid centers, tire and battery centers, and a portfolio of business operations support services.  
**What you'll do:**
* Design, build, test, and deploy **scalable, intelligent data solutions** that support millions of Sam’s Club customers—while laying the groundwork for **Agentic AI systems** that consume and act on this data.
* Partner with engineering, AI/ML, and product teams to ensure **data services are discoverable, trustworthy, and consumable** by next\-gen AI agents and LLM\-based systems.
* Collaborate across Sam’s Club engineering teams to contribute to a **data\-first, agent\-aware architecture** and foster a culture of innovation around intelligent automation.
* Engage with Product Management and Business teams to prioritize data products that will drive **autonomous decision\-making** and **context\-rich recommendations**.
* Build features that **enable seamless integration between structured/unstructured data and downstream AI agents**, enabling smarter responses, faster insights, and automation.
* Deploy and monitor products on **cloud platforms with agent observability**, telemetry, and auditability in mind.
* Develop and implement best\-in\-class **data health monitoring, traceability, and context enrichment** processes to ensure data used by agents is reliable and governed.
* Lead technical solutioning for full\-lifecycle projects, with an eye on how data will power **autonomous workflows, co\-pilots, and multi\-agent systems**.
**What you'll bring:**
* **4–6 years of experience** in Big Data development with a focus on **scalable, fault\-tolerant** architectures.
* **2–3 years of hands\-on experience** with cloud platforms such as **GCP or Azure**, including services like BigQuery, Dataflow, Pub/Sub, or equivalent.
* Strong foundation in **data engineering best practices** and experience building complex data pipelines optimized for **agent consumption**.
* Experience designing and implementing **semantic layers or knowledge graphs** that could power **data\-aware AI agents**.
* Proven experience in **data modeling and architecture**, with awareness of how data structures affect **retrieval quality and contextual relevance** for agents.
* Exposure to **LLM\-driven workflows**, prompt templating, or orchestration tools (e.g., LangChain, LlamaIndex, CrewAI) is beneficial but not required.
* Understanding of **data governance**, including quality, access control, and lineage—especially in the context of **agent auditability and trust**.
* Experience writing clean, testable code in **Python, Java, or Scala**; experience with **PySpark/Spark** for distributed data processing.
* Demonstrated ability to write optimized, scalable SQL and to work with large datasets across cloud\-native and open\-source platforms.
* Familiarity with tools like **Kafka, Spark Streaming, Druid, and Presto**, and how they interact in real\-time or hybrid data systems.
At Sam's Club,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 Other benefits** include short\-term and long\-term disability, company discounts, Military Leave Pay, adoption and surrogacy expense reimbursement, and more.
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$117,000\.00 \- $234,000\.00 Additional compensation includes annual or quarterly performance bonuses. Additional compensation for certain positions may also include Regional Pay Zone (RPZ) (based on location).
ㅤ
ㅤ
ㅤ
ㅤ
‎
**Minimum Qualifications...**
-----------------------------
*Outlined below are the required minimum qualifications for this position. If none are listed, there are no minimum qualifications.*
Option 1: Bachelor’s degree in Computer Science and 3 years' experience in software engineering or related field. Option 2: 5 years’ experience in  
software engineering or related field. Option 3: Master's degree in Computer Science and 1 year’s experience in software engineering or related  
field.  
2 years' experience in data engineering, database engineering, business intelligence, or business analytics.**Preferred Qualifications...**
-------------------------------
*Outlined below are the optional preferred qualifications for this position. If none are listed, there are no preferred qualifications.*
Data engineering, database engineering, business intelligence, or business analytics, ETL tools and working with large data sets in the cloud, Master’s degree in Computer Science or related field and 3 years' experience in software engineering,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culture.**Primary Location...**
-----------------------
1395 Crossman Ave, Sunnyvale, CA 94089\-1114,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21">
      <c r="A21" t="inlineStr">
        <is>
          <t>in-e01dbf3b5875cf28</t>
        </is>
      </c>
      <c r="B21" t="inlineStr">
        <is>
          <t>Data Engineer, Denied Party Screening, AWS Compliance &amp; Security Assurance</t>
        </is>
      </c>
      <c r="C21" t="inlineStr">
        <is>
          <t>Amazon.com</t>
        </is>
      </c>
      <c r="D21" t="inlineStr">
        <is>
          <t>indeed</t>
        </is>
      </c>
      <c r="E21">
        <f>HYPERLINK("https://www.indeed.com/viewjob?jk=e01dbf3b5875cf28", "https://www.indeed.com/viewjob?jk=e01dbf3b5875cf28")</f>
        <v/>
      </c>
      <c r="F21">
        <f>HYPERLINK("https://www.amazon.jobs/jobs/3160403/data-engineer-denied-party-screening-aws-compliance--security-assurance?cmpid=DA_INAD200785B", "https://www.amazon.jobs/jobs/3160403/data-engineer-denied-party-screening-aws-compliance--security-assurance?cmpid=DA_INAD200785B")</f>
        <v/>
      </c>
      <c r="G21" t="inlineStr">
        <is>
          <t>Seattle, WA, US</t>
        </is>
      </c>
      <c r="H21" s="2" t="n">
        <v>46029</v>
      </c>
      <c r="I21"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22">
      <c r="A22" t="inlineStr">
        <is>
          <t>in-f8086688f2f049f4</t>
        </is>
      </c>
      <c r="B22" t="inlineStr">
        <is>
          <t>Data Engineer, Denied Party Screening, AWS Compliance &amp; Security Assurance</t>
        </is>
      </c>
      <c r="C22" t="inlineStr">
        <is>
          <t>Amazon.com</t>
        </is>
      </c>
      <c r="D22" t="inlineStr">
        <is>
          <t>indeed</t>
        </is>
      </c>
      <c r="E22">
        <f>HYPERLINK("https://www.indeed.com/viewjob?jk=f8086688f2f049f4", "https://www.indeed.com/viewjob?jk=f8086688f2f049f4")</f>
        <v/>
      </c>
      <c r="F22">
        <f>HYPERLINK("https://www.amazon.jobs/jobs/3160403/data-engineer-denied-party-screening-aws-compliance--security-assurance?cmpid=DA_INAD200785B", "https://www.amazon.jobs/jobs/3160403/data-engineer-denied-party-screening-aws-compliance--security-assurance?cmpid=DA_INAD200785B")</f>
        <v/>
      </c>
      <c r="G22" t="inlineStr">
        <is>
          <t>Dallas, TX, US</t>
        </is>
      </c>
      <c r="H22" s="2" t="n">
        <v>46029</v>
      </c>
      <c r="I22" t="inlineStr">
        <is>
          <t>**DESCRIPTION**
---------------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professional.**BASIC QUALIFICATIONS**
------------------------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t>
        </is>
      </c>
    </row>
    <row r="23">
      <c r="A23" t="inlineStr">
        <is>
          <t>in-489286029fad4466</t>
        </is>
      </c>
      <c r="B23" t="inlineStr">
        <is>
          <t>Data Engineer</t>
        </is>
      </c>
      <c r="C23" t="inlineStr">
        <is>
          <t>Amazon.com</t>
        </is>
      </c>
      <c r="D23" t="inlineStr">
        <is>
          <t>indeed</t>
        </is>
      </c>
      <c r="E23">
        <f>HYPERLINK("https://www.indeed.com/viewjob?jk=489286029fad4466", "https://www.indeed.com/viewjob?jk=489286029fad4466")</f>
        <v/>
      </c>
      <c r="F23">
        <f>HYPERLINK("https://www.amazon.jobs/jobs/3141339/data-engineer?cmpid=DA_INAD200785B", "https://www.amazon.jobs/jobs/3141339/data-engineer?cmpid=DA_INAD200785B")</f>
        <v/>
      </c>
      <c r="G23" t="inlineStr">
        <is>
          <t>San Francisco, CA, US</t>
        </is>
      </c>
      <c r="H23" s="2" t="n">
        <v>46001</v>
      </c>
      <c r="I2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$118,900/year in our lowest geographic market up to $205,600/year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4">
      <c r="A24" t="inlineStr">
        <is>
          <t>in-946fa765be82a05d</t>
        </is>
      </c>
      <c r="B24" t="inlineStr">
        <is>
          <t>Data Engineer</t>
        </is>
      </c>
      <c r="C24" t="inlineStr">
        <is>
          <t>Amazon.com</t>
        </is>
      </c>
      <c r="D24" t="inlineStr">
        <is>
          <t>indeed</t>
        </is>
      </c>
      <c r="E24">
        <f>HYPERLINK("https://www.indeed.com/viewjob?jk=946fa765be82a05d", "https://www.indeed.com/viewjob?jk=946fa765be82a05d")</f>
        <v/>
      </c>
      <c r="F24">
        <f>HYPERLINK("https://www.amazon.jobs/jobs/3141339/data-engineer?cmpid=DA_INAD200785B", "https://www.amazon.jobs/jobs/3141339/data-engineer?cmpid=DA_INAD200785B")</f>
        <v/>
      </c>
      <c r="G24" t="inlineStr">
        <is>
          <t>Seattle, WA, US</t>
        </is>
      </c>
      <c r="H24" s="2" t="n">
        <v>46001</v>
      </c>
      <c r="I2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As a data engineer in the Data Platform organization, you will be transforming Twitch’s largest data sets into offerings that are usable by the entire company. You’ll be working with other senior team members, as well as other data engineers, scientists, and stakeholders from all across the business. You will help define how our core business metrics are managed, as well as how other parts of the company define their individual metrics.  
You Will  
* Work closely with data scientists and engineers from across the company to define and create robust data architectures and pipelines
* Develop and manage scalable data pipelines to extract, transform, and load data from various sources
* Partner with a range of stakeholders to translate the company’s needs into data offerings
* Automate data processing and reporting workflows to improve efficiency and data integrity
* Implement data quality checks and monitor processes to maintain high data accuracy
* Simplify and enhance the accessibility, clarity, and usability of large and complex datasets through the development of data cubes and data sharing solutions
Perks  
* Medical, Dental, Vision \&amp; Disability Insurance
* 401(k)
* Maternity \&amp; Parental Leave
* Flexible PTO
* Amazon Employee Discount
**BASIC QUALIFICATIONS**
------------------------
* 3\+ years of data engineering experience
* 3\+ year of experience working in a data engineering, data science, or software engineering capacity
* Expertise in writing and maintaining robust data pipelines in SQL and Python
* A track record of turning data requirements from stakeholders into actionable plans
* Experience with cloud\-native solutions
* A history of implementing and upholding best practices in data pipelines, ensuring accuracy, consistency, and reliability
**PREFERRED QUALIFICATIONS**
----------------------------
* Bachelor's degree, or Master's degree in computer science, statistics, information systems, or a related, technical field
* Experience with a scripting language (e.g., Python, Java, or R)
* Familiarity and interest in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$118,900/year in our lowest geographic market up to $205,600/year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5">
      <c r="A25" t="inlineStr">
        <is>
          <t>in-c8d3d75053fc0924</t>
        </is>
      </c>
      <c r="B25" t="inlineStr">
        <is>
          <t>Delivery Consultant - Data Engineer, Data and Machine Learning, WWPS US Federal</t>
        </is>
      </c>
      <c r="C25" t="inlineStr">
        <is>
          <t>Amazon Web Services</t>
        </is>
      </c>
      <c r="D25" t="inlineStr">
        <is>
          <t>indeed</t>
        </is>
      </c>
      <c r="E25">
        <f>HYPERLINK("https://www.indeed.com/viewjob?jk=c8d3d75053fc0924", "https://www.indeed.com/viewjob?jk=c8d3d75053fc0924")</f>
        <v/>
      </c>
      <c r="F25">
        <f>HYPERLINK("https://www.amazon.jobs/jobs/3134583/delivery-consultant--data-engineer-data-and-machine-learning-wwps-us-federal?cmpid=DA_INAD200785B", "https://www.amazon.jobs/jobs/3134583/delivery-consultant--data-engineer-data-and-machine-learning-wwps-us-federal?cmpid=DA_INAD200785B")</f>
        <v/>
      </c>
      <c r="G25" t="inlineStr">
        <is>
          <t>Arlington, VA, US</t>
        </is>
      </c>
      <c r="H25" s="2" t="n">
        <v>45991</v>
      </c>
      <c r="I25"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6">
      <c r="A26" t="inlineStr">
        <is>
          <t>in-b0b448c78b92a85e</t>
        </is>
      </c>
      <c r="B26" t="inlineStr">
        <is>
          <t>Delivery Consultant - Data Engineer, Data and Machine Learning, WWPS US Federal</t>
        </is>
      </c>
      <c r="C26" t="inlineStr">
        <is>
          <t>Amazon Web Services</t>
        </is>
      </c>
      <c r="D26" t="inlineStr">
        <is>
          <t>indeed</t>
        </is>
      </c>
      <c r="E26">
        <f>HYPERLINK("https://www.indeed.com/viewjob?jk=b0b448c78b92a85e", "https://www.indeed.com/viewjob?jk=b0b448c78b92a85e")</f>
        <v/>
      </c>
      <c r="F26">
        <f>HYPERLINK("https://www.amazon.jobs/jobs/3134583/delivery-consultant--data-engineer-data-and-machine-learning-wwps-us-federal?cmpid=DA_INAD200785B", "https://www.amazon.jobs/jobs/3134583/delivery-consultant--data-engineer-data-and-machine-learning-wwps-us-federal?cmpid=DA_INAD200785B")</f>
        <v/>
      </c>
      <c r="G26" t="inlineStr">
        <is>
          <t>Herndon, VA, US</t>
        </is>
      </c>
      <c r="H26" s="2" t="n">
        <v>45991</v>
      </c>
      <c r="I26" t="inlineStr">
        <is>
          <t>**DESCRIPTION**
---------------
The Amazon Web Services Professional Services (ProServe) team is seeking a skilled Delivery Consultant to join our team at Amazon Web Services (AWS). In this role, you'll work closely with customers to design, implement, and manage AWS solutions that meet their technical requirements and business objectives. You'll be a key player in driving customer success through their cloud journey, providing technical expertise and best practices throughout the project lifecycle.  
Possessing a deep understanding of AWS products and services, as a Delivery Consultant you will be proficient in architecting complex, scalable, and secure solutions tailored to meet the specific needs of each customer. You’ll work closely with stakeholders to gather requirements, assess current infrastructure, and propose effective migration strategies to AWS. As trusted advisors to our customers, providing guidance on industry trends, emerging technologies, and innovative solutions, you will be responsible for leading the implementation process, ensuring adherence to best practices, optimizing performance, and managing risks throughout the project.
The AWS Professional Services organization is a global team of experts that help customers realize their desired business outcomes when using the AWS Cloud. We work together with customer teams and the AWS Partner Network (APN) to execute enterprise cloud computing initiatives. Our team provides assistance through a collection of offerings which help customers achieve specific outcomes related to enterprise cloud adoption. We also deliver focused guidance through our global specialty practices, which cover a variety of solutions, technologies, and industries.  
It is expected to work from one of the above locations (or customer sites) Monday through Friday each week. This is not a remote position. You are expected to be in the office or with customers as needed.
This position requires that the candidate selected be a US Citizen and must currently possess and maintain an active TS/SCI security clearance with polygraph. The position further requires the candidate to opt into a commensurate clearance for each government agency for which they perform AWS work.
10040  
Key job responsibilities  
As an experienced technology professional, you will be responsible for:
* Designing and implementing complex, scalable, and secure AWS solutions tailored to customer needs
* Providing technical guidance and troubleshooting support throughout project delivery
* Collaborating with stakeholders to gather requirements and propose effective migration strategies
* Acting as a trusted advisor to customers on industry trends and emerging technologies
* Sharing knowledge within the organization through mentoring, training, and creating reusable artifacts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in Computer Science, Engineering, a related technical field or equivalent
* 3\+ years of cloud architecture and solution implementation experience
* 3\+ years of experience with data warehouse architecture, ETL/ELT tools, data engineering, and large\-scale data manipulation using technologies like Spark, EMR, Hive, Kafka, and Redshift.
* Experience with relational databases, SQL, and performance tuning, as well as software engineering best practices for the development lifecycle, including coding standards, reviews, source control, and testing.
* Current, active US Government Security Clearance of TS/SCI with Polygraph.
**PREFERRED QUALIFICATIONS**
----------------------------
* AWS Professional level certifications (e.g., Solutions Architect Professional, DevOps Engineer Professional) preferred.
* Experience with automation and scripting (e.g., Terraform, Python).
* Knowledge of security and compliance standards (e.g., HIPAA, GDPR).
* Experience leading large\-scale data engineering and analytics projects using AWS technologies like Redshift, S3, Glue, EMR, Kinesis, Firehose, and Lambda.
* Experience with non\-relational databases and implementing data governance solutions.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$118,200/year in our lowest geographic market up to $204,300/year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6"/>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li-4369340715</t>
        </is>
      </c>
      <c r="B2" t="inlineStr">
        <is>
          <t>Senior Analytics Engineer</t>
        </is>
      </c>
      <c r="C2" t="inlineStr">
        <is>
          <t>Shippo</t>
        </is>
      </c>
      <c r="D2" t="inlineStr">
        <is>
          <t>linkedin</t>
        </is>
      </c>
      <c r="E2">
        <f>HYPERLINK("https://www.linkedin.com/jobs/view/4369340715", "https://www.linkedin.com/jobs/view/4369340715")</f>
        <v/>
      </c>
      <c r="F2">
        <f>HYPERLINK("https://ats.rippling.com/shippo/jobs/dbba7b78-6f97-4890-9b76-0a2e62e6a72d?jobSite=LinkedIn&amp;urlHash=n5MC", "https://ats.rippling.com/shippo/jobs/dbba7b78-6f97-4890-9b76-0a2e62e6a72d?jobSite=LinkedIn&amp;urlHash=n5MC")</f>
        <v/>
      </c>
      <c r="G2" t="inlineStr"/>
      <c r="H2" t="inlineStr"/>
      <c r="I2" t="inlineStr">
        <is>
          <t>**About Shippo**
 At Shippo, our vision is bold and clear:
 ****we are the shipping layer of the internet.****
 Our mission is
 ****to make every merchant successful****
 through excellent shipping, delivering world\-class logistics technology and infrastructure. We’re building the backbone of global e\-commerce — connecting merchants to carriers worldwide through a single API and intuitive dashboard.
 As a
 ****remote\-first and globally distributed team****
 , we believe flexibility fuels trust, autonomy, and performance. Our
 ****diverse perspectives****
 — across continents, cultures, and time zones — drive our innovation and enable us to build solutions used by businesses everywhere. We invest in modern, scalable technology so our teams can build, ship, and iterate with confidence.
****Your impact starts here:****
 every person at Shippo plays a direct role in shaping the infrastructure that powers global commerce and makes shipping simpler for businesses around the world.
**How We Will Deliver Success Together**
 At Shippo, data isn't just a byproduct; it is our product. As we scale our operations for growth, we're building a Hub \&amp; Spoke Analytics model that embeds dedicated analytical thought partners within our business units while maintaining centralized alignment on tooling, metrics, and governance. This structure enables fast, domain\-specific insights on top of a unified data foundation; delivering speed at the edge and consistency at the core.
 As a member of our Data Platform team, the Analytics Engineer will be embedded within one of Shippo's critical business units (App, API, or Carrier Operations) serving as a strategic analytical thought partner. You'll own the full data lifecycle: from defining metrics and building data models to creating self\-service tools and influencing business decisions. You won't just build dashboards; you will architect the data foundations that power our products and services that enable our internal teams and external customers. You'll work autonomously on high\-impact projects while collaborating closely with leaders across Product, Engineering, Operations, and Finance.
 This role offers the opportunity to work at the intersection of data engineering, analytics, and business strategy, ensuring our data capabilities accelerate Shippo's mission to be the shipping layer of the internet.
**Shipping \&amp; Handling Responsibilities**
****Partner with leadership to drive strategy****
* Collaborate with product, operations, and go\-to\-market leaders to identify the most impactful problems to solve and translate ambiguous business questions into structured analytical frameworks
* Present insights and recommendations to executives and influence strategic decisions across your business unit
* Develop a deep understanding of your domain's challenges, competitive landscape, and growth opportunities
* Own key business metrics and KPIs: defining, instrumenting, and evangelizing them across stakeholders
****Build scalable data infrastructure****
* Design, build, and maintain dimensional data models using dbt that serve as the foundation for analytics across your domain
* Create self\-service dashboards and reporting tools in Looker/Databricks that empower teams to answer their own questions
* Establish data quality standards and monitoring to ensure stakeholders can trust the data
* Operationalize analytical workflows that scale beyond one\-time analyses—building reusable frameworks, automated monitoring, and sustainable data products
****Own high\-impact analytical initiatives****
* Depending on your business unit, you might:
* App: Design and analyze growth experiments, build fraud detection models, optimize conversion funnels, and measure product feature adoption to drive user growth and reduce losses
* API: Create partner health scorecards, analyze API usage patterns, monitor integration reliability, and identify expansion opportunities to strengthen partnerships and operational visibility
* Carrier Operations: Develop carrier variance and cost attribution models, track SLA performance, identify margin leakage, and improve operational efficiency to recover costs and drive accountability
****Be a multiplier for your team****
* Reduce ad\-hoc data requests by building reusable data products and clear documentation that enable self\-service
* Mentor product managers and operators on analytical thinking and data literacy
* Contribute to Data Platform initiatives that improve analytical capabilities company\-wide
* Share knowledge and best practices across the analytics community at Shippo
**Your Shipping Requirements**
* 6\+ years of experience in analytics engineering, data engineering, data science, product analytics, or related roles with increasing scope and impact
* Expert SQL skills: You write complex, performant queries and deeply understand data modeling principles and optimization techniques
* Analytics engineering expertise: Proven experience building and maintaining data transformation pipelines with dbt or similar tools.
* Data visualization proficiency: Strong experience with Looker or similar BI platforms (Tableau, Mode, Hex) creating dashboards that drive action, not just display data.
* Modern data stack knowledge: Hands\-on experience with cloud data warehouses such as Databricks and relevant AWS technologies for big data \&amp; analytics.
* Business acumen and communication: You translate technical findings into clear narratives that resonate with both technical and non\-technical audiences. You can influence without authority and build trust across functions
* Proven impact: Clear examples of analytical work that led to measurable business outcomes (e.g revenue growth, cost savings, improved conversion rates, or operational efficiency gains)
* Strategic thinking: You don't just execute requests; you proactively identify opportunities, ask clarifying questions, and recommend the best path forward
* Autonomy and ownership: You're comfortable working independently, managing ambiguity, and seeing complex projects through from conception to adoption
****Bonus****
* Experience with Python for statistical analysis, data manipulation, and light scripting
* Background working with product, growth, or operations teams in high\-growth tech companies or startups
* Domain knowledge in shipping, logistics, marketplaces, payments, or API\-first products
* Experience with experimentation and A/B testing frameworks
* Familiarity with fraud detection, risk modeling, or anomaly detection
* Previous experience in a "hub and spoke" or embedded analytics model
* Hands\-on experience building customer\-facing or internal data products
****What is in the Shippo Package?****
* Healthcare coverage for medical, dental, and vision (90% covered by the company, incl. dependents). Pets coverage is also available!
* Take\-as\-much\-as\-you\-need vacation policy \&amp; flexible working
* One week\-long company wide winter slow down
* 3 Volunteer Days Off (VTOs)
* WFH stipend to set up your home office
* Charity donation match up to $100
* Dedicated programs, coaching, tools, and resources for your professional and career growth as well as an individual learning stipend for your personal and focused growth
* Fun team in person time through our Shippos Everywhere program which includes regular team and company off\-sites throughout the year as well as local Shippos gatherings
**Compensation**
****Our Compensation****
*****Ship*****
****policy:****
 We believe compensation is a custom experience and are commited to fair and equitable compensation practices. The standard base pay range for this role is min is $156k to a max $212k annual salary (we tend to anchor our offers at the mid point $184k). Since we are focused on hiring Shippos Everywhere, we have 2 US pay ranges, a standard compensation range for the majority of the US and a standard \+1 compensation range for those who live in areas where the cost of labor is higher, such as NYC and California.
 The actual base pay is dependent upon many factors, such as: financial budgets, work experience, training, transferable skills, business needs, and market value. The base pay salary ranges are subject to change and may be modified in the future. Total compensation for this role will include, equity, medical, dental, vision and other benefits noted in our Shippos “package” section.
**Sail Through The Process**
 Here at Shippo, we celebrate inclusivity and are committed to creating equal access to opportunities for people from all backgrounds, perspectives and geographies. These values define who we are and everything we do. All qualified individuals are encouraged to apply. If you need assistance, or a reasonable accommodation during the application and recruiting process, please contact us at
 ****accommodations@goshippo.com****
**Shippos In The Wild**
 Our people, much like the packages we help ship, are all over the world. This means, through our remote\-first program, “Shippos Everywhere”, our roles can be based anywhere in the US with the exception of Delaware, Nevada, Ohio, Oregon, Hawaii, New Mexico and West Virginia and many roles can be based internationally.
 For locations outside of the US and Ireland, the employment contracts are powered by Remote.com (all Shippo perks still apply \- including equity!). What we want to emphasize is that you can be successful at Shippo regardless of location.</t>
        </is>
      </c>
    </row>
    <row r="3">
      <c r="A3" t="inlineStr">
        <is>
          <t>li-4359291508</t>
        </is>
      </c>
      <c r="B3" t="inlineStr">
        <is>
          <t>Sr. Analytics Engineer, Data, Autonomy</t>
        </is>
      </c>
      <c r="C3" t="inlineStr">
        <is>
          <t>Rivian</t>
        </is>
      </c>
      <c r="D3" t="inlineStr">
        <is>
          <t>linkedin</t>
        </is>
      </c>
      <c r="E3">
        <f>HYPERLINK("https://www.linkedin.com/jobs/view/4359291508", "https://www.linkedin.com/jobs/view/4359291508")</f>
        <v/>
      </c>
      <c r="F3" t="inlineStr"/>
      <c r="G3" t="inlineStr">
        <is>
          <t>Palo Alto, CA</t>
        </is>
      </c>
      <c r="H3" t="inlineStr"/>
      <c r="I3" t="inlineStr">
        <is>
          <t>**About Rivian**
 Rivian is on a mission to keep the world adventurous forever. This goes for the emissions\-free Electric Adventure Vehicles we build, and the curious, courageous souls we seek to attract.
 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
**Role Summary**
 The Autonomy organization at Rivian is seeking a skilled Software Engineer to join our dynamic team. If you are passionate about transforming raw data into actionable insights and possess expertise in tools like Hex, Streamlit, SQL, AWS, and Databricks, we want you on board. This role requires a proactive individual who is adept at working with big data sets, building analytical data pipelines, and creating impactful visualizations.
**Responsibilities**
* Data Visualization: Design and develop compelling and interactive data visualizations using tools such as Tableau, Hex, and Streamlit to facilitate understanding and decision\-making.
* SQL Mastery: Utilize advanced SQL skills to efficiently query, manipulate, and manage data, ensuring the accuracy and reliability of analytical results.
* AWS Expertise: Leverage AWS cloud services to build, maintain, and optimize data analytics solutions, ensuring scalability and performance.
* Databricks Integration: Collaborate with the team to integrate data analytics processes seamlessly within the Databricks environment, including the development of notebooks and workflows.
* Collaboration with Stakeholders: Partner with business stakeholders and analysts to understand analytical requirements and deliver tailored solutions that meet their needs.
* Data Exploration and Analysis: Conduct exploratory data analysis to identify trends, patterns, and actionable insights that support informed business decisions.
* Data Pipelines: Design, build, enhance, and manage data pipelines to automate data transformation and ensure data availability in reporting tables.
* Best Practices: Follow industry best standards and practices for data engineering, including data governance, security, and documentation.
* Storytelling with Data: Develop narratives around data insights to effectively communicate findings and recommendations to non\-technical audiences.
* Project Management: Demonstrate strong organizational skills to manage multiple projects, meet deadlines, and deliver high\-quality results.
**Qualifications**
* Bachelor’s degree in Computer Science or a related field.
* Proven experience as a Software Engineer or in a similar role, with a strong track record of working with big data sets and building analytical data pipelines.
* Proficiency in data visualization tools such as Hex and Streamlit, with the ability to create complex and interactive visualizations.
* Advanced SQL skills and experience with querying, manipulating, and analyzing large datasets.
* Strong proficiency in Python for data analysis, scripting, and automation.
* Experience with Databricks for managing and analyzing big data.
* Familiarity with AWS cloud services for data storage, processing, and analytics.
* Excellent problem\-solving skills and the ability to work both independently and collaboratively in a team environment.
* Strong communication skills with the ability to present complex technical concepts and data\-driven insights to non\-technical stakeholders.
* Demonstrated self\-motivation, organizational skills, and a commitment to following best practices and maintaining high standards.
**Pay Disclosure**
 Salary Range for California Based Applicants: $162,800\.00 \- $203,500 (actual compensation will be determined based on experience, location, and other factors permitted by law).
 Benefits Summary: Rivian provides robust medical/Rx, dental and vision insurance packages for full\-time employees, their spouse or domestic partner, and children up to age 26\. Coverage is effective on the first day of employment.
**Equal Opportunity**
 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
 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
**Candidate Data Privacy**
 Rivian may collect, use and disclose your personal information or personal data (within the meaning of the applicable data protection laws) when you apply for employment and/or participate in our recruitment processes (“Candidate Personal Data”). This data includes contact, demographic, communications, educational, professional, employment, social media/website, network/device, recruiting system usage/interaction, security and preference information. Rivian may use your Candidate Personal Data for the purposes of (i) tracking interactions with our recruiting system; (ii) carrying out, analyzing and improving our application and recruitment process, including assessing you and your application and conducting employment, background and reference checks; (iii) establishing an employment relationship or entering into an employment contract with you; (iv) complying with our legal, regulatory and corporate governance obligations; (v) recordkeeping; (vi) ensuring network and information security and preventing fraud; and (vii) as otherwise required or permitted by applicable law.
 Rivian may share your Candidate Personal Data with (i) internal personnel who have a need to know such information in order to perform their duties, including individuals on our People Team, Finance, Legal, and the team(s) with the position(s) for which you are applying; (ii) Rivian affiliates; and (iii) Rivian’s service providers, including providers of background checks, staffing services, and cloud services.
 Rivian may transfer or store internationally your Candidate Personal Data, including to or in the United States, Canada, the United Kingdom, and the European Union and in the cloud, and this data may be subject to the laws and accessible to the courts, law enforcement and national security authorities of such jurisdictions.
**Please note that we are currently not accepting applications from third party application services.**</t>
        </is>
      </c>
    </row>
    <row r="4">
      <c r="A4" t="inlineStr">
        <is>
          <t>li-4353562728</t>
        </is>
      </c>
      <c r="B4" t="inlineStr">
        <is>
          <t>Data Engineer</t>
        </is>
      </c>
      <c r="C4" t="inlineStr">
        <is>
          <t>PitchBook</t>
        </is>
      </c>
      <c r="D4" t="inlineStr">
        <is>
          <t>linkedin</t>
        </is>
      </c>
      <c r="E4">
        <f>HYPERLINK("https://www.linkedin.com/jobs/view/4353562728", "https://www.linkedin.com/jobs/view/4353562728")</f>
        <v/>
      </c>
      <c r="F4">
        <f>HYPERLINK("https://job-boards.greenhouse.io/pitchbookdata/jobs/4602453006?gh_src=b1fb49bb6us&amp;urlHash=jrDH", "https://job-boards.greenhouse.io/pitchbookdata/jobs/4602453006?gh_src=b1fb49bb6us&amp;urlHash=jrDH")</f>
        <v/>
      </c>
      <c r="G4" t="inlineStr">
        <is>
          <t>Seattle, WA</t>
        </is>
      </c>
      <c r="H4" t="inlineStr"/>
      <c r="I4" t="inlineStr">
        <is>
          <t>At PitchBook, a Morningstar company, we are always looking forward. We continue to innovate, evolve, and invest in ourselves to bring out the best in everyone. We’re deeply collaborative and thrive on the excitement, energy, and fun that reverberates throughout the company.
 Our extensive learning programs and mentorship opportunities help us create a culture of curiosity that pushes us to always find new solutions and better ways of doing things. The combination of a rapidly evolving industry and our high ambitions means there’s going to be some ambiguity along the way, but we excel when we challenge ourselves. We’re willing to take risks, fail fast, and do it all over again in the pursuit of excellence.
 If you have a good attitude and are willing to roll up your sleeves to get things done, PitchBook is the place for you.
**About The Role**
 At PitchBook, we believe that the Data Operations team plays a vital role in setting us apart from our competitors. We take immense pride in providing top\-quality data to our customers, while also being accountable, collaborative, and receptive to feedback. Our team members are highly engaged, detail\-oriented, and always eager to learn and grow as our industry evolves.
 Our reputation for excellence is a direct result of our deep commitment to building the world's best private market database, and we recognize the importance of investing in our team members from day one. That's why we offer specialized training and a mentorship program that is tailored specifically to the needs of the Data Operations team.
 We value and celebrate the diverse perspectives, talents, and experiences of our team members and recognize the importance of building trust and strong cross\-functional partnerships. If you're looking for a challenging and rewarding opportunity to take your career to new heights, we invite you to join us at PitchBook.
 As a Data Engineer, you will work across a global team of analysts and data operation associates to develop new data technologies for Data Operations at PitchBook. We’re looking for a person who can combine proficiency in data engineering technologies (SQL, Python, R, Tableau, Power BI) with an operational mindset and deliver powerful new data processing tools to the team. You will also spend time learning PitchBook’s data operations processes and methodologies, establishing the process knowledge necessary to develop effective data solutions.
**Primary Job Responsibilities**
* Develop data pipelines that automate data sourcing and processing
* Develop programs to synchronize technology and human\-powered processes
* Design and maintain database and data warehousing solutions
* Develop automated reports to monitor and track data pipelines (Power BI, Tableau)
* Work alongside Data Operations teams to augment core technologies
* Serve as a data and engineering SME on cross\-functional Data Operations initiatives
**Skills And Qualifications**
* Bachelor's degree in Economics, Business, Finance, Engineering, Statistics, Computer Science, or related fields
* 2\+ years of relevant experience working experience as a Data Engineer
* Advanced SQL skills, with experience querying large datasets from multiple sources and developing automated reporting
* Intermediate Python skills with experience in scripting, web scraping, optical character recognition, data manipulation, and extract, transform, and load
* Knowledge of statistical methods and regression analysis
* Proficiency in Tableau or Power BI (both is a plus)
* Excellent Microsoft Office/PC skills, Advanced Excel experience analyzing data and creating daily, weekly, and monthly reports
* Ability to display complex quantitative data in a simple, intuitive format and to present findings in a clear and concise manner
* Capable of investigating, familiarizing, and mastering new data sets quickly
* Excellent interpersonal skills, with the ability to communicate complex data issues correctly and clearly to both internal and external customers
**Benefits \+ Compensation at PitchBook:**
 Physical Health
* Comprehensive health benefits
* Additional medical wellness incentives
* STD, LTD, AD\&amp;D, and life insurance
 Emotional Health
* Paid sabbatical program after four years
* Paid family and paternity leave
* Annual educational stipend
* Ability to apply for tuition reimbursement
* CFA exam stipend
* Robust training programs on industry and soft skills
* Employee assistance program
* Generous allotment of vacation days, sick days, and volunteer days
 Social Health
* Matching gifts program
* Employee resource groups
* Subsidized emergency childcare
* Dependent Care FSA
* Company\-wide events
* Employee referral bonus program
* Quarterly team building events
 Financial Health
* 401k match
* Shared ownership employee stock program
* Monthly transportation stipend
* Please be aware the above PitchBook benefit and perk offerings are subject to corresponding plan and policy documents and may change during the course of your employment.
**Compensation**
* Annual base salary: $120,000\-$135,450
* Target annual bonus percentage: 10%
**Working Conditions**
 At the heart of our company is a belief in the power of in\-person collaboration. Being together in the office fuels our creativity, strengthens our connections, and drives the innovation that sets us apart. Our culture is built on spontaneous moments—those hallway conversations, whiteboard brainstorms, and shared celebrations in each of our global offices—that simply can’t be replicated remotely. This role is expected to be in the office 5 days a week.
 The job conditions for this position are in a standard office setting. Employees in this position use PC and phone on an on\-going basis throughout the day. Limited corporate travel may be required to remote offices or other business meetings and events.
 We are excited to get to know you and your background. Concerned that you might not meet every requirement? We encourage you to still apply as you might be the right candidate for the role or other roles at PitchBook.</t>
        </is>
      </c>
    </row>
    <row r="5">
      <c r="A5" t="inlineStr">
        <is>
          <t>li-4369348177</t>
        </is>
      </c>
      <c r="B5" t="inlineStr">
        <is>
          <t>Data Engineer</t>
        </is>
      </c>
      <c r="C5" t="inlineStr">
        <is>
          <t>The National Society of Leadership and Success (NSLS)</t>
        </is>
      </c>
      <c r="D5" t="inlineStr">
        <is>
          <t>linkedin</t>
        </is>
      </c>
      <c r="E5">
        <f>HYPERLINK("https://www.linkedin.com/jobs/view/4369348177", "https://www.linkedin.com/jobs/view/4369348177")</f>
        <v/>
      </c>
      <c r="F5">
        <f>HYPERLINK("https://ats.rippling.com/the-nsls-job-board/jobs/88c9adc8-827d-4f22-ab7a-b9ae85dd1ef5?jobSite=LinkedIn&amp;urlHash=WUG9", "https://ats.rippling.com/the-nsls-job-board/jobs/88c9adc8-827d-4f22-ab7a-b9ae85dd1ef5?jobSite=LinkedIn&amp;urlHash=WUG9")</f>
        <v/>
      </c>
      <c r="G5" t="inlineStr"/>
      <c r="H5" t="inlineStr"/>
      <c r="I5" t="inlineStr">
        <is>
          <t>The National Society of Leadership and Success
 Imagine a community of students taking action toward their dreams and living happier lives. In this world, people are so fulfilled they reach out and positively contribute to the lives of others. That’s who we impact, and that’s what we are building. Want to be a part of it?
**To determine whether you'd be a good fit, ask yourself…**
* Would you like to go to work each day knowing that you are using your talents to help others and better the world?
* Are you inspired by the thought of positively impacting tens of thousands of students each year?
* Are you ready to work in an organization that is rapidly growing and embraces change?
* Would you like to work with people whom you respect and can learn from every day?
* Do you desire to work for an organization that cares about your growth, where your own drive and interests help you create your own future?
 Our guiding question is: “Are we helping the greatest number of people in the greatest possible way?"
 **Are you inspired? Let’s change the world together.**
**Overview**
 The Data Engineer will join a team of 100\+ purpose\-driven staff members in a friendly, focused, fast\-paced entrepreneurial environment. The National Society of Leadership and Success (NSLS) is the largest accredited leadership honor society in the United States, with over 800 chapters and more than 2 million members.
 The Data Engineer will lead the transformation of our analytics infrastructure. You'll play a critical role in migrating from a legacy Apache Hop and Redshift system to a modern Snowflake and dbt Cloud stack, establishing a single source of truth for our business stakeholders, and building maintainable pipelines that will serve as the foundation for NSLS's data platform for years to come.
 This is a rare opportunity to join at an inflection point where you can make an outsized impact. You'll replace unnecessarily complex "spaghetti code" with clean, modular systems and implement best practices that will set the standard for future engineers. If you enjoy working in dbt, value readable and maintainable code, and want to build something new while leveraging modern tools, this role is for you.
**Responsibilities**
*****In Your First 6 Months*****
* Contribute to the Snowflake migration: Work with the broader data team to deprecate our legacy Redshift and Apache Hop infrastructure by completing the migration to Snowflake and dbt Cloud
* Build production\-grade dbt pipelines: Develop and maintain SQL transformations in dbt that power analytics for business stakeholders across the organization
* Establish data architecture: Refine and maintain our medallion architecture (bronze, silver, and gold layers) to create clear separation of concerns and a single source of truth
* Collaborate with the data team: Partner with our AWS Engineer, Analytics Engineer, and Business Analyst in a sprint\-based workflow with code reviews and regular standups
*****Ongoing Responsibilities*****
* Maintain dbt transformations (60\-70% of role): Own approximately 15\-20 core models and summary views that drive business reporting, ensuring they're performant, well\-documented, and easy to maintain
* Build new data pipelines: Ingest data from APIs and new sources as business needs evolve
* Enable reverse ETL: Develop and manage batch processes to send transformed data to downstream services like HubSpot using tools like Hightouch
* Monitor data quality: Implement testing and alerting to catch issues before they impact stakeholders
* Contribute to technical standards: Help establish and maintain best practices for code quality, documentation, and data modeling
**Qualifications**
* 2\-5 years of experience as a Data Engineer, Analytics Engineer, or similar role
* Expert SQL skills: You write advanced, readable SQL including CTEs, window functions, and query optimization techniques
* dbt proficiency: You've built and maintained production dbt projects and understand modeling best practices (this is critical for the role)
* Python fundamentals: Comfortable working with dataframes, querying APIs, and writing scripts for data processing
* Modern data stack familiarity: Experience with Snowflake, AWS, and orchestration tools like dbt Cloud or Airflow
* Code craftsmanship: You write clean, modular, well\-documented code that others can easily understand and maintain
* AI\-assisted development: Proficient with AI coding tools (Claude Code, GitHub Copilot, Cursor, or similar) to accelerate development, debug efficiently, and learn new technologies quickly
****Nice to Have****
* Experience with reverse ETL tools (Hightouch, Census, etc.)
* Familiarity with Fivetran or similar ingestion platforms
* Background in batch processing and API integrations
* Experience with Hex, PostHog, or similar analytics/CDP tools
**Who You Are**
* Quality\-focused: You care deeply about writing maintainable code and establishing good technical hygiene
* Collaborative: You thrive in code reviews, give and receive feedback well, and enjoy working closely with a small team
* Resourceful: You're comfortable leveraging AI and other tools to learn quickly and solve problems independently
* AI\-native developer: You understand how to effectively use AI assistants as force multipliers (whether generating boilerplate code, exploring documentation, debugging issues, or rapidly prototyping solutions) while maintaining code quality and understanding
* Business\-minded: You understand (or want to learn) how your technical work supports business objectives and can communicate with non\-technical stakeholders when needed
* Self\-directed: You work well with autonomy in a sprint\-based environment where you commit to deliverables and own your work
**How We Work**
* Sprint\-based workflow: Bi\-weekly sprints with planning, standups twice per week, and regular retrospectives
* Weekly 1:1s: Regular check\-ins with the Head of Data for feedback, support, and career growth
* Collaborative code review: Your work will be reviewed by senior engineers on the team to ensure quality and knowledge sharing
* Work\-life balance: Standard business hours (9\-5 or similar), no on\-call or off\-hours expectations
* AI\-assisted development: We actively encourage the use of AI coding assistants like Claude Code to write better code faster, accelerate onboarding to new codebases, and increase overall engineering velocity
****Tech Stack****
- Data Warehouse: Snowflake (migrating from Redshift)
- Transformation: dbt Cloud
- Orchestration: dbt Cloud (replacing Apache Hop)
- Visualization: Hex
- Customer Data Platform: PostHog
- Infrastructure: AWS
 Source Systems: HubSpot, Drupal, Symfony, Shopify (100\+ tables, \&lt;1TB total)
**The National Society of Leadership and Success is an equal opportunity employer committed**
**to diversity, equality, and inclusion**
 Visit nsls.org to learn more about our organization</t>
        </is>
      </c>
    </row>
    <row r="6">
      <c r="A6" t="inlineStr">
        <is>
          <t>li-4359726117</t>
        </is>
      </c>
      <c r="B6" t="inlineStr">
        <is>
          <t>Data Engineer</t>
        </is>
      </c>
      <c r="C6" t="inlineStr">
        <is>
          <t>Recology</t>
        </is>
      </c>
      <c r="D6" t="inlineStr">
        <is>
          <t>linkedin</t>
        </is>
      </c>
      <c r="E6">
        <f>HYPERLINK("https://www.linkedin.com/jobs/view/4359726117", "https://www.linkedin.com/jobs/view/4359726117")</f>
        <v/>
      </c>
      <c r="F6">
        <f>HYPERLINK("https://phg.tbe.taleo.net/phg03/ats/careers/v2/viewRequisition?org=RECOLOGY&amp;cws=43&amp;rid=7472&amp;urlHash=8OGi", "https://phg.tbe.taleo.net/phg03/ats/careers/v2/viewRequisition?org=RECOLOGY&amp;cws=43&amp;rid=7472&amp;urlHash=8OGi")</f>
        <v/>
      </c>
      <c r="G6" t="inlineStr">
        <is>
          <t>California, United States</t>
        </is>
      </c>
      <c r="H6" t="inlineStr"/>
      <c r="I6" t="inlineStr">
        <is>
          <t>City:
**Sacramento**
 Location:
**1074 \- Recology Service Center \- Sacramento office**
 Subsidiary Name:
**Recology Service Center North**
****Role****
 Under limited general direction, develops and maintains data lake repository, data warehouse, and data mapping infrastructure with the ultimate goal to make data accessible so that the organization can use it to evaluate and optimize their performance. Demonstrated expertise designing, developing and maintaining scalable data pipelines and ETL processes to support enterprise data needs.
 This is a hybrid position, with three days per week in\-office and the rest remote.
**Essential Responsibilities**
* Creates and maintains optimal data pipeline architecture.
* Assembles large, complex data sets that meet functional / non\-functional business requirements.
* Performs unit testing and mock data generation.
* Uses relational data best practices, including referential integrity and query optimization (Oracle, MySQL, SQL Server).
* Participates in agile software planning and development activities, including daily standups, user story and task organization and grooming activities, and effort estimation.
* Analyzes business and technical requirements to develop documentation, designs, code, and tests.
* Maintains source control hygiene (branch protection, git\-flow).
* CI/CD includes build, test, and automated deployment (like Jenkins, Travis, and DevOps).
* Other duties as assigned.
****Qualifications****
* 5\+ years of experience in a data engineer role.
* Significant experience working with relational database technologies such as Oracle \&amp; SQL Server.
* Advanced working SQL knowledge and experience working with relational databases, query authoring (SQL), as well as working familiarity with a variety of databases.
* Outstanding analytical, quantitative, problem\-solving, and programming skills.
* Demonstrated expertise designing, developing and maintaining scalable data pipelines and ETL processes to support enterprise data needs.
* Full\-stack development experience.
* Willingness to jump in, learn new tech, and work effectively across full stack.
* Experience reviewing and executing plans and performance tuning.
* Experience working with common languages and frameworks such as C\# or Java.
* In\-depth understanding of modern application design principles, DevOps \&amp; Microservices.
* Relevant certifications from cloud provides (e.g., AWS Certified Data Analytics, Azure Data Engineering, etc.).
* Strong written and verbal communication skills, including ability to convey proposed solutions through natural language, diagrams, and design patterns.
* Ability to work both independently and collaboratively.
* High school diploma or GED required.
* Bachelor's degree preferred.
****Recology Offers****
* An ecologically innovative company that finds and mentors people committed to protecting the environment and sustaining our communities.
* The largest employee\-owned resource recovery company in the industry with terrific benefits to help you prosper.
* A creative and caring culture that values community, diversity, altruism, accountability, collaboration, and learning by doing.
* An inspired company mission driven to use and return resources to their best and highest use through the practice of the 4R’s: Reduce, Re\-use, Recycle, and Recologize.
* Distinct professional challenges to connect with, care for, and grow community that sees a world without waste.
****Recology Benefits May Include****
* Paid time off and paid holidays.
* Health and wellness benefits including medical, dental, and vision.
* Retirement plans (Employee Stock Ownership Plan, 401(k) with match).
* Annual wellness incentives.
* Employee Assistance Program (EAP).
* Educational assistance.
* Commuting benefits.
* Employee referral program.
****Supplemental Information****
 Reasonable accommodations may be made to enable individuals with disabilities to perform the essential functions of this job; and pursuant to applicable law, we will consider for employment qualified applicants with criminal records. It is important that you provide accurate information on the job application, inaccurate information may cause delays in the processing of your application and/or may disqualify you as a candidate.
 Recology is an equal opportunity employer committed to supporting an inclusive work environment where employees are valued, heard, and provided development opportunities. Qualified applicants will receive consideration for employment without regard to race, color, religion, sex, national origin, citizenship, disability, protected veteran status, or any other basis that is prohibited by law.
*This description is not intended and should not be construed to be an exhaustive list of all responsibilities, skills, effort, work conditions, and benefits associated with the job.*</t>
        </is>
      </c>
    </row>
    <row r="7">
      <c r="A7" t="inlineStr">
        <is>
          <t>li-4369351240</t>
        </is>
      </c>
      <c r="B7" t="inlineStr">
        <is>
          <t>Analytics Engineer</t>
        </is>
      </c>
      <c r="C7" t="inlineStr">
        <is>
          <t>Grow Therapy</t>
        </is>
      </c>
      <c r="D7" t="inlineStr">
        <is>
          <t>linkedin</t>
        </is>
      </c>
      <c r="E7">
        <f>HYPERLINK("https://www.linkedin.com/jobs/view/4369351240", "https://www.linkedin.com/jobs/view/4369351240")</f>
        <v/>
      </c>
      <c r="F7">
        <f>HYPERLINK("https://job-boards.greenhouse.io/growtherapy/jobs/4636250005?gh_src=8d47tscl5us&amp;urlHash=R99G", "https://job-boards.greenhouse.io/growtherapy/jobs/4636250005?gh_src=8d47tscl5us&amp;urlHash=R99G")</f>
        <v/>
      </c>
      <c r="G7" t="inlineStr"/>
      <c r="H7" t="inlineStr"/>
      <c r="I7" t="inlineStr">
        <is>
          <t>**About Us:**
 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$178mm of funding from Sequoia Capital, Transformation Capital, TCV, SignalFire, and others.
**The Opportunity:**
 As an Analytics Engineer at Grow Therapy, you’ll build the data foundation that powers key decisions across product, operations, and strategy. Along the way, you’ll gain deep exposure to the inner workings of a fast\-growing healthcare marketplace, master advanced tools in modern data engineering and analytics, and help evolve our data culture from infrastructure to impact.
 It’s a rare opportunity to join a mission\-driven company at the inflection point of scale, where your technical craft directly improves access to mental health care nationwide.
**What You'll Be Doing:**
* You will ensure every team can leverage trusted, actionable insights to better serve providers and clients.You’ll take ownership of our data stack from ingestion through modeling in dbt to build efficient, robust data pipelines.
* You’ll collaborate daily with Analysts, Data Scientists, and Machine Learning Engineers, as well as stakeholders from Product and Engineering to make sure that the models we build drive value for the business.
**You'll Be a Good Fit if:**
* 3\-5 years of Analytics Engineering / Data Engineering experience building products, ideally in a high\-growth, fast\-paced environment.
* Excel at writing complex SQL pipelines and working within a modern data stack (Snowflake, dbt, Fivetran, Prefect, Looker/LookML)
* Possess strong foundations in Python, data modeling and system design
* Excellent communication and collaboration skills, and can work effectively with cross\-functional teams to achieve common goals.
* Comfort with ambiguity \- You thrive in dynamic environments and are skilled at turning loosely defined problems into clear technical direction.
**Bonus Points:**
* Hands\-on experience working with stakeholders to prioritize, define, own, and implement metric definitions
* Experience implementing a semantic/metrics layer for analysts, data scientists, and machine learning engineers to use
* Hands\-on experience building impactful dashboards and reports using Hex, Looker, or other data visualization products.
**Engineering Team Principles:**
* You own what you build. You will feel ownership of the code you write, articulate the importance of the feature, and follow up to ensure it's successful.
* We build solutions for our providers and clients. We write code to solve user problems, not just for the sake of solving technical problems.
* You are not part of the tech team, but rather part of the team itself! Grow is a tech\-enabled business and not a pure software business, so understanding how the business works is integral to your job.
**Role Details:** 
* Employment Type: Full\-Time, Exempt
* Base Compensation: The base compensation range for this position is
+ Hybrid Commitment: $124,000–$145,000 USD Annually
+ Fully Remote Commitment: $103,000–$120,000 USD Annually
 This role can be
 **hybrid** 
 (onsite from our NYC, San Francisco, or Seattle hub location
 **three days per week: Tuesday, Wednesday, Thursday** 
 ) or
 **fully remote.** 
 Both arrangements include travel
 **2–3 times per year** 
 (e.g., company and department offsites).
*The base compensation for this role will vary depending on several factors, including relevant experience, qualifications, and the candidate’s working location.*
**Full Time Employee Benefits:**
* Comprehensive Health Coverage: Medical, dental, and vision insurance, plus life and disability coverage.
* Parental Leave \&amp; Family Support: Up to 18 weeks paid leave and a new child stipend.
* Financial Wellness: 401(k) program and equity opportunities.
* Meals \&amp; Home Office Support: Stipends for home office setup and ongoing funds for meals, with tailored perks for both remote and in\-office employees.
* Time Off to Recharge: Flexible PTO, 12 paid holidays, and a full winter break week.
* Wellness \&amp; Development: Annual stipends to put towards personal \&amp; professional growth.
* Mental \&amp; Physical Health Support: No\-cost access to therapy through the Grow platform, weekly flexible hours for self\-care (“Mental Health Mornings/Afternoons”) and memberships to leading wellness apps (such as One Medical, Headspace, and Talkspace).
* Extra Perks: Pet insurance discounts, commuter benefits, and global travel assistance.
*Research shows that some groups hesitate to apply unless they meet every qualification. If you’re excited about this role but don’t check every box, we encourage you to apply. At Grow, we value diverse experiences, transferable skills, and the unique strengths each person brings.*
*Grow Therapy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***Use of AI Tools:***
*By submitting your application, you acknowledge and consent to the use of automated tools as part of our recruitment process. Specifically, we use a third\-party AI tool,* 
*Gem* 
*, to assist in the* 
***initial screening of resumes***
*. This tool analyzes resumes based on role\-specific criteria provided by our recruiters to identify potentially strong matches for the role.* 
***I***
***mportantly, no hiring decisions are made by the AI tool***
***.***
*All decisions about which candidates move forward are made by our human recruiting team after independent review.* 
*More information about Gem’s approach to compliance with* 
*California FEHA regulations on automated decision systems* 
*and* 
*New York Local Law 144* 
*can be found on the Gem compliance website.* 
*We are committed to transparency and fairness in our hiring practices. If you have questions about how our AI tools work, or would like more information about how your application will be processed, please contact us at talentops@growtherapy.com* 
*.* 
*If you require an accommodation due to a disability, or have concerns about the use of AI in the hiring process, please also contact us. We are happy to provide assistance or offer an alternative method of participating in the recruitment process.*</t>
        </is>
      </c>
    </row>
    <row r="8">
      <c r="A8" t="inlineStr">
        <is>
          <t>li-4363580938</t>
        </is>
      </c>
      <c r="B8" t="inlineStr">
        <is>
          <t>Sr. Data Engineer | Analytics</t>
        </is>
      </c>
      <c r="C8" t="inlineStr">
        <is>
          <t>Machinify</t>
        </is>
      </c>
      <c r="D8" t="inlineStr">
        <is>
          <t>linkedin</t>
        </is>
      </c>
      <c r="E8">
        <f>HYPERLINK("https://www.linkedin.com/jobs/view/4363580938", "https://www.linkedin.com/jobs/view/4363580938")</f>
        <v/>
      </c>
      <c r="F8">
        <f>HYPERLINK("https://jobs.ashbyhq.com/machinify/a427a792-d9bb-4003-bc3d-9e174981cb95?source=qro2dg5Obg&amp;urlHash=-bXM", "https://jobs.ashbyhq.com/machinify/a427a792-d9bb-4003-bc3d-9e174981cb95?source=qro2dg5Obg&amp;urlHash=-bXM")</f>
        <v/>
      </c>
      <c r="G8" t="inlineStr">
        <is>
          <t>Palo Alto, CA</t>
        </is>
      </c>
      <c r="H8" t="inlineStr"/>
      <c r="I8" t="inlineStr">
        <is>
          <t>Machinify is a leading healthcare intelligence company with expertise across the payment continuum, delivering unmatched value, transparency, and efficiency to health plan clients across the country. Deployed by over 60 health plans, including many of the top 20, and representing more than 160 million lives, Machinify brings together a fully configurable and content\-rich, AI\-powered platform along with best\-in\-class expertise. We’re constantly reimagining what’s possible in our industry, creating disruptively simple, powerfully clear ways to maximize financial outcomes and drive down healthcare costs.
**Why This Role Matters**
 As a Data Engineer, you’ll be at the heart of transforming
 **raw external data into powerful, trusted datasets** 
 that drive payment, product, and operational decisions. You’ll work closely with
 **product managers, data scientists, subject matter experts, engineers, and customer teams** 
 to
 **build, scale, and refine production pipelines** 
 — ensuring data is accurate, observable, and actionable.
 You’ll also play a critical role in
 **onboarding new customers** 
 , integrating their raw data into our
 **internal models** 
 . Your pipelines will directly power the company’s
 **ML models, dashboards, and core product experiences** 
 . If you enjoy owning end\-to\-end workflows, shaping data standards, and driving impact in a fast\-moving environment, this is your opportunity.
**What You’ll Do**
* Design and implement robust, production\-grade pipelines using Python, Spark SQL, and Airflow to process high\-volume file\-based datasets (CSV, Parquet, JSON).
* Lead efforts to canonicalize raw healthcare data (837 claims, EHR, partner data, flat files) into internal models.
* Own the full lifecycle of core pipelines — from file ingestion to validated, queryable datasets — ensuring high reliability and performance.
* Onboard new customers by integrating their raw data into internal pipelines and canonical models; collaborate with SMEs, Account Managers, and Product to ensure successful implementation and troubleshooting.
* Build resilient, idempotent transformation logic with data quality checks, validation layers, and observability.
* Refactor and scale existing pipelines to meet growing data and business needs.
* Tune Spark jobs and optimize distributed processing performance.
* Implement schema enforcement and versioning aligned with internal data standards.
* Collaborate deeply with Data Analysts, Data Scientists, Product Managers, Engineering, Platform, SMEs, and AMs to ensure pipelines meet evolving business needs.
* Monitor pipeline health, participate in on\-call rotations, and proactively debug and resolve production data flow issues.
* Contribute to the evolution of our data platform — driving toward mature patterns in observability, testing, and automation.
* Build and enhance streaming pipelines (Kafka, SQS, or similar) where needed to support near\-real\-time data needs.
* Help develop and champion internal best practices around pipeline development and data modeling.
**What You Bring**
* 4\+ years of experience as a Data Engineer (or equivalent), building production\-grade pipelines.
* Strong expertise in Python, Spark SQL, and Airflow.
* Experience processing large\-scale file\-based datasets (CSV, Parquet, JSON, etc) in production environments.
* Experience mapping and standardizing raw external data into canonical models.
* Familiarity with AWS (or any cloud), including file storage and distributed compute concepts.
* Experience onboarding new customers and integrating external customer data with non\-standard formats.
* Ability to work across teams, manage priorities, and own complex data workflows with minimal supervision.
* Strong written and verbal communication skills — able to explain technical concepts to non\-engineering partners.
* Comfortable designing pipelines from scratch and improving existing pipelines.
* Experience working with large\-scale or messy datasets (healthcare, financial, logs, etc.).
* Experience building or willingness to learn streaming pipelines using tools such as Kafka or SQS.
* Bonus: Familiarity with healthcare data (837, 835, EHR, UB04, claims normalization).
**🌱 Why Join Us**
* Real impact — your pipelines will directly support decision\-making and claims payment outcomes from day one.
* High visibility — partner with ML, Product, Analytics, Platform, Operations, and Customer teams on critical data initiatives.
* Total ownership — you’ll drive the lifecycle of core datasets powering our platform.
**Customer\-facing impact** 
 — you will directly contribute to successful
 **customer onboarding** 
 and data integration.
*We're hiring across multiple levels for this role. Final level and title will be determined based on experience and performance during the interview process.*
**Equal Employment Opportunity at Machinify**
 Machinify is committed to hiring talented and qualified individuals with diverse backgrounds for all of its positions. Machinify believes that the gathering and celebration of unique backgrounds, qualities, and cultures enriches the workplace.
 See our Candidate Privacy Notice at: https://www.machinify.com/candidate\-privacy\-notice/</t>
        </is>
      </c>
    </row>
    <row r="9">
      <c r="A9" t="inlineStr">
        <is>
          <t>li-4360021845</t>
        </is>
      </c>
      <c r="B9" t="inlineStr">
        <is>
          <t>Data Engineer</t>
        </is>
      </c>
      <c r="C9" t="inlineStr">
        <is>
          <t>Archer</t>
        </is>
      </c>
      <c r="D9" t="inlineStr">
        <is>
          <t>linkedin</t>
        </is>
      </c>
      <c r="E9">
        <f>HYPERLINK("https://www.linkedin.com/jobs/view/4360021845", "https://www.linkedin.com/jobs/view/4360021845")</f>
        <v/>
      </c>
      <c r="F9" t="inlineStr"/>
      <c r="G9" t="inlineStr">
        <is>
          <t>San Jose, CA</t>
        </is>
      </c>
      <c r="H9" t="inlineStr"/>
      <c r="I9" t="inlineStr">
        <is>
          <t>Archer is an aerospace company based in San Jose, California building an all\-electric vertical takeoff and landing aircraft with a mission to advance the benefits of sustainable air mobility. We are designing, manufacturing, and operating an all\-electric aircraft that can carry four passengers while producing minimal noise.
 Our sights are set high and our problems are hard, and we believe that diversity in the workplace is what makes us smarter, drives better insights, and will ultimately lift us all to success. We are dedicated to cultivating an equitable and inclusive environment that embraces our differences, and supports and celebrates all of our team members.
**What You’ll Do:**
 We are looking for an experienced Data Engineer to specialize in aviation data and analytics, focusing on two critical areas: scalable and efficient processing of flight test data for rapid design iteration and near\-real\-time analysis of aircraft health data for predictive maintenance. This role is vital for accelerating our aircraft design and improvement processes through efficient, scalable data processing and for ensuring operational reliability and safety through advanced predictive analytics.
 In this role, you will be tasked with various aspects of data engineering. In addition to the above, your responsibilities will include but not limited to the following.
* Architect, build, and optimize our data processing systems to ensure reliability, efficiency, and scalability
* Develop and optimize ETL processes, data models, and data architectures for data transformation, structures, metadata, and workload management
* Develop and maintain data models that support analytics, reporting, and custom app development
* Create robust data quality observability, monitoring, testing, and validation frameworks
* Engage actively with analytics teams and business stakeholders to understand their data needs, ensuring the data architecture supports decision\-making processes effectively
* Support the integration of data systems with aircraft telemetry, flight testing, and operational systems
**What You Need:**
* Bachelor’s or Master’s degree in Computer Science, Aerospace Engineering, Data Analytics, or a related field
* At least 3 years experience in data or software engineering with background implementing best practices for SQL and programming languages (e.g. Python, Go, Rust)
* Experience designing and managing data warehouse / lakehouse architectures for high performance and low latency
* Led development of real\-time data pipelines using Kafka or related technologies
* Expertise with one or more cloud data platforms (e.g., AWS, GCP, Azure)
* Deep understanding of data security and quality governance
* Deployed and scaled data workloads using Docker and Kubernetes, with the ability to manage compute resources for high\-volume processing
* Familiarity with ERP systems and how to extract data to build custom tools \&amp; applications
* Knowledge of integrating Gen AI into production data workflows
* Exceptional analytical skills, attention to detail, and the ability to collaborate effectively across multidisciplinary teams
* Clear communication skills that are essential for working across diverse stakeholders
**Bonus Qualifications:**
* Solid foundation in machine learning and other data science fundamentals
* Familiarity with time series data applications and related technologies
* Experience with Infrastructure as Code (Terraform, CloudFormation)
* Advanced skills in predictive analytics and machine learning models for maintenance and anomaly detection
* Experience in aerospace or a related field, particularly with flight test data analysis and aircraft health monitoring
 Please note that this job description is intended to provide a general overview of the position and does not include an exhaustive list of responsibilities and qualifications
 At Archer we aim to attract, retain, and motivate talent that possess the skills and leadership necessary to grow our business. We drive a pay\-for\-performance culture and reward performance that supports the Company’s business strategy. Actual compensation offered will be determined by factors such as job\-related knowledge, skills, and experience.
 Archer is proud to be an Equal Opportunity employer committed to diversity and inclusivity in the workplace. All aspects of employment are decided on the basis of merit, qualifications, and business needs. We do not discriminate based upon race, color, religion, sex, sexual orientation, age, national origin, disability status, protected veteran status, gender identity or any other characteristic protected by federal, state or local laws.
 Archer is committed to working with and providing reasonable accommodations to job applicants with physical or mental disabilities, and those with sincerely held religious beliefs. Applicants who may require reasonable accommodation for any part of the application or hiring process should provide their name and contact information to Archer’s People Team at people@archer.com. Reasonable accommodations will be determined on a case\-by\-case basis.
**Custom Application Question:**
 In order to comply with U.S. export control laws and regulations, applicants for this position who are non\-U.S. nationals (i.e. individuals who are not U.S. Citizens, Permanent Residents, Asylees, Refugees or members of a similar designation) may need to obtain an export\-control license to access certain restricted data and/or information. To the best of your knowledge, is there a possibility that you may need to acquire an export\-control license?
 Archer is committed to working with and providing reasonable accommodations to job applicants with physical or mental disabilities, and those with sincerely held religious beliefs. Applicants who may require reasonable accommodation for any part of the application or hiring process should provide their name and contact information to Archer’s People Team at people@archer.com. Reasonable accommodations will be determined on a case\-by\-case basis.
 Information collected and processed as part of any job applications you choose to submit is subject to Archer's Candidate Privacy Policy.
 Archer is unable to provide work visa sponsorship for this position at the present time.
 Archer is proud to be an Equal Opportunity employer committed to diversity and inclusivity in the workplace. All aspects of employment are decided on the basis of merit, qualifications, and business needs. We do not discriminate based upon race, color, religion, sex, sexual orientation, age, national origin, disability status, protected veteran status, gender identity or any other characteristic protected by federal, state or local laws.
 Archer Aviation does not engage with external recruiting agencies/individual recruiters with whom it does not have a prior written agreement. Archer reserves the right to make use of any unsolicited resumes that it receives and bears no responsibility for payment of any fees asserted from the use of unsolicited resumes. If you are a recruiting agency or individual recruiter wishing to do business with Archer, please reach out to People@archer.com. All employment processes are managed by the Archer People Team.</t>
        </is>
      </c>
    </row>
    <row r="10">
      <c r="A10" t="inlineStr">
        <is>
          <t>li-4359174254</t>
        </is>
      </c>
      <c r="B10" t="inlineStr">
        <is>
          <t>Data Engineer II (AWS, Databricks, PySpark)</t>
        </is>
      </c>
      <c r="C10" t="inlineStr">
        <is>
          <t>Travelers</t>
        </is>
      </c>
      <c r="D10" t="inlineStr">
        <is>
          <t>linkedin</t>
        </is>
      </c>
      <c r="E10">
        <f>HYPERLINK("https://www.linkedin.com/jobs/view/4359174254", "https://www.linkedin.com/jobs/view/4359174254")</f>
        <v/>
      </c>
      <c r="F10" t="inlineStr"/>
      <c r="G10" t="inlineStr">
        <is>
          <t>Hartford, CT</t>
        </is>
      </c>
      <c r="H10" t="inlineStr"/>
      <c r="I10" t="inlineStr">
        <is>
          <t>**Who Are We?**
 Taking care of our customers, our communities and each other. That’s the Travelers Promise. By honoring this commitment, we have maintained our reputation as one of the best property casualty insurers in the industry for over 170 years. Join us to discover a culture that is rooted in innovation and thrives on collaboration. Imagine loving what you do and where you do it.
**Compensation Overview**
 The annual base salary range provided for this position is a nationwide market range and represents a broad range of salaries for this role across the country. The actual salary for this position will be determined by a number of factors, including the scope, complexity and location of the role; the skills, education, training, credentials and experience of the candidate; and other conditions of employment. As part of our comprehensive compensation and benefits program, employees are also eligible for performance\-based cash incentive awards.
**Salary Range**
 $126,500\.00 \- $208,700\.00
**Target Openings**
 1
**What Is the Opportunity?**
 Travelers Data Engineering team constructs pipelines that contextualize and provide easy access to data by the entire enterprise. As a Data Engineer, you will play a key role in growing and transforming our analytics landscape. In addition to your strong analytical mind, you will bring your inquisitive attitude and ability to translate stories found in data by leveraging a variety of data programming techniques. You will leverage your ability to design, build and deploy data solutions that capture, explore, transform, and utilize data to support Artificial Intelligence, Machine Learning and business intelligence/insights.
**What Will You Do?**
* Design, develop, and maintain scalable batch and streaming data pipelines using Databricks and cloud\-native services
* Build and optimize ETL/ELT workflows using Python, SQL, and Spark
* Work with structured and semi\-structured data stored in cloud object storage (e.g., Amazon S3\)
* Collaborate with analytics, BI, and application teams to deliver high\-quality, trusted datasets
* Apply FinOps best practices by monitoring resource usage, optimizing job performance, and identifying cost\-saving opportunities
* Support AI/ML use cases by preparing and curating high\-quality datasets for model training and inference
* Assist with feature engineering pipelines and data validation for ML workflows
* Implement data quality checks, monitoring, and performance tuning
* Follow best practices for data security, governance, and access controls
* Support production workloads, troubleshoot issues, and participate in operational support as needed
* Contribute to documentation, standards, and reusable data engineering patterns
**What Will Our Ideal Candidate Have?**
* Bachelor’s Degree in STEM related field or equivalent.
* Eight years of related experience.
* Hands\-on experience with Databricks and Apache Spark
* Strong experience with AWS (e.g., S3, IAM, EC2, Lambda, Glue, or related services)
* Proficiency in Python and SQL
* Experience working with cloud data platforms and distributed data processing systems
* Solid understanding of data modeling, ETL/ELT concepts, and performance optimization
* Strong communication skills and ability to work in a collaborative team environment
* Highly proficient use of tools, techniques, and manipulation including Cloud platforms, programming languages, and a full understanding of modern software engineering practices.
* The ability to deliver work at a steady, predictable pace to achieve commitments, deliver complete solutions but release them in small batches, and identify and negotiate important tradeoffs.
* Demonstrated track record of domain expertise including understanding technical concepts necessary and industry trends, and possess in\-depth knowledge of immediate systems worked on and some knowledge of adjacent systems.
* Strong problem solver who ensures systems are built with longevity and creates innovate ways to resolve issues.
* Strong written and verbal communication skills with the ability to work collaborate well with team members and business partners.
* Ability to lead team members and help create a safe environment for others to learn and grow as engineers. and a proven track record of self\-motivation in identifying opportunities and tracking team efforts.
**What is a Must Have?**
* Bachelor’s degree in computer science, related STEM field, or its equivalent in education and/or work experience.
* 4 additional years of data engineering experience.
**What Is in It for You?**
* Health Insurance: Employees and their eligible family members – including spouses, domestic partners, and children – are eligible for coverage from the first day of employment.
* Retirement: Travelers matches your 401(k) contributions dollar\-for\-dollar up to your first 5% of eligible pay, subject to an annual maximum. If you have student loan debt, you can enroll in the Paying it Forward Savings Program. When you make a payment toward your student loan, Travelers will make an annual contribution into your 401(k) account. You are also eligible for a Pension Plan that is 100% funded by Travelers.
* Paid Time Off: Start your career at Travelers with a minimum of 20 days Paid Time Off annually, plus nine paid company Holidays.
* Wellness Program: The Travelers wellness program is comprised of tools, discounts and resources that empower you to achieve your wellness goals and caregiving needs. In addition, our mental health program provides access to free professional counseling services, health coaching and other resources to support your daily life needs.
* Volunteer Encouragement: We have a deep commitment to the communities we serve and encourage our employees to get involved. Travelers has a Matching Gift and Volunteer Rewards program that enables you to give back to the charity of your choice.
**Employment Practices**
 Travelers is an equal opportunity employer. We value the unique abilities and talents each individual brings to our organization and recognize that we benefit in numerous ways from our differences.
 In accordance with local law, candidates seeking employment in Colorado are not required to disclose dates of attendance at or graduation from educational institutions.
 If you are a candidate and have specific questions regarding the physical requirements of this role, please send us an email so we may assist you.
 Travelers reserves the right to fill this position at a level above or below the level included in this posting.
 To learn more about our comprehensive benefit programs please visit http://careers.travelers.com/life\-at\-travelers/benefits/.</t>
        </is>
      </c>
    </row>
    <row r="11">
      <c r="A11" t="inlineStr">
        <is>
          <t>li-4369333286</t>
        </is>
      </c>
      <c r="B11" t="inlineStr">
        <is>
          <t>Data Engineer [On-Site]</t>
        </is>
      </c>
      <c r="C11" t="inlineStr">
        <is>
          <t>Regions Bank</t>
        </is>
      </c>
      <c r="D11" t="inlineStr">
        <is>
          <t>linkedin</t>
        </is>
      </c>
      <c r="E11">
        <f>HYPERLINK("https://www.linkedin.com/jobs/view/4369333286", "https://www.linkedin.com/jobs/view/4369333286")</f>
        <v/>
      </c>
      <c r="F11" t="inlineStr"/>
      <c r="G11" t="inlineStr">
        <is>
          <t>Birmingham, AL</t>
        </is>
      </c>
      <c r="H11" t="inlineStr"/>
      <c r="I11" t="inlineStr">
        <is>
          <t>Thank you for your interest in a career at Regions. At Regions, we believe associates deserve more than just a job. We believe in offering performance\-driven individuals a place where they can build a career \-\-\- a place to expect more opportunities. If you are focused on results, dedicated to quality, strength and integrity, and possess the drive to succeed, then we are your employer of choice.
 Regions is dedicated to taking appropriate steps to safeguard and protect private and personally identifiable information you submit. The information that you submit will be collected and reviewed by associates, consultants, and vendors of Regions in order to evaluate your qualifications and experience for job opportunities and will not be used for marketing purposes, sold, or shared outside of Regions unless required by law. Such information will be stored in accordance with regulatory requirements and in conjunction with Regions’ Retention Schedule for a minimum of three years. You may review, modify, or update your information by visiting and logging into the careers section of the system.
**Job Description**
 At Regions, the Data Engineer supports the Data and Analytics organization by designing, optimizing, and developing data pipelines to support machine learning and artificial intelligence (AI) models. The Data Engineer works with a cross functional team of Data Scientists and Software Developers on feature engineering and scoring pipelines. This role supports software developers, database architects, data analysts, and data scientists on data initiatives and ensures optimal data delivery architecture is consistent throughout ongoing projects.
**Primary Responsibilities**
* Partners with Regions Technology partners to Design, Build, and Maintain the data\-based structures and systems in support of Data and Analytics and Data Product use cases
* Builds data pipelines to collect and arrange data and manage data storage in Regions’ big data environment
* Builds robust, testable programs for moving, transforming, and loading data using big data tools such as Spark
* Ensures data is prepared, arranged and ready for each defined business use case
* Provides consultation to all areas of the organization that plan to use data to make decisions
* Supports any team members in the development of such information delivery and aid in the automation of data products
 This position is exempt from timekeeping requirements under the Fair Labor Standards Act and is not eligible for overtime pay.
**Requirements**
* Bachelor's degree and four (4\) years of experience in a quantitative/analytical/STEM field or technical related field
* Or Master's degree and two (2\) years of experience in in a quantitative/analytical/STEM field
* Or Ph.D. in a quantitative/analytical/STEM field
* One (1\) year of working programming experience in Python/PySpark, Scala, SQL
* One (1\) year of working experience in Big Data Technology in Hadoop, Hive, Impala, Spark, or Kafka
**Preferences**
* Background in Big Data Engineering and Advanced Data Analytics
* Experience developing solutions for the financial services industry
* Experience in Agile Software Development
* Experience or exposure to cloud technologies and migrations
* Prior banking or financial services experience
**Skills And Competencies**
* Experience building data solutions at scale
* Experience designing and building relational data structures in multiple environments
* Experience with DevOps principals, CI/CD, and Software Development Lifecycle
* Experience with No\-SQL databases
* Experience working with large\-scale data Lakehouses
* Proven record of accomplishment of delivering operational Data solutions including Report and Model Ready Data Assets
* Significant experience working with senior executives in the use of data, reporting and visualizations to support strategic and operational decision making
* Strong ability to transform and integrate complex data from multiple sources into accessible, understandable, and usable data assets and frameworks
* Strong background in synthesizing data and analytics in a large (Fortune 500\), complex, and highly regulated environment
* Strong communication skills through written and oral presentations
* Strong technical background including database and business intelligence skills
**This position is intended to be onsite, now or in the near future** 
 . Associates will have regular work hours, including full days in the office three or more days a week. The manager will set the work schedule for this position, including in\-office expectations. Regions will not provide relocation assistance for this position, and relocation would be at your expense. The location available for this role is
 **Birmingham, AL.**
**Regions will not sponsor applicants for work visas for this position at this time. Applicants for this position must currently be authorized to work in the United States on a full\-time basis.**
**Position Type**
 Full time
**Compensation Details**
 Pay ranges are job specific and are provided as a point\-of\-market reference for compensation decisions. Other factors which directly impact pay for individual associates include: experience, skills, knowledge, contribution, job location and, most importantly, performance in the job role. As these factors vary by individuals, pay will also vary among individual associates within the same job.
 The target information listed below is based on the Metropolitan Statistical Area Market Range for where the position is located and level of the position.
**Minimum**
**Job Range Target:**
 $86,711\.90 USD
**Median**
 $119,550\.00 USD
**Incentive Pay Plans**
 This job is not incentive eligible.
**Benefits Information**
 Regions offers a benefits package that is flexible, comprehensive and recognizes that "one size does not fit all" for benefits\-eligible associates. Listed below is a synopsis of the benefits offered by Regions for informational purposes, which is not intended to be a complete summary of plan terms and conditions.
* Paid Vacation/Sick Time
* 401K with Company Match
* Medical, Dental and Vision Benefits
* Disability Benefits
* Health Savings Account
* Flexible Spending Account
* Life Insurance
* Parental Leave
* Employee Assistance Program
* Associate Volunteer Program
 Please note, benefits and plans may be changed, amended, or terminated with respect to all or any class of associate at any time. To learn more about Regions’ benefits, please click or copy the link below to your browser.
 https://www.regions.com/about\-regions/welcome\-portal/benefits
**Location Details**
 Riverchase Operations Center
**Location:**
 Hoover, Alabama
 Equal Opportunity Employer/including Disabled/Veterans
 Job applications at Regions are accepted electronically through our career site for a minimum of five business days from the date of posting. Job postings for higher\-volume positions may remain active for longer than the minimum period due to business need and may be closed at any time thereafter at the discretion of the company.</t>
        </is>
      </c>
    </row>
    <row r="12">
      <c r="A12" t="inlineStr">
        <is>
          <t>li-4353582211</t>
        </is>
      </c>
      <c r="B12" t="inlineStr">
        <is>
          <t>Data Engineer, Analytics (Technical Leadership)</t>
        </is>
      </c>
      <c r="C12" t="inlineStr">
        <is>
          <t>Meta</t>
        </is>
      </c>
      <c r="D12" t="inlineStr">
        <is>
          <t>linkedin</t>
        </is>
      </c>
      <c r="E12">
        <f>HYPERLINK("https://www.linkedin.com/jobs/view/4353582211", "https://www.linkedin.com/jobs/view/4353582211")</f>
        <v/>
      </c>
      <c r="F12" t="inlineStr"/>
      <c r="G12" t="inlineStr">
        <is>
          <t>San Francisco, CA</t>
        </is>
      </c>
      <c r="H12" t="inlineStr"/>
      <c r="I12" t="inlineStr">
        <is>
          <t>Every month, billions of people leverage Meta products to connect with friends and loved ones from across the world. On the Data Engineering Team, our mission is to support these products both internally and externally by delivering the best data foundation that drives impact through informed decision making. As a highly collaborative organization, our data engineers work cross\-functionally with software engineering, data science, and product management to optimize growth, strategy, and experience for our 3 billion plus users, as well as our internal employee community.We are looking for a technical leader in our Data Engineering team to work closely with Product Managers, Data Scientists and Software Engineers to support building out a great platform for the future of computing. In this role, you will view a direct correlation between your work, company growth, and user satisfaction. You’ll work with some of the best minds in the industry, work with one of the richest data sets in the world, use cutting edge technology, and see your efforts affect products and people on a regular basis.The ideal candidate will have demonstrated experience in data infrastructure and data architecture as well as areas such as governing company wide data marts, enabling security and privacy data solutions, and full stack experience with analytical technologies. Candidates should also have a proven track record of leading and scaling efforts related to end\-to\-end analytics systems, operational skills to drive efficiency and speed, project management leadership, and a vision for how data can proactively improve companies.As we continue to expand and create, we have a lot of exciting work ahead of us!
 Data Engineer, Analytics (Technical Leadership) Responsibilities:
* Proactively drive the vision for data foundation and analytics to accelerate building and improvement of cross platform components across Instagram, and define and execute on plan to achieve that vision
* Conceptualize and own the data architecture for multiple large\-scale projects, while evaluating design and operational cost\-benefit tradeoffs within systems
* Create and contribute to frameworks that improve the efficacy of logging data, while working with data infrastructure to triage issues and resolve
* Build cross\-functional relationships with Data Scientists, Product Managers and Software Engineers to understand data needs and deliver on those needs
* Define and manage SLA for all data sets in allocated areas of ownership
* Determine and implement the security model based on privacy requirements, confirm safeguards are followed, address data quality issues, and evolve governance processes within allocated areas of ownership
* Design, build, and launch collections of sophisticated data models and visualizations that support use cases across different products or domains
* Solve our most challenging data integrations problems, utilizing optimal ETL patterns, frameworks, query techniques, sourcing from structured and unstructured data sources
* Assist in owning existing processes running in production, optimizing complex code through advanced algorithmic concepts
* Optimize pipelines, dashboards, frameworks, and systems to facilitate easier development of data artifacts
* Influence product and cross\-functional teams to identify data opportunities to drive impact
* Mentor team members by giving/receiving actionable feedback
 Minimum Qualifications:
* Bachelor's degree in Computer Science, Computer Engineering, relevant technical field, or equivalent practical experience
* 10\+ years experience in the data warehouse space
* 10\+ years experience in custom ETL design, implementation and maintenance
* 10\+ years experience with object\-oriented programming languages
* 10\+ years experience with schema design and dimensional data modeling
* 10\+ years experience in authoring SQL statements
* Experience analyzing data to identify deliverables, gaps and inconsistencies
* Experience managing and communicating data warehouse plans to internal clients
 Preferred Qualifications:
* BS/BA in Technical Field, Computer Science or Mathematics
* Experience working with either a MapReduce or an MPP system
* Knowledge and practical application of Python
* Experience working autonomously in global teams
* Experience influencing product decisions with data
 About Meta:
 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
 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
 Meta is committed to providing reasonable accommodations for candidates with disabilities in our recruiting process. If you need any assistance or accommodations due to a disability, please let us know at accommodations\-ext@meta.com.
 $210,000/year to $281,000/year \+ bonus \+ equity \+ benefits
 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t>
        </is>
      </c>
    </row>
    <row r="13">
      <c r="A13" t="inlineStr">
        <is>
          <t>li-4369330985</t>
        </is>
      </c>
      <c r="B13" t="inlineStr">
        <is>
          <t>Data Analytics Engineer</t>
        </is>
      </c>
      <c r="C13" t="inlineStr">
        <is>
          <t>Inhance Technologies</t>
        </is>
      </c>
      <c r="D13" t="inlineStr">
        <is>
          <t>linkedin</t>
        </is>
      </c>
      <c r="E13">
        <f>HYPERLINK("https://www.linkedin.com/jobs/view/4369330985", "https://www.linkedin.com/jobs/view/4369330985")</f>
        <v/>
      </c>
      <c r="F13" t="inlineStr"/>
      <c r="G13" t="inlineStr">
        <is>
          <t>Catoosa, OK</t>
        </is>
      </c>
      <c r="H13" t="inlineStr"/>
      <c r="I13" t="inlineStr">
        <is>
          <t>**About Inhance Technologies**
 Inhance Technologies is a leading provider of specialty chemicals, gases and material technologies in a wide range of industries, across four continents. For more than 40 years, Inhance Technologies’ world\-class experts have been collaborating with customers globally to create customized solutions and offer exclusive technologies.
**About The Role**
* Responsible for transforming raw data into insights and metrics that are ready for analysis and reporting, acting as a bridge between data engineering and data analysis. They use SQL and data modeling techniques, leverage data warehouse and visualization tools, maintain data pipelines and models, and document data sources to ensure data quality and accessibility for business users. They focus on ensuring data quality, consistency, and accessibility for end\-users to make informed decisions.
**What You'll Do**
 Primary Responsibilities/Duties:
* Data Transformation: Converting raw data into metrics, insights, and reports. Building scripts and tools to transform, clean, and prepare data for analysis.
* Data Modeling: Designing and implementing data models for efficient data access and analysis.
* Data Pipeline Development: Building automated and scalable data pipelines for data ingestion and processing.
* Data Documentation and Consolidation: Documenting data models, pipelines, and processes to ensure clarity and maintainability and consolidating data sources.
* Collaboration: Working with data scientists, engineers, analysts, and business stakeholders to address data needs.
* Data Quality Assurance: Implementing software engineering practices and ensuring clean datasets. Ensuring the accuracy and reliability of data through rigorous testing and quality checks.
* Business Understanding: Understanding business requirements and translating them into data models and insights.
* Performance Monitoring: Monitoring the performance of data pipelines and models to identify and address issues.
**Quality And Product Stewardship Responsibilities**
* Maintains the company standards required of their individual areas of responsibility.
* Notifies Director of IT of any company guideline or procedure deficiencies.
**Health, Safety \&amp; Environmental Responsibilities**
* Attends and completes all training required to meet regulatory compliance in areas of responsibility.
* Is fully trained on the site Emergency Action Plan (EAP) Policy
* Is compliant and follows all company policies (HR, HSSE, Quality)
* Ensures the highest level of confidentiality of data.
* Ensure the highest level of ethical behavior.
**Qualifications**
 Educational and Skills Requirements:
* Education: Must have a minimum of a High School diploma or GED and 5 or more years of experience in Information Technology.
* SQL: Proficiency in SQL for querying and manipulating data.
* Data Modeling: Knowledge of data modeling techniques and tools.
* Programming Languages: Proficiency in languages like Python, Scala, or R for data manipulation and analysis.
* Data Visualization: Experience with tools like Tableau or Power BI for creating visualizations.
* Data Warehousing: Knowledge of data warehousing concepts and technologies.
* Cloud Computing: Familiarity with cloud platforms like AWS, Azure, or GCP.
* Software Engineering Practices: Applying software engineering techniques like version control and CI/CD.
* Communication and Collaboration: Strong communication and interpersonal skills to collaborate with other data team members and end users.
* Problem\-solving: Ability to identify and solve problems related to data quality, accessibility, and performance.</t>
        </is>
      </c>
    </row>
    <row r="14">
      <c r="A14" t="inlineStr">
        <is>
          <t>li-4361080197</t>
        </is>
      </c>
      <c r="B14" t="inlineStr">
        <is>
          <t>Data Engineer - St Luke’s Health Partners   -   140200</t>
        </is>
      </c>
      <c r="C14" t="inlineStr">
        <is>
          <t>St. Luke's Health System</t>
        </is>
      </c>
      <c r="D14" t="inlineStr">
        <is>
          <t>linkedin</t>
        </is>
      </c>
      <c r="E14">
        <f>HYPERLINK("https://www.linkedin.com/jobs/view/4361080197", "https://www.linkedin.com/jobs/view/4361080197")</f>
        <v/>
      </c>
      <c r="F14">
        <f>HYPERLINK("https://careers.slhs.org/careersmarketplace/JobDetail/Data-Engineer-St-Luke-s-Health-Partners/140200?source=External+Career+Site&amp;src=LinkedIn&amp;urlHash=YP7u", "https://careers.slhs.org/careersmarketplace/JobDetail/Data-Engineer-St-Luke-s-Health-Partners/140200?source=External+Career+Site&amp;src=LinkedIn&amp;urlHash=YP7u")</f>
        <v/>
      </c>
      <c r="G14" t="inlineStr">
        <is>
          <t>Boise, ID</t>
        </is>
      </c>
      <c r="H14" t="inlineStr"/>
      <c r="I14" t="inlineStr">
        <is>
          <t>**Description \&amp; Requirements**
**Data Engineer \- St Luke’s Health Partners**
 Do you like working on things that positively impact the health of your friends, family, neighbors, and community? St Luke's Health Partners has pioneered and proven a true value\-based care network, making the healthcare in Idaho better for all of us. St Luke's Health Partners (SLHP) is uniquely qualified to and accountable for providing the best possible health care at the lowest total cost.
 St. Lukes’ Data and Analytics Department (D\&amp;A) is seeking to hire a Data Engineer to support St Lukes Health Partners.
 As a key member of our Health Partners’ D\&amp;A team, you will be integral in developing innovative data solutions for business\-critical data that is shared across the enterprise and collectively represents a “single source of truth.” The ideal candidate for this position would have great communication skills, be a curious self\-starter, have great analytical and problem\-solving skills, and have a passion for delivering technical solutions that enable time\-sensitive, critical decisions.
 Under minimal supervision, the BI Solution Developer 3 designs, develops, maintains, and supports complex business intelligence applications and solutions.
* Analyzes business intelligence needs and requirements and provides data storage, analytical, or reporting tools in response.
* Works with key business stakeholders to understand and prioritize data and information requirements; develops data/information quality metrics.
* Creates testing methodology and criteria; tests storage and reporting solutions for functionality and integrity; troubleshoots and resolves errors and solves complex technical problems.
* Develops standards, policies and procedures for the form, structure and attributes of the business intelligence tools and systems.
* Develops standard or custom reports, queries, or dashboards that access and consolidate information from a variety of data sources, and provides ongoing support for data users.
* Utilizes data mining techniques and develops data models to assist in the visualization and interpretation of data.
* Researches new technology and develops business cases to support enterprise wide business intelligence solutions.
* Handles complex issues and problems, and refers only the most complex issues to higher\-level staff.
* Possesses comprehensive knowledge of subject matter.
* Provides leadership, coaching, and/or mentoring to a subordinate group; may act as a "lead " or first\-level supervisor.
* Other duties and responsibilities as assigned.
 '\- Education: Bachelors degree or experience in lieu of degree
* Experience: 4 years relevant experience
* Licenses/Certifications: None
 What's In It For You
 At St. Luke’s, caring for people in the communities we serve is our mission – and this includes our own SLHS team. We offer a robust benefits package to support our teams both professionally and personally. In addition to a competitive salary and retirement plans, we ensure our team feels supported in their benefits beyond the typical medical, dental, and vision offerings. We care about you and have fantastic financial and physical wellness options, such as: on\-site massages, on\-site counseling via our Employee Assistance Program, access to the Personify Health Wellness tool, as well as other formal training and career development offerings to ensure you are meeting your career goals.
 St. Luke’s is an equal opportunity employer and does not discriminate against any person on the basis of race, religion, color, gender, gender identity, sexual orientation, age, national origin, disability, veteran status, or any other status or condition protected by law.
* Please note: this posting is not reflective of all job duties and responsibilities and is intended to provide an overview to job seekers.</t>
        </is>
      </c>
    </row>
    <row r="15">
      <c r="A15" t="inlineStr">
        <is>
          <t>li-4353490130</t>
        </is>
      </c>
      <c r="B15" t="inlineStr">
        <is>
          <t>Senior Data Engineer</t>
        </is>
      </c>
      <c r="C15" t="inlineStr">
        <is>
          <t>Zendesk</t>
        </is>
      </c>
      <c r="D15" t="inlineStr">
        <is>
          <t>linkedin</t>
        </is>
      </c>
      <c r="E15">
        <f>HYPERLINK("https://www.linkedin.com/jobs/view/4353490130", "https://www.linkedin.com/jobs/view/4353490130")</f>
        <v/>
      </c>
      <c r="F15" t="inlineStr"/>
      <c r="G15" t="inlineStr">
        <is>
          <t>San Francisco, CA</t>
        </is>
      </c>
      <c r="H15" t="inlineStr"/>
      <c r="I15" t="inlineStr">
        <is>
          <t>**Job Description**
 Our Enterprise Data \&amp; Analytics (EDA) is looking for an experienced Senior Data Engineer to join our growing data engineering team. You’ll work in a collaborative Agile environment using the latest engineering best practices with involvement in all aspects of the software development lifecycle.
 You will craft and develop curated data products, applying standard architectural \&amp; data modeling practices to maintain the foundation data layer serving as a single source of truth across Zendesk . You will be primarily developing Data Warehouse Solutions in BigQuery/Snowflake using technologies such as dbt, Airflow, Terraform.
**What You Get To Do Every Single Day**
* Collaborate with team members and business partners to collect business requirements, define successful analytics outcomes and design data models
* Serve as Data Model subject matter expert and data model spokesperson, demonstrated by the ability to address questions quickly and accurately
* Implement Enterprise Data Warehouse by transforming raw data into schemas and data models for various business domains using SQL \&amp; dbt
* Design, build, and maintain ELT pipelines in Enterprise Data Warehouse to ensure reliable business reporting using Airflow, Fivetran \&amp; dbt
* Optimize data warehousing processes by refining naming conventions, enhancing data modeling, and implementing best practices for data quality testing
* Build analytics solutions that provide practical insights into customer 360, finance, product, sales and other key business domains
* Build and Promote best engineering practices in areas of version control system, CI/CD, code review, pair programming
* Identify, design, and implement internal process improvements: automating manual processes, optimizing data delivery
* Work with data and analytics experts to strive for greater functionality in our data systems
**Basic Qualifications**
**What you bring to the role:**
* 5\+ years of data engineering experience building, working \&amp; maintaining data pipelines \&amp; ETL processes on big data environments
* 5\+ years of experience in Data Modeling and Data Architecture in a production environment
* 5\+ years in writing complex SQL queries
* 5\+ years of experience with Cloud columnar databases (We use Snowflake)
* 2\+ years of production experience working with dbt and designing and implementing Data Warehouse solutions
* Ability to work closely with data scientists, analysts, and other stakeholders to translate business requirements into technical solutions. Strong documentation skills for pipeline design and data flow diagrams.
* Intermediate experience with any of the programming language: Python, Go, Java, Scala, we primarily use Python
* Integration with 3rd party API SaaS applications like Salesforce, Zuora, etc
* Ensure data integrity and accuracy by conducting regular data audits, identifying and resolving data quality issues, and implementing data governance best practices.
* Experience performing root cause analysis on internal and external data and processes to answer specific business questions and identify opportunities for improvement.
**Preferred Qualifications**
* Hands\-on experience with Snowflake data platform, including administration, SQL scripting, and query performance tuning
* Good Knowledge in modern as well as classic Data Modeling \- Kimball, Innmon, etc
* Demonstrated experience in one or many business domains (Finance, Sales, Marketing)
* 3\+ completed “production\-grade” projects with dbt
* Expert knowledge in python
**What Does Our Data Stack Looks Like**
* ELT (Snowflake, Fivetran, dbt, Airflow, Kafka, HighTouch)
* BI (Tableau, Looker)
* Infrastructure (GCP, AWS, Kubernetes, Terraform, Github Actions)
 The US annualized base salary range for this position is $151,000\.00\-$227,000\.00\. This position may also be eligible for bonus, benefits, or related incentives. While this range reflects the minimum and maximum value for new hire salaries for the position across all US locations, the offer for the successful candidate for this position will be based on job related capabilities, applicable experience, and other factors such as work location. Please note that the compensation details listed in US role postings reflect the base salary only (or OTE for commissions based roles), and do not include bonus, benefits, or related incentives.
 Hybrid: In this role, our hybrid experience is designed at the team level to give you a rich onsite experience packed with connection, collaboration, learning, and celebration \- while also giving you flexibility to work remotely for part of the week. This role must attend our local office for part of the week. The specific in\-office schedule is to be determined by the hiring manager.
**The Intelligent Heart Of Customer Experience**
 Zendesk software was built to bring a sense of calm to the chaotic world of customer service. Today we power billions of conversations with brands you know and love.
 Zendesk believes in offering our people a fulfilling and inclusive experience. Our hybrid way of working, enables us to purposefully come together in person, at one of our many Zendesk offices around the world, to connect, collaborate and learn whilst also giving our people the flexibility to work remotely for part of the week.
 As part of our commitment to fairness and transparency, we inform all applicants that artificial intelligence (AI) or automated decision systems may be used to screen or evaluate applications for this position, in accordance with Company guidelines and applicable law.
 Zendesk is an equal opportunity employer, and we’re proud of our ongoing efforts to foster global diversity, equity, \&amp; inclusion in the workplace. Individuals seeking employment and employees at Zendesk are considered without regard to race, color, religion, national origin, age, sex, gender, gender identity, gender expression, sexual orientation, marital status, medical condition, ancestry, disability, military or veteran status, or any other characteristic protected by applicable law. We are an AA/EEO/Veterans/Disabled employer. If you are based in the United States and would like more information about your EEO rights under the law, please click here.
 Zendesk endeavors to make reasonable accommodations for applicants with disabilities and disabled veterans pursuant to applicable federal and state law. If you are an individual with a disability and require a reasonable accommodation to submit this application, complete any pre\-employment testing, or otherwise participate in the employee selection process, please send an e\-mail to peopleandplaces@zendesk.com with your specific accommodation request.</t>
        </is>
      </c>
    </row>
    <row r="16">
      <c r="A16" t="inlineStr">
        <is>
          <t>li-4357660944</t>
        </is>
      </c>
      <c r="B16" t="inlineStr">
        <is>
          <t>Data Engineer</t>
        </is>
      </c>
      <c r="C16" t="inlineStr">
        <is>
          <t>LCS</t>
        </is>
      </c>
      <c r="D16" t="inlineStr">
        <is>
          <t>linkedin</t>
        </is>
      </c>
      <c r="E16">
        <f>HYPERLINK("https://www.linkedin.com/jobs/view/4357660944", "https://www.linkedin.com/jobs/view/4357660944")</f>
        <v/>
      </c>
      <c r="F16" t="inlineStr"/>
      <c r="G16" t="inlineStr">
        <is>
          <t>Des Moines, IA</t>
        </is>
      </c>
      <c r="H16" t="inlineStr"/>
      <c r="I16" t="inlineStr">
        <is>
          <t>**Job Description**
 This position is responsible for designing, developing, and maintaining robust data solutions to support business operations and decision\-making processes. This role involves working with cutting\-edge technologies, including Microsoft Azure Cloud, Snowflake, and Power BI, to build and manage data lakes, data warehouses, and reporting systems. The Database Engineer ensures data accuracy, system reliability, and high\-quality deliverables by performing thorough quality assurance testing and providing user support. Collaboration with IT and business teams is essential to identify opportunities for operational efficiency and align data solutions with organizational goals. Reports to the Director, Data Analytics
**Experience Is Everything.**
 At LCS, experience is everything. We provide you the opportunity to use your talents in a progressive, growing organization that makes a positive difference in the lives of the seniors we serve. If you are seeking an organization that gives back, you’ll love working here. Our principles and hospitality promises define our company culture. LCS employees can be found participating in volunteer activities, getting involved in our committees or collaborating with team members in our innovative workspace. You’ll find several opportunities to grow as a professional, serve the community, and enhance the lives of seniors.
**What You’ll Do**
* Design, develop, and maintain scalable data lakes, data warehouses, and data storage solutions.
* Create and optimize ETL/ELT pipelines for efficient data processing and integration.
* Implement data models to support reporting, analytics, and operational workflows.
* Build, manage, and enhance Power BI dashboards and reports for actionable insights.
* Collaborate with business stakeholders to gather reporting requirements and ensure data accuracy.
* Leverage Microsoft Azure Cloud services (e.g., Data Factory, Synapse Analytics, Data Lake Storage) for data integration and processing.
* Utilize Snowflake to manage and optimize data warehouse performance.
* Perform thorough QA testing to ensure data accuracy, system reliability, and high performance.
* Provide user support and troubleshoot issues with data systems, pipelines, and reporting tools.
* Work closely with cross\-functional teams to align data solutions with organizational objectives.
* Identify and implement operational efficiencies in data workflows and system designs.
* Ensure compliance with data governance, privacy, and security standards.
* Follow best practices for version control, documentation, and CI/CD processes.
* Stay updated on emerging technologies and trends to enhance data strategies and tools.
* Recommend improvements to existing data processes and tools to drive innovation.
**What We’re Looking For**
* Required qualifications
+ Bachelor's year degree in Computer Science, MIS, or equivalent work experience.
+ 2\-4 years of experience in developing, implementing, and supporting enterprise solutions.
+ Experience with database concepts, advanced SQL, and reporting/Business Intelligence software.
+ Expertise in data architecture, data modeling, and building scalable data solutions.
+ Proficiency with Microsoft Azure Cloud services (e.g., Azure Data Factory, Synapse Analytics, Data Lake Storage).
+ Strong experience with Snowflake for data warehousing and optimization.
+ Advanced skills in Power BI for creating reports, dashboards, and data visualizations.
+ Proficient in SQL and scripting languages like Python for data integration and analysis.
+ Solid understanding of ETL/ELT pipelines and data integration workflows.
+ Strong problem\-solving skills and attention to detail for troubleshooting data systems.
+ Excellent communication and collaboration abilities to work effectively across teams.
**Why Join Us?**
* Industry Leader.
* Inclusive \&amp; collaborative culture.
* Top Workplace USA.
* Top Workplace Iowa.
* Charity and community involvement.
* Outstanding advancement opportunities.
* Ongoing career development.
**Benefits**
 Competitive pay, great benefits and vacation time. We are an equal opportunity employer with benefits including medical, dental, life insurance, disability, 401(K) with company match and paid parental leave.
**Our Commitment**
 LCS creates living experiences that enhance the lives of seniors. You’ll see this commitment in our people. They’re talented, dedicated professionals who truly care about residents, with each conducting his or her work with integrity, honesty and transparency according to the principles of LCS. We strive to help every community succeed—strengthening available resources, establishing proven practices that lead to long\-term growth and value for those living in, working for and affiliated with the community. Check us out on our website: https://www.lcsliving.com
**Additional Information**
 Travel frequency: 0\-10%
 Estimated Salary: $113,000 \- 141,000
*The actual title \&amp; salary will carefully consider a wide range of factors, including your skills, qualifications, experience, and other relevant factors.*
**a Post\-offer Background Check, Including References Is Required.**
**LCS IS AN EQUAL OPPORTUNITY EMPLOYER.**</t>
        </is>
      </c>
    </row>
    <row r="17">
      <c r="A17" t="inlineStr">
        <is>
          <t>li-4353430113</t>
        </is>
      </c>
      <c r="B17" t="inlineStr">
        <is>
          <t>Senior Data Engineer</t>
        </is>
      </c>
      <c r="C17" t="inlineStr">
        <is>
          <t>Zendesk</t>
        </is>
      </c>
      <c r="D17" t="inlineStr">
        <is>
          <t>linkedin</t>
        </is>
      </c>
      <c r="E17">
        <f>HYPERLINK("https://www.linkedin.com/jobs/view/4353430113", "https://www.linkedin.com/jobs/view/4353430113")</f>
        <v/>
      </c>
      <c r="F17">
        <f>HYPERLINK("https://zendesk.wd1.myworkdayjobs.com/en-US/zendesk/job/Austin-Texas-United-States-of-America/Senior-Data-Engineer_R33343?source=LinkedIn&amp;urlHash=6Wm6", "https://zendesk.wd1.myworkdayjobs.com/en-US/zendesk/job/Austin-Texas-United-States-of-America/Senior-Data-Engineer_R33343?source=LinkedIn&amp;urlHash=6Wm6")</f>
        <v/>
      </c>
      <c r="G17" t="inlineStr">
        <is>
          <t>Austin, TX</t>
        </is>
      </c>
      <c r="H17" t="inlineStr"/>
      <c r="I17" t="inlineStr">
        <is>
          <t>**Job Description**
 Our Enterprise Data \&amp; Analytics (EDA) is looking for an experienced Senior Data Engineer to join our growing data engineering team. You’ll work in a collaborative Agile environment using the latest engineering best practices with involvement in all aspects of the software development lifecycle.
 You will craft and develop curated data products, applying standard architectural \&amp; data modeling practices to maintain the foundation data layer serving as a single source of truth across Zendesk . You will be primarily developing Data Warehouse Solutions in BigQuery/Snowflake using technologies such as dbt, Airflow, Terraform.
**What You Get To Do Every Single Day**
* Collaborate with team members and business partners to collect business requirements, define successful analytics outcomes and design data models
* Serve as Data Model subject matter expert and data model spokesperson, demonstrated by the ability to address questions quickly and accurately
* Implement Enterprise Data Warehouse by transforming raw data into schemas and data models for various business domains using SQL \&amp; dbt
* Design, build, and maintain ELT pipelines in Enterprise Data Warehouse to ensure reliable business reporting using Airflow, Fivetran \&amp; dbt
* Optimize data warehousing processes by refining naming conventions, enhancing data modeling, and implementing best practices for data quality testing
* Build analytics solutions that provide practical insights into customer 360, finance, product, sales and other key business domains
* Build and Promote best engineering practices in areas of version control system, CI/CD, code review, pair programming
* Identify, design, and implement internal process improvements: automating manual processes, optimizing data delivery
* Work with data and analytics experts to strive for greater functionality in our data systems
**Basic Qualifications**
**What you bring to the role:**
* 5\+ years of data engineering experience building, working \&amp; maintaining data pipelines \&amp; ETL processes on big data environments
* 5\+ years of experience in Data Modeling and Data Architecture in a production environment
* 5\+ years in writing complex SQL queries
* 5\+ years of experience with Cloud columnar databases (We use Snowflake)
* 2\+ years of production experience working with dbt and designing and implementing Data Warehouse solutions
* Ability to work closely with data scientists, analysts, and other stakeholders to translate business requirements into technical solutions. Strong documentation skills for pipeline design and data flow diagrams.
* Intermediate experience with any of the programming language: Python, Go, Java, Scala, we primarily use Python
* Integration with 3rd party API SaaS applications like Salesforce, Zuora, etc
* Ensure data integrity and accuracy by conducting regular data audits, identifying and resolving data quality issues, and implementing data governance best practices.
* Experience performing root cause analysis on internal and external data and processes to answer specific business questions and identify opportunities for improvement.
**Preferred Qualifications**
* Hands\-on experience with Snowflake data platform, including administration, SQL scripting, and query performance tuning
* Good Knowledge in modern as well as classic Data Modeling \- Kimball, Innmon, etc
* Demonstrated experience in one or many business domains (Finance, Sales, Marketing)
* 3\+ completed “production\-grade” projects with dbt
* Expert knowledge in python
**What Does Our Data Stack Looks Like**
* ELT (Snowflake, Fivetran, dbt, Airflow, Kafka, HighTouch)
* BI (Tableau, Looker)
* Infrastructure (GCP, AWS, Kubernetes, Terraform, Github Actions)
 The US annualized base salary range for this position is $151,000\.00\-$227,000\.00\. This position may also be eligible for bonus, benefits, or related incentives. While this range reflects the minimum and maximum value for new hire salaries for the position across all US locations, the offer for the successful candidate for this position will be based on job related capabilities, applicable experience, and other factors such as work location. Please note that the compensation details listed in US role postings reflect the base salary only (or OTE for commissions based roles), and do not include bonus, benefits, or related incentives.
 Hybrid: In this role, our hybrid experience is designed at the team level to give you a rich onsite experience packed with connection, collaboration, learning, and celebration \- while also giving you flexibility to work remotely for part of the week. This role must attend our local office for part of the week. The specific in\-office schedule is to be determined by the hiring manager.
**The Intelligent Heart Of Customer Experience**
 Zendesk software was built to bring a sense of calm to the chaotic world of customer service. Today we power billions of conversations with brands you know and love.
 Zendesk believes in offering our people a fulfilling and inclusive experience. Our hybrid way of working, enables us to purposefully come together in person, at one of our many Zendesk offices around the world, to connect, collaborate and learn whilst also giving our people the flexibility to work remotely for part of the week.
 As part of our commitment to fairness and transparency, we inform all applicants that artificial intelligence (AI) or automated decision systems may be used to screen or evaluate applications for this position, in accordance with Company guidelines and applicable law.
 Zendesk is an equal opportunity employer, and we’re proud of our ongoing efforts to foster global diversity, equity, \&amp; inclusion in the workplace. Individuals seeking employment and employees at Zendesk are considered without regard to race, color, religion, national origin, age, sex, gender, gender identity, gender expression, sexual orientation, marital status, medical condition, ancestry, disability, military or veteran status, or any other characteristic protected by applicable law. We are an AA/EEO/Veterans/Disabled employer. If you are based in the United States and would like more information about your EEO rights under the law, please click here.
 Zendesk endeavors to make reasonable accommodations for applicants with disabilities and disabled veterans pursuant to applicable federal and state law. If you are an individual with a disability and require a reasonable accommodation to submit this application, complete any pre\-employment testing, or otherwise participate in the employee selection process, please send an e\-mail to peopleandplaces@zendesk.com with your specific accommodation request.</t>
        </is>
      </c>
    </row>
    <row r="18">
      <c r="A18" t="inlineStr">
        <is>
          <t>li-4360531799</t>
        </is>
      </c>
      <c r="B18" t="inlineStr">
        <is>
          <t>Data Platform Engineer</t>
        </is>
      </c>
      <c r="C18" t="inlineStr">
        <is>
          <t>Ramsey Solutions</t>
        </is>
      </c>
      <c r="D18" t="inlineStr">
        <is>
          <t>linkedin</t>
        </is>
      </c>
      <c r="E18">
        <f>HYPERLINK("https://www.linkedin.com/jobs/view/4360531799", "https://www.linkedin.com/jobs/view/4360531799")</f>
        <v/>
      </c>
      <c r="F18" t="inlineStr"/>
      <c r="G18" t="inlineStr">
        <is>
          <t>Nashville, TN</t>
        </is>
      </c>
      <c r="H18" t="inlineStr"/>
      <c r="I18" t="inlineStr">
        <is>
          <t>**Description**
**Team:** 
 Data Platform
**Location:** 
 Franklin, TN—on\-site, relocation assistance available, flexible schedules available
**Salary:** 
 $100,000–$115,000/year\* \+ profit sharing \+ benefits
* Range depends on skill level and overall experience.
**A Little Bit About Us** 
 : You might know us from our founder and CEO, Dave Ramsey, who’s given no\-nonsense money advice on the radio since 1992\. Three decades later, Ramsey Solutions is a household name in personal finance, with a mission to change the toxic money culture for good.
***Our Mission: Ramsey Solutions provides biblically based, commonsense education and empowerment that give HOPE to everyone in every walk of life.***
**Here’s a Taste Of Our Benefits**
* Health insurance (includes plans eligible for an HSA—with a company match up to $500!)
* 401(k) retirement plan with 4% match/company contribution
* Annual wellness, counseling and grocery membership reimbursement
* On\-campus cafe with subsidized pricing for breakfast, lunch and coffee bar
* Dependent care FSA
* Tons of cultural activities, like weekly devotional, leadership development courses, Battle of the Bands, and one epic Christmas party!
**Where And How You’d Work**
 Ramsey Solutions Headquarters is located just outside of Nashville in Franklin, Tennessee. We value our strong, unified company culture because we believe the best work is done together. That’s why all of our team members work on\-site under the same roof. But work\-life balance is also important to us, so we offer flexible work schedules to take the stress out of appointments, family obligations and other needs that may pop up.
 While every team member has a designated workspace (with an electronic sit\-stand desk), our campus was designed to house a variety of unique work and play zones (e.g., quiet library space, coffee bar/lounge areas, recreational game zone, and outside/patio work and break areas).
**What You’d Do In This Role**
 In this role you’ll be producing business value through the creation of our Enterprise Data Warehouse and data platform ecosystems and related engineering capabilities and services, the goal of which is to enable optimal business insight generation. You’ll be collaborating with our business leaders, stakeholders, and technology teams across the company to deliver cutting\-edge, cloud\-based solutions that enable a performant and stable data platform ecosystem.
**You’re Probably a Match If**
* You have 2\+ years of experience with Python, Java, or another object\-oriented programing language.
* You are experienced with software engineering best practices such as CI/CD, Infrastructure as code, containerization (e.g., Docker, GoCD, CloudFormation).
* You have worked with database technologies such as Redshift, Postgres, and MySQL RDBMS’s, and languages like SQL and procedural SQL.
* You have experience with cloud technologies (preferably AWS) and services such as Step Functions, S3, Lambda, DynamoDB, SNS/SES, SQS, IAM, AWS Glue, CDK, Kinesis Data Streams, Kinesis Firehouse, CloudWatch, Sagemaker.
* You can clearly communicate with both technical and non\-technical stakeholders.
**What Winning Looks Like**
* Partnering with product management to identify Ramsey\-wide analytic and business data problems and architecting solutions to solve them
* Assessing, scoping and prioritizing capability development while providing support for the Ramsey EDW, data platform, and related ecosystems
* Working with cloud platform components, services, and service providers to achieve maximum uptime and performance with optimal cost
* Partnering with and educating partners across Ramsey on EDW and platform best practices, including such things as performance tuning and optimal 3rd party tool integration
* Continually building your engineering craft and awareness of industry trends and technologies around enterprise data platforms and warehousing
**Other Stuff To Know**
 We’re looking for people who are passionate about our mission. This isn’t just a J\-O\-B. We experience resistance every day because what we believe is absolutely countercultural. We actually hate debt. We actually cut up our credit cards . . . like, for real. Some of us are still fighting our way out of debt, but we aren’t going back. If you don’t know much about Ramsey Solutions and our founder, Dave Ramsey, we encourage you to download the Ramsey Network mobile app and consume our content.
**If Ramsey Solutions sounds like a workplace where you can get excited about Mondays, apply today. We can’t wait to hear from you!**
 EOE, including disability/vets</t>
        </is>
      </c>
    </row>
    <row r="19">
      <c r="A19" t="inlineStr">
        <is>
          <t>li-4361005542</t>
        </is>
      </c>
      <c r="B19" t="inlineStr">
        <is>
          <t>Senior Software Engineer, Data Engineering</t>
        </is>
      </c>
      <c r="C19" t="inlineStr">
        <is>
          <t>Airbnb</t>
        </is>
      </c>
      <c r="D19" t="inlineStr">
        <is>
          <t>linkedin</t>
        </is>
      </c>
      <c r="E19">
        <f>HYPERLINK("https://www.linkedin.com/jobs/view/4361005542", "https://www.linkedin.com/jobs/view/4361005542")</f>
        <v/>
      </c>
      <c r="F19" t="inlineStr"/>
      <c r="G19" t="inlineStr"/>
      <c r="H19" t="inlineStr"/>
      <c r="I19"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
**The Community You Will Join**
*We are currently hiring for multiple teams:*
 Guest Data: Understanding how guests and hosts use Airbnb allows us to give them the best possible experience. The Guest Data team, part of the Guest \&amp; Host organization, is dedicated to developing top\-tier tools, frameworks, and data models that offer a data\-driven perspective on guest experiences on Airbnb products. Our primary stakeholders include analytics and data science partners, ML engineers, and product and engineering leaders involved in the core booking flow.
 Supply and One Community (BizTech) \- Team is building a platform for Airbnb to acquire high quality supply for its product lines such as Homes, Hotels, Experiences and Services. High quality supply in the right geograhies is a key lever to Airbnb’s growth. One Community offers host clubs for geo\-graphically colocated hosts to communicate. Host clubs offers a meaningful education, announcements and tool of communication in disaster scenarios, it’s an important input to measure host engagement.
 The Growth Data Platform team in the Marketing Technology organization is looking for a Senior Data Engineer to join our team. We own and curate important marketing data models, data resources, and metrics that are critical to drive business growth and product engagement. In this role you will own some of Airbnb’s most foundational data assets, including our marketing communication \&amp; engagement, growth \&amp; attribution, ads performance and traffic acquisition. You will design, build and own the company\-wide marketing and growth data models and metrics. You will work closely with Analytics Engineers, Software Engineers, Analytics and the Finance team to make sure our marketing core data foundation is accurate, high quality, and adapting to the evolving business needs.
 Airbnb is powered by our Host and Guest communities. Our teams work on everything from driving improvements for the end\-to\-end Host and Guest experience to launching new product verticals from the ground up. Our job is to build world\-class, comprehensive platforms and features to create high\-quality experiences for our outstanding community of Hosts and Guests.
 Listings and Host Tools Data and AI (LHT\-DnA) team is one of the 4 teams of the Marketplace\-DnA org: The LHT\-DnA team supports host personalization products and provides data driven solutions to achieve superior host experience on Airbnb. These products include but are not limited to managing your space (MYS), host quality standards etc. We own data pipelines and ML models and will build services for serving that are used in the above areas.
 The Supply \&amp; Insights Data and AI team provides rich, high\-quality data assets to power insights that enable Airbnb and our hosts to be competitive in our marketplaces. The team is composed of Engineers specializing in Data, Analytics, Backend and Machine Learning, and we work closely with a wide range of teams across the company, including Data Science, Strategic Finance, Sales Operations, and Product Engineering in order to see our work through to business impact.
**The Difference You Will Make**
 Guest Data: As a Senior Data Engineer, you will help build our data strategy, develop top\-tier data models and tooling, and provide technical leadership to a team of senior data engineers. You have the opportunity to influence critical aspects of the Airbnb experience, including Search and Checkout, while collaborating with long\-standing xfn partners across Product, Analytics Engineering, Data Science, Infrastructure, and AI/ML. Your work will impact the quality of the Airbnb product experience for millions of daily visitors, making it an exciting opportunity for anyone passionate about data and its transformative potential.
 Supply and One Community (BizTech) \- As a Senior Data Engineer, you will help build and execute our data strategy, develop top\-tier data models and tooling, and provide technical leadership to data practitioners in the organization. Supply organization uses Salesforce for their workflows offering you an opportunity to build a paved path to exchange data between Airbnb and its vendor efficiently and in near real\-time with an opportunity to influence vendor data exchange at Airbnb. Your work will impact the quality of the Airbnb experience for hosts and allow Airbnb to acquire, onboard high quality hosts. You will be collaborating with long\-standing xfn partners across Product, Analytics Engineering, Data Science, Infrastructure, and AI/ML.
**A Typical Day**
* Design, build, and maintain robust and efficient data pipelines that collect, process, and store data from various sources, including user interactions, listing details, and external data feeds.
* Develop data models that enable the efficient analysis and manipulation of data for merchandising optimization. Ensure data quality, consistency, and accuracy.
* Build scalable data pipelines (SparkSQL \&amp; Scala) leveraging Airflow scheduler/executor framework
* Collaborate with cross\-functional teams, including Data Scientists, Product Managers, and Software Engineers, to define data requirements, and deliver data solutions that drive merchandising and sales improvements.
* Contribute to the broader Data Engineering community at Airbnb to influence tooling and standards to improve culture and productivity
* Improve code and data quality by leveraging and contributing to internal tools to automatically detect and mitigate issues
**Your Expertise**
* 5\-9\+ years of relevant industry experience with a BS/Masters, or 2\+ years with a PhD
* Experience with distributed processing technologies and frameworks, such as Hadoop, Spark, Kafka, and distributed storage systems (e.g., HDFS, S3\)
* Demonstrated ability to analyze large data sets to identify gaps and inconsistencies, provide data insights, and advance effective product solutions
* Expertise with ETL schedulers such as Apache Airflow, Luigi, Oozie, AWS Glue or similar frameworks
* Solid understanding of data warehousing concepts and hands\-on experience with relational databases (e.g., PostgreSQL, MySQL) and columnar databases (e.g., Redshift, BigQuery, HBase, ClickHouse)
* Excellent written and verbal communication skills
**Your Location:**
 This position is US \- Remote Eligible. The role may include occasional work at an Airbnb office or attendance at offsites, as agreed to with your manager. While the position is Remote Eligible, you must live in a state where Airbnb, Inc. has a registered entity. Click here for the up\-to\-date list of excluded states. This list is continuously evolving, so please check back with us if the state you live in is on the exclusion list. If your position is employed by another Airbnb entity, your recruiter will inform you what states you are eligible to work from.
**Our Commitment To Inclusion \&amp; Belonging**
 Airbnb is committed to working with the broadest talent pool possible. We believe diverse ideas foster innovation and engagement, and allow us to attract creatively\-led people, and to develop the best products, services and solutions. All qualified individuals are encouraged to apply.
 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
 We ask that you only reach out to us if you are a candidate whose disability prevents you from being able to complete our online application.
**How We'll Take Care Of You**
 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
 Pay Range
 $191,000—$223,000 USD</t>
        </is>
      </c>
    </row>
    <row r="20">
      <c r="A20" t="inlineStr">
        <is>
          <t>li-4361678874</t>
        </is>
      </c>
      <c r="B20" t="inlineStr">
        <is>
          <t>Senior Data Engineer - Databricks</t>
        </is>
      </c>
      <c r="C20" t="inlineStr">
        <is>
          <t>SMBC Group</t>
        </is>
      </c>
      <c r="D20" t="inlineStr">
        <is>
          <t>linkedin</t>
        </is>
      </c>
      <c r="E20">
        <f>HYPERLINK("https://www.linkedin.com/jobs/view/4361678874", "https://www.linkedin.com/jobs/view/4361678874")</f>
        <v/>
      </c>
      <c r="F20">
        <f>HYPERLINK("https://careers.smbcgroup.com/smbc/job/Charlotte-Senior-Data-Engineer-Databricks-NC-28202/1318671100/?feedId=391600&amp;utm_source=LinkedInJobPostings&amp;utm_campaign=SMBC_LinkedIn&amp;mode=job&amp;iis=SOURCE&amp;iisn=LINKEDIN&amp;urlHash=R7w0", "https://careers.smbcgroup.com/smbc/job/Charlotte-Senior-Data-Engineer-Databricks-NC-28202/1318671100/?feedId=391600&amp;utm_source=LinkedInJobPostings&amp;utm_campaign=SMBC_LinkedIn&amp;mode=job&amp;iis=SOURCE&amp;iisn=LINKEDIN&amp;urlHash=R7w0")</f>
        <v/>
      </c>
      <c r="G20" t="inlineStr">
        <is>
          <t>Charlotte, NC</t>
        </is>
      </c>
      <c r="H20" t="inlineStr"/>
      <c r="I20" t="inlineStr">
        <is>
          <t>SMBC Group is a top\-tier global financial group. Headquartered in Tokyo and with a 400\-year history, SMBC Group offers a diverse range of financial services, including banking, leasing, securities, credit cards, and consumer finance. The Group has more than 130 offices and 80,000 employees worldwide in nearly 40 countries. Sumitomo Mitsui Financial Group, Inc. (SMFG) is the holding company of SMBC Group, which is one of the three largest banking groups in Japan. SMFG’s shares trade on the Tokyo, Nagoya, and New York (NYSE: SMFG) stock exchanges.
 In the Americas, SMBC Group has a presence in the US, Canada, Mexico, Brazil, Chile, Colombia, and Peru. Backed by the capital strength of SMBC Group and the value of its relationships in Asia, the Group offers a range of commercial and investment banking services to its corporate, institutional, and municipal clients. It connects a diverse client base to local markets and the organization’s extensive global network. The Group’s operating companies in the Americas include Sumitomo Mitsui Banking Corp. (SMBC), SMBC Nikko Securities America, Inc., SMBC Capital Markets, Inc., SMBC MANUBANK, JRI America, Inc., SMBC Leasing and Finance, Inc., Banco Sumitomo Mitsui Brasileiro S.A., and Sumitomo Mitsui Finance and Leasing Co., Ltd.
 Role Description
 The Databricks Developer is responsible for implementing, supporting, and enhancing the internal fraud detection platform by developing scalable data pipelines, integrating batch processing methods, and ensuring the platform aligns with the bank’s risk management, legal, and regulatory requirements for fraud detection and prevention.
 This role requires deep functional and technical expertise in databricks development, including strong development skills in PySpark and the Azure cloud ecosystem. Proven expertise in designing and managing CI/CD pipelines using tools such as Azure DevOps, GitHub, or similar.
 The developer will work closely with business units and support teams to deliver the initial application, system enhancements, perform upgrades, and provide on\-call user support. The ideal candidate holds a degree in Computer Science or a related field and has at least 5 years of professional experience in data engineering and cloud\-based development.
**Key Responsibilities**
 Role Objectives: Delivery
* Design, develop, and optimize large\-scale batch data pipelines using Databricks and PySpark on the Azure cloud platform.
* Lead technical architecture and implementation of Azure\-based solutions, supporting cloud migration and consolidation initiatives.
* Build and maintain ETL processes, ensuring seamless data integration and high data quality across diverse sources.
* Develop orchestration workflows using Azure Functions, Azure Data Factory (ADF), Logic Apps, and other Azure services.
* Proven expertise in designing and managing CI/CD pipelines using tools such as Azure DevOps, GitHub, or similar
* Implement secure and scalable solutions leveraging Blob Storage, Key Vault, Managed Identities, and Azure DevOps.
* Provide technical guidance and support for architectural decisions and platform enhancements.
* Own end\-to\-end project delivery, working closely with business stakeholders, IT teams, and third\-party vendors.
* Incorporating a variety of data processing techniques—including batch and streaming workflows—while exposing and integrating APIs and external services into Databricks pipelines to enhance platform functionality and enable seamless data exchange across systems.
* Review and contribute to core code changes, ensuring best practices and supporting production deployments.
* Experience in developing and implementing disaster recovery strategies for cloud\-based applications
**Qualifications And Skills**
 Required Qualifications:
* Bachelor’s degree in Computer Science, Information Systems, or a related technical field.
* Minimum 5 years of experience in data engineering, with a focus on Databricks, PySpark, and Azure.
* Strong understanding of data integration, transformation, and migration strategies.
* Experience with CI/CD pipelines and version control using Azure DevOps or githib.
* Excellent problem\-solving skills and ability to resolve moderately complex technical challenges.
* Strong communication and collaboration skills;
**Additional Requirements**
 SMBC’s employees participate in a Hybrid workforce model that provides employees with an opportunity to work from home, as well as, from an SMBC office. SMBC requires that employees live within a reasonable commuting distance of their office location. Prospective candidates will learn more about their specific hybrid work schedule during their interview process. Hybrid work may not be permitted for certain roles, including, for example, certain FINRA\-registered roles for which in\-office attendance for the entire workweek is required.
 SMBC provides reasonable accommodations during candidacy for applicants with disabilities consistent with applicable federal, state, and local law. If you need a reasonable accommodation during the application process, please let us know at accommodations@smbcgroup.com.</t>
        </is>
      </c>
    </row>
    <row r="21">
      <c r="A21" t="inlineStr">
        <is>
          <t>li-4360595758</t>
        </is>
      </c>
      <c r="B21" t="inlineStr">
        <is>
          <t>Staff Data Engineer - Vehicle Telemetry and Data Infrastructure</t>
        </is>
      </c>
      <c r="C21" t="inlineStr">
        <is>
          <t>ALSO.</t>
        </is>
      </c>
      <c r="D21" t="inlineStr">
        <is>
          <t>linkedin</t>
        </is>
      </c>
      <c r="E21">
        <f>HYPERLINK("https://www.linkedin.com/jobs/view/4360595758", "https://www.linkedin.com/jobs/view/4360595758")</f>
        <v/>
      </c>
      <c r="F21" t="inlineStr"/>
      <c r="G21" t="inlineStr">
        <is>
          <t>Palo Alto, CA</t>
        </is>
      </c>
      <c r="H21" t="inlineStr"/>
      <c r="I21" t="inlineStr">
        <is>
          <t>**About ALSO.**
 We’re ALSO, an electric mobility company originally conceived as a part of Rivian. We’re a passionate team of builders, dreamers, doers and innovators, focused on creating entirely new (not to mention, innovative and delightful) vertically integrated, small EVs designed to meet the global mobility challenges of today and tomorrow. Our mission is to inspire everyone to ride ALSO—replacing many local car, truck and SUV miles with ones on vehicles that are more affordable, more enjoyable and 10\-50x more efficient.
 We are looking for a Staff Data Engineer to own the telemetry data platform for vehicle\-generated data. This role is for ingestion, infrastructure, and large\-scale data processing — ensuring raw telemetry flows are reliable, scalable, cost\-efficient, and analytics\-ready.
 You will operate at the intersection of data engineering and backend systems, designing pipelines that ingest, process, and serve high\-volume, high\-velocity vehicle telemetry to downstream analytics, ML, and visualization systems.
 This is a platform ownership role, not a dashboarding or reporting position
**What You Will Do**
* Design and own large\-scale ingestion pipelines for vehicle telemetry data (events, metrics, time\-series) with high throughput and low latency
* Architect and operate end\-to\-end ETL/ELT systems from raw ingestion to warehouse/lake consumption
* Define schema evolution, versioning, and backward\-compatibility strategies for telemetry data at scale
* Build safe and repeatable backfill, replay, and reprocessing mechanisms for historical and real\-time data
* Design data storage and lifecycle strategies across hot, warm, and cold paths to balance cost and performance
* Develop fault\-tolerant, observable, and debuggable pipelines with strong SLAs around freshness, completeness, and latency
* Implement backend services and APIs for telemetry ingestion, configuration management, metadata, and orchestration
* Apply strong software engineering practices including object\-oriented design, automated testing, CI/CD, and code reviews
* Establish automated data quality checks, anomaly detection, alerting, lineage, and auditability across the platform
* Provide technical leadership by setting platform direction, reviewing designs, mentoring engineers, and influencing product and engineering roadmaps
**What You Will Bring**
* 10\+ years of experience in data engineering and/or backend platform engineering operating production systems at scale
* Deep hands\-on experience with large\-scale telemetry or IoT data, including high\-throughput and low\-latency ingestion
* Strong expertise in AWS data and infrastructure services (S3, Kinesis/MSK, Glue, EMR, Lambda, Step Functions, EventBridge)
* Proven experience owning end\-to\-end ETL/ELT infrastructure using Spark/PySpark (batch and streaming) on Databricks or EMR
* Solid understanding of streaming architectures using Kafka or equivalent systems and time\-series–optimized storage patterns
* Strong backend engineering skills using Python and/or Java/Scala, including API design (REST/gRPC) and distributed systems fundamentals
* Experience with data platform architectures such as data lakes and lakehouses, schema registries, and metadata systems
* Hands\-on experience with orchestration frameworks (Airflow, MWAA, Dagster) and production\-grade observability (logging, metrics, tracing)
* Infrastructure\-as\-code expertise using CloudFormation, Terraform, or CDK to manage scalable and reliable systems
* A track record of building highly reliable, fault\-tolerant systems with clear ownership, strong SLAs, and operational excellence
**Nice to Have**
* Experience with vehicle, sensor, or IoT data
* Streaming\-first architectures
* Experience supporting real\-time inference pipelines
* Prior Staff or Principal\-level ownership of data platforms
 The salary for this position ranges from $230,000 \- $250,000 per year, depending on experience and qualifications.
**Why ALSO.**
 We’re passionate about helping the world find a better way to get there—wherever it is you’re headed.
 We’re located in the heart of Silicon Valley and have brought together a world\-class team from some of the biggest brands in the technology, automotive, cycling, outdoor recreation and retail spaces.
 Together we’re working hands\-on to imagine, design and build an entirely new solution to a global set of transportation challenges.
**Perks And Benefits**
* Robust health coverage. Excellent health, dental and vision insurance covered up to 100% by ALSO with FSA \&amp; HSA options.
* One Medical membership and dedicated insurance advocates.
* Rich fertility and family building benefits with Progyny.
* Flexible time off.
* 401(k) match.</t>
        </is>
      </c>
    </row>
    <row r="22">
      <c r="A22" t="inlineStr">
        <is>
          <t>li-4362443725</t>
        </is>
      </c>
      <c r="B22" t="inlineStr">
        <is>
          <t>Staff Analytics Engineer</t>
        </is>
      </c>
      <c r="C22" t="inlineStr">
        <is>
          <t>Sequel Med Tech</t>
        </is>
      </c>
      <c r="D22" t="inlineStr">
        <is>
          <t>linkedin</t>
        </is>
      </c>
      <c r="E22">
        <f>HYPERLINK("https://www.linkedin.com/jobs/view/4362443725", "https://www.linkedin.com/jobs/view/4362443725")</f>
        <v/>
      </c>
      <c r="F22" t="inlineStr"/>
      <c r="G22" t="inlineStr">
        <is>
          <t>Manchester, NH</t>
        </is>
      </c>
      <c r="H22" t="inlineStr"/>
      <c r="I22" t="inlineStr">
        <is>
          <t>**About Sequel**
 Sequel, headquartered in Manchester, New Hampshire, is a company developing the next generation of transformative drug\-delivery advancements starting with diabetes. Sequel’s approach is to look at diabetes management holistically to advance systems that make living with diabetes simpler and easier for all. Sequel’s flagship product, the twiist Automated Insulin Delivery (AID) System, launched in July 2025 for people with type 1 diabetes providing them with personalized diabetes management.
**Job Overview**
 Sequel Med Tech is seeking an experienced Analytics Engineer to spearhead the design, development, and implementation of our long\-term data strategy while supporting shorter\-term data needs for our digital health portfolio. As a Staff Analytics Engineer you will play a pivotal role in shaping the future of healthcare for people living with diabetes, upskilling Sequel’s broader data and reporting capabilities while also working directly with our product teams as a subject matter expert on feature design and implementation.
 We are building out Sequel’s foundational data models that drive both clinical and business decisions where quality and accuracy are critical. If you are someone that proactively identifies problems, implements solutions, and values shared ownership and accountability, then this is the job for you.
**Job Responsibilities And Essential Duties**
* Building data models and data pipelines for Snowflake using DBT and Airbyte.
* Ensuring the company’s data pipelines are efficient, well\-tested, and accurate.
* Work closely with business leaders, technical teams, customers, and other stakeholders to identify opportunities to solve healthcare problems with data and to translate those opportunities into data science questions and data engineering requirements.
* Communicate complex data insights to clinical and business leaders to inform decision\-making.
* Build clinical and business dashboards in Lightdash.
* Partner with technical teams to ensure data\-driven functionality is designed, implemented, tested, and released with proper consideration to data quality, integrity, compliance, and use.
* Ensure quality, inclusion, impartiality, and accessibility in delivered products.
* Help develop best\-in\-class data science practices to support a rapidly growing organization.
**Minimum Requirements**
* 6\+ years’ experience in data science or data engineering.
* Bachelor’s degree in Computer Science, Mathematics, Machine Learning, or related field, or combination of relevant experience and education. Masters preferred.
* Proficiency with SQL and Python with strong knowledge of data manipulation and analysis libraries.
* Experience with data transformation tools such as DBT, SQL Mesh, Airflow, etc.
* Experience with cloud data platforms such as Snowflake, Databrick, Big Query, Redshift, etc.
* Experience with engineering best practices including the use of version control.
* Ability to clearly communicate complex technical concepts to non\-technical stakeholders.
**Preferred Experience**
* Experience in healthcare, including both patient\- and clinician\-facing applications.
* Awareness of healthcare regulations and ethical considerations related to patient data.
* Knowledge of machine learning algorithms (regression, classification, clustering, etc.).
* Understanding of clinical data structures, coding systems, and healthcare terminology. Diabetes experience highly preferred.
 $175,000 \- $180,000 a year
 Sequel Med Tech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At Sequel, we believe that when you thrive, we thrive. That’s why our benefits package is designed to support you from day one. You’ll be automatically enrolled in our 401k plan, featuring a 6% company match and 100% immediate vesting. We’re committed to your well\-being and understand the unique needs of employees and families living with diabetes, so we offer capped out\-of\-pocket insulin costs and GLP\-1 coverage across all plans. You’ll have access to a variety of Meritain health insurance plans to suit your needs and can also take advantage of Flexible Spending Accounts (FSAs) or Health Savings Account (HSA). Our comprehensive benefits package includes vision and dental coverage, plus voluntary options such as long\-term disability, accident, critical illness, hospital indemnity, and even discounts for pet care. In addition, we provide employer\-paid short\-term disability and life insurance for extra peace of mind.
 We know the importance of taking time to rest and recharge. That’s why Sequel offers flexible PTO, generous paid holidays, and Flex Time options to help you balance work and life when you need it most. Our team enjoys a culture built on hard work, fun, and genuine support. At Sequel, you’re not just starting a job, you’re building a rewarding career and a brighter future. Join us, and let’s thrive together!
 Environmental/Safety/Physical Work Conditions
 Ensures environmental consciousness and safe practices are exhibited in decisions
 Use of computer and telephone equipment and other related office accessories/devices to complete assignments
 May work extended hours during peak business cycles
 Physical requirements such as lifting specific weights
 Some travelling is expected</t>
        </is>
      </c>
    </row>
    <row r="23">
      <c r="A23" t="inlineStr">
        <is>
          <t>li-4353652171</t>
        </is>
      </c>
      <c r="B23" t="inlineStr">
        <is>
          <t>Associate Data Engineer – Client Innovation Center (Entry Level)</t>
        </is>
      </c>
      <c r="C23" t="inlineStr">
        <is>
          <t>IBM</t>
        </is>
      </c>
      <c r="D23" t="inlineStr">
        <is>
          <t>linkedin</t>
        </is>
      </c>
      <c r="E23">
        <f>HYPERLINK("https://www.linkedin.com/jobs/view/4353652171", "https://www.linkedin.com/jobs/view/4353652171")</f>
        <v/>
      </c>
      <c r="F23" t="inlineStr"/>
      <c r="G23" t="inlineStr">
        <is>
          <t>Buffalo, NY</t>
        </is>
      </c>
      <c r="H23" t="inlineStr"/>
      <c r="I23" t="inlineStr">
        <is>
          <t>**Introduction**
 IBM Consulting Client Innovation Centers (CICs) are high\-delivery, team\-based environments where technologists work onsite to build real solutions for real clients.
 At CIC, associates collaborate closely with peers and experienced practitioners to design, build, test, and support enterprise applications at scale. Our delivery centers are built for learning through delivery, combining hands\-on project work, structured training, mentorship, and teamwork to help early\-career professionals develop strong technical foundations and grow with confidence.
 This role is ideal for individuals who enjoy problem\-solving, learning quickly, and working in an in\-person, collaborative delivery environment.
**Your Role And Responsibilities**
 The Associate Data Engineer role is entry\-level and focuses on supporting the development, operation, and improvement of data pipelines and platforms within a broader delivery team.
 This role is not about owning data platforms on day one. It is about applying strong programming and data fundamentals, learning how enterprise data systems are built and operated, and contributing to data engineering work under the guidance of experienced practitioners.
 Associates are expected to contribute to established delivery teams and progressively assume greater responsibility and ownership as their skills and experience develop.
**As An Associate Data Engineer, You Will**
* Support the development and maintenance of data pipelines used for analytics, reporting, and machine learning
* Assist with extracting, transforming, and loading (ETL/ELT) data from multiple sources into data platforms
* Contribute to data cleansing, validation, and transformation activities using Python and SQL
* Help prepare datasets for downstream consumption by analytics and data science teams
* Support batch and, where applicable, near\-real\-time data processing workflows under guidance
* Collaborate with data engineers, data scientists, and other team members in Agile delivery environments
* Build data engineering skills through training, mentorship, and hands\-on delivery experience
* Work with functional and technical team members to help integrate data solutions into client business environments
**Preferred Education**
 Master's Degree
**Required Technical And Professional Expertise**
 These qualifications are essential for success in the role.
 Core Foundations
* Strong foundation in computer science fundamentals, including data structures and algorithms
* Strong analytical and problem\-solving skills with attention to data quality and reliability
* Comfortable working onsite in a collaborative, team\-based environment
* Ability to work effectively in a technology\-driven consulting environment where tools, platforms, and client needs evolve over time
* Strong analytical and problem\-solving skills, with the ability to approach complex tasks using structured, logical thinking
* Ability to learn new systems and technologies quickly and apply them in a delivery setting
 Programming \&amp; Data Skills
* Proficiency in Python (preferred) or another programming language used for data processing
* Hands\-on experience using data manipulation tools such as pandas, NumPy, and SQL, gained through coursework, labs, projects, or internships
* Ability to write clear, maintainable code for data transformation and processing tasks
 Data Engineering Fundamentals
* Understanding of ETL/ELT concepts and how data moves from source systems to consumption layers
* Familiarity with relational databases and SQL for querying and data manipulation
* Basic understanding of data modeling concepts such as schemas, normalization, or dimensional models
 Platform \&amp; Cloud Awareness
* Exposure to cloud\-based data or analytics platforms (e.g., AWS, Azure, or Google Cloud) through coursework, labs, or projects
* Familiarity with core cloud data services such as object storage, databases, or analytics services
 Business \&amp; Delivery Skills
* Ability to translate business or functional requirements into technical solutions, with guidance from senior team members
* Comfortable working onsite in a collaborative, team\-based environment
* Strong willingness to learn, accept feedback, and continuously improve
 Emerging Technology Awareness
* Familiarity with generative AI concepts, including basic modeling approaches, responsible use, and ethical considerations, gained through coursework, projects, or self\-study
**Preferred Technical And Professional Experience**
* Exposure to distributed data processing tools such as Apache Spark or PySpark
* Familiarity with modern data warehouse technologies (e.g., Snowflake, Redshift, BigQuery)
* Exposure to streaming or event\-based data concepts
* Familiarity with version control tools such as Git
* Basic awareness of how data engineering supports machine learning workflows</t>
        </is>
      </c>
    </row>
    <row r="24">
      <c r="A24" t="inlineStr">
        <is>
          <t>li-4321960970</t>
        </is>
      </c>
      <c r="B24" t="inlineStr">
        <is>
          <t>Master Data Analytics Engineer</t>
        </is>
      </c>
      <c r="C24" t="inlineStr">
        <is>
          <t>Colgate-Palmolive</t>
        </is>
      </c>
      <c r="D24" t="inlineStr">
        <is>
          <t>linkedin</t>
        </is>
      </c>
      <c r="E24">
        <f>HYPERLINK("https://www.linkedin.com/jobs/view/4321960970", "https://www.linkedin.com/jobs/view/4321960970")</f>
        <v/>
      </c>
      <c r="F24">
        <f>HYPERLINK("https://jobs.colgate.com/job/Piscataway-Master-Data-Analytics-Engineer-NJ/1341624600/?feedId=430400&amp;utm_source=LinkedInJobPostings&amp;utm_campaign=ColPal_Linkedin&amp;utm_source=LinkedInJobPostings&amp;utm_campaign=ColPal_Linkedin&amp;urlHash=nzaf", "https://jobs.colgate.com/job/Piscataway-Master-Data-Analytics-Engineer-NJ/1341624600/?feedId=430400&amp;utm_source=LinkedInJobPostings&amp;utm_campaign=ColPal_Linkedin&amp;utm_source=LinkedInJobPostings&amp;utm_campaign=ColPal_Linkedin&amp;urlHash=nzaf")</f>
        <v/>
      </c>
      <c r="G24" t="inlineStr">
        <is>
          <t>Piscataway, NJ</t>
        </is>
      </c>
      <c r="H24" t="inlineStr"/>
      <c r="I24" t="inlineStr">
        <is>
          <t>No Relocation Assistance Offered
 Job Number \#170375 \- Piscataway, New Jersey, United States
**Who We Are**
 Colgate\-Palmolive Company is a global consumer products company operating in over 200 countries specializing in Oral Care, Personal Care, Home Care, Skin Care, and Pet Nutrition. Our products are trusted in more households than any other brand in the world, making us a household name!
 Join Colgate\-Palmolive, a caring, innovative growth company reimagining a healthier future for people, their pets, and our planet. Guided by our core values—Caring, Inclusive, and Courageous—we foster a culture that inspires our people to achieve common goals. Together, let's build a brighter, healthier future for all.
 Colgate\-Palmolive, a global leader in consumer products, is looking for a talented Solution Architect focused on Master Data to join our innovative Global IT Data Platforms team. As a key member of our technical Master Data Management (MDM) group, you will design, develop, and operationalize high\-quality, scalable master data solutions. Your work will play a pivotal role in delivering trusted, analytics\-ready data to fuel Colgate’s worldwide analytics, digital transformation, and business growth initiatives.
**This position is based out of Piscataway, NJ location. Work visa sponsorship is not available for this position.**
**What you'll do:**
* Transform raw master data into analytics\-ready datasets through robust ETL/ELT pipelines, data modeling, and documentation to enable business intelligence, advanced analytics, and self\-service initiatives.
* Apply data modeling best practices to create and maintain scalable data models on Snowflake (using SQL, Python, DBT, or similar tools).
* Develop, maintain, and enhance data assets for enterprise\-wide consumption using the CP Enterprise Data Platform on Snowflake.
* Design, implement, and optimize technical data governance and analytics solutions that serve end\-to\-end business processes and data domains.
* Manage a centralized and reliable data repository to ensure consistent, standardized, and accurate master data (Product, Supplier, Customer) across systems and analytics use cases.
* Ensure high data quality, governance, and compliance with company standards and best practices throughout the data lifecycle.
* Provide day\-to\-day support for solution delivery, ongoing operations, and application management.
* Collaborate cross\-functionally to gather requirements, troubleshoot data issues, and continuously improve master data analytics capabilities.
* Facilitate clear, timely communication across cross\-functional teams; synthesize updates, risks, and decisions.
**Required Qualifications:**
* Bachelor’s degree in Computer Science, Information Technology, Engineering, or a related field.
* 3\+ years of experience in data engineering, data architecture, or a similar role.
* Demonstrated hands\-on experience with enterprise level Snowflake and DBT for data warehousing, data modeling, and analytics pipeline development.
* Strong Python, SQL, and analytical skills; experience building analytics datasets and ETL/ELT pipelines with large, complex data.
* Strong understanding of data modeling techniques, modern data architectures, ETL/ELT practices, data integration patterns, and API management.
* Familiarity with data governance frameworks, metadata management, and data lineage concepts.
* Familiarity with version control and CI/CD processes (e.g., GitHub, GitHub Actions).
**Preferred Qualifications:**
* Experience with SAP ERP environments, including familiarity with SAP Master Data Governance and understanding of SAP data structures and integration methods.
* Demonstrated experience implementing or supporting data registry solutions, and experience integrating with both on\-premise and cloud\-based sources.
**Compensation And Benefits**
 Salary Range $94,000\.00 \- $133,000\.00 USD
 Pay is determined based on experience, qualifications, and location. Salaried employees may also be eligible for discretionary bonuses, profit\-sharing, and long\-term incentives for Executive\-level roles.
 Benefits: Salaried employees enjoy a comprehensive benefits package, including medical, dental, vision, basic life insurance, paid parental leave, disability coverage, and participation in the 401(k) retirement plan with company matching contributions subject to eligibility requirements. Additional benefits include a minimum of 15 vacation/PTO days (hourly employees receive a minimum of 120 hours) and 13 paid holidays (vacation days are prorated based on the employee's hire date within the calendar year). Paid sick leave is adjusted based on role and location in accordance with local laws. Detailed information regarding paid sick leave entitlements will be provided to employees upon hiring and may be subject to adjustments based on changes in legislation or company policies.
**Our Commitment to Inclusion**
 Our journey begins with our people—developing strong talent with diverse backgrounds and perspectives to best serve our consumers around the world and fostering an inclusive environment where everyone feels a true sense of belonging. We are dedicated to ensuring that each individual can be their authentic self, is treated with respect, and is empowered by leadership to contribute meaningfully to our business.
**Equal Opportunity Employer**
 Colgate is an equal opportunity employer and all qualified applicants will receive consideration for employment without regard to race, color, religion, gender, gender identity, sexual orientation, national origin, ethnicity, age, disability, marital status, veteran status (United States positions), or any other characteristic protected by law.
 Reasonable accommodation during the application process is available for persons with disabilities. Please complete this request form should you require accommodation.
 For additional Colgate terms and conditions, please click here.</t>
        </is>
      </c>
    </row>
    <row r="25">
      <c r="A25" t="inlineStr">
        <is>
          <t>li-4369345719</t>
        </is>
      </c>
      <c r="B25" t="inlineStr">
        <is>
          <t>Senior Data Engineer - CETS</t>
        </is>
      </c>
      <c r="C25" t="inlineStr">
        <is>
          <t>hackajob</t>
        </is>
      </c>
      <c r="D25" t="inlineStr">
        <is>
          <t>linkedin</t>
        </is>
      </c>
      <c r="E25">
        <f>HYPERLINK("https://www.linkedin.com/jobs/view/4369345719", "https://www.linkedin.com/jobs/view/4369345719")</f>
        <v/>
      </c>
      <c r="F25">
        <f>HYPERLINK("https://www.hackajob.com/job/3958b5ae-01cc-11f1-b544-0a05e249917d-senior-data-engineer-cets?utm_source=LinkedIn&amp;utm_medium=JobAds&amp;utm_term=Automated&amp;utm_campaign=american-express-senior-data-engineer-cets&amp;job_name=senior-data-engineer-cets&amp;company=american-express&amp;workplace_type=hybrid&amp;city=phoenix&amp;country=united-states&amp;urlHash=R8MB", "https://www.hackajob.com/job/3958b5ae-01cc-11f1-b544-0a05e249917d-senior-data-engineer-cets?utm_source=LinkedIn&amp;utm_medium=JobAds&amp;utm_term=Automated&amp;utm_campaign=american-express-senior-data-engineer-cets&amp;job_name=senior-data-engineer-cets&amp;company=american-express&amp;workplace_type=hybrid&amp;city=phoenix&amp;country=united-states&amp;urlHash=R8MB")</f>
        <v/>
      </c>
      <c r="G25" t="inlineStr">
        <is>
          <t>Phoenix, AZ</t>
        </is>
      </c>
      <c r="H25" t="inlineStr"/>
      <c r="I25" t="inlineStr">
        <is>
          <t>***hackajob** 
 is collaborating with
 **American Express** 
 to connect them with exceptional tech professionals for this role.*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We are looking for a highly skilled Senior Data Engineer with a solid experience of building Bigdata, GCP Cloud based ETL Pipelines and Spark applications. The Senior Engineer will play a crucial role in designing, implementing, and optimizing data solutions to support our organization’s data\-driven initiatives. This role requires expertise in data engineering, strong problem\-solving abilities, and a collaborative mindset to work effectively with various stakeholders.
 Joining the CETS team, this role will be focused on the delivery of innovative solutions to satisfy the needs of our business. As an agile team we work closely with our business partners to understand what they require, and we strive to continuously improve as a team.
 We pride ourselves on a culture of kindness and positivity, and a continuous focus on supporting colleague development to help you achieve your career goals. We lead with integrity, and we emphasize work/life balance for all of our teammates.
 How will you make an impact in this role?
 There Are Hundreds Of Opportunities To Make Your Mark On Technology And Life At American Express. Here’s Just Some Of What You’ll Be Doing
* Develop modern, high quality, and robust operational engineering capabilities.
* Develop software in technology stack which is constantly evolving but currently includes Big data platforms like BigQuery, Airflow, DataProc.
* Work with Business partners and stakeholders to understand functional requirements, architecture dependencies, and business capability roadmaps.
* Create technical solution designs to meet business requirements.
* Define best practices to be followed by team.
* Taking your place as a core member of an Agile team driving the latest development practices
* Identify and drive reengineering opportunities, and opportunities for adopting new technologies and methods.
* Perform peer code review and participate in technical discussions with the team on the best solutions possible
**Minimum Qualifications**
* BS or MS degree in computer science, computer engineering, or other technical discipline, or equivalent work experience.
* 8\+ years of hands\-on software development experience with Big Data \&amp; Analytics solutions
+ Hadoop Hive, Spark, Python, shell scripting, GCP Cloud \- Big Query, Airflow, DataProc, PubSub
* Strong experience in designing, developing, and optimizing data pipelines for large\-scale data processing, transformation, and analysis using Big Data and GCP technologies.
* Proficiency in SQL and database systems, with experience in designing and optimizing data models for performance and scalability.
* Experience of building event processing pipelines with Kafka or GCP PubSub.
* Design and development experience with Airflow, PubSub Kafka, Git, Jenkins is desirable.
* Knowledge of distributed (multi\-tiered) systems, algorithms \&amp; relational databases.
* Strong Object\-Oriented Programming skills and design patterns.
* Experience with CICD pipelines, Automated test frameworks, and source code management tools (XLR, Jenkins, Git).
* Good knowledge and experience with configuration management tools like GitHub
* Ability to analyze complex data engineering problems, propose effective solutions, and implement them effectively.
* Ability and willingness to learn, adopt and build solutions using the Enterprise frameworks established for Big Data
* Looks proactively beyond the obvious for continuous improvement opportunities.
* Communicates effectively with product and cross functional team.
* Willingness to learn new technologies and leverage them to their optimal potential.
* Understanding of various SDLC methodologies, familiarity with Agile \&amp; scrum ceremonies.
* Certifications in cloud platform (GCP Professional Data Engineer) is a plus.
 Salary Range: $123,000\.00 to $215,250\.00 annually \+ bonus \+ benefits
 The above represents the expected salary range for this job requisition. Ultimately, in determining your pay, we’ll consider your location, experience, and other job\-related factors.
**Benefits**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“Know Your Rights” poster. If the link does not work, you may access the poster by copying and pasting the following URL in a new browser window: https://www.eeoc.gov/poster
 Employment eligibility to work with American Express in the U.S. is required as the company will not pursue visa sponsorship for these positions</t>
        </is>
      </c>
    </row>
    <row r="26">
      <c r="A26" t="inlineStr">
        <is>
          <t>li-4348462922</t>
        </is>
      </c>
      <c r="B26" t="inlineStr">
        <is>
          <t>Senior Big Data Engineer</t>
        </is>
      </c>
      <c r="C26" t="inlineStr">
        <is>
          <t>BAE Systems, Inc.</t>
        </is>
      </c>
      <c r="D26" t="inlineStr">
        <is>
          <t>linkedin</t>
        </is>
      </c>
      <c r="E26">
        <f>HYPERLINK("https://www.linkedin.com/jobs/view/4348462922", "https://www.linkedin.com/jobs/view/4348462922")</f>
        <v/>
      </c>
      <c r="F26">
        <f>HYPERLINK("https://jobs.baesystems.com/global/en/job/BAE1US118986BREXTERNAL/Senior-Big-Data-Engineer?utm_source=linkedin&amp;utm_medium=phenom-feeds&amp;urlHash=1rTv", "https://jobs.baesystems.com/global/en/job/BAE1US118986BREXTERNAL/Senior-Big-Data-Engineer?utm_source=linkedin&amp;utm_medium=phenom-feeds&amp;urlHash=1rTv")</f>
        <v/>
      </c>
      <c r="G26" t="inlineStr">
        <is>
          <t>Washington, DC</t>
        </is>
      </c>
      <c r="H26" t="inlineStr"/>
      <c r="I26" t="inlineStr">
        <is>
          <t>**Job Description**
 BAE Systems is seeking
**Big Data Engineers**
 to join our team and provide support to facilitate operations on a critical infrastructure and services program. This effort focuses on providing a comprehensive set of System/ Software Engineering and IT Services to maintain, sustain, enhance, and improve/modernize. The ideal candidate will be located in the National Capital Region.
**Please note that this is contingent upon contract award, with an anticipated decision expected by Q3/Q4 of 2026\.**
 The
**Big Data Engineer**
 responsibilities include, but are not limited to:
* Designs scalable data architectures, leading ETL processes, and oversees the implementation of data storage solutions
* Support the development and integration of advanced analytics tools, ensuring efficient data access and insights generation
* Optimize system performance and scalability, implementing continuous improvement initiatives
 \#001JC
**Required Education, Experience, \&amp; Skills**
* Bachelor's degree in Information Technology, Cybersecurity, Computer Science, Information Systems, Data Science, or Software Engineering and 14\-17 years or more relevant work experience (will consider an additional 4\+ years of relevant experience in lieu of degree)
* One Active Certification: CCISO, CISM, CISSP, GSLC, SSCP or GSEC
* Expertise in designing, implementing, and managing Big Data solutions using Hadoop, Spark, and data streaming technologies
* Proven experience optimizing data pipelines, performing large\-scale data processing, and ensuring data quality
* Strong knowledge of data warehousing concepts, ETL processes, and distributed computing environments
**Pay Information**
 Full\-Time Salary Range: $130355 \- $221603
 Please note: This range is based on our market pay structures. However, individual salaries are determined by a variety of factors including, but not limited to: business considerations, local market conditions, and internal equity, as well as candidate qualifications, such as skills, education, and experience.
 Employee Benefits: At BAE Systems, we support our employees in all aspects of their life, including their health and financial well\-being. Regular employees scheduled to work 20\+ hours per week are offered: health, dental, and vision insurance; health savings accounts; a 401(k) savings plan; disability coverage; and life and accident insurance. We also have an employee assistance program, a legal plan, and other perks including discounts on things like home, auto, and pet insurance. Our leave programs include paid time off, paid holidays, as well as other types of leave, including paid parental, military, bereavement, and any applicable federal and state sick leave. Employees may participate in the company recognition program to receive monetary or non\-monetary recognition awards. Other incentives may be available based on position level and/or job specifics.
**About BAE Systems Intelligence \&amp; Security**
 BAE Systems, Inc. is the U.S. subsidiary of BAE Systems plc, an international defense, aerospace and security company which delivers a full range of products and services for air, land and naval forces, as well as advanced electronics, security, information technology solutions and customer support services. Improving the future and protecting lives is an ambitious mission, but it’s what we do at BAE Systems. Working here means using your passion and ingenuity where it counts – defending national security with breakthrough technology, superior products, and intelligence solutions. As you develop the latest technology and defend national security, you will continually hone your skills on a team—making a big impact on a global scale. At BAE Systems, you’ll find a rewarding career that truly makes a difference.
 Intelligence \&amp; Security (I\&amp;S), based in McLean, Virginia, designs and delivers advanced defense, intelligence, and security solutions that support the important missions of our customers. Our pride and dedication shows in everything we do—from intelligence analysis, cyber operations and IT expertise to systems development, systems integration, and operations and maintenance services. Knowing that our work enables the U.S. military and government to recognize, manage and defeat threats inspires us to push ourselves and our technologies to new levels.
 This position will be posted for at least 5 calendar days. The posting will remain active until the position is filled, or a qualified pool of candidates is identified.</t>
        </is>
      </c>
    </row>
    <row r="27">
      <c r="A27" t="inlineStr">
        <is>
          <t>li-4360538891</t>
        </is>
      </c>
      <c r="B27" t="inlineStr">
        <is>
          <t>Data Engineer, Central InfraOps Analytics Team</t>
        </is>
      </c>
      <c r="C27" t="inlineStr">
        <is>
          <t>Amazon Web Services (AWS)</t>
        </is>
      </c>
      <c r="D27" t="inlineStr">
        <is>
          <t>linkedin</t>
        </is>
      </c>
      <c r="E27">
        <f>HYPERLINK("https://www.linkedin.com/jobs/view/4360538891", "https://www.linkedin.com/jobs/view/4360538891")</f>
        <v/>
      </c>
      <c r="F27" t="inlineStr"/>
      <c r="G27" t="inlineStr">
        <is>
          <t>Herndon, VA</t>
        </is>
      </c>
      <c r="H27" t="inlineStr"/>
      <c r="I27" t="inlineStr">
        <is>
          <t>**Description**
 As a Data Engineer you will enable data\-driven decision making within the Amazon Web Services Data Center Infrastructure Operations organization. The Infrastructure Operations Team is responsible for planning, implementing, monitoring and continuously improving the global Amazon Data Center infrastructure. The team supports all aspects of the Data Center based organizations, including but not limited to : Safety, Security, maintenance, operations, logistics, engineering and equipment management.
 Key job responsibilities
 Design, develop, and maintain ETL pipelines to ingest data into the data warehouse and data lake
 Create and optimize logical data models that drive physical design for the Infrastructure Operations organization
 Implement data quality measures and ongoing monitoring to ensure data integrity
 Build scalable, efficient, and maintainable data solutions that support business intelligence needs
 Optimize data storage and query performance across various data platforms
 Develop automated processes to replace manual data operations
 Collaborate with business stakeholders to understand data and reporting requirements
 Translate business questions into data solutions that drive decision\-making
 Mentor and develop peers in data engineering best practices
 Participate in code reviews, design discussions, and team planning
 Improve self\-service access to data for business users
 Enhance code quality and dependency management
 Automate manual processes to increase efficiency
 Identify and resolve root causes of complex data problems
 A day in the life
 At AWS, the Data Engineer fully embraces the "You Build It, You Own It" philosophy, taking complete ownership of data solutions from conception through deployment and ongoing maintenance. You design architectures, implement pipelines, and remain responsible for their health and evolution as business needs change.
 Each day begins with reviewing pipeline alerts and data quality metrics, followed by a 15\-30 minute team stand\-up to align on priorities and discuss blockers. You'll spend time monitoring infrastructure, reviewing logs for ETL pipeline health and data lake performance, then dedicate time to address stakeholder queries and prioritizing incoming requests via email, Slack and intake forms. The majority of your time is spent developing and maintaining ETL pipelines that ingest infrastructure operational data from global data centers, which includes writing code, debugging issues, optimizing queries, and implementing quality checks. The role requires frequent context switching between developing new data models, supporting existing infrastructure, and consulting on data utilization.
 Key challenges you'll tackle include unifying and understanding fragmented data from diverse data center systems, enabling infrastructure monitoring, supporting analytics for capacity planning, driving optimization through data insights, automating manual processes, creating self\-service access for business users, maintaining quality across massive datasets, ensuring compliance with strict security requirements, designing for scale as AWS expands globally, and modernizing legacy systems to reduce technical debt.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3\+ years of data engineering experience
* 3\+ years of developing and operating large\-scale data structures for business intelligence analytics using ETL/ELT processes experience
* Experience with data modeling, warehousing and building ETL pipelines
* Experience in at least one modern scripting or programming language, such as Python, Java, Scala, or NodeJS
**Preferred Qualifications**
* Experience with AWS technologies like Redshift, S3, AWS Glue, EMR, Kinesis, FireHose, Lambda, and IAM roles and permissions
* Experience with non\-relational databases / data stores (object storage, document or key\-value stores, graph databases, column\-family databases)
* Knowledge of batch and streaming data architectures like Kafka, Kinesis, Flink, Storm, Beam
* Experience working on and delivering end to end projects independently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VA, Herndon \- 132,100\.00 \- 178,800\.00 USD annually
**Company** 
 \- Amazon Data Services, Inc.
 Job ID: A3175557</t>
        </is>
      </c>
    </row>
    <row r="28">
      <c r="A28" t="inlineStr">
        <is>
          <t>li-4369199247</t>
        </is>
      </c>
      <c r="B28" t="inlineStr">
        <is>
          <t>Data Engineer</t>
        </is>
      </c>
      <c r="C28" t="inlineStr">
        <is>
          <t>Jobs via Dice</t>
        </is>
      </c>
      <c r="D28" t="inlineStr">
        <is>
          <t>linkedin</t>
        </is>
      </c>
      <c r="E28">
        <f>HYPERLINK("https://www.linkedin.com/jobs/view/4369199247", "https://www.linkedin.com/jobs/view/4369199247")</f>
        <v/>
      </c>
      <c r="F28">
        <f>HYPERLINK("https://click.appcast.io/t/yXWZHbI1zwvsHTAF81M2b2n67tFegXe8b_8IzR5LDW8=&amp;urlHash=vQJ0", "https://click.appcast.io/t/yXWZHbI1zwvsHTAF81M2b2n67tFegXe8b_8IzR5LDW8=&amp;urlHash=vQJ0")</f>
        <v/>
      </c>
      <c r="G28" t="inlineStr"/>
      <c r="H28" t="inlineStr"/>
      <c r="I28" t="inlineStr">
        <is>
          <t>Dice is the leading career destination for tech experts at every stage of their careers. Our client, Cyberobotix, is seeking the following. Apply via Dice today!
**Job Title: Data Engineer**
**Location:** 
**Remote**
**Role Overview:**
 The Data Engineer will design, build, and manage scalable, secure, and high\-performance data products and pipelines that power enterprise analytics and decision\-making. Data is at the center of our operations, and this role is critical to modernizing how data is managed, accessed, and consumed.
 The Common Data Platform (CDP) is a cloud\-based, end\-to\-end data management platform created to reduce data costs and significantly improve user experience. Initially developed in partnership with the Supervision and Regulation business.
 You will join a cross\-district, enterprise\-scale team operating under the
 **Scaled Agile Framework (SAFe)** 
 , delivering incremental value in a fast\-paced and highly collaborative environment. This is a unique opportunity to help shape the future of data management at a national scale.
**Key Responsibilities:**
* Design, develop, and maintain robust, scalable, and secure data pipelines to ingest, transform, catalog, and deliver curated, high\-quality data into the Common Data Platform
* Build and support end\-to\-end data pipelines for structured, semi\-structured, and unstructured data using Spark\-based architectures
* Ensure data pipelines are repeatable, reliable, well\-tested, and capable of supporting multiple users and use cases
* Proactively identify, troubleshoot, and resolve issues across data pipelines, workflows, and analytical data stores
* Implement monitoring, alerting, and (where possible) auto\-remediation to ensure availability and reliability of data systems
* Apply security\-first design principles and data engineering best practices, including testing and automation
* Collaborate closely with product managers, data scientists, analysts, and business stakeholders to understand data requirements and deliver the necessary infrastructure and tooling
* Participate fully in Agile ceremonies and follow SAFe Agile practices as defined by the CDP Program team
* Continuously evaluate emerging tools, frameworks, and technologies to improve data engineering processes and efficiencies
**Required Qualifications:**
* Bachelor’s degree in Computer Science, Information Systems, or a related field, or equivalent professional experience
* 3\+ years of experience with Python and PySpark
* 2\+ years of experience working with tools such as Databricks, Collibra, and/or Starburst
* Strong SQL skills (experience with Starburst is a plus)
* Hands\-on experience with:
+ Databricks (PySpark)
+ Python
+ GitLab
+ CI/CD pipelines
+ Tableau
* Experience using Jupyter Notebooks for development, testing, and unit testing
* Proven experience working with relational and NoSQL data stores, including dimensional modeling techniques (STAR schema, dimensional modeling)
* 2\+ years of experience with a modern data stack, including:
+ Object storage (e.g., S3\)
+ Spark
+ Airflow
+ Lakehouse architectures
+ Real\-time databases
* Experience with cloud data warehouses such as Amazon Redshift or Snowflake
* Broad data engineering experience across traditional ETL and big data platforms, either on\-premises or in the cloud
* Data engineering experience in AWS, including familiarity with relevant services and tools (e.g., CFS2/EDS)
**Preferred Qualifications:**
* Experience supporting enterprise\-scale data platforms
* Familiarity with SAFe Agile or large\-scale Agile delivery models
* Experience building data products used by diverse stakeholder groups across organizations</t>
        </is>
      </c>
    </row>
    <row r="29">
      <c r="A29" t="inlineStr">
        <is>
          <t>li-4369191616</t>
        </is>
      </c>
      <c r="B29" t="inlineStr">
        <is>
          <t>Data Engineer/ETL Developer (Hybrid in Atlanta, GA)</t>
        </is>
      </c>
      <c r="C29" t="inlineStr">
        <is>
          <t>Jobs via Dice</t>
        </is>
      </c>
      <c r="D29" t="inlineStr">
        <is>
          <t>linkedin</t>
        </is>
      </c>
      <c r="E29">
        <f>HYPERLINK("https://www.linkedin.com/jobs/view/4369191616", "https://www.linkedin.com/jobs/view/4369191616")</f>
        <v/>
      </c>
      <c r="F29" t="inlineStr"/>
      <c r="G29" t="inlineStr">
        <is>
          <t>Atlanta, GA</t>
        </is>
      </c>
      <c r="H29" t="inlineStr"/>
      <c r="I29" t="inlineStr">
        <is>
          <t>Dice is the leading career destination for tech experts at every stage of their careers. Our client, ITView Inc, is seeking the following. Apply via Dice today!
**Role** 
 : CJCC ETL Developer
**Client** 
 : Criminal Justice Coordinating Council (CJCC)
**Location** 
 : Hybrid in Atlanta, GA
 The Criminal Justice Coordinating Council (CJCC) is seeking a skilled ETL Programmer with hands\-on experience in
 **Azure Data Factory (ADF)** 
 to design, develop, and maintain robust data pipelines and integration solutions.
 Key Responsibilities:
* Design and implement ETL processes using Azure Data Factory, Data Flows, and Mapping Data Flows.
* Integrate data from various sources including SQL Server, Blob Storage, APIs, and third\-party systems.
* Develop and maintain data pipelines and data ware houses in Azure.
* Monitor and troubleshoot ETL jobs to ensure data quality and performance.
* Collaborate with analysts, and business stakeholders to understand data requirements.
* Implement data governance, security, and compliance best practices.
* Automate data workflows and optimize performance for large\-scale data processing.
 Skills:
* Bachelor’s degree in Computer Science, Information Systems, or related field.
* 3\+ years of experience in ETL development with at least 1 year using Azure Data Factory.
* Proficiency in SQL, Azure Synapse, Azure Data Lake, and Azure Functions (minimum of 5 years experience).
* Experience with CI/CD pipelines, Git, and DevOps practices (minimum of 5 years experience).
* Strong understanding of data modeling, data warehousing, and cloud architecture (minimum of 5 years experience).
* Microsoft Azure certifications (e.g., DP\-203, AZ\-900\).
* Experience with Power BI, Databricks, or Python for data transformation.
* Familiarity with Agile methodologies and tools like JIRA or Azure Boards (minimum of 5 years experience).</t>
        </is>
      </c>
    </row>
    <row r="30">
      <c r="A30" t="inlineStr">
        <is>
          <t>li-4361667097</t>
        </is>
      </c>
      <c r="B30" t="inlineStr">
        <is>
          <t>Senior Data Engineer</t>
        </is>
      </c>
      <c r="C30" t="inlineStr">
        <is>
          <t>Capital One</t>
        </is>
      </c>
      <c r="D30" t="inlineStr">
        <is>
          <t>linkedin</t>
        </is>
      </c>
      <c r="E30">
        <f>HYPERLINK("https://www.linkedin.com/jobs/view/4361667097", "https://www.linkedin.com/jobs/view/4361667097")</f>
        <v/>
      </c>
      <c r="F30" t="inlineStr"/>
      <c r="G30" t="inlineStr">
        <is>
          <t>McLean, VA</t>
        </is>
      </c>
      <c r="H30" t="inlineStr"/>
      <c r="I30"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Data Engineers who are passionate about marrying data with emerging technologies. As a Capital One Data Engineer, you’ll have the opportunity to be on the forefront of driving a major transformation within Capital One.
****What You’ll Do:****
* Collaborate with and across Agile teams to design, develop, test, implement, and support technical solutions in full\-stack development tools and technologies
* Work with a team of developers with deep experience in machine learning, distributed microservices, and full stack systems
* Utilize programming languages like Java, Scala, Python and Open Source RDBMS and NoSQL databases and Cloud based data warehousing services such as Redshift and Snowflake
* Share your passion for staying on top of tech trends, experimenting with and learning new technologies, participating in internal \&amp; external technology communities, and mentoring other members of the engineering community
* Collaborate with digital product managers, and deliver robust cloud\-based solutions that drive powerful experiences to help millions of Americans achieve financial empowerment
* Perform unit tests and conduct reviews with other team members to make sure your code is rigorously designed, elegantly coded, and effectively tuned for performance
****Basic Qualifications:****
* Bachelor’s Degree
* At least 3 years of experience in application development (Internship experience does not apply)
* At least 1 year of experience in big data technologies
****Preferred Qualifications:****
* 5\+ years of experience in application development including Python, SQL, Scala, or Java
* 2\+ years of experience with a public cloud (AWS, Microsoft Azure, Google Cloud)
* 3\+ years experience with Distributed data/computing tools (MapReduce, Hadoop, Hive, EMR, Kafka, Spark, Gurobi, or MySQL)
* 2\+ year experience working on real\-time data and streaming applications
* 2\+ years of experience with NoSQL implementation (Mongo, Cassandra)
* 2\+ years of data warehousing experience (Redshift or Snowflake)
* 3\+ years of experience with UNIX/Linux including basic commands and shell scripting
* 2\+ years of experience with Agile engineering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$161,800 \- $184,600 for Senior Data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31">
      <c r="A31" t="inlineStr">
        <is>
          <t>li-4360577484</t>
        </is>
      </c>
      <c r="B31" t="inlineStr">
        <is>
          <t>Data Engineer</t>
        </is>
      </c>
      <c r="C31" t="inlineStr">
        <is>
          <t>Jobs via Dice</t>
        </is>
      </c>
      <c r="D31" t="inlineStr">
        <is>
          <t>linkedin</t>
        </is>
      </c>
      <c r="E31">
        <f>HYPERLINK("https://www.linkedin.com/jobs/view/4360577484", "https://www.linkedin.com/jobs/view/4360577484")</f>
        <v/>
      </c>
      <c r="F31" t="inlineStr"/>
      <c r="G31" t="inlineStr">
        <is>
          <t>Albany, NY</t>
        </is>
      </c>
      <c r="H31" t="inlineStr"/>
      <c r="I31" t="inlineStr">
        <is>
          <t>Dice is the leading career destination for tech experts at every stage of their careers. Our client, PETADATA, is seeking the following. Apply via Dice today!
**Position: Data Engineer**
**Location: Albany, NY (Onsite/Remote)**
**Experience: 10\+ Years**
**Work type: C2C only**
**Visa Type: H1\-B, and**
**PETADATA is currently hiring for a Data Engineer for one of their clients.**
**Roles \&amp; Responsibilities:**
**Data Pipeline Development**
* Design, build, and maintain scalable data pipelines for ingesting, processing, and transforming data
* Develop batch and real\-time data processing workflows
* Ensure data pipelines are reliable, efficient, and fault\-tolerant
**Data Architecture \&amp; Modeling**
* Design and implement data architectures(data lakes, data warehouses, lakehouses)
* Create and maintain data models, schemas, and metadata
* Optimize data storage and retrieval strategies
**Data Integration**
* Integrate data from multiple sources (databases, APIs, streaming platforms, third\-party tools)
* Handle structured, semi\-structured, and unstructured data
* Implement data validation and quality checks
**Big Data \&amp; Processing Frameworks**
* Work with big data tools such as Apache Spark, Hadoop, Kafka, Flink
* Build streaming and real\-time data processing systems
* Optimize large\-scale data processing performance
**Cloud \&amp; Platform Services**
* Use cloud platforms such as AWS, Azure, or Google Cloud Platform
* Work with services like:
* AWS: S3, Glue, Redshift, EMR, Athena
* Azure: Data Factory, Synapse
* Google Cloud Platform: BigQuery, Dataflow
* Manage cloud\-based data infrastructure
**Database Management**
* Manage and optimize SQL and NoSQL databases
* Implement indexing, partitioning, and performance tuning
* Support data access for analytics, AI, and reporting teams
**Data Quality, Security \&amp; Governance**
* Implement data quality checks, monitoring, and alerts
* Enforce data governance, lineage, and metadata management
* Ensure data security, privacy, and compliance (GDPR, HIPAA, etc.)
**Automation \&amp; Orchestration**
* Automate data workflows using tools like Airflow, Luigi, Prefect
* Schedule, monitor, and troubleshoot data jobs
* Reduce manual processes through automation
**Collaboration \&amp; Support**
* Collaborate with data scientists, analysts, and AI engineers
* Support analytics, BI, and machine learning initiatives
* Translate business requirements into data solutions
**Monitoring \&amp; Optimization**
* Monitor pipeline performance and data freshness
* Identify and resolve data issues and bottlenecks
* Optimize costs and resource usage
**Optional / Senior\-Level Responsibilities**
* Define data engineering standards and best practices
* Lead data platform design and modernization efforts
* Mentor junior data engineers
* Drive data strategy and roadmap planning
**Required Qualifications:**
* Bachelor's or Master's degree in Computer Science, Engineering, Data Science, or a related field
* Proven experience as a Data Engineer or similar role
* Strong programming skills in Python and SQL (Scala or Java preferred)
* Hands\-on experience with big data frameworks such as Spark, Kafka, Hadoop
* Experience designing and maintaining data pipelines and ETL/ELT processes
* Strong understanding of data modeling, data warehousing, and lakehouse architectures
* Experience with cloud platforms: AWS, Azure, or Google Cloud Platform
* Hands\-on experience with SQL and NoSQL databases
* Experience with workflow orchestration tools (Airflow, Prefect, Luigi)
* Knowledge of data quality, governance, and security best practices
* Strong analytical, troubleshooting, and problem\-solving skills
* Excellent communication and collaboration abilities
**Key Skills \&amp; Tools**
* Languages: Python, SQL, Scala, Java
* Big Data: Spark, Kafka, Hadoop
* Databases: PostgreSQL, MySQL, MongoDB, Cassandra
* Cloud: AWS, Azure, Google Cloud Platform
* Orchestration: Airflow, Prefect
* Data Warehouses: Redshift, Snowflake, BigQuery
**Educational Qualification:**
**Bachelor's or Master's degree in Computer Science or related field**
**We offer a professional work environment and are given every opportunity to grow in the Information technology world.**
**Note:**
**Candidates are required to attend Phone/Video Call / In\-person interviews and after Selection of candidate (He/She) should go through all background checks on Education and Experience.**
**Please email your resume to:**
**After carefully reviewing your experience and skills one of our HR team members will contact you on the next steps.**</t>
        </is>
      </c>
    </row>
    <row r="32">
      <c r="A32" t="inlineStr">
        <is>
          <t>li-4363641929</t>
        </is>
      </c>
      <c r="B32" t="inlineStr">
        <is>
          <t>Data Engineer, Denied Party Screening, AWS Compliance &amp; Security Assurance</t>
        </is>
      </c>
      <c r="C32" t="inlineStr">
        <is>
          <t>Amazon Web Services (AWS)</t>
        </is>
      </c>
      <c r="D32" t="inlineStr">
        <is>
          <t>linkedin</t>
        </is>
      </c>
      <c r="E32">
        <f>HYPERLINK("https://www.linkedin.com/jobs/view/4363641929", "https://www.linkedin.com/jobs/view/4363641929")</f>
        <v/>
      </c>
      <c r="F32" t="inlineStr"/>
      <c r="G32" t="inlineStr">
        <is>
          <t>Seattle, WA</t>
        </is>
      </c>
      <c r="H32" t="inlineStr"/>
      <c r="I32" t="inlineStr">
        <is>
          <t>**Description**
 Amazon seeks an experienced Data Engineer to join the DPS (Deny Party Screening) team. Our mission is to prevent denied parties from transacting with Amazon businesses, including AWS, customers, vendors, sellers, subsidiaries, etc. We screen billions of events every day. We integrate with Tier 1 systems, build DPS systems, and deal with unique scaling challenges.
 As a Data Engineer, you will design, implement and support scalable data infrastructure solutions to integrate with multi heterogeneous data sources, aggregate and retrieve data in a fast and safe mode, curate data that can be used in reporting, analysis, machine learning models and ad\-hoc data requests. You will be exposed to cutting edge AWS big data technologies. You should have excellent business and communication skills to be able to work with business owners and Tech leaders to gather infrastructure requirements, design data infrastructure, build up data pipelines and datasets to meet business needs. You stay abreast of emerging technologies, investigating and implementing where appropriate.
 Key job responsibilities
* Design, implement, and support data warehouse/ data lake infrastructure using AWS bigdata stack, Python, Redshift, QuickSight, Glue/lake formation, EMR/Spark, Athena etc.
* Develop and manage ETLs to source data from various financial, AWS networking and operational systems and create unified data model for analytics and reporting.
* Creation and support of real\-time data pipelines built on AWS technologies including EMR, Glue, Redshift/Spectrum and Athena.
* Collaborate with other Engineering teams, Product/Finance Managers/Analysts to implement advanced analytics algorithms that exploit our rich datasets for financial model development, statistical analysis, prediction, etc.
* Continual research of the latest big data and visualization technologies to provide new capabilities and increase efficiency.
* Use business intelligence and visualization software (e.g., QuickSight) to develop dashboards those are used by senior leadership.
* Empower technical and non\-technical, internal customers to drive their own analytics and reporting (self\-serve reporting) and support ad\-hoc reporting when needed.
* Working closely with team members to drive real\-time model implementations for monitoring and alerting of risk systems.
* Manage numerous requests concurrently and strategically, prioritizing when necessary
* Partner/collaborate across teams/roles to deliver results.
* Mentor other engineers, influence positively team culture, and help grow the team
**About The Team**
 Denied Party Screening (DPS) is a part of Amazon Security, an organization designed to drive bar\-raising security engagements. The vision of the Amazon DPS program is to ensure that 1\+ billion Amazon accounts spanning across consumers, sellers, developers, employees, and all other Amazon party, are not a denied party, located or incorporated in a sanctioned region or country, or owned or controlled by or subject to the jurisdiction of the government of a sanctioned country.
 Why Amazon Security
 At Amazon, security is central to maintaining customer trust and delivering delightful customer experiences. Our organization is responsible for creating and maintaining a high bar for security across all of Amazon’s products and services.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and Career growth
 We’re continuously raising our performance bar as we strive to become Earth’s Best Employer. That’s why you’ll find endless knowledge\-sharing, training, and other career\-advancing resources here to help you develop into a better\-rounded professional.
**Basic Qualifications**
* 5\+ years of data engineering experience
* Experience programming with at least one modern language such as C\+\+, C\#, Java, Python, Golang, PowerShell, Ruby
* Experience working on and delivering end to end projects independently
* Experience with big data technologies such as: Hadoop, Hive, Spark, EMR
**Preferred Qualifications**
* Experience with AWS technologies like Redshift, S3, AWS Glue, EMR, Kinesis, FireHose, Lambda, and IAM roles and permissions
* Experience with non\-relational databases / data stores (object storage, document or key\-value stores, graph databases, column\-family databases)
* Experience in at least one modern scripting or programming language, such as Python, Java, Scala, or NodeJS
* Experience with distributed systems as it pertains to data storage and computing
* Experience as a data engineer or related specialty (e.g., software engineer, business intelligence engineer, data scientist) with a track record of manipulating, processing, and extracting value from large datasets
* Experience providing technical leadership and mentoring other engineers for best practices on data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Dallas \- 132,100\.00 \- 178,800\.00 USD annually
 USA, WA, Seattle \- 132,100\.00 \- 178,800\.00 USD annually
**Company** 
 \- Amazon.com Services LLC
 Job ID: A3160403</t>
        </is>
      </c>
    </row>
    <row r="33">
      <c r="A33" t="inlineStr">
        <is>
          <t>li-4369305173</t>
        </is>
      </c>
      <c r="B33" t="inlineStr">
        <is>
          <t>Senior Data Engineer</t>
        </is>
      </c>
      <c r="C33" t="inlineStr">
        <is>
          <t>Jobs via Dice</t>
        </is>
      </c>
      <c r="D33" t="inlineStr">
        <is>
          <t>linkedin</t>
        </is>
      </c>
      <c r="E33">
        <f>HYPERLINK("https://www.linkedin.com/jobs/view/4369305173", "https://www.linkedin.com/jobs/view/4369305173")</f>
        <v/>
      </c>
      <c r="F33">
        <f>HYPERLINK("https://click.appcast.io/t/AefB-BZ7qPmcDYQO8awYS17QlL4JA7anVNrE7K3HhSw=&amp;urlHash=Acj4", "https://click.appcast.io/t/AefB-BZ7qPmcDYQO8awYS17QlL4JA7anVNrE7K3HhSw=&amp;urlHash=Acj4")</f>
        <v/>
      </c>
      <c r="G33" t="inlineStr">
        <is>
          <t>New York, NY</t>
        </is>
      </c>
      <c r="H33" t="inlineStr"/>
      <c r="I33" t="inlineStr">
        <is>
          <t>Dice is the leading career destination for tech experts at every stage of their careers. Our client, Next Gen IT Inc, is seeking the following. Apply via Dice today!
**Sr. Data Engineer**
**Location: NYC (Hybrid: 3 Days in Office)**
**Exp: 10\+yrs**
**Any Visa type is okay**
**Experience Level**
 6 to 9 years
**Required Skills**
 Big Data, Data Analytics, ETL, Python, PySpark, SQL, Google Cloud Platform, CI/CD, Git, ELK Stack, Manta
**Role Overview**
 We are seeking a Senior Data Engineer to design, develop, and maintain scalable data solutions supporting large\-scale analytics and data processing initiatives. This role focuses on building robust data pipelines, optimizing data transformations, and ensuring high\-quality, reliable data delivery across cloud\-based platforms. The ideal candidate will bring strong hands\-on engineering experience, a deep understanding of data lifecycle management, and the ability to collaborate closely with data scientists, analysts, and business stakeholders.
**Key Responsibilities**
* Design and develop data solutions using Google Cloud Platform tools including Dataflow, Dataproc, and BigQuery
* Build and maintain scalable data pipelines to process large volumes of structured and unstructured data
* Develop ETL pipelines to extract, transform, and load data from multiple sources including databases, APIs, and flat files using Python and PySpark
* Design, implement, and maintain efficient data ingestion and data transformation processes
* Write optimized SQL queries ranging from basic to advanced complexity using SQL and BigQuery
* Ensure data quality, accuracy, performance, and reliability through testing, validation, and monitoring
* Participate in code reviews to uphold coding standards and best practices
* Collaborate with data scientists, analysts, and cross\-functional stakeholders to understand data requirements and deliver effective solutions
* Manage the full data lifecycle from ingestion through archiving and deletion
* Adhere to cloud security best practices and ensure compliance with regulatory and organizational standards
* Develop and maintain shell scripts to support automation and operational workflows
* Utilize GitHub for source control and collaborate within version\-controlled environments
* Set up, maintain, and enhance CI/CD pipelines to support automated builds, testing, and deployments
* Create and maintain technical documentation including solution designs, architecture diagrams, and user guides
* Troubleshoot, debug, and enhance existing applications and ETL job chains
**Required Skills And Qualifications**
* Bachelor’s degree in Computer Science, Engineering, or a related field
* Proven experience working as a Data Engineer or in a similar data\-focused engineering role
* Strong proficiency in object\-oriented programming using Python
* Hands\-on experience with PySpark and big data processing frameworks
* Strong understanding of ETL design principles and data transformation strategies
* Solid expertise in SQL, data modeling concepts, and relational database design
* Working knowledge of Unix/Linux environments and shell scripting
* Experience with Git and modern version control practices
* Hands\-on experience with CI/CD pipelines and tools such as Jenkins
* Strong understanding of software development best practices and design patterns
* Excellent problem\-solving skills with strong attention to detail
* Strong communication and collaboration skills
* Hands\-on experience working with Google Cloud Platform</t>
        </is>
      </c>
    </row>
    <row r="34">
      <c r="A34" t="inlineStr">
        <is>
          <t>li-4369308118</t>
        </is>
      </c>
      <c r="B34" t="inlineStr">
        <is>
          <t>Data Engineer Lead</t>
        </is>
      </c>
      <c r="C34" t="inlineStr">
        <is>
          <t>Jobs via Dice</t>
        </is>
      </c>
      <c r="D34" t="inlineStr">
        <is>
          <t>linkedin</t>
        </is>
      </c>
      <c r="E34">
        <f>HYPERLINK("https://www.linkedin.com/jobs/view/4369308118", "https://www.linkedin.com/jobs/view/4369308118")</f>
        <v/>
      </c>
      <c r="F34" t="inlineStr"/>
      <c r="G34" t="inlineStr"/>
      <c r="H34" t="inlineStr"/>
      <c r="I34" t="inlineStr">
        <is>
          <t>Dice is the leading career destination for tech experts at every stage of their careers. Our client, Nasscomm, Inc., is seeking the following. Apply via Dice today!
* Data Engineer Lead to lead the delivery for entire Supply planning.
* AWS Tech stack, Pandas, develop ETL pipelines, AWS integrations.</t>
        </is>
      </c>
    </row>
    <row r="35">
      <c r="A35" t="inlineStr">
        <is>
          <t>li-4369197208</t>
        </is>
      </c>
      <c r="B35" t="inlineStr">
        <is>
          <t>Data Engineer (Quantexa)</t>
        </is>
      </c>
      <c r="C35" t="inlineStr">
        <is>
          <t>Jobs via Dice</t>
        </is>
      </c>
      <c r="D35" t="inlineStr">
        <is>
          <t>linkedin</t>
        </is>
      </c>
      <c r="E35">
        <f>HYPERLINK("https://www.linkedin.com/jobs/view/4369197208", "https://www.linkedin.com/jobs/view/4369197208")</f>
        <v/>
      </c>
      <c r="F35">
        <f>HYPERLINK("https://click.appcast.io/t/lk0w2xrpHZ1k2dcwhaD0J0Fb4GUgzeGPPbvzeL9JG5k=&amp;urlHash=LY3o", "https://click.appcast.io/t/lk0w2xrpHZ1k2dcwhaD0J0Fb4GUgzeGPPbvzeL9JG5k=&amp;urlHash=LY3o")</f>
        <v/>
      </c>
      <c r="G35" t="inlineStr"/>
      <c r="H35" t="inlineStr"/>
      <c r="I35" t="inlineStr">
        <is>
          <t>Dice is the leading career destination for tech experts at every stage of their careers. Our client, Next Gen IT Inc, is seeking the following. Apply via Dice today!
**Position:** 
 Data Engineer (Quantexa)
 Remote EST
**Candidates with QUANTEXA Exp can only apply**
**Role Overview**
 American Express is seeking experienced Senior Data Engineers with strong hands\-on expertise in
 **Quantexa** 
 ,
 **Scala** 
 ,
 **Google Cloud Platform (Google Cloud Platform)** 
 , and
 **ETL development** 
 . This role will focus on building and configuring batch and real\-time entity resolution solutions that support large\-scale data processing and analytics initiatives.
 The ideal candidate has practical experience developing, configuring, and deploying Quantexa modules, working closely with data engineering and architecture teams to deliver high\-quality, scalable solutions.
**Key Responsibilities**
 Design, develop, and configure Quantexa modules for batch and real\-time entity resolution
 Build and maintain scalable data pipelines using Scala and ETL frameworks
 Develop and optimize data processing solutions on Google Cloud Platform
 Collaborate with data architects, engineers, and business stakeholders to translate requirements into technical solutions
 Ensure performance, data quality, and reliability across large\-scale datasets
 Support deployment, testing, and troubleshooting of Quantexa\-based solutions
 Follow best practices for data engineering, security, and compliance in enterprise environments
**Required Qualifications**
 6 to 9 years of overall experience in data engineering or related roles
 Strong hands\-on experience with
 **Quantexa** 
 , including batch and real\-time entity resolution modules
 Proficiency in
 **Scala** 
 for data processing and application development
 Experience building ETL pipelines and large\-scale data integrations
 Hands\-on experience with
 **Google Cloud Platform (Google Cloud Platform)**
 Strong understanding of data modeling, data quality, and performance optimization
**Preferred Qualifications**
 Quantexa Certification
 Experience working in large enterprise or financial services environments
 Familiarity with real\-time streaming and event\-driven architectures
 Strong communication skills and ability to work cross\-functionally
**Why This Role**
 Opportunity to work on high\-impact, enterprise\-scale data initiatives
 Exposure to advanced entity resolution and analytics platforms
 Collaborative environment with experienced engineering and data teams
 Competitive compensation and long\-term engagement potential</t>
        </is>
      </c>
    </row>
    <row r="36">
      <c r="A36" t="inlineStr">
        <is>
          <t>li-4360537678</t>
        </is>
      </c>
      <c r="B36" t="inlineStr">
        <is>
          <t>Health System Data Engineer Lead   -   142751</t>
        </is>
      </c>
      <c r="C36" t="inlineStr">
        <is>
          <t>St. Luke's Health System</t>
        </is>
      </c>
      <c r="D36" t="inlineStr">
        <is>
          <t>linkedin</t>
        </is>
      </c>
      <c r="E36">
        <f>HYPERLINK("https://www.linkedin.com/jobs/view/4360537678", "https://www.linkedin.com/jobs/view/4360537678")</f>
        <v/>
      </c>
      <c r="F36" t="inlineStr"/>
      <c r="G36" t="inlineStr">
        <is>
          <t>Boise, ID</t>
        </is>
      </c>
      <c r="H36" t="inlineStr"/>
      <c r="I36" t="inlineStr">
        <is>
          <t>**Description \&amp; Requirements**
 Health System Data Engineer Lead
 Do you like working on things that positively impact the health of your friends, family, neighbors, and community? St. Luke's has been committed to the health and well\-being of the people we serve since our founding in 1902\. As our communities’ needs have evolved, so have we — expanding how we care for our friends and neighbors.
 Today, St. Luke’s is more than a hospital. We’re an integrated health system delivering care in our hospitals and clinics, connecting communities to a network of exceptional providers through St. Luke’s Health Partners and funding care through St. Luke’s Health Plan.
 As an engineering lead of our Data Platform team at St Luke’s, you will be integral in developing and helping others develop innovative data solutions for business\-critical data that is shared across the enterprise and collectively represents a “single source of truth.” The ideal candidate for this position would have great communication skills, be a curious self\-starter, have great analytical and problem\-solving skills, and have a passion for delivering technical solutions that enable time\-sensitive, critical decisions. Previous technical or personnel leadership is a plus, but not required.
**Required Criteria**
* Education:Bachelor's degree or 4 years of relevant experience in lieu of degree
* Experience:Minimum of 4yearsrelated experience
**Responsibilities**
* Partner and Learn:
* Partner withother Data and Analytics leaders,Business IntelligenceDevelopers and Analyststo ensure they have the dataneeded to develop solutions and provide self\-service data access.
* Develop a strong partnership with thebusinessandincrease your understanding of St Luke’s business and clinical functions.
* Co\-develop recommendations, understandneedsand leaddata and analytics professionalsto deliver on requestsand projects.
* Lead, coordinate and mentor:
* Lead your groupof data engineerstoenhance and developstate\-of\-the\-artdata pipelines, data lakehouseand support data extracts.
* Mentorstaff todevelop skills andfulfillassignments.
* Ensure the team has clearrequirementsand the solutions are tested andvalidated.
* Provide regular status reports and planswithappropriate stakeholders.
* Responsible for performance appraisals for positions under their direction;providesleadership guidance, counseling, and continuing education to staff.
* Aligns and develops best practices
* Alignwith Data andAnalyticsbest practices within other groups.
* Workwith architects to implement solutions in alignment with standards.
* Participate in developing and improving standards and best practices acrosstheData\&amp;Analytics department.
* Build cross functional relationships withapplication teamsand business leaders to understandinformation needs, data flows, and data quality.
* Working Lead
* Design, implement, andmaintaindata management capabilities including the enterprise data platform; its associated data models, ETL processes, and data architecture requirements.
* Utilize data profiling and data quality techniques forrequirementsvalidation, unit testing, and automated integration testing. Implement frameworks for automated and scripted testing.
* Contribute to improving solution stability, reliability, efficiency, and quality.
* Identifytechnical solutions that achieve efficiency and effectiveness and enable data usage as a strategic business asset.
* Beavailable to support solutions as required by the businessneed.
**Experience**
* Strong SQL experience, writingqueriesand stored procedures.
* Experience with database management systems including performance and tuning and security.
* Experience in developing and communicating data warehouse data modelsand methodologies
* Development experience withDatabricks andMicrosoft SQL Server Integration Services.
* Experience with REST and .NET preferred
* Experience with EpicEHR andEpic experience is a plus
* ExposurewithData Lake and Lakehouse Methodologies
* Previoustechnical or personnel leadership is a plus.
**About St. Luke's**
 Our employees enjoy many benefits, some of the most popular are tuition reimbursement, hospital retirement contributions, and hospital\-supported on\-going training and education.
 If you’re looking for a place where you can grow in your personal life, in your career, and in your community, St. Luke’s may be just the place for you.
 A strong, talented staff is at the heart of St. Luke’s Health System. We are the state’s largest employer with more than 19,000 employees and a medical staff of more than 1,800 physicians and advanced practice clinicians. Our employees are dedicated to impacting the lives of those in our community while pursuing a life\- changing career at St. Luke’s. Our staff is the reason for our outstanding reputation as both a quality employer and superior healthcare organization. We’re proud of our people who deliver skilled, compassionate care every day, and are looking to add dedicated individuals who will continue in the same tradition of excellence.
 With multiple locations in the beautiful southern and central Idaho, our mild, four season climate means you can play outdoors year\-round. Whether you prefer leisurely walks along the river or heart\-pounding climbs up a sheer cliff\- there is always something to do after work. An exciting mix of urban and outdoor life defines Idaho’s culture, you can ski in the morning and watch a college sporting event at night. It is a great state to raise a family and forge lasting relationships.
 What's In It For You
 At St. Luke’s, caring for people in the communities we serve is our mission – and this includes our own SLHS team. We offer a robust benefits package to support our teams both professionally and personally. In addition to a competitive salary and retirement plans, we ensure our team feels supported in their benefits beyond the typical medical, dental, and vision offerings. We care about you and have fantastic financial and physical wellness options, such as: on\-site massages, on\-site counseling via our Employee Assistance Program, access to the Personify Health Wellness tool, as well as other formal training and career development offerings to ensure you are meeting your career goals.
 St. Luke’s is an equal opportunity employer and does not discriminate against any person on the basis of race, religion, color, gender, gender identity, sexual orientation, age, national origin, disability, veteran status, or any other status or condition protected by law.
* Please note: this posting is not reflective of all job duties and responsibilities and is intended to provide an overview to job seekers.</t>
        </is>
      </c>
    </row>
    <row r="37">
      <c r="A37" t="inlineStr">
        <is>
          <t>li-4361062891</t>
        </is>
      </c>
      <c r="B37" t="inlineStr">
        <is>
          <t>Senior Data Engineer (Microsoft Fabric, AWS, and Power BI)</t>
        </is>
      </c>
      <c r="C37" t="inlineStr">
        <is>
          <t>Jobs via Dice</t>
        </is>
      </c>
      <c r="D37" t="inlineStr">
        <is>
          <t>linkedin</t>
        </is>
      </c>
      <c r="E37">
        <f>HYPERLINK("https://www.linkedin.com/jobs/view/4361062891", "https://www.linkedin.com/jobs/view/4361062891")</f>
        <v/>
      </c>
      <c r="F37" t="inlineStr"/>
      <c r="G37" t="inlineStr">
        <is>
          <t>Jersey City, NJ</t>
        </is>
      </c>
      <c r="H37" t="inlineStr"/>
      <c r="I37" t="inlineStr">
        <is>
          <t>Dice is the leading career destination for tech experts at every stage of their careers. Our client, VDart, Inc., is seeking the following. Apply via Dice today!
 We are looking for a
 **Senior Data Engineer** 
 role with expertise in
 **Microsoft Fabric, AWS, and Power BI** 
 .
 This position requires an
 **experienced professional with 7 10 years of overall experience** 
 , who is
 **local to New Jersey** 
 . Candidates must demonstrate
 **long\-term project stability** 
 , with prior engagements of
 **one year or longer preferred per project** 
 .
**Mandatory Skills \&amp; Experience:**
* Strong data engineering expertise
* Hands\-on experience with Microsoft Fabric and Power BI
* Solid data modeling experience
* Hands\-on experience with AWS services
* Strong Python development experience
* Proven, hands\-on expertise in all the above areas is mandatory
**Preferred:**
* Experience in the actuarial domain is a strong plus
 Please ensure submitted profiles clearly reflect
 **hands\-on experience** 
 across all required skills and meet the location and experience criteria.</t>
        </is>
      </c>
    </row>
    <row r="38">
      <c r="A38" t="inlineStr">
        <is>
          <t>li-4369309116</t>
        </is>
      </c>
      <c r="B38" t="inlineStr">
        <is>
          <t>Senior / Principal Data Engineer</t>
        </is>
      </c>
      <c r="C38" t="inlineStr">
        <is>
          <t>Jobs via Dice</t>
        </is>
      </c>
      <c r="D38" t="inlineStr">
        <is>
          <t>linkedin</t>
        </is>
      </c>
      <c r="E38">
        <f>HYPERLINK("https://www.linkedin.com/jobs/view/4369309116", "https://www.linkedin.com/jobs/view/4369309116")</f>
        <v/>
      </c>
      <c r="F38" t="inlineStr"/>
      <c r="G38" t="inlineStr">
        <is>
          <t>New York, NY</t>
        </is>
      </c>
      <c r="H38" t="inlineStr"/>
      <c r="I38" t="inlineStr">
        <is>
          <t>Dice is the leading career destination for tech experts at every stage of their careers. Our client, ASCII Group LLC, is seeking the following. Apply via Dice today!
**Title** 
**: Senior / Principal Data Engineer**
**Location : New York**
**Duration : 12\+ months**
**Relevant Experience (in Yrs.): 10\+**
**Data Ingestion \&amp; Modeling**
* Ingest and model data from diverse sources including APIs, files/SFTP, streaming platforms, and relational databases.
* Implement layered data architectures (raw / clean / serving) using PySpark, SQL, dbt, and Python.
**Pipeline Design \&amp; Orchestration**
* Design, build, and operate production data pipelines using Prefect or Airflow, including scheduling, retries, parameterization, SLAs, and alerting.
* Maintain clear, well\-documented runbooks and operational procedures.
**Cloud Data Platforms**
* Build on cloud data platforms using object storage (S3, ADLS, GCS) and Spark\-based compute (Databricks or equivalent).
* Manage jobs, secrets, access controls, and environment configurations across dev/test/prod.
**Data Services \&amp; APIs**
* Publish governed data services and manage their lifecycle using Azure API Management (APIM).
* Implement authentication and authorization, policies, versioning, quotas, and monitoring for data APIs.
**Data Quality, Governance \&amp; Observability**
* Enforce data quality and governance through data contracts, automated tests, validations, lineage, and observability tooling.
* Implement proactive monitoring and alerting to ensure data reliability and trust.
**Performance, Cost \&amp; Reliability**
* Optimize performance and cost through partitioning, clustering, query tuning, job sizing, and workload management.
* Continuously improve platform reliability and reduce operational risk.
**Security \&amp; Compliance**
* Uphold security and compliance standards, including PII handling, encryption, masking, and access controls.
**Collaboration \&amp; Enablement**
* Collaborate with analytics, AI engineering, and business stakeholders to translate requirements into scalable, production\-ready datasets.
* Enable AI and LLM use cases by packaging datasets and metadata for downstream consumption, integrating with Model Context Protocol (MCP) where appropriate.
**Platform Improvement**
* Improve developer productivity by automating routine tasks, reducing technical debt, and maintaining clear, up\-to\-date documentation.
**Must Skills:**
* Python, SQL, and Spark (PySpark)
* Databricks
* Prefect or Airflow, dbt
* Snowflake
* Azure, AWS, or Google Cloud Platform</t>
        </is>
      </c>
    </row>
    <row r="39">
      <c r="A39" t="inlineStr">
        <is>
          <t>li-4361062895</t>
        </is>
      </c>
      <c r="B39" t="inlineStr">
        <is>
          <t>Sr. Data Engineer - Hybrid - Must work on our W-2</t>
        </is>
      </c>
      <c r="C39" t="inlineStr">
        <is>
          <t>Jobs via Dice</t>
        </is>
      </c>
      <c r="D39" t="inlineStr">
        <is>
          <t>linkedin</t>
        </is>
      </c>
      <c r="E39">
        <f>HYPERLINK("https://www.linkedin.com/jobs/view/4361062895", "https://www.linkedin.com/jobs/view/4361062895")</f>
        <v/>
      </c>
      <c r="F39">
        <f>HYPERLINK("https://click.appcast.io/t/x8kZd_OIOUnasarJkoPwF-ukeXcqfNqnotHph1h7gCg=&amp;urlHash=HxMB", "https://click.appcast.io/t/x8kZd_OIOUnasarJkoPwF-ukeXcqfNqnotHph1h7gCg=&amp;urlHash=HxMB")</f>
        <v/>
      </c>
      <c r="G39" t="inlineStr">
        <is>
          <t>Wayne, PA</t>
        </is>
      </c>
      <c r="H39" t="inlineStr"/>
      <c r="I39" t="inlineStr">
        <is>
          <t>Dice is the leading career destination for tech experts at every stage of their careers. Our client, TrustMinds, Inc., is seeking the following. Apply via Dice today!
**Data Engineer**
**Must work on our W\-2 Only**
**Duration:** 
 6m CTH
* Looking for a resource to help build, facilitate, and support API pipelines \&amp; app connectivity to various digital DTC marketplaces, i.e. TikTok Shop, Shopify, \&amp; Amazon
* Preference would be previous experience working with the Shopify platform, if possible
* Partnering with the business teams to gather and gain insights and analytics
* Act as a lead to stand up and build a robust solution
* SQL, Python, and Snowflake experience needed
* Previous experience working with at least one of the eco\-systems above would be ideal</t>
        </is>
      </c>
    </row>
    <row r="40">
      <c r="A40" t="inlineStr">
        <is>
          <t>li-4369189835</t>
        </is>
      </c>
      <c r="B40" t="inlineStr">
        <is>
          <t>Quality Assurance Data Engineer</t>
        </is>
      </c>
      <c r="C40" t="inlineStr">
        <is>
          <t>Jobs via Dice</t>
        </is>
      </c>
      <c r="D40" t="inlineStr">
        <is>
          <t>linkedin</t>
        </is>
      </c>
      <c r="E40">
        <f>HYPERLINK("https://www.linkedin.com/jobs/view/4369189835", "https://www.linkedin.com/jobs/view/4369189835")</f>
        <v/>
      </c>
      <c r="F40" t="inlineStr"/>
      <c r="G40" t="inlineStr">
        <is>
          <t>Ramsey, NJ</t>
        </is>
      </c>
      <c r="H40" t="inlineStr"/>
      <c r="I40" t="inlineStr">
        <is>
          <t>RESPONSIBILITIES:
 Kforce has a client that is seeking a Quality Assurance Data Engineer in Ramsey, NJ.
 Overview:
 We are seeking a highly skilled QA Tester with deep experience in validating analytics solutions, including dashboards, data models, ETL logic, and reporting layers. The ideal candidate has strong expertise in writing test plans, test cases, and regression test suites, with the ability to work closely with BI Engineers, Data Engineers, and Product Managers. This role requires exceptional SQL proficiency, attention to detail, and the ability to test complex data transformations end\-to\-end.
 Key Responsibilities:
 Test Planning \&amp; Documentation:
* Develop comprehensive test plans, test strategies, and test scenarios for analytics and BI solutions (dashboards, metrics, transformations, semantic layers)
* Document expected behavior, test data needs, and success criteria for analytics deliverables
* Define and maintain regression testing plans to ensure ongoing reliability of data products
 Execution of Testing:
* Execute manual tests across ETL pipelines, data models, and business intelligence tools
* Validate data accuracy using complex SQL queries and compare outputs from upstream/downstream systems
* Perform end\-to\-end testing of new features, enhancements, and bug fixes
* Conduct smoke testing for deployments and validate incremental data loads
 Defect Tracking \&amp; Collaboration:
* Log defects with clear reproduction steps, impact analysis, and risk assessment
* Work with BI/Data Engineers to reproduce issues and validate fixes
* Collaborate with product owners and analysts to ensure test coverage aligns with business requirements
 Quality Governance:
* Ensure adherence to quality and testing best practices within the analytics development lifecycle
* Provide recommendations for improving testing processes and validation frameworks
* Participate in sprint planning and contribute QA perspectives to acceptance criteria
 REQUIREMENTS:
 Technical Skills:
* Advanced SQL skills (joins, window functions, CTEs, aggregations, performance debugging)
* Strong experience testing data pipelines, ETL processes, and data transformations
* Experience validating BI dashboards (Looker, Power BI, Tableau, or similar)
* Ability to test metric logic, KPIs, and semantic models for correctness and consistency
* Strong grasp of data warehousing concepts (star schema, SCD types, fact/dimension modeling)
 QA Skills:
* Demonstrated experience writing high\-quality test plans, test cases, test scripts, and regression suites
* Experience with tools such as Jira, TestRail, Zephyr, or equivalent
* Skilled in converting user stories and acceptance criteria into testable scenarios
* Comfortable working in Agile/Scrum environments
 Soft Skills:
* Excellent communication and documentation abilities
* Strong attention to detail and data accuracy
* Ability to work independently and manage multiple testing cycles
* Problem\-solving mindset with focus on root cause analysis
 Preferred Qualifications:
* Experience with Looker, dbt, Snowflake, BigQuery, or similar modern data stack technologies
* Familiarity with Git\-based CI/CD workflows (Bitbucket, GitHub, and GitLab)
* Exposure to automated data testing frameworks (e.g., Great Expectations, Soda, dbt tests)
* Prior experience in enterprise analytics, BI engineering, or data governance environments
 Success Criteria:
 A successful contractor will:
* Provide complete and accurate test coverage for data products
* Quickly identify data integrity issues and collaborate effectively to resolve them
* Produce reliable documentation that can be reused by teams long\-term
* Reduce regression bugs across analytics releases
 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
 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
 Note: Pay is not considered compensation until it is earned, vested and determinable. The amount and availability of any compensation remains in Kforce's sole discretion unless and until paid and may be modified in its discretion consistent with the law.
 This job is not eligible for bonuses, incentives or commissions.
 Kforce is an Equal Opportunity/Affirmative Action Employer. All qualified applicants will receive consideration for employment without regard to race, color, religion, sex, pregnancy, sexual orientation, gender identity, national origin, age, protected veteran status, or disability status.
 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t>
        </is>
      </c>
    </row>
    <row r="41">
      <c r="A41" t="inlineStr">
        <is>
          <t>li-4360577465</t>
        </is>
      </c>
      <c r="B41" t="inlineStr">
        <is>
          <t>Solutions Architect - (Data Engineering)</t>
        </is>
      </c>
      <c r="C41" t="inlineStr">
        <is>
          <t>Jobs via Dice</t>
        </is>
      </c>
      <c r="D41" t="inlineStr">
        <is>
          <t>linkedin</t>
        </is>
      </c>
      <c r="E41">
        <f>HYPERLINK("https://www.linkedin.com/jobs/view/4360577465", "https://www.linkedin.com/jobs/view/4360577465")</f>
        <v/>
      </c>
      <c r="F41">
        <f>HYPERLINK("https://click.appcast.io/t/3Vt4JlPe57GfMdkS5-NsIiFDWcObrle94_0eHOjIHJE=&amp;urlHash=N5K1", "https://click.appcast.io/t/3Vt4JlPe57GfMdkS5-NsIiFDWcObrle94_0eHOjIHJE=&amp;urlHash=N5K1")</f>
        <v/>
      </c>
      <c r="G41" t="inlineStr">
        <is>
          <t>San Francisco, CA</t>
        </is>
      </c>
      <c r="H41" t="inlineStr"/>
      <c r="I41" t="inlineStr">
        <is>
          <t>**Shape the Future of Data \&amp; AI \- Architect Solutions That Scale**
 This Jobot Job is hosted by: Robert Donohue
 Are you a fit? Easy Apply now by clicking the "Apply Now" button and sending us your resume.
 Salary: $140,000 \- $170,000 per year
**A bit about us:**
 We're a global leader in data and AI/ML services and one of the fastest\-growing companies in the modern data stack space. We partner with top cloud platforms like Snowflake, AWS, Azure, Google Cloud Platform, Databricks, Fivetran, Pinecone, Glean, and dbt to deliver innovative data, cloud, and machine learning solutions that help enterprises unlock the true power of their data.
 With a decade of 40%\+ year\-over\-year growth, we've become a 6x Snowflake Partner of the Year (2020\-2025\) and earned accolades as an award\-winning workplace in the US, LATAM, and India.
 We're a remote\-first organization with a collaborative, casual culture that prizes autonomy, creativity, and curiosity. You'll work alongside some of the brightest minds in data engineering and AI/ML \- all driven by a shared passion to solve the toughest data challenges for leading global enterprises.
**Why join us?**
* Competitive Compensation: $140,000 \- $190,000\+ base salary (depending on experience)
* Remote\-First: Work from anywhere in the US with occasional customer\-site travel nationwide
* Massive Growth: Be part of a company growing 40% YOY, creating career advancement opportunities
* Cutting\-Edge Tech: Build enterprise\-scale solutions leveraging Snowflake, Databricks, AWS, Google Cloud Platform, Azure, Kafka, and more
* Award\-Winning Culture: Collaborative, inclusive, and committed to professional development
* Learning \&amp; Development: Accelerated training, advanced certifications, and exposure to AI/ML innovation
* Time Off \&amp; Benefits: 4 weeks PTO, 10 paid holidays, health/dental/vision insurance, 401(k), and additional perks
**Job Details**
 We're seeking a Solutions Architect who thrives at the intersection of data engineering solutions. This is a customer\-facing, technical leadership role where you'll design, build, and deliver scalable cloud and data architectures for enterprise clients.
 What You'll Do:
* Design and implement end\-to\-end data solutions that are secure, performant, and scalable
* Collaborate with enterprise customers to understand their challenges and translate business needs into technical roadmaps
* Lead architecture discussions, conduct POCs, create roadmaps, diagrams, and solution documentation
* Work hands\-on with modern data stack tools like Snowflake, Databricks, AWS, Azure, Google Cloud Platform, and streaming/integration tech (Kafka, Fivetran, dbt, Airflow)
* Support product adoption and services expansion by building trust with customer teams and executives
* Guide and mentor engineers, helping elevate their technical expertise
* Deliver presentations and demos that clearly communicate solutions to both technical and non\-technical audiences
 What You Bring:
* 8\+ years as a Solutions Architect/Data Engineer designing and implementing production\-grade solutions
* 5\+ years customer\-facing experience with enterprise clients
* Strong proficiency in Python, Java, or Scala and advanced SQL skills
* Hands\-on experience with Snowflake, Databricks, Redshift, or EMR and distributed/cloud data platforms (AWS, Azure, Google Cloud Platform)
* Familiarity with streaming tools (Kafka, Spark), orchestration (Airflow), and data integration technologies (Fivetran, Matillion, ADF)
* Excellent communication skills for collaborating with clients and presenting solutions
* Bachelor's degree in Computer Science or related field (or equivalent experience)
 Interested in hearing more? Easy Apply now by clicking the "Apply Now" button.
 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
 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Chance Initiative for Hiring and the San Francisco Fair Chance Ordinance.
 Information collected and processed as part of your Jobot candidate profile, and any job applications, resumes, or other information you choose to submit is subject to Jobot's Privacy Policy, as well as the Jobot California Worker Privacy Notice and Jobot Notice Regarding Automated Employment Decision Tools which are available at jobot.com/legal.
 By applying for this job, you agree to receive calls, AI\-generated calls, text messages, or emails from Jobot, and/or its agents and contracted partners. Frequency varies for text messages. Message and data rates may apply. Carriers are not liable for delayed or undelivered messages. You can reply STOP to cancel and HELP for help. You can access our privacy policy here: jobot.com/privacy\-policy</t>
        </is>
      </c>
    </row>
    <row r="42">
      <c r="A42" t="inlineStr">
        <is>
          <t>li-4359589183</t>
        </is>
      </c>
      <c r="B42" t="inlineStr">
        <is>
          <t>Solutions Architect - (Data Engineering)</t>
        </is>
      </c>
      <c r="C42" t="inlineStr">
        <is>
          <t>Jobs via Dice</t>
        </is>
      </c>
      <c r="D42" t="inlineStr">
        <is>
          <t>linkedin</t>
        </is>
      </c>
      <c r="E42">
        <f>HYPERLINK("https://www.linkedin.com/jobs/view/4359589183", "https://www.linkedin.com/jobs/view/4359589183")</f>
        <v/>
      </c>
      <c r="F42" t="inlineStr"/>
      <c r="G42" t="inlineStr">
        <is>
          <t>Denver, CO</t>
        </is>
      </c>
      <c r="H42" t="inlineStr"/>
      <c r="I42" t="inlineStr">
        <is>
          <t>**Shape the Future of Data \&amp; AI \- Architect Solutions That Scale**
 This Jobot Job is hosted by: Robert Donohue
 Are you a fit? Easy Apply now by clicking the "Apply Now" button and sending us your resume.
 Salary: $140,000 \- $170,000 per year
**A bit about us:**
 We're a global leader in data and AI/ML services and one of the fastest\-growing companies in the modern data stack space. We partner with top cloud platforms like Snowflake, AWS, Azure, Google Cloud Platform, Databricks, Fivetran, Pinecone, Glean, and dbt to deliver innovative data, cloud, and machine learning solutions that help enterprises unlock the true power of their data.
 With a decade of 40%\+ year\-over\-year growth, we've become a 6x Snowflake Partner of the Year (2020\-2025\) and earned accolades as an award\-winning workplace in the US, LATAM, and India.
 We're a remote\-first organization with a collaborative, casual culture that prizes autonomy, creativity, and curiosity. You'll work alongside some of the brightest minds in data engineering and AI/ML \- all driven by a shared passion to solve the toughest data challenges for leading global enterprises.
**Why join us?**
* Competitive Compensation: $140,000 \- $190,000\+ base salary (depending on experience)
* Remote\-First: Work from anywhere in the US with occasional customer\-site travel nationwide
* Massive Growth: Be part of a company growing 40% YOY, creating career advancement opportunities
* Cutting\-Edge Tech: Build enterprise\-scale solutions leveraging Snowflake, Databricks, AWS, Google Cloud Platform, Azure, Kafka, and more
* Award\-Winning Culture: Collaborative, inclusive, and committed to professional development
* Learning \&amp; Development: Accelerated training, advanced certifications, and exposure to AI/ML innovation
* Time Off \&amp; Benefits: 4 weeks PTO, 10 paid holidays, health/dental/vision insurance, 401(k), and additional perks
**Job Details**
 We're seeking a Solutions Architect who thrives at the intersection of data engineering solutions. This is a customer\-facing, technical leadership role where you'll design, build, and deliver scalable cloud and data architectures for enterprise clients.
 What You'll Do:
* Design and implement end\-to\-end data solutions that are secure, performant, and scalable
* Collaborate with enterprise customers to understand their challenges and translate business needs into technical roadmaps
* Lead architecture discussions, conduct POCs, create roadmaps, diagrams, and solution documentation
* Work hands\-on with modern data stack tools like Snowflake, Databricks, AWS, Azure, Google Cloud Platform, and streaming/integration tech (Kafka, Fivetran, dbt, Airflow)
* Support product adoption and services expansion by building trust with customer teams and executives
* Guide and mentor engineers, helping elevate their technical expertise
* Deliver presentations and demos that clearly communicate solutions to both technical and non\-technical audiences
 What You Bring:
* 8\+ years as a Solutions Architect/Data Engineer designing and implementing production\-grade solutions
* 5\+ years customer\-facing experience with enterprise clients
* Strong proficiency in Python, Java, or Scala and advanced SQL skills
* Hands\-on experience with Snowflake, Databricks, Redshift, or EMR and distributed/cloud data platforms (AWS, Azure, Google Cloud Platform)
* Familiarity with streaming tools (Kafka, Spark), orchestration (Airflow), and data integration technologies (Fivetran, Matillion, ADF)
* Excellent communication skills for collaborating with clients and presenting solutions
* Bachelor's degree in Computer Science or related field (or equivalent experience)
 Interested in hearing more? Easy Apply now by clicking the "Apply Now" button.
 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
 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Chance Initiative for Hiring and the San Francisco Fair Chance Ordinance.
 Information collected and processed as part of your Jobot candidate profile, and any job applications, resumes, or other information you choose to submit is subject to Jobot's Privacy Policy, as well as the Jobot California Worker Privacy Notice and Jobot Notice Regarding Automated Employment Decision Tools which are available at jobot.com/legal.
 By applying for this job, you agree to receive calls, AI\-generated calls, text messages, or emails from Jobot, and/or its agents and contracted partners. Frequency varies for text messages. Message and data rates may apply. Carriers are not liable for delayed or undelivered messages. You can reply STOP to cancel and HELP for help. You can access our privacy policy here: jobot.com/privacy\-policy</t>
        </is>
      </c>
    </row>
    <row r="43">
      <c r="A43" t="inlineStr">
        <is>
          <t>li-4359838317</t>
        </is>
      </c>
      <c r="B43" t="inlineStr">
        <is>
          <t>Solutions Architect - (Data Engineering)</t>
        </is>
      </c>
      <c r="C43" t="inlineStr">
        <is>
          <t>Jobs via Dice</t>
        </is>
      </c>
      <c r="D43" t="inlineStr">
        <is>
          <t>linkedin</t>
        </is>
      </c>
      <c r="E43">
        <f>HYPERLINK("https://www.linkedin.com/jobs/view/4359838317", "https://www.linkedin.com/jobs/view/4359838317")</f>
        <v/>
      </c>
      <c r="F43">
        <f>HYPERLINK("https://click.appcast.io/t/GdxljaJiNCZhzKga6iUHgyOiNsjuds3M6RCwEEpFnL0=&amp;urlHash=LwOD", "https://click.appcast.io/t/GdxljaJiNCZhzKga6iUHgyOiNsjuds3M6RCwEEpFnL0=&amp;urlHash=LwOD")</f>
        <v/>
      </c>
      <c r="G43" t="inlineStr">
        <is>
          <t>Seattle, WA</t>
        </is>
      </c>
      <c r="H43" t="inlineStr"/>
      <c r="I43" t="inlineStr">
        <is>
          <t>**Shape the Future of Data \&amp; AI \- Architect Solutions That Scale**
 This Jobot Job is hosted by: Robert Donohue
 Are you a fit? Easy Apply now by clicking the "Apply Now" button and sending us your resume.
 Salary: $140,000 \- $170,000 per year
**A bit about us:**
 We're a global leader in data and AI/ML services and one of the fastest\-growing companies in the modern data stack space. We partner with top cloud platforms like Snowflake, AWS, Azure, Google Cloud Platform, Databricks, Fivetran, Pinecone, Glean, and dbt to deliver innovative data, cloud, and machine learning solutions that help enterprises unlock the true power of their data.
 With a decade of 40%\+ year\-over\-year growth, we've become a 6x Snowflake Partner of the Year (2020\-2025\) and earned accolades as an award\-winning workplace in the US, LATAM, and India.
 We're a remote\-first organization with a collaborative, casual culture that prizes autonomy, creativity, and curiosity. You'll work alongside some of the brightest minds in data engineering and AI/ML \- all driven by a shared passion to solve the toughest data challenges for leading global enterprises.
**Why join us?**
* Competitive Compensation: $140,000 \- $190,000\+ base salary (depending on experience)
* Remote\-First: Work from anywhere in the US with occasional customer\-site travel nationwide
* Massive Growth: Be part of a company growing 40% YOY, creating career advancement opportunities
* Cutting\-Edge Tech: Build enterprise\-scale solutions leveraging Snowflake, Databricks, AWS, Google Cloud Platform, Azure, Kafka, and more
* Award\-Winning Culture: Collaborative, inclusive, and committed to professional development
* Learning \&amp; Development: Accelerated training, advanced certifications, and exposure to AI/ML innovation
* Time Off \&amp; Benefits: 4 weeks PTO, 10 paid holidays, health/dental/vision insurance, 401(k), and additional perks
**Job Details**
 We're seeking a Solutions Architect who thrives at the intersection of data engineering solutions. This is a customer\-facing, technical leadership role where you'll design, build, and deliver scalable cloud and data architectures for enterprise clients.
 What You'll Do:
* Design and implement end\-to\-end data solutions that are secure, performant, and scalable
* Collaborate with enterprise customers to understand their challenges and translate business needs into technical roadmaps
* Lead architecture discussions, conduct POCs, create roadmaps, diagrams, and solution documentation
* Work hands\-on with modern data stack tools like Snowflake, Databricks, AWS, Azure, Google Cloud Platform, and streaming/integration tech (Kafka, Fivetran, dbt, Airflow)
* Support product adoption and services expansion by building trust with customer teams and executives
* Guide and mentor engineers, helping elevate their technical expertise
* Deliver presentations and demos that clearly communicate solutions to both technical and non\-technical audiences
 What You Bring:
* 8\+ years as a Solutions Architect/Data Engineer designing and implementing production\-grade solutions
* 5\+ years customer\-facing experience with enterprise clients
* Strong proficiency in Python, Java, or Scala and advanced SQL skills
* Hands\-on experience with Snowflake, Databricks, Redshift, or EMR and distributed/cloud data platforms (AWS, Azure, Google Cloud Platform)
* Familiarity with streaming tools (Kafka, Spark), orchestration (Airflow), and data integration technologies (Fivetran, Matillion, ADF)
* Excellent communication skills for collaborating with clients and presenting solutions
* Bachelor's degree in Computer Science or related field (or equivalent experience)
 Interested in hearing more? Easy Apply now by clicking the "Apply Now" button.
 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
 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Chance Initiative for Hiring and the San Francisco Fair Chance Ordinance.
 Information collected and processed as part of your Jobot candidate profile, and any job applications, resumes, or other information you choose to submit is subject to Jobot's Privacy Policy, as well as the Jobot California Worker Privacy Notice and Jobot Notice Regarding Automated Employment Decision Tools which are available at jobot.com/legal.
 By applying for this job, you agree to receive calls, AI\-generated calls, text messages, or emails from Jobot, and/or its agents and contracted partners. Frequency varies for text messages. Message and data rates may apply. Carriers are not liable for delayed or undelivered messages. You can reply STOP to cancel and HELP for help. You can access our privacy policy here: jobot.com/privacy\-policy</t>
        </is>
      </c>
    </row>
    <row r="44">
      <c r="A44" t="inlineStr">
        <is>
          <t>li-4359589185</t>
        </is>
      </c>
      <c r="B44" t="inlineStr">
        <is>
          <t>Solutions Architect - (Data Engineering)</t>
        </is>
      </c>
      <c r="C44" t="inlineStr">
        <is>
          <t>Jobs via Dice</t>
        </is>
      </c>
      <c r="D44" t="inlineStr">
        <is>
          <t>linkedin</t>
        </is>
      </c>
      <c r="E44">
        <f>HYPERLINK("https://www.linkedin.com/jobs/view/4359589185", "https://www.linkedin.com/jobs/view/4359589185")</f>
        <v/>
      </c>
      <c r="F44">
        <f>HYPERLINK("https://click.appcast.io/t/k5lxpk4QPSrtNFlQFZks9UwSHQHURLjuamn_B-i0P3k=&amp;urlHash=0Nt2", "https://click.appcast.io/t/k5lxpk4QPSrtNFlQFZks9UwSHQHURLjuamn_B-i0P3k=&amp;urlHash=0Nt2")</f>
        <v/>
      </c>
      <c r="G44" t="inlineStr">
        <is>
          <t>Boston, MA</t>
        </is>
      </c>
      <c r="H44" t="inlineStr"/>
      <c r="I44" t="inlineStr">
        <is>
          <t>**Shape the Future of Data \&amp; AI \- Architect Solutions That Scale**
 This Jobot Job is hosted by: Robert Donohue
 Are you a fit? Easy Apply now by clicking the "Apply Now" button and sending us your resume.
 Salary: $140,000 \- $170,000 per year
**A bit about us:**
 We're a global leader in data and AI/ML services and one of the fastest\-growing companies in the modern data stack space. We partner with top cloud platforms like Snowflake, AWS, Azure, Google Cloud Platform, Databricks, Fivetran, Pinecone, Glean, and dbt to deliver innovative data, cloud, and machine learning solutions that help enterprises unlock the true power of their data.
 With a decade of 40%\+ year\-over\-year growth, we've become a 6x Snowflake Partner of the Year (2020\-2025\) and earned accolades as an award\-winning workplace in the US, LATAM, and India.
 We're a remote\-first organization with a collaborative, casual culture that prizes autonomy, creativity, and curiosity. You'll work alongside some of the brightest minds in data engineering and AI/ML \- all driven by a shared passion to solve the toughest data challenges for leading global enterprises.
**Why join us?**
* Competitive Compensation: $140,000 \- $190,000\+ base salary (depending on experience)
* Remote\-First: Work from anywhere in the US with occasional customer\-site travel nationwide
* Massive Growth: Be part of a company growing 40% YOY, creating career advancement opportunities
* Cutting\-Edge Tech: Build enterprise\-scale solutions leveraging Snowflake, Databricks, AWS, Google Cloud Platform, Azure, Kafka, and more
* Award\-Winning Culture: Collaborative, inclusive, and committed to professional development
* Learning \&amp; Development: Accelerated training, advanced certifications, and exposure to AI/ML innovation
* Time Off \&amp; Benefits: 4 weeks PTO, 10 paid holidays, health/dental/vision insurance, 401(k), and additional perks
**Job Details**
 We're seeking a Solutions Architect who thrives at the intersection of data engineering solutions. This is a customer\-facing, technical leadership role where you'll design, build, and deliver scalable cloud and data architectures for enterprise clients.
 What You'll Do:
* Design and implement end\-to\-end data solutions that are secure, performant, and scalable
* Collaborate with enterprise customers to understand their challenges and translate business needs into technical roadmaps
* Lead architecture discussions, conduct POCs, create roadmaps, diagrams, and solution documentation
* Work hands\-on with modern data stack tools like Snowflake, Databricks, AWS, Azure, Google Cloud Platform, and streaming/integration tech (Kafka, Fivetran, dbt, Airflow)
* Support product adoption and services expansion by building trust with customer teams and executives
* Guide and mentor engineers, helping elevate their technical expertise
* Deliver presentations and demos that clearly communicate solutions to both technical and non\-technical audiences
 What You Bring:
* 8\+ years as a Solutions Architect/Data Engineer designing and implementing production\-grade solutions
* 5\+ years customer\-facing experience with enterprise clients
* Strong proficiency in Python, Java, or Scala and advanced SQL skills
* Hands\-on experience with Snowflake, Databricks, Redshift, or EMR and distributed/cloud data platforms (AWS, Azure, Google Cloud Platform)
* Familiarity with streaming tools (Kafka, Spark), orchestration (Airflow), and data integration technologies (Fivetran, Matillion, ADF)
* Excellent communication skills for collaborating with clients and presenting solutions
* Bachelor's degree in Computer Science or related field (or equivalent experience)
 Interested in hearing more? Easy Apply now by clicking the "Apply Now" button.
 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
 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Chance Initiative for Hiring and the San Francisco Fair Chance Ordinance.
 Information collected and processed as part of your Jobot candidate profile, and any job applications, resumes, or other information you choose to submit is subject to Jobot's Privacy Policy, as well as the Jobot California Worker Privacy Notice and Jobot Notice Regarding Automated Employment Decision Tools which are available at jobot.com/legal.
 By applying for this job, you agree to receive calls, AI\-generated calls, text messages, or emails from Jobot, and/or its agents and contracted partners. Frequency varies for text messages. Message and data rates may apply. Carriers are not liable for delayed or undelivered messages. You can reply STOP to cancel and HELP for help. You can access our privacy policy here: jobot.com/privacy\-policy</t>
        </is>
      </c>
    </row>
    <row r="45">
      <c r="A45" t="inlineStr">
        <is>
          <t>li-4361071750</t>
        </is>
      </c>
      <c r="B45" t="inlineStr">
        <is>
          <t>Solutions Architect - (Data Engineering)</t>
        </is>
      </c>
      <c r="C45" t="inlineStr">
        <is>
          <t>Jobs via Dice</t>
        </is>
      </c>
      <c r="D45" t="inlineStr">
        <is>
          <t>linkedin</t>
        </is>
      </c>
      <c r="E45">
        <f>HYPERLINK("https://www.linkedin.com/jobs/view/4361071750", "https://www.linkedin.com/jobs/view/4361071750")</f>
        <v/>
      </c>
      <c r="F45" t="inlineStr"/>
      <c r="G45" t="inlineStr">
        <is>
          <t>Minneapolis, MN</t>
        </is>
      </c>
      <c r="H45" t="inlineStr"/>
      <c r="I45" t="inlineStr">
        <is>
          <t>**Shape the Future of Data \&amp; AI \- Architect Solutions That Scale**
 This Jobot Job is hosted by: Robert Donohue
 Are you a fit? Easy Apply now by clicking the "Apply Now" button and sending us your resume.
 Salary: $140,000 \- $170,000 per year
**A bit about us:**
 We're a global leader in data and AI/ML services and one of the fastest\-growing companies in the modern data stack space. We partner with top cloud platforms like Snowflake, AWS, Azure, Google Cloud Platform, Databricks, Fivetran, Pinecone, Glean, and dbt to deliver innovative data, cloud, and machine learning solutions that help enterprises unlock the true power of their data.
 With a decade of 40%\+ year\-over\-year growth, we've become a 6x Snowflake Partner of the Year (2020\-2025\) and earned accolades as an award\-winning workplace in the US, LATAM, and India.
 We're a remote\-first organization with a collaborative, casual culture that prizes autonomy, creativity, and curiosity. You'll work alongside some of the brightest minds in data engineering and AI/ML \- all driven by a shared passion to solve the toughest data challenges for leading global enterprises.
**Why join us?**
* Competitive Compensation: $140,000 \- $190,000\+ base salary (depending on experience)
* Remote\-First: Work from anywhere in the US with occasional customer\-site travel nationwide
* Massive Growth: Be part of a company growing 40% YOY, creating career advancement opportunities
* Cutting\-Edge Tech: Build enterprise\-scale solutions leveraging Snowflake, Databricks, AWS, Google Cloud Platform, Azure, Kafka, and more
* Award\-Winning Culture: Collaborative, inclusive, and committed to professional development
* Learning \&amp; Development: Accelerated training, advanced certifications, and exposure to AI/ML innovation
* Time Off \&amp; Benefits: 4 weeks PTO, 10 paid holidays, health/dental/vision insurance, 401(k), and additional perks
**Job Details**
 We're seeking a Solutions Architect who thrives at the intersection of data engineering solutions. This is a customer\-facing, technical leadership role where you'll design, build, and deliver scalable cloud and data architectures for enterprise clients.
 What You'll Do:
* Design and implement end\-to\-end data solutions that are secure, performant, and scalable
* Collaborate with enterprise customers to understand their challenges and translate business needs into technical roadmaps
* Lead architecture discussions, conduct POCs, create roadmaps, diagrams, and solution documentation
* Work hands\-on with modern data stack tools like Snowflake, Databricks, AWS, Azure, Google Cloud Platform, and streaming/integration tech (Kafka, Fivetran, dbt, Airflow)
* Support product adoption and services expansion by building trust with customer teams and executives
* Guide and mentor engineers, helping elevate their technical expertise
* Deliver presentations and demos that clearly communicate solutions to both technical and non\-technical audiences
 What You Bring:
* 8\+ years as a Solutions Architect/Data Engineer designing and implementing production\-grade solutions
* 5\+ years customer\-facing experience with enterprise clients
* Strong proficiency in Python, Java, or Scala and advanced SQL skills
* Hands\-on experience with Snowflake, Databricks, Redshift, or EMR and distributed/cloud data platforms (AWS, Azure, Google Cloud Platform)
* Familiarity with streaming tools (Kafka, Spark), orchestration (Airflow), and data integration technologies (Fivetran, Matillion, ADF)
* Excellent communication skills for collaborating with clients and presenting solutions
* Bachelor's degree in Computer Science or related field (or equivalent experience)
 Interested in hearing more? Easy Apply now by clicking the "Apply Now" button.
 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
 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Chance Initiative for Hiring and the San Francisco Fair Chance Ordinance.
 Information collected and processed as part of your Jobot candidate profile, and any job applications, resumes, or other information you choose to submit is subject to Jobot's Privacy Policy, as well as the Jobot California Worker Privacy Notice and Jobot Notice Regarding Automated Employment Decision Tools which are available at jobot.com/legal.
 By applying for this job, you agree to receive calls, AI\-generated calls, text messages, or emails from Jobot, and/or its agents and contracted partners. Frequency varies for text messages. Message and data rates may apply. Carriers are not liable for delayed or undelivered messages. You can reply STOP to cancel and HELP for help. You can access our privacy policy here: jobot.com/privacy\-policy</t>
        </is>
      </c>
    </row>
    <row r="46">
      <c r="A46" t="inlineStr">
        <is>
          <t>li-4369345258</t>
        </is>
      </c>
      <c r="B46" t="inlineStr">
        <is>
          <t>Senior Backend &amp; Data Engineer</t>
        </is>
      </c>
      <c r="C46" t="inlineStr">
        <is>
          <t>CLOVEHITCH</t>
        </is>
      </c>
      <c r="D46" t="inlineStr">
        <is>
          <t>linkedin</t>
        </is>
      </c>
      <c r="E46">
        <f>HYPERLINK("https://www.linkedin.com/jobs/view/4369345258", "https://www.linkedin.com/jobs/view/4369345258")</f>
        <v/>
      </c>
      <c r="F46">
        <f>HYPERLINK("https://clgt.applytojob.com/apply/Km1TXqE6GB/Senior-Backend-Data-Engineer?source=LILI&amp;source=LINKEDIN&amp;urlHash=pYcr", "https://clgt.applytojob.com/apply/Km1TXqE6GB/Senior-Backend-Data-Engineer?source=LILI&amp;source=LINKEDIN&amp;urlHash=pYcr")</f>
        <v/>
      </c>
      <c r="G46" t="inlineStr">
        <is>
          <t>Dallas, TX</t>
        </is>
      </c>
      <c r="H46" t="inlineStr"/>
      <c r="I46" t="inlineStr">
        <is>
          <t>**Description**
 CLGT Solutions, LLC dba CLOVEHITCH is a Service\-Disabled Veteran\-Owned Small Business focused upon providing professional solutions in the areas of training and talent acquisition.
 We’re looking for a Senior Backend and Data Engineer who is energized by the challenge of turning disparate, messy, real\-world data into structured, scalable, and accessible systems. You will be the primary architect of the "engine room" for our new Reporting Portal—a platform designed to bridge the gap between financial disbursements and physical compliance evidence.
 This role is ideal for someone who loves working across ingestion, modeling, and workflow orchestration, and who gets satisfaction from designing systems that are resilient, transparent, and easy for others to build on. You will partner closely with a Frontend Engineer to handle the backend data and infrastructure aspects of the product, ensuring that high\-volume financial data and unstructured evidence are seamlessly integrated.
 As you grow in the role, you will lead the implementation of machine learning models and large language models (LLMs) to automate compliance reviews and provide high\-speed analytical insights.
**You will be responsible for:**
**Data Architecture \&amp; Pipeline Development**
* Medallion Architecture: Design and implement a Medallion\-style data architecture (Bronze/Silver/Gold) to manage raw transaction data, immutable snapshots, and curated analytics
* Pipeline Engineering: Build and maintain data pipelines that ingest, clean, and transform data from the Digital Transformation Bridge (DTB) and other sources
* Immutable Audit Trails: Ensure all files and snapshots are stored in a non\-destructive environment with strict versioning to preserve original evidence
* Performance Optimization: Implement high\-speed querying (e.g., AWS Athena) to enable complex ad\-hoc trend analyses against raw data in seconds
**Backend \&amp; Infrastructure Engineering**
* API Development: Build and maintain a high\-concurrency backend using Node.js and Express
* Secure Access: Implement robust Identity \&amp; Access Control layers, including mandatory Multi\-Factor Authentication (MFA) and Role\-Based Access Control (RBAC)
* Infrastructure as Code: Provision and manage cloud infrastructure using Terraform within an AWS Commercial Cloud environment (EKS, RDS, S3, MSK)
* Submission Engine: Develop a robust engine for multi\-format uploads (PDF, DOCX, JPEG) featuring draft persistence and real\-time validation logic
**AI, ML \&amp; Data Science Support**
* LLM \&amp; NLP Integration: Build systems to parse and index unstructured text within uploaded documents using Large Language Models and NLP tools
* Automated Analysis: Develop and operationalize machine learning models to assign compliance "confidence scores" and flag high\-risk items for manual review
* Data Science Enablement: Support the internal Data Science Workbench by providing Python notebook access and direct data hooks for risk analysts
**Cross\-Team Collaboration**
* Frontend Partnership: Work daily with the Frontend Engineer to architect data flows, manage APIs, and ensure the UI can handle complex list management and in\-browser file rendering
* Stakeholder Communication: Present technical tradeoffs and implementation paths to both technical and non\-technical team members
* Agile Ownership: Participate in technical discussions and architectural decisions in an iterative, startup\-style environment
**Qualifications:**
* Experience: 4\+ years of professional experience in data engineering or data\-focused backend engineering, ideally in a startup or fast\-paced context
* Backend Mastery: Strong proficiency in Node.js/Express and writing Python for data workflows
* Modern Data Stack: Deep experience with SQL, data modeling, and workflow orchestration tools
* Cloud Proficiency: Comfort provisioning infrastructure and deploying workflows to cloud platforms (specifically AWS)
* Data Technologies: Proficiency across modern storage technologies (PostgreSQL, S3, Lakehouses) and handling varied file formats
* Adaptability: Ability to manage multiple projects, adapt to shifting priorities, and deliver high\-quality work on a Fall/Winter 2026 deployment schedule
* Experience building and deploying Large Language Models (LLMs) or automated scoring algorithms in a production environment
* Experience with event\-streaming architecture (e.g., Kafka/MSK) and API management tools (e.g., Kong or Apigee)
**Work Environment**
 Remote / Flexible.
**Physical Demands**
 Position is primarily sedentary, working while sitting.
**Position Type \&amp; Hours of Work**
 Full\-time.
**Travel**
 This position will not require travel.
*CLOVEHITCH is an Equal Opportunity Employer. We prohibit discrimination and harassment of any kind based on race, color, sex, religion, sexual orientation, national origin, disability, veteran status, pregnancy, or any other protected characteristic as outlined by federal, state, or local laws.*
 Powered by JazzHR
 Km1TXqE6GB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2026-02-06T09:08:18Z</dcterms:created>
  <dcterms:modified xsi:type="dcterms:W3CDTF">2026-02-06T09:08:18Z</dcterms:modified>
</cp:coreProperties>
</file>