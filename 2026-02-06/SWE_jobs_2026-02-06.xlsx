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7"/>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in-59fc1bfefc5952d8</t>
        </is>
      </c>
      <c r="B2" t="inlineStr">
        <is>
          <t>Lead Software Engineer</t>
        </is>
      </c>
      <c r="C2" t="inlineStr">
        <is>
          <t>Tyler Technologies</t>
        </is>
      </c>
      <c r="D2" t="inlineStr">
        <is>
          <t>indeed</t>
        </is>
      </c>
      <c r="E2">
        <f>HYPERLINK("https://www.indeed.com/viewjob?jk=59fc1bfefc5952d8", "https://www.indeed.com/viewjob?jk=59fc1bfefc5952d8")</f>
        <v/>
      </c>
      <c r="F2">
        <f>HYPERLINK("https://tylertechcareers.ttcportals.com/jobs/17308731-lead-software-engineer?tm_job=2026-8300&amp;tm_event=view&amp;tm_company=14220", "https://tylertechcareers.ttcportals.com/jobs/17308731-lead-software-engineer?tm_job=2026-8300&amp;tm_event=view&amp;tm_company=14220")</f>
        <v/>
      </c>
      <c r="G2" t="inlineStr">
        <is>
          <t>Troy, MI, US</t>
        </is>
      </c>
      <c r="H2" s="2" t="n">
        <v>46057</v>
      </c>
      <c r="I2" t="inlineStr">
        <is>
          <t>**Description**  
Tyler Technologies is seeking a Lead Software Engineer to help build and evolve mission\-critical, cloud\-hosted public safety solutions used by first responders across the United States. This role combines hands\-on software development with technical leadership, helping guide teams building scalable, highly available services that support real\-time communication in the field.  
As a Lead Software Engineer, you will play a key role in technical decision\-making while remaining deeply involved in day\-to\-day development. You'll collaborate closely with engineers, product partners, and architects to deliver reliable, high\-quality software that makes a real impact in our communities.#### **Responsibilities**
* Lead the design and development of modern .NET Core\-based services and APIs.
* Serve as the technical leader for a development team, guiding architecture, design decisions, and best practices.
* Remain hands\-on with coding, contributing significantly to implementation, debugging, and optimization.
* Build and maintain cloud\-native solutions in AWS, focusing on scalability, availability, and security.
* Ensure high standards for code quality, testing, performance, and operational reliability.
* Mentor and support engineers, fostering technical growth and consistent engineering practices.
* Collaborate with product owners, architects, and cross\-functional teams to translate requirements into effective technical solutions.
* Participate across the full software development lifecycle, from design through deployment and support.
* Promote continuous improvement in tools, processes, and engineering standards.
#### **Qualifications**
* Bachelor's degree in Computer Science or a related technical field.
* 6\+ years of experience designing and developing production software systems.
* Strong expertise in C\# and .NET Core.
* Experience designing distributed, highly available, and scalable systems.
* Experience with relational databases such as PostgreSQL, Microsoft SQL Server, or similar; ability to design schemas and write performant queries.
* Experience with NoSQL data stores (e.g., DynamoDB or similar) is a plus.
* Experience with Agile development practices and automated testing.
* Strong communication skills and the ability to mentor engineers effectively.
* Ability to work independently while collaborating across teams and disciplines.
* **Required:** Hands\-on experience building, containerizing, and deploying applications in AWS, including production use of services such as EC2, container platforms, and CI/CD pipelines.
* Experience with container technologies such as Docker; orchestration platforms (e.g., Kubernetes) strongly preferred.</t>
        </is>
      </c>
    </row>
    <row r="3">
      <c r="A3" t="inlineStr">
        <is>
          <t>in-04ec996bc66a34c7</t>
        </is>
      </c>
      <c r="B3" t="inlineStr">
        <is>
          <t>Software Engineer I</t>
        </is>
      </c>
      <c r="C3" t="inlineStr">
        <is>
          <t>Amazon.com</t>
        </is>
      </c>
      <c r="D3" t="inlineStr">
        <is>
          <t>indeed</t>
        </is>
      </c>
      <c r="E3">
        <f>HYPERLINK("https://www.indeed.com/viewjob?jk=04ec996bc66a34c7", "https://www.indeed.com/viewjob?jk=04ec996bc66a34c7")</f>
        <v/>
      </c>
      <c r="F3">
        <f>HYPERLINK("https://www.amazon.jobs/jobs/3111761/software-engineer-i?cmpid=DA_INAD200785B", "https://www.amazon.jobs/jobs/3111761/software-engineer-i?cmpid=DA_INAD200785B")</f>
        <v/>
      </c>
      <c r="G3" t="inlineStr">
        <is>
          <t>Irvine, CA, US</t>
        </is>
      </c>
      <c r="H3" s="2" t="n">
        <v>45946</v>
      </c>
      <c r="I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1\+ years of non\-internship professional software development experience
* Experience programming with at least one software programming language
**PREFERRED QUALIFICATIONS**
----------------------------
* Bachelor's degree in computer science or equivalent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$200,000/year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4">
      <c r="A4" t="inlineStr">
        <is>
          <t>in-5019ec2a280cb890</t>
        </is>
      </c>
      <c r="B4" t="inlineStr">
        <is>
          <t>Software Engineer I</t>
        </is>
      </c>
      <c r="C4" t="inlineStr">
        <is>
          <t>Amazon.com</t>
        </is>
      </c>
      <c r="D4" t="inlineStr">
        <is>
          <t>indeed</t>
        </is>
      </c>
      <c r="E4">
        <f>HYPERLINK("https://www.indeed.com/viewjob?jk=5019ec2a280cb890", "https://www.indeed.com/viewjob?jk=5019ec2a280cb890")</f>
        <v/>
      </c>
      <c r="F4">
        <f>HYPERLINK("https://www.amazon.jobs/jobs/3111761/software-engineer-i?cmpid=DA_INAD200785B", "https://www.amazon.jobs/jobs/3111761/software-engineer-i?cmpid=DA_INAD200785B")</f>
        <v/>
      </c>
      <c r="G4" t="inlineStr">
        <is>
          <t>San Francisco, CA, US</t>
        </is>
      </c>
      <c r="H4" s="2" t="n">
        <v>45946</v>
      </c>
      <c r="I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1\+ years of non\-internship professional software development experience
* Experience programming with at least one software programming language
**PREFERRED QUALIFICATIONS**
----------------------------
* Bachelor's degree in computer science or equivalent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$200,000/year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
      <c r="A5" t="inlineStr">
        <is>
          <t>in-b76ea5d3ea3d6f8d</t>
        </is>
      </c>
      <c r="B5" t="inlineStr">
        <is>
          <t>Software Engineer II</t>
        </is>
      </c>
      <c r="C5" t="inlineStr">
        <is>
          <t>Amazon.com</t>
        </is>
      </c>
      <c r="D5" t="inlineStr">
        <is>
          <t>indeed</t>
        </is>
      </c>
      <c r="E5">
        <f>HYPERLINK("https://www.indeed.com/viewjob?jk=b76ea5d3ea3d6f8d", "https://www.indeed.com/viewjob?jk=b76ea5d3ea3d6f8d")</f>
        <v/>
      </c>
      <c r="F5">
        <f>HYPERLINK("https://www.amazon.jobs/jobs/3104730/software-engineer-ii?cmpid=DA_INAD200785B", "https://www.amazon.jobs/jobs/3104730/software-engineer-ii?cmpid=DA_INAD200785B")</f>
        <v/>
      </c>
      <c r="G5" t="inlineStr">
        <is>
          <t>San Francisco, CA, US</t>
        </is>
      </c>
      <c r="H5" s="2" t="n">
        <v>45938</v>
      </c>
      <c r="I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
      <c r="A6" t="inlineStr">
        <is>
          <t>in-d7118142e7e3400a</t>
        </is>
      </c>
      <c r="B6" t="inlineStr">
        <is>
          <t>Software Engineer II</t>
        </is>
      </c>
      <c r="C6" t="inlineStr">
        <is>
          <t>Amazon.com</t>
        </is>
      </c>
      <c r="D6" t="inlineStr">
        <is>
          <t>indeed</t>
        </is>
      </c>
      <c r="E6">
        <f>HYPERLINK("https://www.indeed.com/viewjob?jk=d7118142e7e3400a", "https://www.indeed.com/viewjob?jk=d7118142e7e3400a")</f>
        <v/>
      </c>
      <c r="F6">
        <f>HYPERLINK("https://www.amazon.jobs/jobs/3104730/software-engineer-ii?cmpid=DA_INAD200785B", "https://www.amazon.jobs/jobs/3104730/software-engineer-ii?cmpid=DA_INAD200785B")</f>
        <v/>
      </c>
      <c r="G6" t="inlineStr">
        <is>
          <t>Irvine, CA, US</t>
        </is>
      </c>
      <c r="H6" s="2" t="n">
        <v>45938</v>
      </c>
      <c r="I6"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
      <c r="A7" t="inlineStr">
        <is>
          <t>in-de27858283adfd3e</t>
        </is>
      </c>
      <c r="B7" t="inlineStr">
        <is>
          <t>Software Engineer II</t>
        </is>
      </c>
      <c r="C7" t="inlineStr">
        <is>
          <t>Amazon.com</t>
        </is>
      </c>
      <c r="D7" t="inlineStr">
        <is>
          <t>indeed</t>
        </is>
      </c>
      <c r="E7">
        <f>HYPERLINK("https://www.indeed.com/viewjob?jk=de27858283adfd3e", "https://www.indeed.com/viewjob?jk=de27858283adfd3e")</f>
        <v/>
      </c>
      <c r="F7">
        <f>HYPERLINK("https://www.amazon.jobs/jobs/3104734/software-engineer-ii?cmpid=DA_INAD200785B", "https://www.amazon.jobs/jobs/3104734/software-engineer-ii?cmpid=DA_INAD200785B")</f>
        <v/>
      </c>
      <c r="G7" t="inlineStr">
        <is>
          <t>Irvine, CA, US</t>
        </is>
      </c>
      <c r="H7" s="2" t="n">
        <v>45938</v>
      </c>
      <c r="I7"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 Experience with AWS services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
      <c r="A8" t="inlineStr">
        <is>
          <t>in-9da1d9c871919e56</t>
        </is>
      </c>
      <c r="B8" t="inlineStr">
        <is>
          <t>Software Engineer II</t>
        </is>
      </c>
      <c r="C8" t="inlineStr">
        <is>
          <t>Amazon.com</t>
        </is>
      </c>
      <c r="D8" t="inlineStr">
        <is>
          <t>indeed</t>
        </is>
      </c>
      <c r="E8">
        <f>HYPERLINK("https://www.indeed.com/viewjob?jk=9da1d9c871919e56", "https://www.indeed.com/viewjob?jk=9da1d9c871919e56")</f>
        <v/>
      </c>
      <c r="F8">
        <f>HYPERLINK("https://www.amazon.jobs/jobs/3104734/software-engineer-ii?cmpid=DA_INAD200785B", "https://www.amazon.jobs/jobs/3104734/software-engineer-ii?cmpid=DA_INAD200785B")</f>
        <v/>
      </c>
      <c r="G8" t="inlineStr">
        <is>
          <t>Culver City, CA, US</t>
        </is>
      </c>
      <c r="H8" s="2" t="n">
        <v>45938</v>
      </c>
      <c r="I8"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 Experience with AWS services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
      <c r="A9" t="inlineStr">
        <is>
          <t>in-b00afc5bb282ee7c</t>
        </is>
      </c>
      <c r="B9" t="inlineStr">
        <is>
          <t>Software Engineer II</t>
        </is>
      </c>
      <c r="C9" t="inlineStr">
        <is>
          <t>Amazon.com</t>
        </is>
      </c>
      <c r="D9" t="inlineStr">
        <is>
          <t>indeed</t>
        </is>
      </c>
      <c r="E9">
        <f>HYPERLINK("https://www.indeed.com/viewjob?jk=b00afc5bb282ee7c", "https://www.indeed.com/viewjob?jk=b00afc5bb282ee7c")</f>
        <v/>
      </c>
      <c r="F9">
        <f>HYPERLINK("https://www.amazon.jobs/jobs/3104734/software-engineer-ii?cmpid=DA_INAD200785B", "https://www.amazon.jobs/jobs/3104734/software-engineer-ii?cmpid=DA_INAD200785B")</f>
        <v/>
      </c>
      <c r="G9" t="inlineStr">
        <is>
          <t>San Francisco, CA, US</t>
        </is>
      </c>
      <c r="H9" s="2" t="n">
        <v>45938</v>
      </c>
      <c r="I9"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 Experience with AWS services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
      <c r="A10" t="inlineStr">
        <is>
          <t>in-3da0bc0734f938e3</t>
        </is>
      </c>
      <c r="B10" t="inlineStr">
        <is>
          <t>Sr Software Engineer</t>
        </is>
      </c>
      <c r="C10" t="inlineStr">
        <is>
          <t>Amazon.com</t>
        </is>
      </c>
      <c r="D10" t="inlineStr">
        <is>
          <t>indeed</t>
        </is>
      </c>
      <c r="E10">
        <f>HYPERLINK("https://www.indeed.com/viewjob?jk=3da0bc0734f938e3", "https://www.indeed.com/viewjob?jk=3da0bc0734f938e3")</f>
        <v/>
      </c>
      <c r="F10">
        <f>HYPERLINK("https://www.amazon.jobs/jobs/3090674/sr-software-engineer?cmpid=DA_INAD200785B", "https://www.amazon.jobs/jobs/3090674/sr-software-engineer?cmpid=DA_INAD200785B")</f>
        <v/>
      </c>
      <c r="G10" t="inlineStr">
        <is>
          <t>San Francisco, CA, US</t>
        </is>
      </c>
      <c r="H10" s="2" t="n">
        <v>45921</v>
      </c>
      <c r="I10"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a Senior Software Development Engineer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Serve as a technical leader for the Video Platform team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5\+ years of professional software development or equivalent expertise.
* B.A. or B.S. in Computer Science or a related discipline, or equivalent years of experience
* Experience building backend services at scale with technologies such as Golang and AWS
* Experience serving as a technical leader of a team of software engineers
**PREFERRED QUALIFICATIONS**
----------------------------
* Familiarity with video delivery concepts and systems
* Familiarity with AWS’ Interactive Video Service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1">
      <c r="A11" t="inlineStr">
        <is>
          <t>in-bbef87707e1ab7d6</t>
        </is>
      </c>
      <c r="B11" t="inlineStr">
        <is>
          <t>Software Engineer II</t>
        </is>
      </c>
      <c r="C11" t="inlineStr">
        <is>
          <t>Amazon.com</t>
        </is>
      </c>
      <c r="D11" t="inlineStr">
        <is>
          <t>indeed</t>
        </is>
      </c>
      <c r="E11">
        <f>HYPERLINK("https://www.indeed.com/viewjob?jk=bbef87707e1ab7d6", "https://www.indeed.com/viewjob?jk=bbef87707e1ab7d6")</f>
        <v/>
      </c>
      <c r="F11">
        <f>HYPERLINK("https://www.amazon.jobs/jobs/3090680/software-engineer-ii?cmpid=DA_INAD200785B", "https://www.amazon.jobs/jobs/3090680/software-engineer-ii?cmpid=DA_INAD200785B")</f>
        <v/>
      </c>
      <c r="G11" t="inlineStr">
        <is>
          <t>San Francisco, CA, US</t>
        </is>
      </c>
      <c r="H11" s="2" t="n">
        <v>45921</v>
      </c>
      <c r="I11"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professional software development or equivalent expertise
* B.A. or B.S. in Computer Science or a related discipline, or equivalent years of experience
* Experience building backend services at scale with technologies such as Golang and AWS.
**PREFERRED QUALIFICATIONS**
----------------------------
* Familiarity with video delivery concepts and systems
* Familiarity with AWS’ Interactive Video Service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2">
      <c r="A12" t="inlineStr">
        <is>
          <t>in-90cf33626c367c82</t>
        </is>
      </c>
      <c r="B12" t="inlineStr">
        <is>
          <t>Sr Software Engineer</t>
        </is>
      </c>
      <c r="C12" t="inlineStr">
        <is>
          <t>Amazon.com</t>
        </is>
      </c>
      <c r="D12" t="inlineStr">
        <is>
          <t>indeed</t>
        </is>
      </c>
      <c r="E12">
        <f>HYPERLINK("https://www.indeed.com/viewjob?jk=90cf33626c367c82", "https://www.indeed.com/viewjob?jk=90cf33626c367c82")</f>
        <v/>
      </c>
      <c r="F12">
        <f>HYPERLINK("https://www.amazon.jobs/jobs/3090674/sr-software-engineer?cmpid=DA_INAD200785B", "https://www.amazon.jobs/jobs/3090674/sr-software-engineer?cmpid=DA_INAD200785B")</f>
        <v/>
      </c>
      <c r="G12" t="inlineStr">
        <is>
          <t>Irvine, CA, US</t>
        </is>
      </c>
      <c r="H12" s="2" t="n">
        <v>45921</v>
      </c>
      <c r="I12"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a Senior Software Development Engineer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Serve as a technical leader for the Video Platform team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5\+ years of professional software development or equivalent expertise.
* B.A. or B.S. in Computer Science or a related discipline, or equivalent years of experience
* Experience building backend services at scale with technologies such as Golang and AWS
* Experience serving as a technical leader of a team of software engineers
**PREFERRED QUALIFICATIONS**
----------------------------
* Familiarity with video delivery concepts and systems
* Familiarity with AWS’ Interactive Video Service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3">
      <c r="A13" t="inlineStr">
        <is>
          <t>in-5a0f4e4196feaaf4</t>
        </is>
      </c>
      <c r="B13" t="inlineStr">
        <is>
          <t>Software Engineer II</t>
        </is>
      </c>
      <c r="C13" t="inlineStr">
        <is>
          <t>Amazon.com</t>
        </is>
      </c>
      <c r="D13" t="inlineStr">
        <is>
          <t>indeed</t>
        </is>
      </c>
      <c r="E13">
        <f>HYPERLINK("https://www.indeed.com/viewjob?jk=5a0f4e4196feaaf4", "https://www.indeed.com/viewjob?jk=5a0f4e4196feaaf4")</f>
        <v/>
      </c>
      <c r="F13">
        <f>HYPERLINK("https://www.amazon.jobs/jobs/3090680/software-engineer-ii?cmpid=DA_INAD200785B", "https://www.amazon.jobs/jobs/3090680/software-engineer-ii?cmpid=DA_INAD200785B")</f>
        <v/>
      </c>
      <c r="G13" t="inlineStr">
        <is>
          <t>Irvine, CA, US</t>
        </is>
      </c>
      <c r="H13" s="2" t="n">
        <v>45921</v>
      </c>
      <c r="I1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seeking Software Development Engineers to join our Video Platform team. This team is responsible for building and maintaining the systems that ensure that Twitch can deliver the best possible video experience to Viewers and Creators. You will be part of a larger team of Software Developers and partner with Product Managers, Technical Program Managers and other engineering teams from across the business.
You Will:  
* Build and maintain the services that power Twitch’s video platform
* Mentor and develop other engineers on the Video Platform team and other teams at Twitch
* Collaborate effectively with Product Managers, Program Managers and other engineering teams at Twitch
* Contribute positively to Twitch’s engineering culture
Perks  
* Medical, Dental, Vision \&amp; Disability Insurance
* 401(k)
* Maternity \&amp; Parental Leave
* Flexible PTO
* Amazon Employee Discount
**BASIC QUALIFICATIONS**
------------------------
* 3\+ years of professional software development or equivalent expertise
* B.A. or B.S. in Computer Science or a related discipline, or equivalent years of experience
* Experience building backend services at scale with technologies such as Golang and AWS.
**PREFERRED QUALIFICATIONS**
----------------------------
* Familiarity with video delivery concepts and systems
* Familiarity with AWS’ Interactive Video Service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4">
      <c r="A14" t="inlineStr">
        <is>
          <t>in-318b1029f333c293</t>
        </is>
      </c>
      <c r="B14" t="inlineStr">
        <is>
          <t>Software Engineer I- Ad Demand</t>
        </is>
      </c>
      <c r="C14" t="inlineStr">
        <is>
          <t>Amazon.com</t>
        </is>
      </c>
      <c r="D14" t="inlineStr">
        <is>
          <t>indeed</t>
        </is>
      </c>
      <c r="E14">
        <f>HYPERLINK("https://www.indeed.com/viewjob?jk=318b1029f333c293", "https://www.indeed.com/viewjob?jk=318b1029f333c293")</f>
        <v/>
      </c>
      <c r="F14">
        <f>HYPERLINK("https://www.amazon.jobs/jobs/3082168/software-engineer-i-ad-demand?cmpid=DA_INAD200785B", "https://www.amazon.jobs/jobs/3082168/software-engineer-i-ad-demand?cmpid=DA_INAD200785B")</f>
        <v/>
      </c>
      <c r="G14" t="inlineStr">
        <is>
          <t>New York, NY, US</t>
        </is>
      </c>
      <c r="H14" s="2" t="n">
        <v>45908</v>
      </c>
      <c r="I1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Ads team manages a comprehensive advertising ecosystem that balances revenue generation with user and advertiser satisfaction. We deliver promotional content through multiple channels while maintaining seamless experiences for viewers, creators and advertisers. Our team is responsible for driving up Ad Supply quality for Twitch and enabling Ad Demand via various domains including Ads Targeting, Brand Safety\&amp;Suitability, Measurement, Privacy and Ads Data Platform. These critical technical solutions drive essential business operations and enable trustworthy products for advertisers that are measurable and targetable.
You will become an expert across the breadth of services powering these products \- architecting, building, and operating them and working closely with the engineers within the Twitch Ads and Amazon Ads orgs. You will be empowered to work across the stack, and will partner with other engineers, product managers, designers, and data analysts to deliver solutions.  
This position is in San Francisco, CA.  
You Will  
* Work with product managers, technical leads, and other engineers to design, develop, launch, and operate interactive experiences and products
* Build distributed applications at scale
\- Collaborate with both your team and related teams \- fostering shared understanding of how to solve problems and deliver solutions
* Work backwards from customer problems to drive business impact
Perks  
* Medical, Dental, Vision \&amp; Disability Insurance
* 401(k)
* Maternity \&amp; Parental Leave
* Flexible PTO
* Amazon Employee Discount
**BASIC QUALIFICATIONS**
------------------------
* 1\+ Years experience developing software in a professional environment
* Prior experience building consumer\-facing products at scale
* Proficient coding skills in modern languages and frameworks
* Proven ability with algorithms, data structures, data modeling, and schema design
* Minimum of Bachelor’s degree in Computer Science or equivalent experience
**PREFERRED QUALIFICATIONS**
----------------------------
* Experience with languages/frameworks we use at Twitch: Golang, Typescript/React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$200,000/year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5">
      <c r="A15" t="inlineStr">
        <is>
          <t>in-246fc11f37ff3352</t>
        </is>
      </c>
      <c r="B15" t="inlineStr">
        <is>
          <t>Software Engineer I- Ad Demand</t>
        </is>
      </c>
      <c r="C15" t="inlineStr">
        <is>
          <t>Amazon.com</t>
        </is>
      </c>
      <c r="D15" t="inlineStr">
        <is>
          <t>indeed</t>
        </is>
      </c>
      <c r="E15">
        <f>HYPERLINK("https://www.indeed.com/viewjob?jk=246fc11f37ff3352", "https://www.indeed.com/viewjob?jk=246fc11f37ff3352")</f>
        <v/>
      </c>
      <c r="F15">
        <f>HYPERLINK("https://www.amazon.jobs/jobs/3082168/software-engineer-i-ad-demand?cmpid=DA_INAD200785B", "https://www.amazon.jobs/jobs/3082168/software-engineer-i-ad-demand?cmpid=DA_INAD200785B")</f>
        <v/>
      </c>
      <c r="G15" t="inlineStr">
        <is>
          <t>San Francisco, CA, US</t>
        </is>
      </c>
      <c r="H15" s="2" t="n">
        <v>45908</v>
      </c>
      <c r="I1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Twitch Ads team manages a comprehensive advertising ecosystem that balances revenue generation with user and advertiser satisfaction. We deliver promotional content through multiple channels while maintaining seamless experiences for viewers, creators and advertisers. Our team is responsible for driving up Ad Supply quality for Twitch and enabling Ad Demand via various domains including Ads Targeting, Brand Safety\&amp;Suitability, Measurement, Privacy and Ads Data Platform. These critical technical solutions drive essential business operations and enable trustworthy products for advertisers that are measurable and targetable.
You will become an expert across the breadth of services powering these products \- architecting, building, and operating them and working closely with the engineers within the Twitch Ads and Amazon Ads orgs. You will be empowered to work across the stack, and will partner with other engineers, product managers, designers, and data analysts to deliver solutions.  
This position is in San Francisco, CA.  
You Will  
* Work with product managers, technical leads, and other engineers to design, develop, launch, and operate interactive experiences and products
* Build distributed applications at scale
\- Collaborate with both your team and related teams \- fostering shared understanding of how to solve problems and deliver solutions
* Work backwards from customer problems to drive business impact
Perks  
* Medical, Dental, Vision \&amp; Disability Insurance
* 401(k)
* Maternity \&amp; Parental Leave
* Flexible PTO
* Amazon Employee Discount
**BASIC QUALIFICATIONS**
------------------------
* 1\+ Years experience developing software in a professional environment
* Prior experience building consumer\-facing products at scale
* Proficient coding skills in modern languages and frameworks
* Proven ability with algorithms, data structures, data modeling, and schema design
* Minimum of Bachelor’s degree in Computer Science or equivalent experience
**PREFERRED QUALIFICATIONS**
----------------------------
* Experience with languages/frameworks we use at Twitch: Golang, Typescript/React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$200,000/year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6">
      <c r="A16" t="inlineStr">
        <is>
          <t>in-be88b3f5aabfbee2</t>
        </is>
      </c>
      <c r="B16" t="inlineStr">
        <is>
          <t>Digital Software Engineer Sr Manager</t>
        </is>
      </c>
      <c r="C16" t="inlineStr">
        <is>
          <t>Citi</t>
        </is>
      </c>
      <c r="D16" t="inlineStr">
        <is>
          <t>indeed</t>
        </is>
      </c>
      <c r="E16">
        <f>HYPERLINK("https://www.indeed.com/viewjob?jk=be88b3f5aabfbee2", "https://www.indeed.com/viewjob?jk=be88b3f5aabfbee2")</f>
        <v/>
      </c>
      <c r="F16">
        <f>HYPERLINK("https://jobs.citi.com/job/-/-/287/91403666304", "https://jobs.citi.com/job/-/-/287/91403666304")</f>
        <v/>
      </c>
      <c r="G16" t="inlineStr">
        <is>
          <t>Tampa, FL, US</t>
        </is>
      </c>
      <c r="H16" s="2" t="n">
        <v>46057</v>
      </c>
      <c r="I16" t="inlineStr">
        <is>
          <t>Citibank, N.A. seeks a Digital Software Engineer Sr Manager for its Tampa, Florida location.
Duties: Design and implement Ab Initio solutions for real\-time high performance requirements. Enhance firm’s search engine for improved matching, money laundering alert generation and Ab Initio integration. Conduct Ab Initio performance tuning, capacity planning, environment management and administration. Use Oracle SQL and Unix shell scripting for data analysis, data processing, job scheduling and data storage. Utilize GitHub and Jenkins for code version control and code deployment. Track Ab Initio processes to find out CPU, Memory, Input, output utilization and suggest methods for optimization. Implement continuous graphs with proper checkpoint. Develop technical processes for Auditing, data governance, data scalability and high availability using Ab Initio and SQL and monitor the production systems. Co\-ordinate with all stakeholders for business continuity. Partner with management teams to ensure appropriate integration of functions to meet goals and identify and define necessary system enhancements to deploy new products and process improvements. Define architecture, design, and recommend infrastructures. Apply internal standard re\-use, architecture, testing, and general best practices in order to implement and enhance screening engine for latency and throughput need of application. Responsible for the full software Development Lifecycle. Perform code reviews and test case reviews. Utilize Ab Initio Technologies including continuous flow, icff file system to enhance and optimize and accommodate the additional data volume for the new business onboarding. A telecommuting/hybrid work schedule may be permitted within a commutable distance from the worksite, in accordance with Citi policies and protocols.
Requirements: Requires a Bachelor’s degree or foreign equivalent in Computer Science, Engineering (any) or related field and 5 years of progressively responsible, post\-baccalaureate experience as an Application Development Tech Analyst, Data Engineer, Technology Specialist or related position involving technical design and development of software applications. 5 years of experience must include: Ab Initio Graphical Development Environment; Ab initio Control Center; Oracle SQL; Ab Initio Continuous graphs; Unix Shell scripting; and GitHub, Jenkins. Applicants submit resumes at https://jobs.citi.com/. Please reference Job ID \#25920484\. EO Employer.
Wage Range: $157,500 to $172,300
Job Family Group: Technology
Job Family: Digital Software Engineering
\-
**Job Family Group:**
\-
**Job Family:**
\-
**Time Type:**
Full time
\-
**Primary Location:**
Tampa Florida United States
\-
**Primary Location Full Time Salary Range:**
In addition to salary, Citi’s offerings may also include, for eligible employees, discretionary and formulaic incentive and retention awards. Citi offers competitive employee benefits, including: medical, dental \&amp; vision coverage; 401(k); life, accident, and disability insurance; and wellness programs. Citi also offers paid time off packages, including planned time off (vacation), unplanned time off (sick leave), and paid holidays. For additional information regarding Citi employee benefits, please visit citibenefits.com. Available offerings may vary by jurisdiction, job level, and date of hire.
\-
**Most Relevant Skills**
Please see the requirements listed above.
\-
**Other Relevant Skills**
For complementary skills, please see above and/or contact the recruiter.
\-
**Anticipated Posting Close Date:**
Mar 24, 2026
\-
*Citi is an equal opportunity employer, and qualified candidates will receive consideration without regard to their race, color, religion, sex, sexual orientation, gender identity, national origin, disability, status as a protected veteran, or any other characteristic protected by law.*
 *If you are a person with a disability and need a reasonable accommodation to use our search tools and/or apply for a career opportunity review* *Accessibility at Citi**.*  
*View Citi’s* *EEO Policy Statement* *and the* *Know Your Rights* *poster.*</t>
        </is>
      </c>
    </row>
    <row r="17">
      <c r="A17" t="inlineStr">
        <is>
          <t>in-3b29d86d04748108</t>
        </is>
      </c>
      <c r="B17" t="inlineStr">
        <is>
          <t>Senior Software Developer Engineer, AWS Compliance &amp; Security Assurance</t>
        </is>
      </c>
      <c r="C17" t="inlineStr">
        <is>
          <t>Amazon.com</t>
        </is>
      </c>
      <c r="D17" t="inlineStr">
        <is>
          <t>indeed</t>
        </is>
      </c>
      <c r="E17">
        <f>HYPERLINK("https://www.indeed.com/viewjob?jk=3b29d86d04748108", "https://www.indeed.com/viewjob?jk=3b29d86d04748108")</f>
        <v/>
      </c>
      <c r="F17">
        <f>HYPERLINK("https://www.amazon.jobs/jobs/3175344/senior-software-developer-engineer-aws-compliance--security-assurance?cmpid=DA_INAD200785B", "https://www.amazon.jobs/jobs/3175344/senior-software-developer-engineer-aws-compliance--security-assurance?cmpid=DA_INAD200785B")</f>
        <v/>
      </c>
      <c r="G17" t="inlineStr">
        <is>
          <t>Seattle, WA, US</t>
        </is>
      </c>
      <c r="H17" s="2" t="n">
        <v>46051</v>
      </c>
      <c r="I17" t="inlineStr">
        <is>
          <t>**DESCRIPTION**
---------------
The AWS Compliance \&amp; Security Assurance Engineering team is in the business of building customer trust. We are responsible for scaling AWS's ability to exceed the security and compliance expectations of our regulators, auditors, and customers globally. We design and build services that stand up to the scrutiny of external regulators and inspection by AWS's most security\-sensitive customers. We leverage Generative AI, to enhance our security and compliance capabilities. We are a multidisciplinary team comprising software engineers, security engineers, technical product/program managers, data engineers, and compliance specialists. If you are looking for an opportunity to think big, invent, experiment, build, and have a material impact on cloud security and compliance, this is it.  
As a Senior Software Engineer on our team, you will influence projects or initiatives that span across multiple products and/or teams. You will build and own internal services that identify and monitor security/compliance\-relevant attributes of key infrastructure. A key focus will be implementing Generative AI solutions to automate and scale our audit execution workflows, making the process more efficient and consistent. You will streamline and scale execution of security and compliance audits/examinations of AWS services, and expand our ability to continuously monitor key security functions. You will demonstrate a high bar for engineering excellence, lead the technical strategy, and provide technical advisory for adjacent teams. You will write code that works at Amazon scale, mentor SDEs, contribute to solving complex engineering problems as well as business problems, and understand and improve our agile processes to help us evolve a vision of compliance and security at AWS.  
Key job responsibilities  
In this role you will:  
* Design and implement agentic AI\-based solutions that automate complex workflows and improve the efficiency of manually intensive operations, transforming how we handle compliance and security processes.
* Write high\-quality code with thorough test coverage as you mentor other developers so they can learn from your CRs.
* Find out what it takes to engineer systems for "Amazon Scale".
* Realize that making software work is just the start and you value talking about cattle\-vs\-pets, continuous resiliency and capacity testing.
* Truly care about designing highly available, secure, distributed systems of microservices, then you will make them even better by consulting with peers and technical leaders.
* Work on Agile projects that have high visibility while making continuous improvements to planning, design, implementation, testing, and operations processes.
* Have full ownership and operate the systems that you build based on real\-time customer data and demanding service\-level agreements.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achieve.**BASIC QUALIFICATIONS**
------------------------
* Bachelor's degree in computer science or equivalent
* 7\+ years of non\-internship professional software development experience
* 7\+ years of programming with at least one software programming language experience
* 7\+ years of full software development life cycle, including coding standards, code reviews, source control management, build processes, testing, and operations experience
* 5\+ years of leading design or architecture (design patterns, reliability and scaling) of new and existing systems experience
* Experience as a mentor, tech lead or leading an engineering team
**PREFERRED QUALIFICATIONS**
----------------------------
* Master's degree in computer science or equivalent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Seattle \- 168,100\.00 \- 227,400\.00 USD annually</t>
        </is>
      </c>
    </row>
    <row r="18">
      <c r="A18" t="inlineStr">
        <is>
          <t>in-14ed46048289df4d</t>
        </is>
      </c>
      <c r="B18" t="inlineStr">
        <is>
          <t>Senior Software Engineer, Twitch</t>
        </is>
      </c>
      <c r="C18" t="inlineStr">
        <is>
          <t>Amazon.com</t>
        </is>
      </c>
      <c r="D18" t="inlineStr">
        <is>
          <t>indeed</t>
        </is>
      </c>
      <c r="E18">
        <f>HYPERLINK("https://www.indeed.com/viewjob?jk=14ed46048289df4d", "https://www.indeed.com/viewjob?jk=14ed46048289df4d")</f>
        <v/>
      </c>
      <c r="F18">
        <f>HYPERLINK("https://www.amazon.jobs/jobs/3138042/senior-software-engineer-twitch?cmpid=DA_INAD200785B", "https://www.amazon.jobs/jobs/3138042/senior-software-engineer-twitch?cmpid=DA_INAD200785B")</f>
        <v/>
      </c>
      <c r="G18" t="inlineStr">
        <is>
          <t>San Francisco, CA, US</t>
        </is>
      </c>
      <c r="H18" s="2" t="n">
        <v>45995</v>
      </c>
      <c r="I18" t="inlineStr">
        <is>
          <t>**DESCRIPTION**
---------------
Twitch is the world’s biggest live streaming service, with global communities built around gaming, entertainment, music, sports, cooking, and more. It is where thousands of communities come together for whatever, every day.  
IVS is building the future of interactive video and we are seeking a Data Infrastructure Engineer to design, build, and maintain the systems that power our data\-driven organization. In this role, you will ensure that our data pipelines, storage, and processing systems are reliable, scalable, and optimized for analytics, machine learning, and business intelligence use cases. You will collaborate with data engineers, analysts, and software teams to create infrastructure that enables efficient and secure access to high\-quality data.  
Key job responsibilities  
* Design, implement, and maintain scalable data infrastructure in AWS cloud
* Build and optimize data pipelines (batch and streaming) to support analytics, reporting, and ML workloads.
* Ensure data quality, reliability, and observability through monitoring, logging, and automated alerting.
* Work closely with data engineering and analytics teams to understand requirements and deliver high\-performance solutions.
* Champion best practices for security, compliance, and governance in data infrastructure.
* Identify opportunities to optimize performance and cost of data platforms.
* Stay current with emerging tools, frameworks, and cloud services in the data infrastructure ecosystem.
A day in the life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team  
Our Video Team is the backbone of Twitch. Twitch processes a massive amount of live video channels and distributes them using the largest dedicated live video CDN in the world, delivering over 25Tbps to more than 5MM concurrent viewers. In addition to serving Twitch traffic, our video platform is offered as Amazon Interactive Video Service, an AWS service that allows creation of live video streaming with only a few lines of code. Engineers with our Video Team work across areas including ingest, transcoding, and distribution with the lowest latency high\-scale HLS distribution system in the world.**BASIC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6\+ years of hands\-on infrastructure, troubleshooting, systems administration, networking, DevOps or applications development experience
* Strong hands\-on expertise with cloud platforms
* Proficiency in data pipeline tools (e.g., Airflow, dbt, AWS Glue, Flink).
* Experience with data storage technologies (e.g., Redshift, Snowflake, BigQuery, Delta Lake, Iceberg, Parquet).
* Proficiency in GO, SQL, and Python for building and maintaining data systems.
* Solid understanding of distributed systems and performance optimization.
**PREFERRED QUALIFICATIONS**
----------------------------
* Experience with real\-time data streaming and event\-driven architectures.
* Strong hands\-on expertise with AWS cloud
* Background in observability and monitoring
* Knowledge of data governance, security, and compliance best practices
* Prior experience supporting machine learning or advanced analytics environments.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9">
      <c r="A19" t="inlineStr">
        <is>
          <t>in-402fd2c9a9d76a69</t>
        </is>
      </c>
      <c r="B19" t="inlineStr">
        <is>
          <t>Senior Software Engineer, Twitch</t>
        </is>
      </c>
      <c r="C19" t="inlineStr">
        <is>
          <t>Amazon.com</t>
        </is>
      </c>
      <c r="D19" t="inlineStr">
        <is>
          <t>indeed</t>
        </is>
      </c>
      <c r="E19">
        <f>HYPERLINK("https://www.indeed.com/viewjob?jk=402fd2c9a9d76a69", "https://www.indeed.com/viewjob?jk=402fd2c9a9d76a69")</f>
        <v/>
      </c>
      <c r="F19">
        <f>HYPERLINK("https://www.amazon.jobs/jobs/3138042/senior-software-engineer-twitch?cmpid=DA_INAD200785B", "https://www.amazon.jobs/jobs/3138042/senior-software-engineer-twitch?cmpid=DA_INAD200785B")</f>
        <v/>
      </c>
      <c r="G19" t="inlineStr">
        <is>
          <t>Seattle, WA, US</t>
        </is>
      </c>
      <c r="H19" s="2" t="n">
        <v>45995</v>
      </c>
      <c r="I19" t="inlineStr">
        <is>
          <t>**DESCRIPTION**
---------------
Twitch is the world’s biggest live streaming service, with global communities built around gaming, entertainment, music, sports, cooking, and more. It is where thousands of communities come together for whatever, every day.  
IVS is building the future of interactive video and we are seeking a Data Infrastructure Engineer to design, build, and maintain the systems that power our data\-driven organization. In this role, you will ensure that our data pipelines, storage, and processing systems are reliable, scalable, and optimized for analytics, machine learning, and business intelligence use cases. You will collaborate with data engineers, analysts, and software teams to create infrastructure that enables efficient and secure access to high\-quality data.  
Key job responsibilities  
* Design, implement, and maintain scalable data infrastructure in AWS cloud
* Build and optimize data pipelines (batch and streaming) to support analytics, reporting, and ML workloads.
* Ensure data quality, reliability, and observability through monitoring, logging, and automated alerting.
* Work closely with data engineering and analytics teams to understand requirements and deliver high\-performance solutions.
* Champion best practices for security, compliance, and governance in data infrastructure.
* Identify opportunities to optimize performance and cost of data platforms.
* Stay current with emerging tools, frameworks, and cloud services in the data infrastructure ecosystem.
A day in the life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team  
Our Video Team is the backbone of Twitch. Twitch processes a massive amount of live video channels and distributes them using the largest dedicated live video CDN in the world, delivering over 25Tbps to more than 5MM concurrent viewers. In addition to serving Twitch traffic, our video platform is offered as Amazon Interactive Video Service, an AWS service that allows creation of live video streaming with only a few lines of code. Engineers with our Video Team work across areas including ingest, transcoding, and distribution with the lowest latency high\-scale HLS distribution system in the world.**BASIC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6\+ years of hands\-on infrastructure, troubleshooting, systems administration, networking, DevOps or applications development experience
* Strong hands\-on expertise with cloud platforms
* Proficiency in data pipeline tools (e.g., Airflow, dbt, AWS Glue, Flink).
* Experience with data storage technologies (e.g., Redshift, Snowflake, BigQuery, Delta Lake, Iceberg, Parquet).
* Proficiency in GO, SQL, and Python for building and maintaining data systems.
* Solid understanding of distributed systems and performance optimization.
**PREFERRED QUALIFICATIONS**
----------------------------
* Experience with real\-time data streaming and event\-driven architectures.
* Strong hands\-on expertise with AWS cloud
* Background in observability and monitoring
* Knowledge of data governance, security, and compliance best practices
* Prior experience supporting machine learning or advanced analytics environments.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0">
      <c r="A20" t="inlineStr">
        <is>
          <t>in-3a3be666af1d19a7</t>
        </is>
      </c>
      <c r="B20" t="inlineStr">
        <is>
          <t>Sr. Software Engineer, Manager</t>
        </is>
      </c>
      <c r="C20" t="inlineStr">
        <is>
          <t>Amazon.com</t>
        </is>
      </c>
      <c r="D20" t="inlineStr">
        <is>
          <t>indeed</t>
        </is>
      </c>
      <c r="E20">
        <f>HYPERLINK("https://www.indeed.com/viewjob?jk=3a3be666af1d19a7", "https://www.indeed.com/viewjob?jk=3a3be666af1d19a7")</f>
        <v/>
      </c>
      <c r="F20">
        <f>HYPERLINK("https://www.amazon.jobs/jobs/3144309/sr-software-engineer-manager?cmpid=DA_INAD200785B", "https://www.amazon.jobs/jobs/3144309/sr-software-engineer-manager?cmpid=DA_INAD200785B")</f>
        <v/>
      </c>
      <c r="G20" t="inlineStr">
        <is>
          <t>Irvine, CA, US</t>
        </is>
      </c>
      <c r="H20" s="2" t="n">
        <v>46006</v>
      </c>
      <c r="I20"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As an Engineering Manager on the Community Discovery team, you will lead one of three engineering teams working collaboratively to build innovative discovery experiences on Twitch. You'll partner closely with an applied science team to integrate cutting\-edge algorithms into production systems that directly impact millions of daily active users.  
In this role, you'll oversee the development of software and services that power critical discovery features including recommendations, search, feed ranking, and notification relevance—helping creators connect with their audiences and viewers discover content they love.  
You can work from Twitch’s headquarters in San Francisco, CA; or from one of our hub locations in Seattle, WA; Irvine, CA; Los Angeles, CA or New York City, NY.
You Will  
* Build the systems that provide the critical connection between viewers and creators within the Twitch ecosystem
* Design and run consumer\-scale services powering recommendations, ranking, and search results for tens of millions of users a day
* Power and enable ML applications at scale
* Partner with applied scientists and other engineering teams to design ML\-powered systems that effectively solve customer problems
* Drive the professional growth and career advancement of team members through structured development planning, mentorship, and strategic talent management
* While driving the most prominent scenarios directly, you’ll also partner with stakeholders across the company integrating recommendations into their product features
Perks  
* Medical, Dental, Vision \&amp; Disability Insurance
* 401(k)
* Maternity \&amp; Parental Leave
* Flexible PTO
* Amazon Employee Discount
**BASIC QUALIFICATIONS**
------------------------
* 5\+ years of software development experience
* BA/BS in computer science or equivalent industry experience
* 3\+ years of experience as software engineering manager
* Development experience in one or more general purpose programming languages such as: Golang, Python, C/C\+\+, Java
* Experience designing or architecting (design patterns, reliability, and scalability) of new and existing systems
* Proven ability to identify user needs and deliver customer\-centric product solutions
* Experience developing and running large\-scale consumer services
**PREFERRED QUALIFICATIONS**
----------------------------
* Familiarity in the AWS ecosystem of service
* Experience utilizing Agile development methodologies
* Experience building or partnering to build ML\-driven products (highly desirable)
* Experience working with logging and both offline and online data pipelines
* Experience in hiring, mentoring/coaching and managing teams of software engineers
* Experience with full\-stack or front\-end development
* Familiarity with Twitch, either as a viewer or creator (or both!)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\- 184,900\.00 \- 250,200\.00 USD annually  
USA, CA, Irvine \- 184,900\.00 \- 250,200\.00 USD annually  
USA, CA, San Francisco \- 212,700\.00 \- 287,700\.00 USD annually  
USA, NY, New York \- 203,400\.00 \- 275,200\.00 USD annually  
USA, WA, SEATTLE \- 184,900\.00 \- 250,200\.00 USD annually  
USA, WA, Seattle \- 184,900\.00 \- 250,200\.00 USD annually</t>
        </is>
      </c>
    </row>
    <row r="21">
      <c r="A21" t="inlineStr">
        <is>
          <t>in-90eb2b2349def2ce</t>
        </is>
      </c>
      <c r="B21" t="inlineStr">
        <is>
          <t>Sr. Software Engineer, Manager</t>
        </is>
      </c>
      <c r="C21" t="inlineStr">
        <is>
          <t>Amazon.com</t>
        </is>
      </c>
      <c r="D21" t="inlineStr">
        <is>
          <t>indeed</t>
        </is>
      </c>
      <c r="E21">
        <f>HYPERLINK("https://www.indeed.com/viewjob?jk=90eb2b2349def2ce", "https://www.indeed.com/viewjob?jk=90eb2b2349def2ce")</f>
        <v/>
      </c>
      <c r="F21">
        <f>HYPERLINK("https://www.amazon.jobs/jobs/3144309/sr-software-engineer-manager?cmpid=DA_INAD200785B", "https://www.amazon.jobs/jobs/3144309/sr-software-engineer-manager?cmpid=DA_INAD200785B")</f>
        <v/>
      </c>
      <c r="G21" t="inlineStr">
        <is>
          <t>Culver City, CA, US</t>
        </is>
      </c>
      <c r="H21" s="2" t="n">
        <v>46006</v>
      </c>
      <c r="I21"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As an Engineering Manager on the Community Discovery team, you will lead one of three engineering teams working collaboratively to build innovative discovery experiences on Twitch. You'll partner closely with an applied science team to integrate cutting\-edge algorithms into production systems that directly impact millions of daily active users.  
In this role, you'll oversee the development of software and services that power critical discovery features including recommendations, search, feed ranking, and notification relevance—helping creators connect with their audiences and viewers discover content they love.  
You can work from Twitch’s headquarters in San Francisco, CA; or from one of our hub locations in Seattle, WA; Irvine, CA; Los Angeles, CA or New York City, NY.
You Will  
* Build the systems that provide the critical connection between viewers and creators within the Twitch ecosystem
* Design and run consumer\-scale services powering recommendations, ranking, and search results for tens of millions of users a day
* Power and enable ML applications at scale
* Partner with applied scientists and other engineering teams to design ML\-powered systems that effectively solve customer problems
* Drive the professional growth and career advancement of team members through structured development planning, mentorship, and strategic talent management
* While driving the most prominent scenarios directly, you’ll also partner with stakeholders across the company integrating recommendations into their product features
Perks  
* Medical, Dental, Vision \&amp; Disability Insurance
* 401(k)
* Maternity \&amp; Parental Leave
* Flexible PTO
* Amazon Employee Discount
**BASIC QUALIFICATIONS**
------------------------
* 5\+ years of software development experience
* BA/BS in computer science or equivalent industry experience
* 3\+ years of experience as software engineering manager
* Development experience in one or more general purpose programming languages such as: Golang, Python, C/C\+\+, Java
* Experience designing or architecting (design patterns, reliability, and scalability) of new and existing systems
* Proven ability to identify user needs and deliver customer\-centric product solutions
* Experience developing and running large\-scale consumer services
**PREFERRED QUALIFICATIONS**
----------------------------
* Familiarity in the AWS ecosystem of service
* Experience utilizing Agile development methodologies
* Experience building or partnering to build ML\-driven products (highly desirable)
* Experience working with logging and both offline and online data pipelines
* Experience in hiring, mentoring/coaching and managing teams of software engineers
* Experience with full\-stack or front\-end development
* Familiarity with Twitch, either as a viewer or creator (or both!)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\- 184,900\.00 \- 250,200\.00 USD annually  
USA, CA, Irvine \- 184,900\.00 \- 250,200\.00 USD annually  
USA, CA, San Francisco \- 212,700\.00 \- 287,700\.00 USD annually  
USA, NY, New York \- 203,400\.00 \- 275,200\.00 USD annually  
USA, WA, SEATTLE \- 184,900\.00 \- 250,200\.00 USD annually  
USA, WA, Seattle \- 184,900\.00 \- 250,200\.00 USD annually</t>
        </is>
      </c>
    </row>
    <row r="22">
      <c r="A22" t="inlineStr">
        <is>
          <t>in-8c86096bf599b7f0</t>
        </is>
      </c>
      <c r="B22" t="inlineStr">
        <is>
          <t>Sr. Software Engineer, Manager</t>
        </is>
      </c>
      <c r="C22" t="inlineStr">
        <is>
          <t>Amazon.com</t>
        </is>
      </c>
      <c r="D22" t="inlineStr">
        <is>
          <t>indeed</t>
        </is>
      </c>
      <c r="E22">
        <f>HYPERLINK("https://www.indeed.com/viewjob?jk=8c86096bf599b7f0", "https://www.indeed.com/viewjob?jk=8c86096bf599b7f0")</f>
        <v/>
      </c>
      <c r="F22">
        <f>HYPERLINK("https://www.amazon.jobs/jobs/3144309/sr-software-engineer-manager?cmpid=DA_INAD200785B", "https://www.amazon.jobs/jobs/3144309/sr-software-engineer-manager?cmpid=DA_INAD200785B")</f>
        <v/>
      </c>
      <c r="G22" t="inlineStr">
        <is>
          <t>New York, NY, US</t>
        </is>
      </c>
      <c r="H22" s="2" t="n">
        <v>46006</v>
      </c>
      <c r="I22"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As an Engineering Manager on the Community Discovery team, you will lead one of three engineering teams working collaboratively to build innovative discovery experiences on Twitch. You'll partner closely with an applied science team to integrate cutting\-edge algorithms into production systems that directly impact millions of daily active users.  
In this role, you'll oversee the development of software and services that power critical discovery features including recommendations, search, feed ranking, and notification relevance—helping creators connect with their audiences and viewers discover content they love.  
You can work from Twitch’s headquarters in San Francisco, CA; or from one of our hub locations in Seattle, WA; Irvine, CA; Los Angeles, CA or New York City, NY.
You Will  
* Build the systems that provide the critical connection between viewers and creators within the Twitch ecosystem
* Design and run consumer\-scale services powering recommendations, ranking, and search results for tens of millions of users a day
* Power and enable ML applications at scale
* Partner with applied scientists and other engineering teams to design ML\-powered systems that effectively solve customer problems
* Drive the professional growth and career advancement of team members through structured development planning, mentorship, and strategic talent management
* While driving the most prominent scenarios directly, you’ll also partner with stakeholders across the company integrating recommendations into their product features
Perks  
* Medical, Dental, Vision \&amp; Disability Insurance
* 401(k)
* Maternity \&amp; Parental Leave
* Flexible PTO
* Amazon Employee Discount
**BASIC QUALIFICATIONS**
------------------------
* 5\+ years of software development experience
* BA/BS in computer science or equivalent industry experience
* 3\+ years of experience as software engineering manager
* Development experience in one or more general purpose programming languages such as: Golang, Python, C/C\+\+, Java
* Experience designing or architecting (design patterns, reliability, and scalability) of new and existing systems
* Proven ability to identify user needs and deliver customer\-centric product solutions
* Experience developing and running large\-scale consumer services
**PREFERRED QUALIFICATIONS**
----------------------------
* Familiarity in the AWS ecosystem of service
* Experience utilizing Agile development methodologies
* Experience building or partnering to build ML\-driven products (highly desirable)
* Experience working with logging and both offline and online data pipelines
* Experience in hiring, mentoring/coaching and managing teams of software engineers
* Experience with full\-stack or front\-end development
* Familiarity with Twitch, either as a viewer or creator (or both!)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\- 184,900\.00 \- 250,200\.00 USD annually  
USA, CA, Irvine \- 184,900\.00 \- 250,200\.00 USD annually  
USA, CA, San Francisco \- 212,700\.00 \- 287,700\.00 USD annually  
USA, NY, New York \- 203,400\.00 \- 275,200\.00 USD annually  
USA, WA, SEATTLE \- 184,900\.00 \- 250,200\.00 USD annually  
USA, WA, Seattle \- 184,900\.00 \- 250,200\.00 USD annually</t>
        </is>
      </c>
    </row>
    <row r="23">
      <c r="A23" t="inlineStr">
        <is>
          <t>in-968d404387096825</t>
        </is>
      </c>
      <c r="B23" t="inlineStr">
        <is>
          <t>Sr. Software Engineer, Manager</t>
        </is>
      </c>
      <c r="C23" t="inlineStr">
        <is>
          <t>Amazon.com</t>
        </is>
      </c>
      <c r="D23" t="inlineStr">
        <is>
          <t>indeed</t>
        </is>
      </c>
      <c r="E23">
        <f>HYPERLINK("https://www.indeed.com/viewjob?jk=968d404387096825", "https://www.indeed.com/viewjob?jk=968d404387096825")</f>
        <v/>
      </c>
      <c r="F23">
        <f>HYPERLINK("https://www.amazon.jobs/jobs/3144309/sr-software-engineer-manager?cmpid=DA_INAD200785B", "https://www.amazon.jobs/jobs/3144309/sr-software-engineer-manager?cmpid=DA_INAD200785B")</f>
        <v/>
      </c>
      <c r="G23" t="inlineStr">
        <is>
          <t>San Francisco, CA, US</t>
        </is>
      </c>
      <c r="H23" s="2" t="n">
        <v>46006</v>
      </c>
      <c r="I2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As an Engineering Manager on the Community Discovery team, you will lead one of three engineering teams working collaboratively to build innovative discovery experiences on Twitch. You'll partner closely with an applied science team to integrate cutting\-edge algorithms into production systems that directly impact millions of daily active users.  
In this role, you'll oversee the development of software and services that power critical discovery features including recommendations, search, feed ranking, and notification relevance—helping creators connect with their audiences and viewers discover content they love.  
You can work from Twitch’s headquarters in San Francisco, CA; or from one of our hub locations in Seattle, WA; Irvine, CA; Los Angeles, CA or New York City, NY.
You Will  
* Build the systems that provide the critical connection between viewers and creators within the Twitch ecosystem
* Design and run consumer\-scale services powering recommendations, ranking, and search results for tens of millions of users a day
* Power and enable ML applications at scale
* Partner with applied scientists and other engineering teams to design ML\-powered systems that effectively solve customer problems
* Drive the professional growth and career advancement of team members through structured development planning, mentorship, and strategic talent management
* While driving the most prominent scenarios directly, you’ll also partner with stakeholders across the company integrating recommendations into their product features
Perks  
* Medical, Dental, Vision \&amp; Disability Insurance
* 401(k)
* Maternity \&amp; Parental Leave
* Flexible PTO
* Amazon Employee Discount
**BASIC QUALIFICATIONS**
------------------------
* 5\+ years of software development experience
* BA/BS in computer science or equivalent industry experience
* 3\+ years of experience as software engineering manager
* Development experience in one or more general purpose programming languages such as: Golang, Python, C/C\+\+, Java
* Experience designing or architecting (design patterns, reliability, and scalability) of new and existing systems
* Proven ability to identify user needs and deliver customer\-centric product solutions
* Experience developing and running large\-scale consumer services
**PREFERRED QUALIFICATIONS**
----------------------------
* Familiarity in the AWS ecosystem of service
* Experience utilizing Agile development methodologies
* Experience building or partnering to build ML\-driven products (highly desirable)
* Experience working with logging and both offline and online data pipelines
* Experience in hiring, mentoring/coaching and managing teams of software engineers
* Experience with full\-stack or front\-end development
* Familiarity with Twitch, either as a viewer or creator (or both!)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\- 184,900\.00 \- 250,200\.00 USD annually  
USA, CA, Irvine \- 184,900\.00 \- 250,200\.00 USD annually  
USA, CA, San Francisco \- 212,700\.00 \- 287,700\.00 USD annually  
USA, NY, New York \- 203,400\.00 \- 275,200\.00 USD annually  
USA, WA, SEATTLE \- 184,900\.00 \- 250,200\.00 USD annually  
USA, WA, Seattle \- 184,900\.00 \- 250,200\.00 USD annually</t>
        </is>
      </c>
    </row>
    <row r="24">
      <c r="A24" t="inlineStr">
        <is>
          <t>in-0dc74d74356e4002</t>
        </is>
      </c>
      <c r="B24" t="inlineStr">
        <is>
          <t>Sr. Software Engineer, Manager</t>
        </is>
      </c>
      <c r="C24" t="inlineStr">
        <is>
          <t>Amazon.com</t>
        </is>
      </c>
      <c r="D24" t="inlineStr">
        <is>
          <t>indeed</t>
        </is>
      </c>
      <c r="E24">
        <f>HYPERLINK("https://www.indeed.com/viewjob?jk=0dc74d74356e4002", "https://www.indeed.com/viewjob?jk=0dc74d74356e4002")</f>
        <v/>
      </c>
      <c r="F24">
        <f>HYPERLINK("https://www.amazon.jobs/jobs/3144309/sr-software-engineer-manager?cmpid=DA_INAD200785B", "https://www.amazon.jobs/jobs/3144309/sr-software-engineer-manager?cmpid=DA_INAD200785B")</f>
        <v/>
      </c>
      <c r="G24" t="inlineStr">
        <is>
          <t>Seattle, WA, US</t>
        </is>
      </c>
      <c r="H24" s="2" t="n">
        <v>46006</v>
      </c>
      <c r="I2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As an Engineering Manager on the Community Discovery team, you will lead one of three engineering teams working collaboratively to build innovative discovery experiences on Twitch. You'll partner closely with an applied science team to integrate cutting\-edge algorithms into production systems that directly impact millions of daily active users.  
In this role, you'll oversee the development of software and services that power critical discovery features including recommendations, search, feed ranking, and notification relevance—helping creators connect with their audiences and viewers discover content they love.  
You can work from Twitch’s headquarters in San Francisco, CA; or from one of our hub locations in Seattle, WA; Irvine, CA; Los Angeles, CA or New York City, NY.
You Will  
* Build the systems that provide the critical connection between viewers and creators within the Twitch ecosystem
* Design and run consumer\-scale services powering recommendations, ranking, and search results for tens of millions of users a day
* Power and enable ML applications at scale
* Partner with applied scientists and other engineering teams to design ML\-powered systems that effectively solve customer problems
* Drive the professional growth and career advancement of team members through structured development planning, mentorship, and strategic talent management
* While driving the most prominent scenarios directly, you’ll also partner with stakeholders across the company integrating recommendations into their product features
Perks  
* Medical, Dental, Vision \&amp; Disability Insurance
* 401(k)
* Maternity \&amp; Parental Leave
* Flexible PTO
* Amazon Employee Discount
**BASIC QUALIFICATIONS**
------------------------
* 5\+ years of software development experience
* BA/BS in computer science or equivalent industry experience
* 3\+ years of experience as software engineering manager
* Development experience in one or more general purpose programming languages such as: Golang, Python, C/C\+\+, Java
* Experience designing or architecting (design patterns, reliability, and scalability) of new and existing systems
* Proven ability to identify user needs and deliver customer\-centric product solutions
* Experience developing and running large\-scale consumer services
**PREFERRED QUALIFICATIONS**
----------------------------
* Familiarity in the AWS ecosystem of service
* Experience utilizing Agile development methodologies
* Experience building or partnering to build ML\-driven products (highly desirable)
* Experience working with logging and both offline and online data pipelines
* Experience in hiring, mentoring/coaching and managing teams of software engineers
* Experience with full\-stack or front\-end development
* Familiarity with Twitch, either as a viewer or creator (or both!)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Culver City \- 184,900\.00 \- 250,200\.00 USD annually  
USA, CA, Irvine \- 184,900\.00 \- 250,200\.00 USD annually  
USA, CA, San Francisco \- 212,700\.00 \- 287,700\.00 USD annually  
USA, NY, New York \- 203,400\.00 \- 275,200\.00 USD annually  
USA, WA, SEATTLE \- 184,900\.00 \- 250,200\.00 USD annually  
USA, WA, Seattle \- 184,900\.00 \- 250,200\.00 USD annually</t>
        </is>
      </c>
    </row>
    <row r="25">
      <c r="A25" t="inlineStr">
        <is>
          <t>in-8324edb6aa11a794</t>
        </is>
      </c>
      <c r="B25" t="inlineStr">
        <is>
          <t>Sr. Software Engineer (ML), AGI Foundations</t>
        </is>
      </c>
      <c r="C25" t="inlineStr">
        <is>
          <t>Amazon.com</t>
        </is>
      </c>
      <c r="D25" t="inlineStr">
        <is>
          <t>indeed</t>
        </is>
      </c>
      <c r="E25">
        <f>HYPERLINK("https://www.indeed.com/viewjob?jk=8324edb6aa11a794", "https://www.indeed.com/viewjob?jk=8324edb6aa11a794")</f>
        <v/>
      </c>
      <c r="F25">
        <f>HYPERLINK("https://www.amazon.jobs/jobs/2993074/sr-software-engineer-ml-agi-foundations?cmpid=DA_INAD200785B", "https://www.amazon.jobs/jobs/2993074/sr-software-engineer-ml-agi-foundations?cmpid=DA_INAD200785B")</f>
        <v/>
      </c>
      <c r="G25" t="inlineStr">
        <is>
          <t>Bellevue, WA, US</t>
        </is>
      </c>
      <c r="H25" s="2" t="n">
        <v>45803</v>
      </c>
      <c r="I25" t="inlineStr">
        <is>
          <t>**DESCRIPTION**
---------------
The Artificial General Intelligence (AGI) post training team is looking for a passionate, talented, and inventive ML Engineer with strong machine learning background, to lead the development of industry\-leading technology.  
As a Senior ML engineer within the AGI team, you will be responsible for leading the development of novel algorithms and techniques to advance the state of Large Language Model (LLM) training. You will leverage Amazon’s heterogeneous data sources and large\-scale computing resources to accelerate development of multimodal Large Language Models and Generative Artificial Intelligence solutions. You will collaborate closely with the Applied Scientists on LLM fine tuning experiments and prototypes to build automated training workflows.  
Key job responsibilities  
The ideal candidate is passionate about new opportunities and has a demonstrable track record of success in delivering new features and products. A commitment to team work, hustle, and strong communication skills (to both business and technical partners) are absolute requirements. Creating reliable, scalable, and high performance AI products requires exceptional technical expertise, a sound understanding of the fundamentals of Computer Science and Machine Learning. This person has thrived and succeeded in delivering high quality technology products/services in a hyper\-growth environment where priorities shift fast.  
Responsibilities\-  
* Will work with other team engineers to investigate design approaches, prototype new technology and evaluate technical feasibility.
* Work closely with Applied scientists to process data, scale and optimize machine learning models
* Will work in an Agile/Scrum environment to deliver high quality software against rigid schedules.
About the team**BASIC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\- 193,300\.00 \- 261,500\.00 USD annually  
USA, WA, Bellevue \- 168,100\.00 \- 227,400\.00 USD annually</t>
        </is>
      </c>
    </row>
    <row r="26">
      <c r="A26" t="inlineStr">
        <is>
          <t>in-233c556741e0537a</t>
        </is>
      </c>
      <c r="B26" t="inlineStr">
        <is>
          <t>Sr. Software Engineer (ML), AGI Foundations</t>
        </is>
      </c>
      <c r="C26" t="inlineStr">
        <is>
          <t>Amazon.com</t>
        </is>
      </c>
      <c r="D26" t="inlineStr">
        <is>
          <t>indeed</t>
        </is>
      </c>
      <c r="E26">
        <f>HYPERLINK("https://www.indeed.com/viewjob?jk=233c556741e0537a", "https://www.indeed.com/viewjob?jk=233c556741e0537a")</f>
        <v/>
      </c>
      <c r="F26">
        <f>HYPERLINK("https://www.amazon.jobs/jobs/2993074/sr-software-engineer-ml-agi-foundations?cmpid=DA_INAD200785B", "https://www.amazon.jobs/jobs/2993074/sr-software-engineer-ml-agi-foundations?cmpid=DA_INAD200785B")</f>
        <v/>
      </c>
      <c r="G26" t="inlineStr">
        <is>
          <t>Sunnyvale, CA, US</t>
        </is>
      </c>
      <c r="H26" s="2" t="n">
        <v>45803</v>
      </c>
      <c r="I26" t="inlineStr">
        <is>
          <t>**DESCRIPTION**
---------------
The Artificial General Intelligence (AGI) post training team is looking for a passionate, talented, and inventive ML Engineer with strong machine learning background, to lead the development of industry\-leading technology.  
As a Senior ML engineer within the AGI team, you will be responsible for leading the development of novel algorithms and techniques to advance the state of Large Language Model (LLM) training. You will leverage Amazon’s heterogeneous data sources and large\-scale computing resources to accelerate development of multimodal Large Language Models and Generative Artificial Intelligence solutions. You will collaborate closely with the Applied Scientists on LLM fine tuning experiments and prototypes to build automated training workflows.  
Key job responsibilities  
The ideal candidate is passionate about new opportunities and has a demonstrable track record of success in delivering new features and products. A commitment to team work, hustle, and strong communication skills (to both business and technical partners) are absolute requirements. Creating reliable, scalable, and high performance AI products requires exceptional technical expertise, a sound understanding of the fundamentals of Computer Science and Machine Learning. This person has thrived and succeeded in delivering high quality technology products/services in a hyper\-growth environment where priorities shift fast.  
Responsibilities\-  
* Will work with other team engineers to investigate design approaches, prototype new technology and evaluate technical feasibility.
* Work closely with Applied scientists to process data, scale and optimize machine learning models
* Will work in an Agile/Scrum environment to deliver high quality software against rigid schedules.
About the team**BASIC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\- 193,300\.00 \- 261,500\.00 USD annually  
USA, WA, Bellevue \- 168,100\.00 \- 227,400\.00 USD annually</t>
        </is>
      </c>
    </row>
    <row r="27">
      <c r="A27" t="inlineStr">
        <is>
          <t>in-52c7efa34f6646f9</t>
        </is>
      </c>
      <c r="B27" t="inlineStr">
        <is>
          <t>JUNIOR SOFTWARE DEVELOPER AI AND OPERATIONS</t>
        </is>
      </c>
      <c r="C27" t="inlineStr">
        <is>
          <t>Kampgrounds of America</t>
        </is>
      </c>
      <c r="D27" t="inlineStr">
        <is>
          <t>indeed</t>
        </is>
      </c>
      <c r="E27">
        <f>HYPERLINK("https://www.indeed.com/viewjob?jk=52c7efa34f6646f9", "https://www.indeed.com/viewjob?jk=52c7efa34f6646f9")</f>
        <v/>
      </c>
      <c r="F27">
        <f>HYPERLINK("https://jobs.dayforcehcm.com/en-US/koa/CANDIDATEPORTAL/jobs/11211", "https://jobs.dayforcehcm.com/en-US/koa/CANDIDATEPORTAL/jobs/11211")</f>
        <v/>
      </c>
      <c r="G27" t="inlineStr">
        <is>
          <t>Billings, MT, US</t>
        </is>
      </c>
      <c r="H27" s="2" t="n">
        <v>46058</v>
      </c>
      <c r="I27" t="inlineStr">
        <is>
          <t>Kampgrounds of America, Inc. (KOA) is the world’s largest network of privately owned campgrounds and the leader in outdoor hospitality. KOA has 500\+ locations across the United States and Canada including a mix of franchised and company\-owned parks (OAK). Founded in 1962, the mission of KOA is “connecting people to the outdoors and each other,” and those who represent the brand share the values of being family\-oriented, passionate, entrepreneurial, customer\-focused, and innovative.
At KOA, we believe the outdoors is fun and for everyone. We are committed to having an environment where all are treated with dignity and respect. We strive to:
* intentionally create a sense of community and belonging for our guests, employees and franchise partners
* continually educate ourselves and expand our knowledge to foster an inclusive and supportive environment
* sustain a culture that promotes diversity of thought and experiences
* ensure everyone has the ability to experience the outdoors and that our facilities are accessible to all
* drive change in our company and industry through action and implementation
**Summary:**  
The KOA Junior Software Developer works closely with a team of software developers to build, customize, and integrate applications with the K2 property management system and the KOA Messaging Platform (KOA's proprietary systems used by campgrounds across the nation), as well as other additional internal tools used by KOA Corporate. This position also updates existing systems and interfaces in operation as well as creating new functionality. Junior Software Developers may have opportunity to engage in all phases of the software development lifecycle which include understanding and analyzing user/business system requirements, design, application development, testing and responding to support tickets and outages. This position includes developing, testing, and refining prompts and workflows within AI platforms to automate campground operations and improve customer experience while collaborating with AI/ML engineers and data scientists on AI solution integration.
**Essential Duties and Responsibilities:**  
* Collaborate with senior developers and project managers to understand project requirements.
* Assist in the design and development of responsive, user\-friendly applications and software integrations.
* Write clean, maintainable, and efficient code in a variety of technologies
* Troubleshoot and debug issues in existing code.
* Develop, implement, and support KOA applications, systems, interfaces, and reports.
* Follow standard best practices, procedures, and standards.
* Stay up to date with industry trends and emerging technologies to suggest improvements and best practices.
* Convert technical specifications into functioning program code/modules.
* Meet/exceed development project timelines.
* May assist in providing support and maintenance for both new and legacy software systems.
* Participate in Agile development meetings to include Sprint Planning, Scrums, Retrospectives, and Sprint Reviews.
* Participate in code reviews and pull requests to ensure code quality and consistency
* Build and update prompts for AI agents to support campground operations, customer service, and internal processes.
* Test and validate AI prompts and agents to ensure accuracy, relevance, and alignment with KOA business objectives.
* Document AI implementation processes and maintain version control for model versions and related code and prompts.
**Non\-Essential Duties and Responsibilities:**  
* This job description is not intended to cover or contain a comprehensive listing of activities, duties, or responsibilities. Other duties, responsibilities and activities may change or be assigned at any time with or without notice.
**Required Education and Experience:**  
* Bachelor's degree in Computer Science, Web Development, or a related field (or equivalent work experience).
* Programming Languages: .NET, C\#, ASP, SQL Server, HTML, JavaScript, CSS
* Familiarity with unit testing strategies
* Basic understanding of version control systems (e.g., Git).
* Strong problem\-solving skills and attention to detail.
* Able to work in an Agile development environment.
* Proven ability to meet deadlines and complete projects on time.
**Preferred Education and Experience:**  
* React, Svelte, Vue or other frontend framework/libraries
* PowerShell, BASH or other scripting languages and command line tools
* CI/CD Pipeline development and usage
* Understanding of object\-oriented programming (OOP) principles and design; familiarity with industry\-standard design patterns a plus.
**Physical Demands and Working Conditions:**  
* Work is performed in an office environment and requires the ability to operate standard office equipment and keyboard, including lifting and carrying a laptop and other small items up to 20 pounds.
* Prolonged exposure to computer screens and artificial lighting.
* Use of repetitive motion, standing, bending, sitting, lifting, and walking short distances.
* May be expected to drive a vehicle to KOA locations, other locations as directed, and conferences which requires close and distance vision, sitting, seeing and reading signs, traffic signals, other vehicles, etc. Travel occurs in all weather conditions, including extreme heat and cold.
* Frequent in person interaction with KOA employees in various settings, where noise level is typically low to moderate, including office spaces.
* Will experience occasional interruptions and shifting priorities.
KOA does not sponsor Visas
**KOA currently does NOT hire in the following states:**  
Alabama Idaho Mississippi Pennsylvania
Alaska Illinois Missouri Rhode Island
Arkansas Iowa Nebraska South Carolina
Delaware Kansas New Hampshire South Dakota
District of Columbia Louisiana North Dakota Vermont
Hawaii Maryland Oklahoma West Virginia
Minnesota Oregon Wisconsin
**Benefits Offered:**  
* Medical/Vision Insurance
* Dental Insurance
* Health Savings Account
* Flexible Spending Account
* Dependent Care Account
* Paid Life \&amp; AD\&amp;D Insurance
* Paid Short Term and Long Term Disability
* Voluntary Life \&amp; AD\&amp;D Insurance
* Voluntary Critical Illness Insurance
* Voluntary Accident Insurance
* Voluntary Hospital Indemnity Insurance
* Paid Time Off
* Paid Parental Leave
* Employee Assistance Program
* 401K Retirement Plan
* 401K Company Contributions
Kampgrounds Of America, Inc. is an Equal Opportunity Employer and strives to provide an environment where all employees and applicants are treated with respect. The company is committed to fair treatment of all people. This value ensures employees and candidates are treated equally and are protected from discrimination or harassment of any kind. All employment decisions shall be made without regard to race, color, religion, sex (including pregnancy, gender identity, and sexual orientation), parental status, national origin, age, disability, genetic information (including family medical history), political affiliation, military service, or other non\-merit\-based factors, or any other protected status.</t>
        </is>
      </c>
    </row>
    <row r="28">
      <c r="A28" t="inlineStr">
        <is>
          <t>in-e46b797077e93303</t>
        </is>
      </c>
      <c r="B28" t="inlineStr">
        <is>
          <t>Software Engineer- AI/ML, AWS Neuron Distributed Training</t>
        </is>
      </c>
      <c r="C28" t="inlineStr">
        <is>
          <t>Amazon Web Services</t>
        </is>
      </c>
      <c r="D28" t="inlineStr">
        <is>
          <t>indeed</t>
        </is>
      </c>
      <c r="E28">
        <f>HYPERLINK("https://www.indeed.com/viewjob?jk=e46b797077e93303", "https://www.indeed.com/viewjob?jk=e46b797077e93303")</f>
        <v/>
      </c>
      <c r="F28">
        <f>HYPERLINK("https://www.amazon.jobs/jobs/2937757/software-engineer-aiml-aws-neuron-distributed-training?cmpid=DA_INAD200785B", "https://www.amazon.jobs/jobs/2937757/software-engineer-aiml-aws-neuron-distributed-training?cmpid=DA_INAD200785B")</f>
        <v/>
      </c>
      <c r="G28" t="inlineStr">
        <is>
          <t>Seattle, WA, US</t>
        </is>
      </c>
      <c r="H28" s="2" t="n">
        <v>45727</v>
      </c>
      <c r="I28" t="inlineStr">
        <is>
          <t>**DESCRIPTION**
---------------
Annapurna Labs designs silicon and software that accelerates innovation. Customers choose us to create cloud solutions that solve challenges that were unimaginable a short time ago—even yesterday. Our custom chips, accelerators, and software stacks enable us to take on technical challenges that have never been seen before, and deliver results that help our customers change the world.  
AWS Neuron is the complete software stack for the AWS Trainium (Trn1/Trn2\) and Inferentia (Inf1/Inf2\) our cloud\-scale Machine Learning accelerators. This role is for a Senior Machine Learning Engineer in the Distribute Training team for AWS Neuron, responsible for development, enablement and performance tuning of a wide variety of ML model families, including massive\-scale Large Language Models (LLM) such as GPT and Llama, as well as Stable Diffusion, Vision Transformers (ViT) and many more.  
The ML Distributed Training team works side by side with chip architects, compiler engineers and runtime engineers to create, build and tune distributed training solutions with Trainium instances. Experience with training these large models using Python is a must. FSDP (Fully\-Sharded Data Parallel), Deepspeed, Nemo and other distributed training libraries are central to this and extending all of this for the Neuron based system is key.  
Key job responsibilities  
You will lead efforts to build distributed training support into PyTorch and JAX using XLA, the Neuron compiler, and runtime stacks. You will optimize models to achieve peak performance and maximize efficiency on AWS custom silicon, including Trainium and Inferentia, as well as Trn2, Trn1, Inf1, and Inf2 servers. Strong software development skills, the ability to deep dive, work effectively within cross\-functional teams, and a solid foundation in Machine Learning are critical for success in this role.  
About the team  
Annapurna Labs was a startup company acquired by AWS in 2015, and is now fully integrated. If AWS is an infrastructure company, then think Annapurna Labs as the infrastructure provider of AWS. Our org covers multiple disciplines including silicon engineering, hardware design and verification, software, and operations. AWS Nitro, ENA, EFA, Graviton and F1 EC2 Instances, AWS Neuron, Inferentia and Trainium ML Accelerators, and in storage with scalable NVMe, are some of the products we have delivered, over the last few years.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(gender diversity)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9">
      <c r="A29" t="inlineStr">
        <is>
          <t>in-67f0448b1fa22cc8</t>
        </is>
      </c>
      <c r="B29" t="inlineStr">
        <is>
          <t>Software Engineer- AI/ML, AWS Neuron Distributed Training</t>
        </is>
      </c>
      <c r="C29" t="inlineStr">
        <is>
          <t>Amazon Web Services</t>
        </is>
      </c>
      <c r="D29" t="inlineStr">
        <is>
          <t>indeed</t>
        </is>
      </c>
      <c r="E29">
        <f>HYPERLINK("https://www.indeed.com/viewjob?jk=67f0448b1fa22cc8", "https://www.indeed.com/viewjob?jk=67f0448b1fa22cc8")</f>
        <v/>
      </c>
      <c r="F29">
        <f>HYPERLINK("https://www.amazon.jobs/jobs/2937757/software-engineer-aiml-aws-neuron-distributed-training?cmpid=DA_INAD200785B", "https://www.amazon.jobs/jobs/2937757/software-engineer-aiml-aws-neuron-distributed-training?cmpid=DA_INAD200785B")</f>
        <v/>
      </c>
      <c r="G29" t="inlineStr">
        <is>
          <t>Cupertino, CA, US</t>
        </is>
      </c>
      <c r="H29" s="2" t="n">
        <v>45727</v>
      </c>
      <c r="I29" t="inlineStr">
        <is>
          <t>**DESCRIPTION**
---------------
Annapurna Labs designs silicon and software that accelerates innovation. Customers choose us to create cloud solutions that solve challenges that were unimaginable a short time ago—even yesterday. Our custom chips, accelerators, and software stacks enable us to take on technical challenges that have never been seen before, and deliver results that help our customers change the world.  
AWS Neuron is the complete software stack for the AWS Trainium (Trn1/Trn2\) and Inferentia (Inf1/Inf2\) our cloud\-scale Machine Learning accelerators. This role is for a Senior Machine Learning Engineer in the Distribute Training team for AWS Neuron, responsible for development, enablement and performance tuning of a wide variety of ML model families, including massive\-scale Large Language Models (LLM) such as GPT and Llama, as well as Stable Diffusion, Vision Transformers (ViT) and many more.  
The ML Distributed Training team works side by side with chip architects, compiler engineers and runtime engineers to create, build and tune distributed training solutions with Trainium instances. Experience with training these large models using Python is a must. FSDP (Fully\-Sharded Data Parallel), Deepspeed, Nemo and other distributed training libraries are central to this and extending all of this for the Neuron based system is key.  
Key job responsibilities  
You will lead efforts to build distributed training support into PyTorch and JAX using XLA, the Neuron compiler, and runtime stacks. You will optimize models to achieve peak performance and maximize efficiency on AWS custom silicon, including Trainium and Inferentia, as well as Trn2, Trn1, Inf1, and Inf2 servers. Strong software development skills, the ability to deep dive, work effectively within cross\-functional teams, and a solid foundation in Machine Learning are critical for success in this role.  
About the team  
Annapurna Labs was a startup company acquired by AWS in 2015, and is now fully integrated. If AWS is an infrastructure company, then think Annapurna Labs as the infrastructure provider of AWS. Our org covers multiple disciplines including silicon engineering, hardware design and verification, software, and operations. AWS Nitro, ENA, EFA, Graviton and F1 EC2 Instances, AWS Neuron, Inferentia and Trainium ML Accelerators, and in storage with scalable NVMe, are some of the products we have delivered, over the last few years.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(gender diversity)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 3\+ years of full software development life cycle, including coding standards, code reviews, source control management, build processes, testing, and operations experience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0">
      <c r="A30" t="inlineStr">
        <is>
          <t>in-6050fac574458e6c</t>
        </is>
      </c>
      <c r="B30" t="inlineStr">
        <is>
          <t>Sr. Software Engineer- AI/ML, AWS Neuron Distributed Training</t>
        </is>
      </c>
      <c r="C30" t="inlineStr">
        <is>
          <t>Amazon Web Services</t>
        </is>
      </c>
      <c r="D30" t="inlineStr">
        <is>
          <t>indeed</t>
        </is>
      </c>
      <c r="E30">
        <f>HYPERLINK("https://www.indeed.com/viewjob?jk=6050fac574458e6c", "https://www.indeed.com/viewjob?jk=6050fac574458e6c")</f>
        <v/>
      </c>
      <c r="F30">
        <f>HYPERLINK("https://www.amazon.jobs/jobs/2912412/sr-software-engineer-aiml-aws-neuron-distributed-training?cmpid=DA_INAD200785B", "https://www.amazon.jobs/jobs/2912412/sr-software-engineer-aiml-aws-neuron-distributed-training?cmpid=DA_INAD200785B")</f>
        <v/>
      </c>
      <c r="G30" t="inlineStr">
        <is>
          <t>Seattle, WA, US</t>
        </is>
      </c>
      <c r="H30" s="2" t="n">
        <v>45713</v>
      </c>
      <c r="I30" t="inlineStr">
        <is>
          <t>**DESCRIPTION**
---------------
Annapurna Labs designs silicon and software that accelerates innovation. Customers choose us to create cloud solutions that solve challenges that were unimaginable a short time ago—even yesterday. Our custom chips, accelerators, and software stacks enable us to take on technical challenges that have never been seen before, and deliver results that help our customers change the world.  
AWS Neuron is the complete software stack for the AWS Trainium (Trn1/Trn2\) and Inferentia (Inf1/Inf2\) our cloud\-scale Machine Learning accelerators. This role is for a Senior Machine Learning Engineer in the Distribute Training team for AWS Neuron, responsible for development, enablement and performance tuning of a wide variety of ML model families, including massive\-scale Large Language Models (LLM) such as GPT and Llama, as well as Stable Diffusion, Vision Transformers (ViT) and many more.  
The ML Distributed Training team works side by side with chip architects, compiler engineers and runtime engineers to create, build and tune distributed training solutions with Trainium instances. Experience with training these large models using Python is a must. FSDP (Fully\-Sharded Data Parallel), Deepspeed, Nemo and other distributed training libraries are central to this and extending all of this for the Neuron based system is key.  
Key job responsibilities  
You will lead efforts to build distributed training support into PyTorch and JAX using XLA, the Neuron compiler, and runtime stacks. You will optimize models to achieve peak performance and maximize efficiency on AWS custom silicon, including Trainium and Inferentia, as well as Trn2, Trn1, Inf1, and Inf2 servers. Strong software development skills, the ability to deep dive, work effectively within cross\-functional teams, and a solid foundation in Machine Learning are critical for success in this role.  
About the team  
Annapurna Labs was a startup company acquired by AWS in 2015, and is now fully integrated. If AWS is an infrastructure company, then think Annapurna Labs as the infrastructure provider of AWS. Our org covers multiple disciplines including silicon engineering, hardware design and verification, software, and operations. AWS Nitro, ENA, EFA, Graviton and F1 EC2 Instances, AWS Neuron, Inferentia and Trainium ML Accelerators, and in storage with scalable NVMe, are some of the products we have delivered, over the last few years.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(gender diversity)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Bachelor's degree in computer science or equivalent
* 5\+ years of non\-internship professional software development experience
* 5\+ years of programming with at least one software programming language experience
* 5\+ years of leading design or architecture (design patterns, reliability and scaling) of new and existing systems experience
* 5\+ years of full software development life cycle, including coding standards, code reviews, source control management, build processes, testing, and operations experience
* Experience as a mentor, tech lead or leading an engineering team
* Experience in machine learning, data mining, information retrieval, statistics or natural language processing
**PREFERRED QUALIFICATIONS**
----------------------------
* Master's degree in computer science or equivalent
* Experience in computer architecture
* Previous software engineering expertise with Pytorch/Jax/Tensorflow, Distributed libraries and Frameworks, End\-to\-end Model Training.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1">
      <c r="A31" t="inlineStr">
        <is>
          <t>in-4ad36eb021e220c0</t>
        </is>
      </c>
      <c r="B31" t="inlineStr">
        <is>
          <t>Sr. Software Engineer- AI/ML, AWS Neuron Distributed Training</t>
        </is>
      </c>
      <c r="C31" t="inlineStr">
        <is>
          <t>Amazon Web Services</t>
        </is>
      </c>
      <c r="D31" t="inlineStr">
        <is>
          <t>indeed</t>
        </is>
      </c>
      <c r="E31">
        <f>HYPERLINK("https://www.indeed.com/viewjob?jk=4ad36eb021e220c0", "https://www.indeed.com/viewjob?jk=4ad36eb021e220c0")</f>
        <v/>
      </c>
      <c r="F31">
        <f>HYPERLINK("https://www.amazon.jobs/jobs/2912412/sr-software-engineer-aiml-aws-neuron-distributed-training?cmpid=DA_INAD200785B", "https://www.amazon.jobs/jobs/2912412/sr-software-engineer-aiml-aws-neuron-distributed-training?cmpid=DA_INAD200785B")</f>
        <v/>
      </c>
      <c r="G31" t="inlineStr">
        <is>
          <t>Cupertino, CA, US</t>
        </is>
      </c>
      <c r="H31" s="2" t="n">
        <v>45713</v>
      </c>
      <c r="I31" t="inlineStr">
        <is>
          <t>**DESCRIPTION**
---------------
Annapurna Labs designs silicon and software that accelerates innovation. Customers choose us to create cloud solutions that solve challenges that were unimaginable a short time ago—even yesterday. Our custom chips, accelerators, and software stacks enable us to take on technical challenges that have never been seen before, and deliver results that help our customers change the world.  
AWS Neuron is the complete software stack for the AWS Trainium (Trn1/Trn2\) and Inferentia (Inf1/Inf2\) our cloud\-scale Machine Learning accelerators. This role is for a Senior Machine Learning Engineer in the Distribute Training team for AWS Neuron, responsible for development, enablement and performance tuning of a wide variety of ML model families, including massive\-scale Large Language Models (LLM) such as GPT and Llama, as well as Stable Diffusion, Vision Transformers (ViT) and many more.  
The ML Distributed Training team works side by side with chip architects, compiler engineers and runtime engineers to create, build and tune distributed training solutions with Trainium instances. Experience with training these large models using Python is a must. FSDP (Fully\-Sharded Data Parallel), Deepspeed, Nemo and other distributed training libraries are central to this and extending all of this for the Neuron based system is key.  
Key job responsibilities  
You will lead efforts to build distributed training support into PyTorch and JAX using XLA, the Neuron compiler, and runtime stacks. You will optimize models to achieve peak performance and maximize efficiency on AWS custom silicon, including Trainium and Inferentia, as well as Trn2, Trn1, Inf1, and Inf2 servers. Strong software development skills, the ability to deep dive, work effectively within cross\-functional teams, and a solid foundation in Machine Learning are critical for success in this role.  
About the team  
Annapurna Labs was a startup company acquired by AWS in 2015, and is now fully integrated. If AWS is an infrastructure company, then think Annapurna Labs as the infrastructure provider of AWS. Our org covers multiple disciplines including silicon engineering, hardware design and verification, software, and operations. AWS Nitro, ENA, EFA, Graviton and F1 EC2 Instances, AWS Neuron, Inferentia and Trainium ML Accelerators, and in storage with scalable NVMe, are some of the products we have delivered, over the last few years.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(gender diversity)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Bachelor's degree in computer science or equivalent
* 5\+ years of non\-internship professional software development experience
* 5\+ years of programming with at least one software programming language experience
* 5\+ years of leading design or architecture (design patterns, reliability and scaling) of new and existing systems experience
* 5\+ years of full software development life cycle, including coding standards, code reviews, source control management, build processes, testing, and operations experience
* Experience as a mentor, tech lead or leading an engineering team
* Experience in machine learning, data mining, information retrieval, statistics or natural language processing
**PREFERRED QUALIFICATIONS**
----------------------------
* Master's degree in computer science or equivalent
* Experience in computer architecture
* Previous software engineering expertise with Pytorch/Jax/Tensorflow, Distributed libraries and Frameworks, End\-to\-end Model Training.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32">
      <c r="A32" t="inlineStr">
        <is>
          <t>in-93e51283a7476a3f</t>
        </is>
      </c>
      <c r="B32" t="inlineStr">
        <is>
          <t>Software Engineering, Blood Culture Co-Op</t>
        </is>
      </c>
      <c r="C32" t="inlineStr">
        <is>
          <t>bioMerieux</t>
        </is>
      </c>
      <c r="D32" t="inlineStr">
        <is>
          <t>indeed</t>
        </is>
      </c>
      <c r="E32">
        <f>HYPERLINK("https://www.indeed.com/viewjob?jk=93e51283a7476a3f", "https://www.indeed.com/viewjob?jk=93e51283a7476a3f")</f>
        <v/>
      </c>
      <c r="F32">
        <f>HYPERLINK("https://careers.biomerieux.com/en/jobs/17309327-software-engineering-blood-culture-co-op?tm_job=56327&amp;tm_event=view&amp;tm_company=13405", "https://careers.biomerieux.com/en/jobs/17309327-software-engineering-blood-culture-co-op?tm_job=56327&amp;tm_event=view&amp;tm_company=13405")</f>
        <v/>
      </c>
      <c r="G32" t="inlineStr">
        <is>
          <t>Hazelwood, MO, US</t>
        </is>
      </c>
      <c r="H32" s="2" t="n">
        <v>46058</v>
      </c>
      <c r="I32" t="inlineStr">
        <is>
          <t>**Description**  
**Position Summary**  
This is a software development position. The Software Engineer Co\-op will work under the direction of a technical lead and in collaboration with other software engineers to design and develop software application code.  
It is not every day that you can say the software you helped develop will save hundreds or thousands of lives per year, but at bioMérieux, we put innovation to work in life\-saving diagnostic devices deployed across the world.  
With engineering centers in St. Louis, France, and Italy, our Systems Development team collaborates globally to build products that ensure patient health and consumer safety.  
From antibiotic susceptibility testing to organism identification with mass spectrometry, bioMérieux offers challenging opportunities in a science\-based domain with a public health focus. If you’re passionate about solving real\-world problems, you’ll find a home in our team of expert software developers, engineers, and microbiologists.  
**Primary Duties**  
Analysis and implementation of use cases and user stories in application code, including relational database modeling  
Detection, analysis, and resolution of defects and inconsistencies  
Creation and maintenance of unit tests to verify function\-level behavior  
Contribution to automated tests to verify user\-level behavior  
Perform all work in compliance with company quality procedures and standards  
Perform other duties as assigned  
**Qualifications**  
Required Education, Training, and Experience  
High School Diploma, GED, or equivalent  
At least 1 year of a scientific degree program completed  
No previous experience required  
Must be currently enrolled in a BS or MS program in a related life sciences, computer science, data science, or microbiology program  
**Knowledge, Skills, and Abilities**  
Consistently upholds and reflects the core ethical principles and values that bioMérieux promotes  
Effective verbal communication skills  
Written communications, including the ability to communicate technical data in written form  
Thriving in a fast\-paced environment by managing tasks, multitasking, and adapting quickly to maintain productivity  
Skilled in MS Office tools including but not limited to Outlook, Teams, Word, and Excel  
Familiarity with software design concepts and software application lifecycle  
Critical thinking and problem\-solving skills  
Strong attention to detail  
The pay for this role is $22\.00\. In addition, bioMérieux offers a competitive Total Rewards package that **may** include (dependent upon hours worked):  
* A choice of medical (including prescription), dental, and vision plans providing nationwide coverage and telemedicine options
* Company\-Provided Life and Accidental Death Insurance
* Short and Long\-Term Disability Insurance
* Retirement Plan including a generous non\-discretionary employer contribution and employer match.
* Adoption Assistance
* Wellness Programs
* Employee Assistance Program
* Commuter Benefits
* Various voluntary benefit offerings
* Discount programs
* Parental leaves</t>
        </is>
      </c>
    </row>
    <row r="33">
      <c r="A33" t="inlineStr">
        <is>
          <t>in-309bd3cdd6f1b8a0</t>
        </is>
      </c>
      <c r="B33" t="inlineStr">
        <is>
          <t>Senior Software Engineer, Infrastructure, High Performance Networking</t>
        </is>
      </c>
      <c r="C33" t="inlineStr">
        <is>
          <t>Google</t>
        </is>
      </c>
      <c r="D33" t="inlineStr">
        <is>
          <t>indeed</t>
        </is>
      </c>
      <c r="E33">
        <f>HYPERLINK("https://www.indeed.com/viewjob?jk=309bd3cdd6f1b8a0", "https://www.indeed.com/viewjob?jk=309bd3cdd6f1b8a0")</f>
        <v/>
      </c>
      <c r="F33">
        <f>HYPERLINK("https://careers.google.com/jobs/results/131253853164053190-senior-software-engineer/", "https://careers.google.com/jobs/results/131253853164053190-senior-software-engineer/")</f>
        <v/>
      </c>
      <c r="G33" t="inlineStr">
        <is>
          <t>New York, NY, US</t>
        </is>
      </c>
      <c r="H33" s="2" t="n">
        <v>46058</v>
      </c>
      <c r="I33" t="inlineStr">
        <is>
          <t>Note: By applying to this position you will have an opportunity to share your preferred working location from the following: **New York, NY, USA; Sunnyvale, CA, USA**.### **Minimum qualifications:**
* Bachelor’s degree or equivalent practical experience.
* 5 years of experience with software development in one or more programming languages.
* 3 years of experience testing, maintaining, or launching software products, and 1 year of experience with software design and architecture.
* 3 years of experience with developing large\-scale infrastructure, distributed systems or networks, or experience with compute technologies, storage or hardware architecture.
### **Preferred qualifications:**
* Master's degree or PhD in Computer Science or a related technical field.
* 5 years of experience with data structures and algorithms.
* 4 years of experience with UNIX/Linux open source developments and communities for kernel/device drivers.
* 4 years of experience in networking, storage, systems architecture, compilers, operating systems or modeling and analysis.
* Experience in kernel device drivers.
* Passion for the following areas: performance debugging and optimization of complex workloads, design of performance tools, compiler design and code optimization, high\-performance software development techniques, concurrent programming, or multi\-core computer architectures.
**About the job**
-----------------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The High Performance Networking (HPN) team maintains end\-to\-end (E2E) ownership of the RDMA (Driver \+ guest) stack. We deliver scalable, high\-performance networking solutions to support a wide range of workloads on Google Cloud.
Our team is focused on enhancing the performance of HPC and ML workloads utilizing TCP, and enabling and optimizing HPC/ML workloads to leverage the RDMA capabilities of next\-generation Smart NIC. We Perform comprehensive full\-stack optimizations to maximize HPC and ML performance across Google Cloud infrastructure. This spans a wide range, from RDMA/Device driver, kernel optimization, userspace communication libraries (e.g., MPI library, libfabric, NCCL, UCX), all the way to customer's HPC and ML applications. Additionally, we develop advanced solutions that leverage Google Cloud's forthcoming RDMA capabilities, specifically those enabled by Diorite and next\-generation Smart NICs.
Behind everything our users see online is the architecture built by the Technical Infrastructure team to keep it running. From developing and maintaining our data centers to building the next generation of Google platforms, we make Google's product portfolio possible. We're proud to be our engineers' engineers and love voiding warranties by taking things apart so we can rebuild them. We keep our networks up and running, ensuring our users have the best and fastest experience possible.
The US base salary range for this full\-time position is $166,000\-$244,000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**Responsibilities**
--------------------
* Write and test product or system development code.
* Participate in, or lead design reviews with peers and stakeholders to decide amongst available technologies.
* Review code developed by other developers and provide feedback to ensure best practices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t>
        </is>
      </c>
    </row>
    <row r="34">
      <c r="A34" t="inlineStr">
        <is>
          <t>in-8b8f36f838857428</t>
        </is>
      </c>
      <c r="B34" t="inlineStr">
        <is>
          <t>Senior Software Engineer, Infrastructure, High Performance Networking</t>
        </is>
      </c>
      <c r="C34" t="inlineStr">
        <is>
          <t>Google</t>
        </is>
      </c>
      <c r="D34" t="inlineStr">
        <is>
          <t>indeed</t>
        </is>
      </c>
      <c r="E34">
        <f>HYPERLINK("https://www.indeed.com/viewjob?jk=8b8f36f838857428", "https://www.indeed.com/viewjob?jk=8b8f36f838857428")</f>
        <v/>
      </c>
      <c r="F34">
        <f>HYPERLINK("https://careers.google.com/jobs/results/131253853164053190-senior-software-engineer/", "https://careers.google.com/jobs/results/131253853164053190-senior-software-engineer/")</f>
        <v/>
      </c>
      <c r="G34" t="inlineStr">
        <is>
          <t>Sunnyvale, CA, US</t>
        </is>
      </c>
      <c r="H34" s="2" t="n">
        <v>46058</v>
      </c>
      <c r="I34" t="inlineStr">
        <is>
          <t>Note: By applying to this position you will have an opportunity to share your preferred working location from the following: **New York, NY, USA; Sunnyvale, CA, USA**.### **Minimum qualifications:**
* Bachelor’s degree or equivalent practical experience.
* 5 years of experience with software development in one or more programming languages.
* 3 years of experience testing, maintaining, or launching software products, and 1 year of experience with software design and architecture.
* 3 years of experience with developing large\-scale infrastructure, distributed systems or networks, or experience with compute technologies, storage or hardware architecture.
### **Preferred qualifications:**
* Master's degree or PhD in Computer Science or a related technical field.
* 5 years of experience with data structures and algorithms.
* 4 years of experience with UNIX/Linux open source developments and communities for kernel/device drivers.
* 4 years of experience in networking, storage, systems architecture, compilers, operating systems or modeling and analysis.
* Experience in kernel device drivers.
* Passion for the following areas: performance debugging and optimization of complex workloads, design of performance tools, compiler design and code optimization, high\-performance software development techniques, concurrent programming, or multi\-core computer architectures.
**About the job**
-----------------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The High Performance Networking (HPN) team maintains end\-to\-end (E2E) ownership of the RDMA (Driver \+ guest) stack. We deliver scalable, high\-performance networking solutions to support a wide range of workloads on Google Cloud.
Our team is focused on enhancing the performance of HPC and ML workloads utilizing TCP, and enabling and optimizing HPC/ML workloads to leverage the RDMA capabilities of next\-generation Smart NIC. We Perform comprehensive full\-stack optimizations to maximize HPC and ML performance across Google Cloud infrastructure. This spans a wide range, from RDMA/Device driver, kernel optimization, userspace communication libraries (e.g., MPI library, libfabric, NCCL, UCX), all the way to customer's HPC and ML applications. Additionally, we develop advanced solutions that leverage Google Cloud's forthcoming RDMA capabilities, specifically those enabled by Diorite and next\-generation Smart NICs.
Behind everything our users see online is the architecture built by the Technical Infrastructure team to keep it running. From developing and maintaining our data centers to building the next generation of Google platforms, we make Google's product portfolio possible. We're proud to be our engineers' engineers and love voiding warranties by taking things apart so we can rebuild them. We keep our networks up and running, ensuring our users have the best and fastest experience possible.
The US base salary range for this full\-time position is $166,000\-$244,000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**Responsibilities**
--------------------
* Write and test product or system development code.
* Participate in, or lead design reviews with peers and stakeholders to decide amongst available technologies.
* Review code developed by other developers and provide feedback to ensure best practices (e.g., style guidelines, checking code in, accuracy, testability, and efficiency).
* Contribute to existing documentation or educational content and adapt content based on product/program updates and user feedback.
* Triage product or system issues and debug/track/resolve by analyzing the sources of issues and the impact on hardware, network, or service operations and quality.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t>
        </is>
      </c>
    </row>
    <row r="35">
      <c r="A35" t="inlineStr">
        <is>
          <t>in-4743942efae5cc7b</t>
        </is>
      </c>
      <c r="B35" t="inlineStr">
        <is>
          <t>Senior Software Engineer, AI/ML, Quality, Applied AI</t>
        </is>
      </c>
      <c r="C35" t="inlineStr">
        <is>
          <t>Google</t>
        </is>
      </c>
      <c r="D35" t="inlineStr">
        <is>
          <t>indeed</t>
        </is>
      </c>
      <c r="E35">
        <f>HYPERLINK("https://www.indeed.com/viewjob?jk=4743942efae5cc7b", "https://www.indeed.com/viewjob?jk=4743942efae5cc7b")</f>
        <v/>
      </c>
      <c r="F35">
        <f>HYPERLINK("https://careers.google.com/jobs/results/137164827674976966-senior-software-engineer/", "https://careers.google.com/jobs/results/137164827674976966-senior-software-engineer/")</f>
        <v/>
      </c>
      <c r="G35" t="inlineStr">
        <is>
          <t>Sunnyvale, CA, US</t>
        </is>
      </c>
      <c r="H35" s="2" t="n">
        <v>46058</v>
      </c>
      <c r="I35" t="inlineStr">
        <is>
          <t>### **Minimum qualifications:**
* Bachelor’s degree or equivalent practical experience.
* 5 years of experience with software development in Python.
* 3 years of experience with one or more of the following: Speech/audio (e.g., technology duplicating and responding to the human voice), reinforcement learning (e.g., sequential decision making), ML infrastructure, or specialization in another ML field.
* 3 years of experience with ML infrastructure (e.g., model deployment, model evaluation, data processing, debugging).
* 3 years of experience testing, maintaining, or launching software products, and 1 year of experience with software design and architecture.
### **Preferred qualifications:**
* Master's degree or PhD in Computer Science or related technical field.
* Experience with LLM tuning methodologies (e.g., LoRA, fine tuning).
* Experience in developing and deploying models/solutions on cloud platforms (e.g., Google Cloud).
* Experience in Natural Language Processing (NLP) with a focus on conversational AI or text generation.
* Experience in Prompt Engineering, building or utilizing LLM\-powered auto\-evaluation and optimization systems.
**About the job**
-----------------
Google's software engineers develop the next\-generation technologies that change how billions of users connect, explore, and interact with information and one another. Our products need to manage information at a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As a part of the Customer Engagement Suite (CES), you will work on an AI\-powered customer service solution on the Google Cloud platform serving major contact center service providers, large enterprises, and Google's own products like YouTube.  
You will work on agent assist, the core pillar built by the CES agent assist team, which is a high\-impact product designed to significantly boost human agent productivity and customer satisfaction while dramatically reducing operational costs. You can find more information about Agent Assist on our product page and is now powered by state\-of\-the\-art LLMs and Agentic AI. You will leverage LLMs and agentic AI techniques, in close collaboration with Conversational Agent, Vertex LLM and GDM teams.Applied AI builds conversational agents deployed at a large\-scale that achieve very meaningful results in the real world. Some examples include the customer agent built for large call center environments, to fast food ordering managed by our Food AI agent. The team is transforming how enterprises connect with customers through the power of AI. We also offer unique experiences for team members where you get to work directly with the model builders (Google DeepMind / Vertex), learn and work with brilliant AI leaders, and have access to Global 1000 customers via our existing Google Cloud relationships. The opportunity in this space is tremendous.  
The US base salary range for this full\-time position is $166,000\-$244,000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Google.**Responsibilities**
--------------------
* Design and iteratively refine high\-quality prompts to ensure accurate, context\-aware responses within customer support environments.
* Apply techniques to efficiently customize base models for specific enterprise use cases and industry nuances.
* Develop Large Language Model (LLM) powered auto\-evaluation methodologies to rigorously measure model quality, relevance, and safety at scale.
* Utilize frameworks like ADK for rapid feature exploration while optimizing infrastructure for low\-latency inference and model\-serving pipelines.
* Partner cross\-functionally with PM, CE, and PSO teams to lead enterprise customer onboarding and translate direct feedback into product improvements.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t>
        </is>
      </c>
    </row>
    <row r="36">
      <c r="A36" t="inlineStr">
        <is>
          <t>in-a31ea7b710d41c72</t>
        </is>
      </c>
      <c r="B36" t="inlineStr">
        <is>
          <t>Staff Software Engineer, Shopping Ads, Predicted CTR Modeling</t>
        </is>
      </c>
      <c r="C36" t="inlineStr">
        <is>
          <t>Google</t>
        </is>
      </c>
      <c r="D36" t="inlineStr">
        <is>
          <t>indeed</t>
        </is>
      </c>
      <c r="E36">
        <f>HYPERLINK("https://www.indeed.com/viewjob?jk=a31ea7b710d41c72", "https://www.indeed.com/viewjob?jk=a31ea7b710d41c72")</f>
        <v/>
      </c>
      <c r="F36">
        <f>HYPERLINK("https://careers.google.com/jobs/results/112354622672118470-staff-software-engineer/", "https://careers.google.com/jobs/results/112354622672118470-staff-software-engineer/")</f>
        <v/>
      </c>
      <c r="G36" t="inlineStr">
        <is>
          <t>Mountain View, CA, US</t>
        </is>
      </c>
      <c r="H36" s="2" t="n">
        <v>46058</v>
      </c>
      <c r="I36" t="inlineStr">
        <is>
          <t>### **Minimum qualifications:**
* Bachelor's degree in Computer Science or related technical field, or equivalent practical experience.
* 8 years of experience in software development.
* 5 years of experience with ML design and ML infrastructure (e.g., model deployment, model evaluation, data processing, debugging, fine tuning).
* 5 years of experience with machine learning algorithms and tools (e.g., TensorFlow), or applied ML (e.g., deep learning, natural language processing).
* Experience with TensorFlow, TFX, TorchX, JAX, PyTorch, YDF, Vertex AI or other ML modeling and pipeline technologies.
* Experience using Python libraries and frameworks.
### **Preferred qualifications:**
* Bachelor's degree in Computer Science or related fields (e.g., Math, Physics, Engineering), with an emphasis on Machine Learning.
* Experience building and deploying large scale machine learning models for recommendation applications.
* Knowledge and experience with modern Machine Learning techniques including deep learning, transformers, and model optimization.
* Knowledge of statistics and experiment design.
**About the job**
-----------------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Google Shopping Ads aims to make Google the best place for users’ purchase, price\-comparison, and shopping informational needs. The Shopping Auction Predicted Click\-Through Rate (pCTR) Models Team plays a critical role in driving this fast\-growing business! Our features and models impact the shopping commercial unit on Google.com, often the top of the page for a shopping\-related query such as \[buy nikon camera]. We also impact commercial units on image search \[query: prom dress] and shopping mode \[query: mountain bike], where users may have a more visual or in\-depth shopping journey.Google Ads is helping power the open internet with the best technology that connects and creates value for people, publishers, advertisers, and Google. We’re made up of multiple teams, building Google’s Advertising products including search, display, shopping, travel and video advertising, as well as analytics. Our teams create trusted experiences between people and businesses with useful ads. We help grow businesses of all sizes from small businesses, to large brands, to YouTube creators, with effective advertiser tools that deliver measurable results. We also enable Google to engage with customers at scale.  
The US base salary range for this full\-time position is $197,000\-$291,000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Google.**Responsibilities**
--------------------
* Set technical direction and explore improvements to model architectures, components, and hyper\-parameters in order to continuously improve model accuracy.
* Train machine learning models, making use of Tensor Processing Units (TPUs) dedicated to the team.
* Implement code and tests for model training (Python, C\+\+) and backend code and tests for model serving (in C\+\+) as needed.
* Collaborate with Machine Learning (ML) researchers on the methods of improving models that train on enormous amounts of data.
* Collaborate with ML infrastructure teams to optimize training and inference efficiency.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t>
        </is>
      </c>
    </row>
    <row r="37">
      <c r="A37" t="inlineStr">
        <is>
          <t>in-ce96855b2d45699b</t>
        </is>
      </c>
      <c r="B37" t="inlineStr">
        <is>
          <t>Staff Software Engineer, TOR Infrastructure</t>
        </is>
      </c>
      <c r="C37" t="inlineStr">
        <is>
          <t>Google</t>
        </is>
      </c>
      <c r="D37" t="inlineStr">
        <is>
          <t>indeed</t>
        </is>
      </c>
      <c r="E37">
        <f>HYPERLINK("https://www.indeed.com/viewjob?jk=ce96855b2d45699b", "https://www.indeed.com/viewjob?jk=ce96855b2d45699b")</f>
        <v/>
      </c>
      <c r="F37">
        <f>HYPERLINK("https://careers.google.com/jobs/results/128230677224006342-staff-software-engineer/", "https://careers.google.com/jobs/results/128230677224006342-staff-software-engineer/")</f>
        <v/>
      </c>
      <c r="G37" t="inlineStr">
        <is>
          <t>Sunnyvale, CA, US</t>
        </is>
      </c>
      <c r="H37" s="2" t="n">
        <v>46058</v>
      </c>
      <c r="I37" t="inlineStr">
        <is>
          <t>### **Minimum qualifications:**
* Bachelor's degree or equivalent practical experience.
* 8 years of experience programming in C\+\+.
* 5 years of experience building and developing large\-scale infrastructure, distributed systems or networks, or experience with compute technologies, storage, or hardware architecture.
* 5 years of experience testing, and launching software products.
* 3 years of experience with software design and architecture.
* Experience in network infrastructure.
### **Preferred qualifications:**
* Master’s degree or PhD in Engineering, Computer Science, or a related technical field.
* 8 years of experience with data structures and algorithms.
* 3 years of experience in a technical leadership role leading project teams and setting technical direction.
* 3 years of experience working in a complex organization involving cross\-functional, or cross\-business projects.
* Experience in networking protocols.
**About the job**
-----------------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The AI and Infrastructure team is redefining what’s possible. We empower Google customers with breakthrough capabilities and insights by delivering AI and Infrastructure at unparalleled scale, efficiency, reliability and velocity. Our customers include Googlers, Google Cloud customers, and billions of Google users worldwide.
We're the driving force behind Google's groundbreaking innovations, empowering the development of our cutting\-edge AI models, delivering unparalleled computing power to global services, and providing the essential platforms that enable developers to build the future. From software to hardware our teams are shaping the future of world\-leading hyperscale computing, with key teams working on the development of our TPUs, Vertex AI for Google Cloud, Google Global Networking, Data Center operations, systems research, and much more.
The US base salary range for this full\-time position is $197,000\-$291,000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
**Responsibilities**
--------------------
* Provide technical leadership on high\-impact projects.
* Influence and coach a distributed team of Engineers.
* Facilitate alignment and clarity across teams on goals, outcomes, and timelines.
* Manage project priorities, deadlines, and deliverables.
* Design, develop, test, deploy, maintain, and enhance large\-scale software solutions.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t>
        </is>
      </c>
    </row>
    <row r="38">
      <c r="A38" t="inlineStr">
        <is>
          <t>in-2ff4f9254fd2f27f</t>
        </is>
      </c>
      <c r="B38" t="inlineStr">
        <is>
          <t>Software Engineer II - Information Technology</t>
        </is>
      </c>
      <c r="C38" t="inlineStr">
        <is>
          <t>Pima County</t>
        </is>
      </c>
      <c r="D38" t="inlineStr">
        <is>
          <t>indeed</t>
        </is>
      </c>
      <c r="E38">
        <f>HYPERLINK("https://www.indeed.com/viewjob?jk=2ff4f9254fd2f27f", "https://www.indeed.com/viewjob?jk=2ff4f9254fd2f27f")</f>
        <v/>
      </c>
      <c r="F38">
        <f>HYPERLINK("https://pimacounty.wd5.myworkdayjobs.com/en-US/pimacareers/job/Tucson-AZ/Software-Engineer-II---Information-Technology_JR102833", "https://pimacounty.wd5.myworkdayjobs.com/en-US/pimacareers/job/Tucson-AZ/Software-Engineer-II---Information-Technology_JR102833")</f>
        <v/>
      </c>
      <c r="G38" t="inlineStr">
        <is>
          <t>Tucson, AZ, US</t>
        </is>
      </c>
      <c r="H38" s="2" t="n">
        <v>46058</v>
      </c>
      <c r="I38" t="inlineStr">
        <is>
          <t>**Job Description Summary**
===========================
Department \- Information Technology
**Job Description**
===================
**Job Type: Classified**
**Job Classification: 6057 \- Software Engineer II**
**Salary Grade: 16**
**Pay Range**
**Hiring Range: $76,876 \- $92,268 Annually**
**Pay Range: $76,876 \- $107,660 Annually**
**Range Explanation:**
* Hiring Range is an estimate of where you can receive an offer. The actual salary offer will carefully consider a wide range of factors, including your skills, qualifications, experience, education, licenses, training, and internal equity.
* Pay Range is the entire compensation range for the position.
The Pima County Information Technology Department (ITD) is seeking a highly technical and systems\-focused Software Engineer II. This role involves developing and providing ongoing support to systems encompassing all aspects of Pima County operations, both internal and public facing. This person will operate across various software engineering disciplines including but not limited to UI/UX, middle\-tier, and persistence management. They will also be responsible for testing and system automation. Pima County offers an opportunity to utilize one's existing skills, grow new ones, work in a team environment and advance one's career in a rewarding domain. The successful candidate will bring energy, enthusiasm, professionalism and a desire to get better every day, as well as to make a difference in the community by supporting the mission of Pima County government.
In applying for this position, pay particular attention to the description that follows and to the preferred qualifications at the end of this posting, addressing each qualification in your application. I f the position allows for it, there is a possibility of part\-time telecommuting after 6 months of initial probation.
***This is an in\-office position located in Tucson, AZ, and cannot be remote. The Information Technology Department is unable to provide visa sponsorship for this position.***
================================================================================================================================================================================
**Essential Functions:**
As defined under the Americans with Disabilities Act, this classification may include any of the following tasks, knowledge, skills, and other characteristics. This list is ILLUSTRATIVE ONLY and is not a comprehensive listing of all functions and tasks performed by incumbents of this class. Work assignments may vary depending on the department’s need and will be communicated to the applicant or incumbent by the supervisor.
* Performs advanced\-level software applications design and development duties;
* Meets with project managers and business analysts to obtain application requirements and reviews business requirements documentation;
* Conducts research and analysis of systems, applications, and integrations to fully understand the impact of requirements on existing code or business processes;
* Designs, architects, and develops new applications and re\-writes, updates, enhances and/or modifies existing applications based on established specifications;
* Performs unit and integration testing to identify any code deficiencies before progressing code to business analysis team;
* Performs code development activities using various programming languages, system utilities, tools, code libraries, database query languages, and system\-level commands;
* Provides base operations support for all Information Technology applications and provides problem diagnosis and resolution to address reported issues with systems, applications, and integrations;
* Prepares systems processing and maintenance documentation;
* Participates in project estimating and forecasting;
* Participates in software quality assurance processes designed to identify errors in functionality, usability, and software performance;
* Executes application development activities that follow approved architectural models and standards;
* Provides technical mentoring and direction to other software engineers to ensure they have the information required to complete their assigned tasks;
* Responsible for other duties as assigned in support of the overall goals and functions of both the Department and Pima County.
**Minimum Qualifications:**
**Bachelor’s degree from an accredited college, university or technical school** **AND** **five (5\) years of experience in software development.**
**(Relevant experience and/or education from an accredited college or university may be substituted.)**
**OR:**
**Two (2\) years with Pima County in a Software Engineer I position.**
**Qualifying education and experience must be clearly documented in the "Education" and "Work Experience" sections of the application. Do not substitute a resume for your application or write "see resume" on your application.**  
**Preferred Qualifications** **: (Be specific in describing your experience in your application. Ensure the descriptions provided illustrate your competencies, specifically addressing the required and preferred qualifications.):**
* Experience wtih full\-stack software development, preferably in a primarily Microsoft environment.
* Experience in contemporary DevOps techniques and technologies.
* Experience with unit and integration testing.
* Experience with/knowledge of data security practices as they apply to large enterprises.
* Experience working in an Agile team environment.
* A resume is required.
**Selection Procedure** **:**
**Pima County Human Resources Department reserves the right to admit to the selection process only those candidates that meet the minimum qualifications. All applications will be assessed based on an evaluation of the listed education and experience. Candidates meeting the minimum qualifications may be further evaluated/scored against any advertised Preferred Qualifications. The hiring authority will interview and select the successful candidate from a referral list provided by Human Resources. Additional assessments/testing may be required as part of the selection process.**
**Supplemental Information** :
Licenses and Certificates: **Valid driver license is required at time of application** . Valid **AZ** driver license is required at time of appointment. The successful applicant will be subject to a 39\-month DOT Motor Vehicle Record review to determine applicant’s suitability to operate county vehicles in accordance with Pima County administrative procedures. Failure to obtain and maintain the required licenses and certifications shall be grounds for termination. Any offer of employment resulting from this recruitment is contingent upon Fleet Services’ review and approval of the candidate’s driving record. Some positions require a valid Arizona Class D driver license at the time of application or appointment. Failure to maintain the required licensure shall be grounds for termination. Employees must attain and maintain access certification for all relevant departmental databases required of assigned position. Some positions must possess and maintain as a condition of employment the Terminal Operator for ACJIS certification. Failure to maintain the required licensure shall be grounds for termination.
Special Notice Items: The County requires pre\-employment background checks. Successful candidates will receive a post\-offer, pre\-employment background screening to include verification of work history, education, and criminal conviction history. A prior criminal conviction will not automatically disqualify a candidate from employment with the County. Some positions may require satisfactory completion of a personal background investigation by the court or law enforcement agencies, due to the need for access to County Attorney and Court facilities, records, and communication systems. Some positions may require satisfactory completion of a personal background investigation by the court or law enforcement agencies, due to the need for access to County Attorney and Court facilities, records, and communication systems. Occasional after hours and weekend hours are required to support system implementations and deployments. **The Information Technology Department is unable to provide visa sponsorship for this position.**  
Physical/Sensory Requirements: Other physical and sensory abilities will be determined by position.
Working Conditions: Typically performs duties in an office environment. Other working conditions will be determined by position.
EEO Information: **Pima County Government is an Equal Employment Opportunity employer.** We are committed to an inclusive and diverse workforce and will not discriminate in employment opportunities or practices on the basis of race, color, religion, national origin, age, disability, gender, sexual orientation, kinship, political interest, or any other characteristic protected by law.</t>
        </is>
      </c>
    </row>
    <row r="39">
      <c r="A39" t="inlineStr">
        <is>
          <t>in-6327c3d90d04c0e8</t>
        </is>
      </c>
      <c r="B39" t="inlineStr">
        <is>
          <t>Software Engineer</t>
        </is>
      </c>
      <c r="C39" t="inlineStr">
        <is>
          <t>Tyler Technologies</t>
        </is>
      </c>
      <c r="D39" t="inlineStr">
        <is>
          <t>indeed</t>
        </is>
      </c>
      <c r="E39">
        <f>HYPERLINK("https://www.indeed.com/viewjob?jk=6327c3d90d04c0e8", "https://www.indeed.com/viewjob?jk=6327c3d90d04c0e8")</f>
        <v/>
      </c>
      <c r="F39">
        <f>HYPERLINK("https://tylertechcareers.ttcportals.com/jobs/17308735-software-engineer?tm_job=2026-8353&amp;tm_event=view&amp;tm_company=14220", "https://tylertechcareers.ttcportals.com/jobs/17308735-software-engineer?tm_job=2026-8353&amp;tm_event=view&amp;tm_company=14220")</f>
        <v/>
      </c>
      <c r="G39" t="inlineStr">
        <is>
          <t>Troy, MI, US</t>
        </is>
      </c>
      <c r="H39" s="2" t="n">
        <v>46057</v>
      </c>
      <c r="I39" t="inlineStr">
        <is>
          <t>**Description**  
Tyler Technologies is looking for a talented Software Engineer to bring new ideas and creative thinking to our Public Safety Products Division. This role focuses on designing, developing, and maintaining mission\-critical, cloud\-hosted services that support real\-time communication between dispatch systems and officers in the field.  
The ideal candidate has strong experience building modern .NET applications, enjoys working in collaborative Agile teams, and is excited to help build scalable, highly available systems in AWS.#### **Responsibilities**
* Design, develop, test, and maintain .NET Core\-based services and APIs.
* Build and support scalable, cloud\-hosted solutions running on AWS (EC2, Lambda, CI/CD pipelines).
* Participate in the full software development lifecycle: analysis, design, implementation, testing, deployment, and support.
* Collaborate with software engineers, architects, and business analysts to solve complex technical problems.
* Advocate for best practices in architecture, design patterns, naming conventions, and code quality.
* Contribute to Agile team ceremonies and continuous improvement efforts.
* Ensure long\-term success of public safety products by delivering reliable, high\-quality technical solutions.
* Continuously grow technical skills through independent research and hands\-on learning.
#### **Qualifications**
* Bachelor's degree in Computer Science or a related technical field.
* 3\+ years of experience designing and developing production software systems.
* 3\+ years of C\# development experience with strong object\-oriented design skills.
* Experience with .NET Core, including asynchronous and multi\-threaded programming models.
* Experience with relational databases such as PostgreSQL, Microsoft SQL Server, or similar.
* Experience with NoSQL data stores (e.g., DynamoDB or similar) is a plus.
* Familiarity with front\-end frameworks such as Angular is a plus.
* Experience with AWS or other cloud platforms, including concepts such as EC2, Lambda, CI/CD, and infrastructure as code.
* Experience using modern development tools (Visual Studio, Git, JIRA).
* Strong communication skills and the ability to collaborate effectively in cross\-functional teams.
* Ability to learn new technologies quickly and adapt in a fast\-paced environment.</t>
        </is>
      </c>
    </row>
    <row r="40">
      <c r="A40" t="inlineStr">
        <is>
          <t>in-8c0c330990aa6b4e</t>
        </is>
      </c>
      <c r="B40" t="inlineStr">
        <is>
          <t>Software Engineer</t>
        </is>
      </c>
      <c r="C40" t="inlineStr">
        <is>
          <t>Tyler Technologies</t>
        </is>
      </c>
      <c r="D40" t="inlineStr">
        <is>
          <t>indeed</t>
        </is>
      </c>
      <c r="E40">
        <f>HYPERLINK("https://www.indeed.com/viewjob?jk=8c0c330990aa6b4e", "https://www.indeed.com/viewjob?jk=8c0c330990aa6b4e")</f>
        <v/>
      </c>
      <c r="F40">
        <f>HYPERLINK("https://tylertechcareers.ttcportals.com/jobs/17308729-software-engineer?tm_job=2026-8288&amp;tm_event=view&amp;tm_company=14220", "https://tylertechcareers.ttcportals.com/jobs/17308729-software-engineer?tm_job=2026-8288&amp;tm_event=view&amp;tm_company=14220")</f>
        <v/>
      </c>
      <c r="G40" t="inlineStr">
        <is>
          <t>Troy, MI, US</t>
        </is>
      </c>
      <c r="H40" s="2" t="n">
        <v>46057</v>
      </c>
      <c r="I40" t="inlineStr">
        <is>
          <t>**Description**  
Tyler Technologies is looking for a talented Software Engineer to bring new ideas and creative thinking to our Public Safety Products Division. This role focuses on designing, developing, and maintaining mission\-critical, cloud\-hosted services that support real\-time communication between dispatch systems and officers in the field.  
The ideal candidate has strong experience building modern .NET applications, enjoys working in collaborative Agile teams, and is excited to help build scalable, highly available systems in AWS.#### **Responsibilities**
* Design, develop, test, and maintain .NET Core\-based services and APIs.
* Build and support scalable, cloud\-hosted solutions running on AWS (EC2, Lambda, CI/CD pipelines).
* Participate in the full software development lifecycle: analysis, design, implementation, testing, deployment, and support.
* Collaborate with software engineers, architects, and business analysts to solve complex technical problems.
* Advocate for best practices in architecture, design patterns, naming conventions, and code quality.
* Contribute to Agile team ceremonies and continuous improvement efforts.
* Ensure long\-term success of public safety products by delivering reliable, high\-quality technical solutions.
* Continuously grow technical skills through independent research and hands\-on learning.
#### **Qualifications**
* Bachelor's degree in Computer Science or a related technical field.
* 3\+ years of experience designing and developing production software systems.
* 3\+ years of C\# development experience with strong object\-oriented design skills.
* Experience with .NET Core, including asynchronous and multi\-threaded programming models.
* Experience with relational databases such as PostgreSQL, Microsoft SQL Server, or similar.
* Experience with NoSQL data stores (e.g., DynamoDB or similar) is a plus.
* Familiarity with front\-end frameworks such as Angular is a plus.
* Experience with AWS or other cloud platforms, including concepts such as EC2, Lambda, CI/CD, and infrastructure as code.
* Experience using modern development tools (Visual Studio, Git, JIRA).
* Strong communication skills and the ability to collaborate effectively in cross\-functional teams.
* Ability to learn new technologies quickly and adapt in a fast\-paced environment.</t>
        </is>
      </c>
    </row>
    <row r="41">
      <c r="A41" t="inlineStr">
        <is>
          <t>in-013962847e59f4a1</t>
        </is>
      </c>
      <c r="B41" t="inlineStr">
        <is>
          <t>Software Engineer</t>
        </is>
      </c>
      <c r="C41" t="inlineStr">
        <is>
          <t>Tyler Technologies</t>
        </is>
      </c>
      <c r="D41" t="inlineStr">
        <is>
          <t>indeed</t>
        </is>
      </c>
      <c r="E41">
        <f>HYPERLINK("https://www.indeed.com/viewjob?jk=013962847e59f4a1", "https://www.indeed.com/viewjob?jk=013962847e59f4a1")</f>
        <v/>
      </c>
      <c r="F41">
        <f>HYPERLINK("https://tylertechcareers.ttcportals.com/jobs/17308643-software-engineer?tm_job=2026-8349&amp;tm_event=view&amp;tm_company=14220", "https://tylertechcareers.ttcportals.com/jobs/17308643-software-engineer?tm_job=2026-8349&amp;tm_event=view&amp;tm_company=14220")</f>
        <v/>
      </c>
      <c r="G41" t="inlineStr">
        <is>
          <t>Troy, MI, US</t>
        </is>
      </c>
      <c r="H41" s="2" t="n">
        <v>46057</v>
      </c>
      <c r="I41" t="inlineStr">
        <is>
          <t>**Description**  
Tyler Technologies is looking for an innovative, talented, and passionate Software Engineer to help us build the next generation of industry\-leading Public Safety solutions. We are looking for an engineer who will take a key role on our team long\-term. You will be part of a cross\-functional team that is responsible for the full software development life cycle, from conception to deployment.
As a Full Stack Developer, you should be comfortable around both front\-end and back\-end coding languages, leveraging AI tools, development frameworks and third\-party libraries.
**Responsibilities:**
---------------------
* Develop and maintain web applications using Laravel and Vue.js
* Write clean, efficient, and scalable code
* Collaborate with other team members to develop and implement new features and functionality
* Understand user requirements and develop technical solutions that meet those needs
Design and implement database structures, integrate APIs, and implement security measures  
* 
**Qualifications:**
-------------------
* Strong background in web development, with considerable experience in Laravel and Vue.js
* Experience with frontend technologies such as HTML, CSS, and JavaScript
* Proficiency in Laravel, including experience with database design, integration with APIs, and queue jobs
* Strong experience with unit and integration testing in Laravel
* Strong understanding of web security principles and best practices
* Comfortable with using Claude Code, Codex, or similar agentic tooling
* Interested in developing AI enabled features
* Knowledge of design patterns, data structures, and software engineering best practices
* Proficiency with Structured and NoSQL Databases including MySQL
* Experience with Cloud Services like AWS is a plus
* Experience with inertiajs and Laravel Nova is a plus</t>
        </is>
      </c>
    </row>
    <row r="42">
      <c r="A42" t="inlineStr">
        <is>
          <t>in-a455ee7601a03cee</t>
        </is>
      </c>
      <c r="B42" t="inlineStr">
        <is>
          <t>Software Engineer</t>
        </is>
      </c>
      <c r="C42" t="inlineStr">
        <is>
          <t>Tyler Technologies</t>
        </is>
      </c>
      <c r="D42" t="inlineStr">
        <is>
          <t>indeed</t>
        </is>
      </c>
      <c r="E42">
        <f>HYPERLINK("https://www.indeed.com/viewjob?jk=a455ee7601a03cee", "https://www.indeed.com/viewjob?jk=a455ee7601a03cee")</f>
        <v/>
      </c>
      <c r="F42">
        <f>HYPERLINK("https://tylertechcareers.ttcportals.com/jobs/17308649-software-engineer?tm_job=2026-8349-OTHLOC-C1H9Xfwy&amp;tm_event=view&amp;tm_company=14220", "https://tylertechcareers.ttcportals.com/jobs/17308649-software-engineer?tm_job=2026-8349-OTHLOC-C1H9Xfwy&amp;tm_event=view&amp;tm_company=14220")</f>
        <v/>
      </c>
      <c r="G42" t="inlineStr">
        <is>
          <t>Lubbock, TX, US</t>
        </is>
      </c>
      <c r="H42" s="2" t="n">
        <v>46057</v>
      </c>
      <c r="I42" t="inlineStr">
        <is>
          <t>**Description**  
Tyler Technologies is looking for an innovative, talented, and passionate Software Engineer to help us build the next generation of industry\-leading Public Safety solutions. We are looking for an engineer who will take a key role on our team long\-term. You will be part of a cross\-functional team that is responsible for the full software development life cycle, from conception to deployment.
As a Full Stack Developer, you should be comfortable around both front\-end and back\-end coding languages, leveraging AI tools, development frameworks and third\-party libraries.
**Responsibilities:**
---------------------
* Develop and maintain web applications using Laravel and Vue.js
* Write clean, efficient, and scalable code
* Collaborate with other team members to develop and implement new features and functionality
* Understand user requirements and develop technical solutions that meet those needs
Design and implement database structures, integrate APIs, and implement security measures  
* 
**Qualifications:**
-------------------
* Strong background in web development, with considerable experience in Laravel and Vue.js
* Experience with frontend technologies such as HTML, CSS, and JavaScript
* Proficiency in Laravel, including experience with database design, integration with APIs, and queue jobs
* Strong experience with unit and integration testing in Laravel
* Strong understanding of web security principles and best practices
* Comfortable with using Claude Code, Codex, or similar agentic tooling
* Interested in developing AI enabled features
* Knowledge of design patterns, data structures, and software engineering best practices
* Proficiency with Structured and NoSQL Databases including MySQL
* Experience with Cloud Services like AWS is a plus
* Experience with inertiajs and Laravel Nova is a plus</t>
        </is>
      </c>
    </row>
    <row r="43">
      <c r="A43" t="inlineStr">
        <is>
          <t>in-f790861999dd023a</t>
        </is>
      </c>
      <c r="B43" t="inlineStr">
        <is>
          <t>Software Engineer</t>
        </is>
      </c>
      <c r="C43" t="inlineStr">
        <is>
          <t>Tyler Technologies</t>
        </is>
      </c>
      <c r="D43" t="inlineStr">
        <is>
          <t>indeed</t>
        </is>
      </c>
      <c r="E43">
        <f>HYPERLINK("https://www.indeed.com/viewjob?jk=f790861999dd023a", "https://www.indeed.com/viewjob?jk=f790861999dd023a")</f>
        <v/>
      </c>
      <c r="F43">
        <f>HYPERLINK("https://tylertechcareers.ttcportals.com/jobs/17308655-software-engineer?tm_job=2026-8349-OTHLOC-CTf9YfwZ&amp;tm_event=view&amp;tm_company=14220", "https://tylertechcareers.ttcportals.com/jobs/17308655-software-engineer?tm_job=2026-8349-OTHLOC-CTf9YfwZ&amp;tm_event=view&amp;tm_company=14220")</f>
        <v/>
      </c>
      <c r="G43" t="inlineStr">
        <is>
          <t>Overland Park, KS, US</t>
        </is>
      </c>
      <c r="H43" s="2" t="n">
        <v>46057</v>
      </c>
      <c r="I43" t="inlineStr">
        <is>
          <t>**Description**  
Tyler Technologies is looking for an innovative, talented, and passionate Software Engineer to help us build the next generation of industry\-leading Public Safety solutions. We are looking for an engineer who will take a key role on our team long\-term. You will be part of a cross\-functional team that is responsible for the full software development life cycle, from conception to deployment.
As a Full Stack Developer, you should be comfortable around both front\-end and back\-end coding languages, leveraging AI tools, development frameworks and third\-party libraries.
**Responsibilities:**
---------------------
* Develop and maintain web applications using Laravel and Vue.js
* Write clean, efficient, and scalable code
* Collaborate with other team members to develop and implement new features and functionality
* Understand user requirements and develop technical solutions that meet those needs
Design and implement database structures, integrate APIs, and implement security measures  
* 
**Qualifications:**
-------------------
* Strong background in web development, with considerable experience in Laravel and Vue.js
* Experience with frontend technologies such as HTML, CSS, and JavaScript
* Proficiency in Laravel, including experience with database design, integration with APIs, and queue jobs
* Strong experience with unit and integration testing in Laravel
* Strong understanding of web security principles and best practices
* Comfortable with using Claude Code, Codex, or similar agentic tooling
* Interested in developing AI enabled features
* Knowledge of design patterns, data structures, and software engineering best practices
* Proficiency with Structured and NoSQL Databases including MySQL
* Experience with Cloud Services like AWS is a plus
* Experience with inertiajs and Laravel Nova is a plus</t>
        </is>
      </c>
    </row>
    <row r="44">
      <c r="A44" t="inlineStr">
        <is>
          <t>in-d5be19dcbeaa6f5e</t>
        </is>
      </c>
      <c r="B44" t="inlineStr">
        <is>
          <t>Software Engineer</t>
        </is>
      </c>
      <c r="C44" t="inlineStr">
        <is>
          <t>Tyler Technologies</t>
        </is>
      </c>
      <c r="D44" t="inlineStr">
        <is>
          <t>indeed</t>
        </is>
      </c>
      <c r="E44">
        <f>HYPERLINK("https://www.indeed.com/viewjob?jk=d5be19dcbeaa6f5e", "https://www.indeed.com/viewjob?jk=d5be19dcbeaa6f5e")</f>
        <v/>
      </c>
      <c r="F44">
        <f>HYPERLINK("https://tylertechcareers.ttcportals.com/jobs/17308653-software-engineer?tm_job=2026-8349-OTHLOC-C3H9XfwA&amp;tm_event=view&amp;tm_company=14220", "https://tylertechcareers.ttcportals.com/jobs/17308653-software-engineer?tm_job=2026-8349-OTHLOC-C3H9XfwA&amp;tm_event=view&amp;tm_company=14220")</f>
        <v/>
      </c>
      <c r="G44" t="inlineStr">
        <is>
          <t>Herndon, VA, US</t>
        </is>
      </c>
      <c r="H44" s="2" t="n">
        <v>46057</v>
      </c>
      <c r="I44" t="inlineStr">
        <is>
          <t>**Description**  
Tyler Technologies is looking for an innovative, talented, and passionate Software Engineer to help us build the next generation of industry\-leading Public Safety solutions. We are looking for an engineer who will take a key role on our team long\-term. You will be part of a cross\-functional team that is responsible for the full software development life cycle, from conception to deployment.
As a Full Stack Developer, you should be comfortable around both front\-end and back\-end coding languages, leveraging AI tools, development frameworks and third\-party libraries.
**Responsibilities:**
---------------------
* Develop and maintain web applications using Laravel and Vue.js
* Write clean, efficient, and scalable code
* Collaborate with other team members to develop and implement new features and functionality
* Understand user requirements and develop technical solutions that meet those needs
Design and implement database structures, integrate APIs, and implement security measures  
* 
**Qualifications:**
-------------------
* Strong background in web development, with considerable experience in Laravel and Vue.js
* Experience with frontend technologies such as HTML, CSS, and JavaScript
* Proficiency in Laravel, including experience with database design, integration with APIs, and queue jobs
* Strong experience with unit and integration testing in Laravel
* Strong understanding of web security principles and best practices
* Comfortable with using Claude Code, Codex, or similar agentic tooling
* Interested in developing AI enabled features
* Knowledge of design patterns, data structures, and software engineering best practices
* Proficiency with Structured and NoSQL Databases including MySQL
* Experience with Cloud Services like AWS is a plus
* Experience with inertiajs and Laravel Nova is a plus</t>
        </is>
      </c>
    </row>
    <row r="45">
      <c r="A45" t="inlineStr">
        <is>
          <t>in-36d8a01df4a20965</t>
        </is>
      </c>
      <c r="B45" t="inlineStr">
        <is>
          <t>Software Engineer</t>
        </is>
      </c>
      <c r="C45" t="inlineStr">
        <is>
          <t>Tyler Technologies</t>
        </is>
      </c>
      <c r="D45" t="inlineStr">
        <is>
          <t>indeed</t>
        </is>
      </c>
      <c r="E45">
        <f>HYPERLINK("https://www.indeed.com/viewjob?jk=36d8a01df4a20965", "https://www.indeed.com/viewjob?jk=36d8a01df4a20965")</f>
        <v/>
      </c>
      <c r="F45">
        <f>HYPERLINK("https://tylertechcareers.ttcportals.com/jobs/17308652-software-engineer?tm_job=2026-8349-OTHLOC-C2H9Xfwz&amp;tm_event=view&amp;tm_company=14220", "https://tylertechcareers.ttcportals.com/jobs/17308652-software-engineer?tm_job=2026-8349-OTHLOC-C2H9Xfwz&amp;tm_event=view&amp;tm_company=14220")</f>
        <v/>
      </c>
      <c r="G45" t="inlineStr">
        <is>
          <t>Plano, TX, US</t>
        </is>
      </c>
      <c r="H45" s="2" t="n">
        <v>46057</v>
      </c>
      <c r="I45" t="inlineStr">
        <is>
          <t>**Description**  
Tyler Technologies is looking for an innovative, talented, and passionate Software Engineer to help us build the next generation of industry\-leading Public Safety solutions. We are looking for an engineer who will take a key role on our team long\-term. You will be part of a cross\-functional team that is responsible for the full software development life cycle, from conception to deployment.
As a Full Stack Developer, you should be comfortable around both front\-end and back\-end coding languages, leveraging AI tools, development frameworks and third\-party libraries.
**Responsibilities:**
---------------------
* Develop and maintain web applications using Laravel and Vue.js
* Write clean, efficient, and scalable code
* Collaborate with other team members to develop and implement new features and functionality
* Understand user requirements and develop technical solutions that meet those needs
Design and implement database structures, integrate APIs, and implement security measures  
* 
**Qualifications:**
-------------------
* Strong background in web development, with considerable experience in Laravel and Vue.js
* Experience with frontend technologies such as HTML, CSS, and JavaScript
* Proficiency in Laravel, including experience with database design, integration with APIs, and queue jobs
* Strong experience with unit and integration testing in Laravel
* Strong understanding of web security principles and best practices
* Comfortable with using Claude Code, Codex, or similar agentic tooling
* Interested in developing AI enabled features
* Knowledge of design patterns, data structures, and software engineering best practices
* Proficiency with Structured and NoSQL Databases including MySQL
* Experience with Cloud Services like AWS is a plus
* Experience with inertiajs and Laravel Nova is a plus</t>
        </is>
      </c>
    </row>
    <row r="46">
      <c r="A46" t="inlineStr">
        <is>
          <t>in-0a4c851df281de18</t>
        </is>
      </c>
      <c r="B46" t="inlineStr">
        <is>
          <t>Software Engineer</t>
        </is>
      </c>
      <c r="C46" t="inlineStr">
        <is>
          <t>Tyler Technologies</t>
        </is>
      </c>
      <c r="D46" t="inlineStr">
        <is>
          <t>indeed</t>
        </is>
      </c>
      <c r="E46">
        <f>HYPERLINK("https://www.indeed.com/viewjob?jk=0a4c851df281de18", "https://www.indeed.com/viewjob?jk=0a4c851df281de18")</f>
        <v/>
      </c>
      <c r="F46">
        <f>HYPERLINK("https://tylertechcareers.ttcportals.com/jobs/17308646-software-engineer?tm_job=2026-8349-OTHLOC-CNH9Xfwk&amp;tm_event=view&amp;tm_company=14220", "https://tylertechcareers.ttcportals.com/jobs/17308646-software-engineer?tm_job=2026-8349-OTHLOC-CNH9Xfwk&amp;tm_event=view&amp;tm_company=14220")</f>
        <v/>
      </c>
      <c r="G46" t="inlineStr">
        <is>
          <t>Yarmouth, ME, US</t>
        </is>
      </c>
      <c r="H46" s="2" t="n">
        <v>46057</v>
      </c>
      <c r="I46" t="inlineStr">
        <is>
          <t>**Description**  
Tyler Technologies is looking for an innovative, talented, and passionate Software Engineer to help us build the next generation of industry\-leading Public Safety solutions. We are looking for an engineer who will take a key role on our team long\-term. You will be part of a cross\-functional team that is responsible for the full software development life cycle, from conception to deployment.
As a Full Stack Developer, you should be comfortable around both front\-end and back\-end coding languages, leveraging AI tools, development frameworks and third\-party libraries.
**Responsibilities:**
---------------------
* Develop and maintain web applications using Laravel and Vue.js
* Write clean, efficient, and scalable code
* Collaborate with other team members to develop and implement new features and functionality
* Understand user requirements and develop technical solutions that meet those needs
Design and implement database structures, integrate APIs, and implement security measures  
* 
**Qualifications:**
-------------------
* Strong background in web development, with considerable experience in Laravel and Vue.js
* Experience with frontend technologies such as HTML, CSS, and JavaScript
* Proficiency in Laravel, including experience with database design, integration with APIs, and queue jobs
* Strong experience with unit and integration testing in Laravel
* Strong understanding of web security principles and best practices
* Comfortable with using Claude Code, Codex, or similar agentic tooling
* Interested in developing AI enabled features
* Knowledge of design patterns, data structures, and software engineering best practices
* Proficiency with Structured and NoSQL Databases including MySQL
* Experience with Cloud Services like AWS is a plus
* Experience with inertiajs and Laravel Nova is a plus</t>
        </is>
      </c>
    </row>
    <row r="47">
      <c r="A47" t="inlineStr">
        <is>
          <t>in-84bb5aa9e39e1b42</t>
        </is>
      </c>
      <c r="B47" t="inlineStr">
        <is>
          <t>Senior Lead Software Engineer</t>
        </is>
      </c>
      <c r="C47" t="inlineStr">
        <is>
          <t>Tyler Technologies</t>
        </is>
      </c>
      <c r="D47" t="inlineStr">
        <is>
          <t>indeed</t>
        </is>
      </c>
      <c r="E47">
        <f>HYPERLINK("https://www.indeed.com/viewjob?jk=84bb5aa9e39e1b42", "https://www.indeed.com/viewjob?jk=84bb5aa9e39e1b42")</f>
        <v/>
      </c>
      <c r="F47">
        <f>HYPERLINK("https://tylertechcareers.ttcportals.com/jobs/17306276-senior-lead-software-engineer?tm_job=2026-8344&amp;tm_event=view&amp;tm_company=14220", "https://tylertechcareers.ttcportals.com/jobs/17306276-senior-lead-software-engineer?tm_job=2026-8344&amp;tm_event=view&amp;tm_company=14220")</f>
        <v/>
      </c>
      <c r="G47" t="inlineStr">
        <is>
          <t>Lakewood, CO, US</t>
        </is>
      </c>
      <c r="H47" s="2" t="n">
        <v>46057</v>
      </c>
      <c r="I47" t="inlineStr">
        <is>
          <t>**Description**
The Senior Lead Software Engineer is responsible for generating creative solutions to address highly complex and critical issues to current applications and/or to create new solutions that address clients’ needs. The Senior Lead Software Engineer is key team player who will take ownership of issues and problems and see them through to a successful resolution exercising judgement with little direction or guidance.
**Responsibilities:**
---------------------
* Participate in technical design of new applications and existing system enhancements.
* Provide high\-level analysis and design to address and create well\-integrated application systems.
* Create clear and concise program specifications that will enable Software Engineers to code the program with minimal additional guidance.
* Develop highly complex and critical new application solutions and enhance existing solutions by coding system features according to system designs.
* Lead team to meet the goals of assigned projects (e.g. best practice initiatives, developing a new solution to address a never before seen client request, etc.).
* This involves providing technical project leadership for highly complex solutions; driving technical direction in partnership with architects, senior leadership, etc.
* Provide guidance and direction to less experienced staff to ensure bugs to existing applications are fixed and/or to clear up operational deficiencies in both previously released software and software slated for future release.
* Assure program, module and system integrity through thorough testing and adherence to company standards and procedures.
* Lead phases of the software development life cycle, including research, design, analysis, requirements, implementation, test automation, and maintenance.
* Utilize new technologies and tools to modify products and provide integration with applications developed internally and externally.
* Prepare and modify program and system documentation.
* Provide guidance to less experienced team members to ensure knowledge transfer and training are successfully meeting department goals.
* Demonstrate the willingness to take any project and successfully implement it with little or no help from more senior resources.
* Demonstrate a high degree of skill, efficiency and be a leader to less experienced development staff.
* Develop programs that are highly complex in nature, adhering to established departmental standards.
* Learn and implement new technologies and architectures within a reasonably quick timeframe while producing and testing high quality software.
* Demonstrate expert knowledge of software development practices, concepts, and technologies obtained through formal training and work experience.
* Demonstrate expert knowledge of required programming languages.
* Demonstrate expert knowledge of the technical/business environment.
* Effectively partner, communicate, and negotiate with business analyst, development and support groups in order to gather and communicate business requirements.
* Work on individual programs that are part of a much larger application.
* Adapt to changing products and technologies.
* Fix bugs in existing, often unfamiliar programs, under considerable time constraints.
* Manage and prioritize often conflicting tasks and interruptions so as to minimize their impact on the current deadlines and workload.
**Qualifications:**
-------------------
* Bachelor’s degree in computer science, computer engineering, or comparable work experience.
* Typically ten or more years of software development experience with database technology.
* Demonstrated expert knowledge of software development practices, computer science theory, and understanding of relevant technologies.
* Relevant Technologies:  
PHP Native  
JavaScript / NodeJS  
AWS  
MySQL  
Java / Kotlin  
Obj C / Swift  
Docker  
Apache Server  
OpenAPI  
Harness</t>
        </is>
      </c>
    </row>
    <row r="48">
      <c r="A48" t="inlineStr">
        <is>
          <t>in-15f280e8d58d8f6e</t>
        </is>
      </c>
      <c r="B48" t="inlineStr">
        <is>
          <t>Full Stack Software Engineer</t>
        </is>
      </c>
      <c r="C48" t="inlineStr">
        <is>
          <t>State Farm</t>
        </is>
      </c>
      <c r="D48" t="inlineStr">
        <is>
          <t>indeed</t>
        </is>
      </c>
      <c r="E48">
        <f>HYPERLINK("https://www.indeed.com/viewjob?jk=15f280e8d58d8f6e", "https://www.indeed.com/viewjob?jk=15f280e8d58d8f6e")</f>
        <v/>
      </c>
      <c r="F48">
        <f>HYPERLINK("https://jobs.statefarm.com/jobs/43475/job?utm_source=indeed_integration&amp;iis=Job%20Board&amp;iisn=Indeed&amp;indeed-apply-token=73a2d2b2a8d6d5c0a62696875eaebd669103652d3f0c2cd5445d3e66b1592b0f", "https://jobs.statefarm.com/jobs/43475/job?utm_source=indeed_integration&amp;iis=Job%20Board&amp;iisn=Indeed&amp;indeed-apply-token=73a2d2b2a8d6d5c0a62696875eaebd669103652d3f0c2cd5445d3e66b1592b0f")</f>
        <v/>
      </c>
      <c r="G48" t="inlineStr">
        <is>
          <t>Bloomington, IL, US</t>
        </is>
      </c>
      <c r="H48" s="2" t="n">
        <v>46057</v>
      </c>
      <c r="I48" t="inlineStr">
        <is>
          <t>Overview:
Being good neighbors – helping people, investing in our communities, and making the world a better place – is who we are at State Farm. It is at the core of how we operate and the reason for our success. Come join a \#1 team and do some good!
Grow Your Skills, Grow Your Potential:
Responsibilities:
**Join Our Team: Full Stack Software Engineer at State Farm**
State Farm is seeking a highly skilled and motivated Full Stack Software Engineer to join our engineering team. In this role, you will have the opportunity to design, develop, and deliver multi\-platform solutions supporting the automation Enterprise Test Data Management. You will collaborate closely with a dynamic group of engineers and stakeholders in a fast\-paced, supportive environment that emphasizes continuous improvement and customer success.**What You’ll Do*** **Develop Solutions:** Analyze business and technical requirements to design and implement software solutions that effectively address consumer and stakeholder needs.
* **Design, Build, and Maintain:** Create, test, and deliver innovative, scalable, and reliable software for production environments using iterative and agile development methodologies.
* **Collaborate Effectively:** Partner closely with engineering team members, subject matter experts, and business stakeholders to ensure a successful project delivery.
* **Optimize and Troubleshoot:** Continuously enhance software performance, scalability, and security while identifying and resolving issues.
* **Take Ownership:** Independently manage your tasks and responsibilities, delivering high\-quality work on time while seeking support when needed.
* **Learn and Grow:** Continuously expand your technical expertise by staying current with emerging technologies, cloud platforms, automation tools, and industry best practices.
Qualifications:
**What We're Looking For*** Experience: 3\+ years of software development experience, or demonstrable expertise in designing and building robust software solutions.
* Programming Skills: Proficiency in Python, Java, JavaScript, or comparable programming languages.
* Data Expertise: Hands\-on experience with diverse data types, including structured data (e.g., relational databases, RDS, SQL) and unstructured data formats (e.g., JSON, Parquet, XML). Familiarity with data design principles and data integration techniques is a plus.
* Application Frameworks: Strong knowledge of application frameworks, development best practices, and software development lifecycle processes.
* DevOps \&amp; Automation: Practical experience with DevOps methodologies, CI/CD pipelines, automated testing, and building automation solutions.
* Problem\-Solving \&amp; Teamwork: Strong analytical and problem\-solving abilities combined with a customer\-focused mindset. Ability to collaborate effectively within a team and clearly communicate.
* Continuous Improvement: Willingness to stay current with emerging technologies and industry trends to recommend and implement improvements.
**Preferred Qualifications*** **Mainframe Knowledge:** Experience with mainframe systems and automation leveraging Python and other non\-mainframe technologies is desirable.
* **Infrastructure \&amp; Cloud:** Solid understanding of infrastructure management and cloud platforms, with a focus on AWS. Familiarity with AWS services such as EC2, Lambda, and RDS is preferred.
* **Automation \&amp; Scripting:** Practical, hands\-on experience with automation tools and scripting languages to enhance operational efficiency.
* **Resourcefulness \&amp; Customer Focus:** Demonstrated ability to be resourceful and maintain a strong customer\-centric approach in all tasks.
**Join State Farm!**
As a Fortune 50 company, we hire the best employees to serve our customers, making us a leader in the insurance and financial services industry. State Farm embraces diversity and inclusion to ensure a workforce that is engaged, builds on the strengths and talents of all associates, and creates a Good Neighbor culture.
We offer competitive benefits and pay with the potential for an annual financial award based on both individual and enterprise performance. Our employees have an opportunity to participate in volunteer events within the community and engage in a learning culture. We offer programs to assist with tuition reimbursement, professional designations, employee development, wellness initiatives, and more!
Visit our Careers page for more information on our benefits, locations and the process of joining the State Farm team!**HYBRID:** Qualified candidates (in or near hub locations listed below) should plan to spend time working from home and some time working in the office as part of our hybrid work environment.**HUB LOCATIONS:** Bloomington, IL\-Corporate, Dunwoody, GA\-Park Center, or Tempe, AZ\-Marina Heights Hub locations.**Competitive Benefits, including:*** 401k Plan
* Health Insurance
* Dental/Vision plans
* Life Insurance
* Paid Time Off
* Annual Merit Increases
* Tuition Reimbursement
* Health Initiatives
* For more details visit our benefits summary page
\#LI\-Hybrid  
SFARM  
Our Benefits:
Because work\-life balance is a priority at State Farm, compensation is based on our standard 38:45\-hour work week!  
* Potential starting salary range: $104,000 \- $130,000
* + Starting salary will be based on skills, background, and experience
	+ High end of the range limited to applicants with significant relevant experience
* Potential yearly incentive pay up to 18% of base salary
 **At State Farm, we offer more than just a paycheck. Check out our suite of benefits designed to give you the flexibility you need to take care of you and your family!*** **Get Paid!** On top of our competitive pay, you are eligible for an annual raise and bonus.
* **Stay Well!** Focus on you and your family’s health with our robust health and wellbeing programs. State Farm pays most of your healthcare premium, and we offer multiple healthcare plan options, including a high deductible plan. All medical plans provide 100% coverage for in\-network preventative care, AND you and your family have access to vision, dental, telemedicine, 24/7 mental health professionals, and much more!
* **Develop and Grow!** Take advantage of educational benefits like industry leading training programs, top\-notch tuition assistance programs, employee resource groups, and mentoring.
* **Plan Ahead!** Plan for those big moments in life with benefits like fertility/IVF/adoption assistance, college coaching, national discount programs, interactive monthly financial workshops, free financial coaching, and more. You can also start a savings account or consider financing through our State Farm Federal Credit Union!
* **Take a Little “You” Time!** You will have access to our generous time off policies designed so you can plan around holidays, family events, volunteering, or just to take a relaxing day off. With the opportunity to initially earn up to 20 days annually plus parental leave, paid holidays, celebration day, life leave (40 hours/year), bereavement leave, and community service/education support days, there will be plenty of time for you!
* **Give Back!** We offer several ways to give back through our Matching Gift Program, Good Neighbor Grant Program, and the Employee Assistance Fund.
* **Finish Strong!** Plan for retirement using free financial advisors and a 401(k) plan with company contributions of up to 7% of your salary.
 **Visit our** **State Farm Careers** **page for more information on our** **benefits****,** **locations****, and the** **hiring process** **of joining the State Farm team!**</t>
        </is>
      </c>
    </row>
    <row r="49">
      <c r="A49" t="inlineStr">
        <is>
          <t>in-55af0619aa1a9c3c</t>
        </is>
      </c>
      <c r="B49" t="inlineStr">
        <is>
          <t>Software Engineer- Domain Expert Lead (Contract), AGI - Data Services</t>
        </is>
      </c>
      <c r="C49" t="inlineStr">
        <is>
          <t>Amazon.com</t>
        </is>
      </c>
      <c r="D49" t="inlineStr">
        <is>
          <t>indeed</t>
        </is>
      </c>
      <c r="E49">
        <f>HYPERLINK("https://www.indeed.com/viewjob?jk=55af0619aa1a9c3c", "https://www.indeed.com/viewjob?jk=55af0619aa1a9c3c")</f>
        <v/>
      </c>
      <c r="F49">
        <f>HYPERLINK("https://www.amazon.jobs/jobs/3163978/software-engineer-domain-expert-lead-contract-agi--data-services?cmpid=DA_INAD200785B", "https://www.amazon.jobs/jobs/3163978/software-engineer-domain-expert-lead-contract-agi--data-services?cmpid=DA_INAD200785B")</f>
        <v/>
      </c>
      <c r="G49" t="inlineStr">
        <is>
          <t>Boston, MA, US</t>
        </is>
      </c>
      <c r="H49" s="2" t="n">
        <v>46029</v>
      </c>
      <c r="I49" t="inlineStr">
        <is>
          <t>**DESCRIPTION**
---------------
\*\*This is currently a temporary contract opportunity (12 months duration) based on business needs\*\*  
Embark on a transformative journey as our Sr. Domain Expert Lead, where intellectual rigor meets technological innovation. As a Sr. Domain Expert Lead, you will blend your advanced analytical skills and domain expertise to provide strategic oversight to our human\-in\-the\-loop and model\-in\-the\-loop data pipelines. You will also provide mentorship and guidance to junior team members. Your responsibilities will ensure data excellence through strategic oversight of high\-quality data output, while delivering expert consultation throughout the pipeline and fostering iterative development. This position directly impacts the effectiveness and reliability of our AI solutions by maintaining the highest standards of data quality throughout the development process while building capability within the broader team.  
Key job responsibilities  
* Serve as a trusted domain advisor to cross\-functional teams, providing strategic direction and specialized problem\-solving support
* Champion domain knowledge sharing across multiple channels and teams to maintain data quality excellence and standardization
* Drive collaborative efforts with science teams to optimize output of complex data collections in your domain expertise, ensuring data excellence through iterative feedback loops
* Foster team excellence through mentorship and motivation of peers and junior team members
* Make informed decisions on behalf of our customers, ensuring that selected code meets industry standards, best practices, and specific client needs
* Collaborate with AI teams to innovate model\-in\-the\-loop and human\-in\-the\-loop approaches, to ensure the collection of high\-quality data, safeguarding data privacy and security for LLM training, and more.
* Stay abreast of the latest developments in how LLMs and GenAI can be applied to your area of expertise to ensure our evaluations remain cutting\-edge.
* Develop and write demonstrations to illustrate "what good data looks like" in terms of meeting benchmarks for quality and efficiency
* Provide detailed feedback and explanations for your evaluations, helping to refine and improve the LLM's understanding and output
**BASIC QUALIFICATIONS**
------------------------
* 2\+ years of non\-internship design or architecture (design patterns, reliability and scaling) of new and existing systems experience
* Bachelor's degree in computer science or equivalent
* Experience guiding and coaching other developers
* Previous experience working with or evaluating AI systems
**PREFERRED QUALIFICATIONS**
----------------------------
* 3\+ years of full software development life cycle, including coding standards, code reviews, source control management, build processes, testing, and operations experience
* Prior experience in defining and creating benchmarks for assessing GenAI model performance
* Excellent written and verbal communication skills, with the ability to explain complex concepts clearly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$62\.16/hr in our lowest geographic market up to $107\.50/hr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0">
      <c r="A50" t="inlineStr">
        <is>
          <t>in-05bc1e79c0979538</t>
        </is>
      </c>
      <c r="B50" t="inlineStr">
        <is>
          <t>Software Engineer- Domain Expert Lead (Contract), AGI - Data Services</t>
        </is>
      </c>
      <c r="C50" t="inlineStr">
        <is>
          <t>Amazon.com</t>
        </is>
      </c>
      <c r="D50" t="inlineStr">
        <is>
          <t>indeed</t>
        </is>
      </c>
      <c r="E50">
        <f>HYPERLINK("https://www.indeed.com/viewjob?jk=05bc1e79c0979538", "https://www.indeed.com/viewjob?jk=05bc1e79c0979538")</f>
        <v/>
      </c>
      <c r="F50">
        <f>HYPERLINK("https://www.amazon.jobs/jobs/3163978/software-engineer-domain-expert-lead-contract-agi--data-services?cmpid=DA_INAD200785B", "https://www.amazon.jobs/jobs/3163978/software-engineer-domain-expert-lead-contract-agi--data-services?cmpid=DA_INAD200785B")</f>
        <v/>
      </c>
      <c r="G50" t="inlineStr">
        <is>
          <t>Bellevue, WA, US</t>
        </is>
      </c>
      <c r="H50" s="2" t="n">
        <v>46029</v>
      </c>
      <c r="I50" t="inlineStr">
        <is>
          <t>**DESCRIPTION**
---------------
\*\*This is currently a temporary contract opportunity (12 months duration) based on business needs\*\*  
Embark on a transformative journey as our Sr. Domain Expert Lead, where intellectual rigor meets technological innovation. As a Sr. Domain Expert Lead, you will blend your advanced analytical skills and domain expertise to provide strategic oversight to our human\-in\-the\-loop and model\-in\-the\-loop data pipelines. You will also provide mentorship and guidance to junior team members. Your responsibilities will ensure data excellence through strategic oversight of high\-quality data output, while delivering expert consultation throughout the pipeline and fostering iterative development. This position directly impacts the effectiveness and reliability of our AI solutions by maintaining the highest standards of data quality throughout the development process while building capability within the broader team.  
Key job responsibilities  
* Serve as a trusted domain advisor to cross\-functional teams, providing strategic direction and specialized problem\-solving support
* Champion domain knowledge sharing across multiple channels and teams to maintain data quality excellence and standardization
* Drive collaborative efforts with science teams to optimize output of complex data collections in your domain expertise, ensuring data excellence through iterative feedback loops
* Foster team excellence through mentorship and motivation of peers and junior team members
* Make informed decisions on behalf of our customers, ensuring that selected code meets industry standards, best practices, and specific client needs
* Collaborate with AI teams to innovate model\-in\-the\-loop and human\-in\-the\-loop approaches, to ensure the collection of high\-quality data, safeguarding data privacy and security for LLM training, and more.
* Stay abreast of the latest developments in how LLMs and GenAI can be applied to your area of expertise to ensure our evaluations remain cutting\-edge.
* Develop and write demonstrations to illustrate "what good data looks like" in terms of meeting benchmarks for quality and efficiency
* Provide detailed feedback and explanations for your evaluations, helping to refine and improve the LLM's understanding and output
**BASIC QUALIFICATIONS**
------------------------
* 2\+ years of non\-internship design or architecture (design patterns, reliability and scaling) of new and existing systems experience
* Bachelor's degree in computer science or equivalent
* Experience guiding and coaching other developers
* Previous experience working with or evaluating AI systems
**PREFERRED QUALIFICATIONS**
----------------------------
* 3\+ years of full software development life cycle, including coding standards, code reviews, source control management, build processes, testing, and operations experience
* Prior experience in defining and creating benchmarks for assessing GenAI model performance
* Excellent written and verbal communication skills, with the ability to explain complex concepts clearly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$62\.16/hr in our lowest geographic market up to $107\.50/hr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1">
      <c r="A51" t="inlineStr">
        <is>
          <t>in-3126763429a69da3</t>
        </is>
      </c>
      <c r="B51" t="inlineStr">
        <is>
          <t>Software Engineer</t>
        </is>
      </c>
      <c r="C51" t="inlineStr">
        <is>
          <t>Amazon.com</t>
        </is>
      </c>
      <c r="D51" t="inlineStr">
        <is>
          <t>indeed</t>
        </is>
      </c>
      <c r="E51">
        <f>HYPERLINK("https://www.indeed.com/viewjob?jk=3126763429a69da3", "https://www.indeed.com/viewjob?jk=3126763429a69da3")</f>
        <v/>
      </c>
      <c r="F51">
        <f>HYPERLINK("https://www.amazon.jobs/jobs/3145977/software-engineer?cmpid=DA_INAD200785B", "https://www.amazon.jobs/jobs/3145977/software-engineer?cmpid=DA_INAD200785B")</f>
        <v/>
      </c>
      <c r="G51" t="inlineStr">
        <is>
          <t>Seattle, WA, US</t>
        </is>
      </c>
      <c r="H51" s="2" t="n">
        <v>46008</v>
      </c>
      <c r="I51"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Creators are the backbone of Twitch, and their sustainability relies primarily on their ability to earn a living doing what they love. As a member of the engineering team, you will report to the Senior Engineering Manger of the Creator Sponsorships team. Your core focus will be building products and features that unlock influencer marketing at scale, enabling creators to earn a living and driving value for brands.  
Our team owns Creator Sponsorships and Drops, with products ranging from greenfield and experimental, to scaled and used by millions. You will become an expert across the breadth of services powering these products \- architecting, building, and operating them. You will be empowered to work across the stack, and will partner with other engineers, product managers, designers, and data specialists to deliver solutions.  
This position is hybrid with a base in San Francisco, CA or Seattle, WA.  
You Will  
* Work with product managers, technical leads, and other engineers to design, develop, launch, and operate interactive experiences
* Build distributed applications at scale
\- Collaborate with both your team and related teams \- fostering shared understanding of how to solve common problems and deliver solutions
* Work backwards from customer problems to drive business impact
Perks  
* Medical, Dental, Vision \&amp; Disability Insurance
* 401(k)
* Maternity \&amp; Parental Leave
* Flexible PTO
* Amazon Employee Discount
About the team  
Twitch is the world's biggest live streaming service, with global communities built around gaming, entertainment, music, sports, cooking, and more. It's where millions of people come together to chat, interact, and make their own entertainment.  
We're about community, inside and out. You'll find coworkers who are eager to team up, collaborate, and smash (or elegantly solve) problems together. We're on a quest to empower live communities, so if this sounds good to you, see what we're up to on LinkedIn and Twitter, get interviewing tips on Instagram, and discover projects we're solving on our Blog.**BASIC QUALIFICATIONS**
------------------------
* 1\+ years of professional software development experience
* Prior experience building consumer\-facing products at scale
* Proficient coding skills in modern languages and frameworks
* Proven ability with algorithms, data structures, data modeling, and schema design
* Minimum of Bachelor’s degree in Computer Science or equivalent experience
**PREFERRED QUALIFICATIONS**
----------------------------
* Experience with languages/frameworks we use at Twitch: Golang, Typescript/React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2">
      <c r="A52" t="inlineStr">
        <is>
          <t>in-0896c18484c0710b</t>
        </is>
      </c>
      <c r="B52" t="inlineStr">
        <is>
          <t>Software Engineer</t>
        </is>
      </c>
      <c r="C52" t="inlineStr">
        <is>
          <t>Amazon.com</t>
        </is>
      </c>
      <c r="D52" t="inlineStr">
        <is>
          <t>indeed</t>
        </is>
      </c>
      <c r="E52">
        <f>HYPERLINK("https://www.indeed.com/viewjob?jk=0896c18484c0710b", "https://www.indeed.com/viewjob?jk=0896c18484c0710b")</f>
        <v/>
      </c>
      <c r="F52">
        <f>HYPERLINK("https://www.amazon.jobs/jobs/3145977/software-engineer?cmpid=DA_INAD200785B", "https://www.amazon.jobs/jobs/3145977/software-engineer?cmpid=DA_INAD200785B")</f>
        <v/>
      </c>
      <c r="G52" t="inlineStr">
        <is>
          <t>San Francisco, CA, US</t>
        </is>
      </c>
      <c r="H52" s="2" t="n">
        <v>46008</v>
      </c>
      <c r="I52"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Creators are the backbone of Twitch, and their sustainability relies primarily on their ability to earn a living doing what they love. As a member of the engineering team, you will report to the Senior Engineering Manger of the Creator Sponsorships team. Your core focus will be building products and features that unlock influencer marketing at scale, enabling creators to earn a living and driving value for brands.  
Our team owns Creator Sponsorships and Drops, with products ranging from greenfield and experimental, to scaled and used by millions. You will become an expert across the breadth of services powering these products \- architecting, building, and operating them. You will be empowered to work across the stack, and will partner with other engineers, product managers, designers, and data specialists to deliver solutions.  
This position is hybrid with a base in San Francisco, CA or Seattle, WA.  
You Will  
* Work with product managers, technical leads, and other engineers to design, develop, launch, and operate interactive experiences
* Build distributed applications at scale
\- Collaborate with both your team and related teams \- fostering shared understanding of how to solve common problems and deliver solutions
* Work backwards from customer problems to drive business impact
Perks  
* Medical, Dental, Vision \&amp; Disability Insurance
* 401(k)
* Maternity \&amp; Parental Leave
* Flexible PTO
* Amazon Employee Discount
About the team  
Twitch is the world's biggest live streaming service, with global communities built around gaming, entertainment, music, sports, cooking, and more. It's where millions of people come together to chat, interact, and make their own entertainment.  
We're about community, inside and out. You'll find coworkers who are eager to team up, collaborate, and smash (or elegantly solve) problems together. We're on a quest to empower live communities, so if this sounds good to you, see what we're up to on LinkedIn and Twitter, get interviewing tips on Instagram, and discover projects we're solving on our Blog.**BASIC QUALIFICATIONS**
------------------------
* 1\+ years of professional software development experience
* Prior experience building consumer\-facing products at scale
* Proficient coding skills in modern languages and frameworks
* Proven ability with algorithms, data structures, data modeling, and schema design
* Minimum of Bachelor’s degree in Computer Science or equivalent experience
**PREFERRED QUALIFICATIONS**
----------------------------
* Experience with languages/frameworks we use at Twitch: Golang, Typescript/React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3">
      <c r="A53" t="inlineStr">
        <is>
          <t>in-e1d76772ad7f8320</t>
        </is>
      </c>
      <c r="B53" t="inlineStr">
        <is>
          <t>Sr. Embedded Software Engineer - FPGA Systems, Amazon Leo's Wireless Systems</t>
        </is>
      </c>
      <c r="C53" t="inlineStr">
        <is>
          <t>Amazon.com</t>
        </is>
      </c>
      <c r="D53" t="inlineStr">
        <is>
          <t>indeed</t>
        </is>
      </c>
      <c r="E53">
        <f>HYPERLINK("https://www.indeed.com/viewjob?jk=e1d76772ad7f8320", "https://www.indeed.com/viewjob?jk=e1d76772ad7f8320")</f>
        <v/>
      </c>
      <c r="F53">
        <f>HYPERLINK("https://www.amazon.jobs/jobs/3146069/sr-embedded-software-engineer--fpga-systems-amazon-leos-wireless-systems-?cmpid=DA_INAD200785B", "https://www.amazon.jobs/jobs/3146069/sr-embedded-software-engineer--fpga-systems-amazon-leos-wireless-systems-?cmpid=DA_INAD200785B")</f>
        <v/>
      </c>
      <c r="G53" t="inlineStr">
        <is>
          <t>San Diego, CA, US</t>
        </is>
      </c>
      <c r="H53" s="2" t="n">
        <v>46008</v>
      </c>
      <c r="I53" t="inlineStr">
        <is>
          <t>**DESCRIPTION**
---------------
Amazon Leo is Amazon’s low Earth orbit satellite network. Our mission is to deliver fast, reliable internet connectivity to customers beyond the reach of existing networks. From individual households to schools, hospitals, businesses, and government agencies, Amazon Leo will serve people and organizations operating in locations without reliable connectivity.  
We are seeking an experienced Sr. FPGA Embedded Software Engineer to join our team. The ideal candidate will develop, implement, and validate embedded software solutions for FPGA\-based systems.  
Export Control Requirement  
Due to applicable export control laws and regulations, candidates must be a U.S. citizen or national, U.S. permanent resident (i.e., current Green Card holder), or lawfully admitted into the U.S. as a refugee or granted asylum.  
Key job responsibilities  
* Design and develop embedded software for FPGA platforms
* Create and maintain firmware for various FPGA applications
* Develop and implement hardware/software interfaces
* Debug complex system issues using logic analyzers and oscilloscopes
* Write and maintain technical documentation
* Collaborate with hardware engineers on system architecture
* Perform code reviews and implement best practices
* Support system integration and validation testing
\*\*Technical Skills:\*\*  
* Programming Languages: C, C\+\+, Python, TCL
* Hardware Description Languages: VHDL, Verilog
* FPGA Tools: Xilinx Vivado, Intel Quartus
* Debug Tools: Logic Analyzers, Oscilloscopes
* Version Control: Git
* Documentation: Doxygen, Technical Writing
**BASIC QUALIFICATIONS**
------------------------
* Bachelor's degree in computer engineering, electrical engineering, or systems engineering
* 8\+ years in embedded software development
* Proficiency in C/C\+\+ programming
* Strong experience with FPGA development tools (Xilinx Vivado, Intel Quartus)
* Knowledge of hardware description languages (VHDL/Verilog)
* Experience with real\-time operating systems (RTOS)
* Familiarity with communication protocols (SPI, I2C, UART, PCIe)
* Strong debugging and problem\-solving skills
**PREFERRED QUALIFICATIONS**
----------------------------
* Master's degree in relevant field
* Experience with Linux kernel development
* Knowledge of Python or TCL scripting
* Experience with version control systems (Git)
* Background in signal processing or digital communications
* Experience with embedded Linux development
* Knowledge of Arm or RISC\-V architectures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\- 159,200\.00 \- 215,300\.00 USD annually  
USA, CA, Sunnyvale \- 183,000\.00 \- 247,600\.00 USD annually  
USA, TX, Austin \- 159,200\.00 \- 215,300\.00 USD annually</t>
        </is>
      </c>
    </row>
    <row r="54">
      <c r="A54" t="inlineStr">
        <is>
          <t>in-f52e0d826ad077d0</t>
        </is>
      </c>
      <c r="B54" t="inlineStr">
        <is>
          <t>Sr. Embedded Software Engineer - FPGA Systems, Amazon Leo's Wireless Systems</t>
        </is>
      </c>
      <c r="C54" t="inlineStr">
        <is>
          <t>Amazon.com</t>
        </is>
      </c>
      <c r="D54" t="inlineStr">
        <is>
          <t>indeed</t>
        </is>
      </c>
      <c r="E54">
        <f>HYPERLINK("https://www.indeed.com/viewjob?jk=f52e0d826ad077d0", "https://www.indeed.com/viewjob?jk=f52e0d826ad077d0")</f>
        <v/>
      </c>
      <c r="F54">
        <f>HYPERLINK("https://www.amazon.jobs/jobs/3146069/sr-embedded-software-engineer--fpga-systems-amazon-leos-wireless-systems-?cmpid=DA_INAD200785B", "https://www.amazon.jobs/jobs/3146069/sr-embedded-software-engineer--fpga-systems-amazon-leos-wireless-systems-?cmpid=DA_INAD200785B")</f>
        <v/>
      </c>
      <c r="G54" t="inlineStr">
        <is>
          <t>Austin, TX, US</t>
        </is>
      </c>
      <c r="H54" s="2" t="n">
        <v>46008</v>
      </c>
      <c r="I54" t="inlineStr">
        <is>
          <t>**DESCRIPTION**
---------------
Amazon Leo is Amazon’s low Earth orbit satellite network. Our mission is to deliver fast, reliable internet connectivity to customers beyond the reach of existing networks. From individual households to schools, hospitals, businesses, and government agencies, Amazon Leo will serve people and organizations operating in locations without reliable connectivity.  
We are seeking an experienced Sr. FPGA Embedded Software Engineer to join our team. The ideal candidate will develop, implement, and validate embedded software solutions for FPGA\-based systems.  
Export Control Requirement  
Due to applicable export control laws and regulations, candidates must be a U.S. citizen or national, U.S. permanent resident (i.e., current Green Card holder), or lawfully admitted into the U.S. as a refugee or granted asylum.  
Key job responsibilities  
* Design and develop embedded software for FPGA platforms
* Create and maintain firmware for various FPGA applications
* Develop and implement hardware/software interfaces
* Debug complex system issues using logic analyzers and oscilloscopes
* Write and maintain technical documentation
* Collaborate with hardware engineers on system architecture
* Perform code reviews and implement best practices
* Support system integration and validation testing
\*\*Technical Skills:\*\*  
* Programming Languages: C, C\+\+, Python, TCL
* Hardware Description Languages: VHDL, Verilog
* FPGA Tools: Xilinx Vivado, Intel Quartus
* Debug Tools: Logic Analyzers, Oscilloscopes
* Version Control: Git
* Documentation: Doxygen, Technical Writing
**BASIC QUALIFICATIONS**
------------------------
* Bachelor's degree in computer engineering, electrical engineering, or systems engineering
* 8\+ years in embedded software development
* Proficiency in C/C\+\+ programming
* Strong experience with FPGA development tools (Xilinx Vivado, Intel Quartus)
* Knowledge of hardware description languages (VHDL/Verilog)
* Experience with real\-time operating systems (RTOS)
* Familiarity with communication protocols (SPI, I2C, UART, PCIe)
* Strong debugging and problem\-solving skills
**PREFERRED QUALIFICATIONS**
----------------------------
* Master's degree in relevant field
* Experience with Linux kernel development
* Knowledge of Python or TCL scripting
* Experience with version control systems (Git)
* Background in signal processing or digital communications
* Experience with embedded Linux development
* Knowledge of Arm or RISC\-V architectures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\- 159,200\.00 \- 215,300\.00 USD annually  
USA, CA, Sunnyvale \- 183,000\.00 \- 247,600\.00 USD annually  
USA, TX, Austin \- 159,200\.00 \- 215,300\.00 USD annually</t>
        </is>
      </c>
    </row>
    <row r="55">
      <c r="A55" t="inlineStr">
        <is>
          <t>in-b2a6c4fdaa8e3bff</t>
        </is>
      </c>
      <c r="B55" t="inlineStr">
        <is>
          <t>Sr. Embedded Software Engineer - FPGA Systems, Amazon Leo's Wireless Systems</t>
        </is>
      </c>
      <c r="C55" t="inlineStr">
        <is>
          <t>Amazon.com</t>
        </is>
      </c>
      <c r="D55" t="inlineStr">
        <is>
          <t>indeed</t>
        </is>
      </c>
      <c r="E55">
        <f>HYPERLINK("https://www.indeed.com/viewjob?jk=b2a6c4fdaa8e3bff", "https://www.indeed.com/viewjob?jk=b2a6c4fdaa8e3bff")</f>
        <v/>
      </c>
      <c r="F55">
        <f>HYPERLINK("https://www.amazon.jobs/jobs/3146069/sr-embedded-software-engineer--fpga-systems-amazon-leos-wireless-systems-?cmpid=DA_INAD200785B", "https://www.amazon.jobs/jobs/3146069/sr-embedded-software-engineer--fpga-systems-amazon-leos-wireless-systems-?cmpid=DA_INAD200785B")</f>
        <v/>
      </c>
      <c r="G55" t="inlineStr">
        <is>
          <t>Sunnyvale, CA, US</t>
        </is>
      </c>
      <c r="H55" s="2" t="n">
        <v>46008</v>
      </c>
      <c r="I55" t="inlineStr">
        <is>
          <t>**DESCRIPTION**
---------------
Amazon Leo is Amazon’s low Earth orbit satellite network. Our mission is to deliver fast, reliable internet connectivity to customers beyond the reach of existing networks. From individual households to schools, hospitals, businesses, and government agencies, Amazon Leo will serve people and organizations operating in locations without reliable connectivity.  
We are seeking an experienced Sr. FPGA Embedded Software Engineer to join our team. The ideal candidate will develop, implement, and validate embedded software solutions for FPGA\-based systems.  
Export Control Requirement  
Due to applicable export control laws and regulations, candidates must be a U.S. citizen or national, U.S. permanent resident (i.e., current Green Card holder), or lawfully admitted into the U.S. as a refugee or granted asylum.  
Key job responsibilities  
* Design and develop embedded software for FPGA platforms
* Create and maintain firmware for various FPGA applications
* Develop and implement hardware/software interfaces
* Debug complex system issues using logic analyzers and oscilloscopes
* Write and maintain technical documentation
* Collaborate with hardware engineers on system architecture
* Perform code reviews and implement best practices
* Support system integration and validation testing
\*\*Technical Skills:\*\*  
* Programming Languages: C, C\+\+, Python, TCL
* Hardware Description Languages: VHDL, Verilog
* FPGA Tools: Xilinx Vivado, Intel Quartus
* Debug Tools: Logic Analyzers, Oscilloscopes
* Version Control: Git
* Documentation: Doxygen, Technical Writing
**BASIC QUALIFICATIONS**
------------------------
* Bachelor's degree in computer engineering, electrical engineering, or systems engineering
* 8\+ years in embedded software development
* Proficiency in C/C\+\+ programming
* Strong experience with FPGA development tools (Xilinx Vivado, Intel Quartus)
* Knowledge of hardware description languages (VHDL/Verilog)
* Experience with real\-time operating systems (RTOS)
* Familiarity with communication protocols (SPI, I2C, UART, PCIe)
* Strong debugging and problem\-solving skills
**PREFERRED QUALIFICATIONS**
----------------------------
* Master's degree in relevant field
* Experience with Linux kernel development
* Knowledge of Python or TCL scripting
* Experience with version control systems (Git)
* Background in signal processing or digital communications
* Experience with embedded Linux development
* Knowledge of Arm or RISC\-V architectures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\- 159,200\.00 \- 215,300\.00 USD annually  
USA, CA, Sunnyvale \- 183,000\.00 \- 247,600\.00 USD annually  
USA, TX, Austin \- 159,200\.00 \- 215,300\.00 USD annually</t>
        </is>
      </c>
    </row>
    <row r="56">
      <c r="A56" t="inlineStr">
        <is>
          <t>in-ab2b1909da9dc120</t>
        </is>
      </c>
      <c r="B56" t="inlineStr">
        <is>
          <t>Software Engineer I</t>
        </is>
      </c>
      <c r="C56" t="inlineStr">
        <is>
          <t>Amazon.com</t>
        </is>
      </c>
      <c r="D56" t="inlineStr">
        <is>
          <t>indeed</t>
        </is>
      </c>
      <c r="E56">
        <f>HYPERLINK("https://www.indeed.com/viewjob?jk=ab2b1909da9dc120", "https://www.indeed.com/viewjob?jk=ab2b1909da9dc120")</f>
        <v/>
      </c>
      <c r="F56">
        <f>HYPERLINK("https://www.amazon.jobs/jobs/3144113/software-engineer-i?cmpid=DA_INAD200785B", "https://www.amazon.jobs/jobs/3144113/software-engineer-i?cmpid=DA_INAD200785B")</f>
        <v/>
      </c>
      <c r="G56" t="inlineStr">
        <is>
          <t>San Francisco, CA, US</t>
        </is>
      </c>
      <c r="H56" s="2" t="n">
        <v>46006</v>
      </c>
      <c r="I56"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Discovery Team in App Experiences manages a wide array of features and systems to help communities form, grow, and thrive on Twitch. These features let people participate in their favorite communities and discover new ones more efficiently. We work hard to bring novel opportunities to the world of streaming both individually and in collaboration with similar streamers.
Our consumer facing features span both web and mobile surfaces, we’re working hard to build fast, reliable, and easy to understand client\-side experiences. This position is primarily focused across the entire stack (React and Golang) but will lean initially more toward backend systems, with future efforts moving more client\-side.  
You can work from San Francisco, CA; Irvine, CA; or Seattle, WA.  
You Will  
* Deliver high quality user experiences.
* Work with product managers, designers, technical leads, and other engineers to design, develop, launch, and operate interactive experiences and products
* Work backwards from customer problems to drive business impact
* Maintain and improve our existing backend services
Perks  
* Medical, Dental, Vision \&amp; Disability Insurance
* 401(k)
* Maternity \&amp; Parental Leave
* Flexible PTO
* Amazon Employee Discount
**BASIC QUALIFICATIONS**
------------------------
* 1\+ years of professional software development experience
* Prior experience building consumer\-facing products at scale
* Proficient coding skills in modern languages and frameworks such as React, Golang, Rust etc
* Proven ability with thinking though and delivering quality user experiences.
* Minimum of Bachelor’s degree in Computer Science or equivalent experience
**PREFERRED QUALIFICATIONS**
----------------------------
* Experience writing Go in production systems
* Experience with languages/frameworks we use at Twitch: Typescript, Golang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7">
      <c r="A57" t="inlineStr">
        <is>
          <t>in-5068a1a10a295ac6</t>
        </is>
      </c>
      <c r="B57" t="inlineStr">
        <is>
          <t>Software Engineer I</t>
        </is>
      </c>
      <c r="C57" t="inlineStr">
        <is>
          <t>Amazon.com</t>
        </is>
      </c>
      <c r="D57" t="inlineStr">
        <is>
          <t>indeed</t>
        </is>
      </c>
      <c r="E57">
        <f>HYPERLINK("https://www.indeed.com/viewjob?jk=5068a1a10a295ac6", "https://www.indeed.com/viewjob?jk=5068a1a10a295ac6")</f>
        <v/>
      </c>
      <c r="F57">
        <f>HYPERLINK("https://www.amazon.jobs/jobs/3144113/software-engineer-i?cmpid=DA_INAD200785B", "https://www.amazon.jobs/jobs/3144113/software-engineer-i?cmpid=DA_INAD200785B")</f>
        <v/>
      </c>
      <c r="G57" t="inlineStr">
        <is>
          <t>Seattle, WA, US</t>
        </is>
      </c>
      <c r="H57" s="2" t="n">
        <v>46006</v>
      </c>
      <c r="I57"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Discovery Team in App Experiences manages a wide array of features and systems to help communities form, grow, and thrive on Twitch. These features let people participate in their favorite communities and discover new ones more efficiently. We work hard to bring novel opportunities to the world of streaming both individually and in collaboration with similar streamers.
Our consumer facing features span both web and mobile surfaces, we’re working hard to build fast, reliable, and easy to understand client\-side experiences. This position is primarily focused across the entire stack (React and Golang) but will lean initially more toward backend systems, with future efforts moving more client\-side.  
You can work from San Francisco, CA; Irvine, CA; or Seattle, WA.  
You Will  
* Deliver high quality user experiences.
* Work with product managers, designers, technical leads, and other engineers to design, develop, launch, and operate interactive experiences and products
* Work backwards from customer problems to drive business impact
* Maintain and improve our existing backend services
Perks  
* Medical, Dental, Vision \&amp; Disability Insurance
* 401(k)
* Maternity \&amp; Parental Leave
* Flexible PTO
* Amazon Employee Discount
**BASIC QUALIFICATIONS**
------------------------
* 1\+ years of professional software development experience
* Prior experience building consumer\-facing products at scale
* Proficient coding skills in modern languages and frameworks such as React, Golang, Rust etc
* Proven ability with thinking though and delivering quality user experiences.
* Minimum of Bachelor’s degree in Computer Science or equivalent experience
**PREFERRED QUALIFICATIONS**
----------------------------
* Experience writing Go in production systems
* Experience with languages/frameworks we use at Twitch: Typescript, Golang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8">
      <c r="A58" t="inlineStr">
        <is>
          <t>in-77ae8256df76eab3</t>
        </is>
      </c>
      <c r="B58" t="inlineStr">
        <is>
          <t>Software Engineer I</t>
        </is>
      </c>
      <c r="C58" t="inlineStr">
        <is>
          <t>Amazon.com</t>
        </is>
      </c>
      <c r="D58" t="inlineStr">
        <is>
          <t>indeed</t>
        </is>
      </c>
      <c r="E58">
        <f>HYPERLINK("https://www.indeed.com/viewjob?jk=77ae8256df76eab3", "https://www.indeed.com/viewjob?jk=77ae8256df76eab3")</f>
        <v/>
      </c>
      <c r="F58">
        <f>HYPERLINK("https://www.amazon.jobs/jobs/3144113/software-engineer-i?cmpid=DA_INAD200785B", "https://www.amazon.jobs/jobs/3144113/software-engineer-i?cmpid=DA_INAD200785B")</f>
        <v/>
      </c>
      <c r="G58" t="inlineStr">
        <is>
          <t>Irvine, CA, US</t>
        </is>
      </c>
      <c r="H58" s="2" t="n">
        <v>46006</v>
      </c>
      <c r="I58"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The Discovery Team in App Experiences manages a wide array of features and systems to help communities form, grow, and thrive on Twitch. These features let people participate in their favorite communities and discover new ones more efficiently. We work hard to bring novel opportunities to the world of streaming both individually and in collaboration with similar streamers.
Our consumer facing features span both web and mobile surfaces, we’re working hard to build fast, reliable, and easy to understand client\-side experiences. This position is primarily focused across the entire stack (React and Golang) but will lean initially more toward backend systems, with future efforts moving more client\-side.  
You can work from San Francisco, CA; Irvine, CA; or Seattle, WA.  
You Will  
* Deliver high quality user experiences.
* Work with product managers, designers, technical leads, and other engineers to design, develop, launch, and operate interactive experiences and products
* Work backwards from customer problems to drive business impact
* Maintain and improve our existing backend services
Perks  
* Medical, Dental, Vision \&amp; Disability Insurance
* 401(k)
* Maternity \&amp; Parental Leave
* Flexible PTO
* Amazon Employee Discount
**BASIC QUALIFICATIONS**
------------------------
* 1\+ years of professional software development experience
* Prior experience building consumer\-facing products at scale
* Proficient coding skills in modern languages and frameworks such as React, Golang, Rust etc
* Proven ability with thinking though and delivering quality user experiences.
* Minimum of Bachelor’s degree in Computer Science or equivalent experience
**PREFERRED QUALIFICATIONS**
----------------------------
* Experience writing Go in production systems
* Experience with languages/frameworks we use at Twitch: Typescript, Golang
* Experience building software and services using AWS technologies such as ECS, DynamoDB, Lambda, SQS, and Step Functions
* Familiarity with Twitch, gaming, and/or streaming on Twitch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59">
      <c r="A59" t="inlineStr">
        <is>
          <t>in-80869efbcf8269f3</t>
        </is>
      </c>
      <c r="B59" t="inlineStr">
        <is>
          <t>Sr Software Engineer, Amazon Ads Exchange</t>
        </is>
      </c>
      <c r="C59" t="inlineStr">
        <is>
          <t>Amazon.com</t>
        </is>
      </c>
      <c r="D59" t="inlineStr">
        <is>
          <t>indeed</t>
        </is>
      </c>
      <c r="E59">
        <f>HYPERLINK("https://www.indeed.com/viewjob?jk=80869efbcf8269f3", "https://www.indeed.com/viewjob?jk=80869efbcf8269f3")</f>
        <v/>
      </c>
      <c r="F59">
        <f>HYPERLINK("https://www.amazon.jobs/jobs/3146713/sr-software-engineer-amazon-ads-exchange?cmpid=DA_INAD200785B", "https://www.amazon.jobs/jobs/3146713/sr-software-engineer-amazon-ads-exchange?cmpid=DA_INAD200785B")</f>
        <v/>
      </c>
      <c r="G59" t="inlineStr">
        <is>
          <t>Arlington, VA, US</t>
        </is>
      </c>
      <c r="H59" s="2" t="n">
        <v>46002</v>
      </c>
      <c r="I59" t="inlineStr">
        <is>
          <t>**DESCRIPTION**
---------------
Come join Amazon Ad Exchange \- a high scale, low latency service handling millions of concurrent connections, helping advertisers reach their customers at the right moment with the right message.  
Who are we?  
We are Amazon Ad eXchange (AAX) responsible for ingesting a massive amount of ad opportunities from across the internet and across the globe in a highly efficient and privacy\-centric manner, to drive the highest ROI for our advertiser customers. AAX is a geographically distributed, low latency (  
Who are you?  
You are a strong Senior Software Development Engineer who is passionate about performance and efficiency in a real time system. You have demonstrable experience in diving deep into performance critical systems where every single millisecond of latency matters. You have broad experience in Ad Tech systems and bring you understanding of the Ads ecosystem to hit the road running on day one.  
Key job responsibilities  
* Design, Develop, Implement greenfield real time Systems from the ground up
* Champion team processes using software development best practices
* Propose innovative tools, frameworks, automations and processes for maintaining the system performance standards
* Write clean, maintainable code and perform peer code\-reviews. Drive improvements to the code review process. (CDK, Java, Rust, Python)
* Deep\-dive into client or server systems to optimize for performance, maintainability, scalability, extensibility as needed.
* Assist in the career development of others by actively mentoring individuals and the community on advanced technical issues and helping managers guide the career growth of their team members.
* Utilize deep knowledge of tech fundamentals to build things that can operate at AWS\-stressing scale.
**BASIC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0">
      <c r="A60" t="inlineStr">
        <is>
          <t>in-92bc65d9a74ba44f</t>
        </is>
      </c>
      <c r="B60" t="inlineStr">
        <is>
          <t>Sr Software Engineer, Amazon Ads Exchange</t>
        </is>
      </c>
      <c r="C60" t="inlineStr">
        <is>
          <t>Amazon.com</t>
        </is>
      </c>
      <c r="D60" t="inlineStr">
        <is>
          <t>indeed</t>
        </is>
      </c>
      <c r="E60">
        <f>HYPERLINK("https://www.indeed.com/viewjob?jk=92bc65d9a74ba44f", "https://www.indeed.com/viewjob?jk=92bc65d9a74ba44f")</f>
        <v/>
      </c>
      <c r="F60">
        <f>HYPERLINK("https://www.amazon.jobs/jobs/3146713/sr-software-engineer-amazon-ads-exchange?cmpid=DA_INAD200785B", "https://www.amazon.jobs/jobs/3146713/sr-software-engineer-amazon-ads-exchange?cmpid=DA_INAD200785B")</f>
        <v/>
      </c>
      <c r="G60" t="inlineStr">
        <is>
          <t>Palo Alto, CA, US</t>
        </is>
      </c>
      <c r="H60" s="2" t="n">
        <v>46002</v>
      </c>
      <c r="I60" t="inlineStr">
        <is>
          <t>**DESCRIPTION**
---------------
Come join Amazon Ad Exchange \- a high scale, low latency service handling millions of concurrent connections, helping advertisers reach their customers at the right moment with the right message.  
Who are we?  
We are Amazon Ad eXchange (AAX) responsible for ingesting a massive amount of ad opportunities from across the internet and across the globe in a highly efficient and privacy\-centric manner, to drive the highest ROI for our advertiser customers. AAX is a geographically distributed, low latency (  
Who are you?  
You are a strong Senior Software Development Engineer who is passionate about performance and efficiency in a real time system. You have demonstrable experience in diving deep into performance critical systems where every single millisecond of latency matters. You have broad experience in Ad Tech systems and bring you understanding of the Ads ecosystem to hit the road running on day one.  
Key job responsibilities  
* Design, Develop, Implement greenfield real time Systems from the ground up
* Champion team processes using software development best practices
* Propose innovative tools, frameworks, automations and processes for maintaining the system performance standards
* Write clean, maintainable code and perform peer code\-reviews. Drive improvements to the code review process. (CDK, Java, Rust, Python)
* Deep\-dive into client or server systems to optimize for performance, maintainability, scalability, extensibility as needed.
* Assist in the career development of others by actively mentoring individuals and the community on advanced technical issues and helping managers guide the career growth of their team members.
* Utilize deep knowledge of tech fundamentals to build things that can operate at AWS\-stressing scale.
**BASIC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1">
      <c r="A61" t="inlineStr">
        <is>
          <t>in-b57f7c2275dfcd20</t>
        </is>
      </c>
      <c r="B61" t="inlineStr">
        <is>
          <t>Sr Software Engineer, Amazon Ads Exchange</t>
        </is>
      </c>
      <c r="C61" t="inlineStr">
        <is>
          <t>Amazon.com</t>
        </is>
      </c>
      <c r="D61" t="inlineStr">
        <is>
          <t>indeed</t>
        </is>
      </c>
      <c r="E61">
        <f>HYPERLINK("https://www.indeed.com/viewjob?jk=b57f7c2275dfcd20", "https://www.indeed.com/viewjob?jk=b57f7c2275dfcd20")</f>
        <v/>
      </c>
      <c r="F61">
        <f>HYPERLINK("https://www.amazon.jobs/jobs/3146713/sr-software-engineer-amazon-ads-exchange?cmpid=DA_INAD200785B", "https://www.amazon.jobs/jobs/3146713/sr-software-engineer-amazon-ads-exchange?cmpid=DA_INAD200785B")</f>
        <v/>
      </c>
      <c r="G61" t="inlineStr">
        <is>
          <t>San Francisco, CA, US</t>
        </is>
      </c>
      <c r="H61" s="2" t="n">
        <v>46002</v>
      </c>
      <c r="I61" t="inlineStr">
        <is>
          <t>**DESCRIPTION**
---------------
Come join Amazon Ad Exchange \- a high scale, low latency service handling millions of concurrent connections, helping advertisers reach their customers at the right moment with the right message.  
Who are we?  
We are Amazon Ad eXchange (AAX) responsible for ingesting a massive amount of ad opportunities from across the internet and across the globe in a highly efficient and privacy\-centric manner, to drive the highest ROI for our advertiser customers. AAX is a geographically distributed, low latency (  
Who are you?  
You are a strong Senior Software Development Engineer who is passionate about performance and efficiency in a real time system. You have demonstrable experience in diving deep into performance critical systems where every single millisecond of latency matters. You have broad experience in Ad Tech systems and bring you understanding of the Ads ecosystem to hit the road running on day one.  
Key job responsibilities  
* Design, Develop, Implement greenfield real time Systems from the ground up
* Champion team processes using software development best practices
* Propose innovative tools, frameworks, automations and processes for maintaining the system performance standards
* Write clean, maintainable code and perform peer code\-reviews. Drive improvements to the code review process. (CDK, Java, Rust, Python)
* Deep\-dive into client or server systems to optimize for performance, maintainability, scalability, extensibility as needed.
* Assist in the career development of others by actively mentoring individuals and the community on advanced technical issues and helping managers guide the career growth of their team members.
* Utilize deep knowledge of tech fundamentals to build things that can operate at AWS\-stressing scale.
**BASIC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2">
      <c r="A62" t="inlineStr">
        <is>
          <t>in-4dc6944b2ed2e2ca</t>
        </is>
      </c>
      <c r="B62" t="inlineStr">
        <is>
          <t>Software Engineer I</t>
        </is>
      </c>
      <c r="C62" t="inlineStr">
        <is>
          <t>Amazon.com</t>
        </is>
      </c>
      <c r="D62" t="inlineStr">
        <is>
          <t>indeed</t>
        </is>
      </c>
      <c r="E62">
        <f>HYPERLINK("https://www.indeed.com/viewjob?jk=4dc6944b2ed2e2ca", "https://www.indeed.com/viewjob?jk=4dc6944b2ed2e2ca")</f>
        <v/>
      </c>
      <c r="F62">
        <f>HYPERLINK("https://www.amazon.jobs/jobs/3141336/software-engineer-i?cmpid=DA_INAD200785B", "https://www.amazon.jobs/jobs/3141336/software-engineer-i?cmpid=DA_INAD200785B")</f>
        <v/>
      </c>
      <c r="G62" t="inlineStr">
        <is>
          <t>San Francisco, CA, US</t>
        </is>
      </c>
      <c r="H62" s="2" t="n">
        <v>46001</v>
      </c>
      <c r="I62"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Commerce Engineering organization, where we're revolutionizing how viewers engage with their favorite creators. We are the teams behind Subscriptions, Gifting, Bits, Hype Train and Turbo products. From experimental features to established systems used by millions, we're constantly pushing the boundaries of what's possible in live streaming.  
This position and team are based in Seattle, WA and San Francisco, CA  
You Will  
* Craft immersive, interactive experiences that keep viewers supporting creators while engaging with the Twitch Community.
* Architect and build robust, scalable applications that can handle millions of concurrent users
* Collaborate across teams to create cohesive solutions that drive business impact
* Transform customer feedback into innovative features that enhance the Twitch experience
Perks  
* Medical, Dental, Vision \&amp; Disability Insurance
* 401(k)
* Maternity \&amp; Parental Leave
* Flexible PTO
* Amazon Employee Discount
**BASIC QUALIFICATIONS**
------------------------
* 1\+ years of non\-internship professional software development experience
* 0\-2 years of professional software development experience
* Excellent verbal and written communication skills; Ability to effectively collaborate with teammates is critical to success.
* A track record of building consumer\-facing products that users love
* Demonstrable experience of modern programming languages and frameworks
* Sharp problem\-solving skills with a focus on algorithms, data structures, and schema design
* Bachelor's degree in Computer Science or equivalent real\-world experience
**PREFERRED QUALIFICATIONS**
----------------------------
* Bachelor's degree in computer science or equivalent
* Experience with mobile development, either native or hybrid
* Familiarity with AWS infrastructure
* Experience with email / notifications technologies
* Experience writing Go in production systems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3">
      <c r="A63" t="inlineStr">
        <is>
          <t>in-f6fde072860712de</t>
        </is>
      </c>
      <c r="B63" t="inlineStr">
        <is>
          <t>Software Engineer I</t>
        </is>
      </c>
      <c r="C63" t="inlineStr">
        <is>
          <t>Amazon.com</t>
        </is>
      </c>
      <c r="D63" t="inlineStr">
        <is>
          <t>indeed</t>
        </is>
      </c>
      <c r="E63">
        <f>HYPERLINK("https://www.indeed.com/viewjob?jk=f6fde072860712de", "https://www.indeed.com/viewjob?jk=f6fde072860712de")</f>
        <v/>
      </c>
      <c r="F63">
        <f>HYPERLINK("https://www.amazon.jobs/jobs/3141336/software-engineer-i?cmpid=DA_INAD200785B", "https://www.amazon.jobs/jobs/3141336/software-engineer-i?cmpid=DA_INAD200785B")</f>
        <v/>
      </c>
      <c r="G63" t="inlineStr">
        <is>
          <t>Seattle, WA, US</t>
        </is>
      </c>
      <c r="H63" s="2" t="n">
        <v>46001</v>
      </c>
      <c r="I63"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Commerce Engineering organization, where we're revolutionizing how viewers engage with their favorite creators. We are the teams behind Subscriptions, Gifting, Bits, Hype Train and Turbo products. From experimental features to established systems used by millions, we're constantly pushing the boundaries of what's possible in live streaming.  
This position and team are based in Seattle, WA and San Francisco, CA  
You Will  
* Craft immersive, interactive experiences that keep viewers supporting creators while engaging with the Twitch Community.
* Architect and build robust, scalable applications that can handle millions of concurrent users
* Collaborate across teams to create cohesive solutions that drive business impact
* Transform customer feedback into innovative features that enhance the Twitch experience
Perks  
* Medical, Dental, Vision \&amp; Disability Insurance
* 401(k)
* Maternity \&amp; Parental Leave
* Flexible PTO
* Amazon Employee Discount
**BASIC QUALIFICATIONS**
------------------------
* 1\+ years of non\-internship professional software development experience
* 0\-2 years of professional software development experience
* Excellent verbal and written communication skills; Ability to effectively collaborate with teammates is critical to success.
* A track record of building consumer\-facing products that users love
* Demonstrable experience of modern programming languages and frameworks
* Sharp problem\-solving skills with a focus on algorithms, data structures, and schema design
* Bachelor's degree in Computer Science or equivalent real\-world experience
**PREFERRED QUALIFICATIONS**
----------------------------
* Bachelor's degree in computer science or equivalent
* Experience with mobile development, either native or hybrid
* Familiarity with AWS infrastructure
* Experience with email / notifications technologies
* Experience writing Go in production systems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$99,500/year in our lowest geographic market up to $185,000/year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4">
      <c r="A64" t="inlineStr">
        <is>
          <t>in-fa78e4c1d54dcbc3</t>
        </is>
      </c>
      <c r="B64" t="inlineStr">
        <is>
          <t>Software Engineer II, Android</t>
        </is>
      </c>
      <c r="C64" t="inlineStr">
        <is>
          <t>Amazon.com</t>
        </is>
      </c>
      <c r="D64" t="inlineStr">
        <is>
          <t>indeed</t>
        </is>
      </c>
      <c r="E64">
        <f>HYPERLINK("https://www.indeed.com/viewjob?jk=fa78e4c1d54dcbc3", "https://www.indeed.com/viewjob?jk=fa78e4c1d54dcbc3")</f>
        <v/>
      </c>
      <c r="F64">
        <f>HYPERLINK("https://www.amazon.jobs/jobs/3138330/software-engineer-ii-android?cmpid=DA_INAD200785B", "https://www.amazon.jobs/jobs/3138330/software-engineer-ii-android?cmpid=DA_INAD200785B")</f>
        <v/>
      </c>
      <c r="G64" t="inlineStr">
        <is>
          <t>Irvine, CA, US</t>
        </is>
      </c>
      <c r="H64" s="2" t="n">
        <v>45995</v>
      </c>
      <c r="I6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Mobile Core Engineering team as an Android Software Engineer and help shape the foundation of mobile development across Twitch. As a platform team, Mobile Core provides critical tools, frameworks, and best practices that empower all mobile engineers at Twitch to build exceptional experiences for millions of users. Twitch is evolving its mobile strategy from native\-first to a hybrid approach that leverages React in WebViews alongside native Android capabilities. You'll work on high\-impact initiatives including our hybrid web\-to\-mobile platform, performance optimization at scale, automated testing infrastructure, and developer tooling that accelerates velocity across the organization. Your work will directly impact how hundreds of engineers build features and how millions of users experience Twitch on Android. This role requires independent operation and technical leadership, as you'll regularly provide guidance to product teams across Community and Commerce organizations.  
This position can sit in San Francisco, Irvine, or Seattle.
You Will  
* Design and implement foundational Android components and frameworks that support both native and hybrid (React in WebView) experiences
* Build robust WebView infrastructure and bridges that enable seamless integration between React\-based web content and native Android functionality
* Optimize performance and scalability of platform components used by millions of daily active users
* Provide technical leadership and mentorship to Android engineers across multiple product teams on hybrid mobile architecture
* Drive architectural decisions that balance developer velocity, app performance, and maintainability
* Collaborate with cross\-functional teams to establish and maintain development standards for hybrid mobile applications
Perks  
* Medical, Dental, Vision \&amp; Disability Insurance
* 401(k)
* Maternity \&amp; Parental Leave
* Flexible PTO
* Amazon Employee Discount
**BASIC QUALIFICATIONS**
------------------------
* 3\+ years of Android development experience
* Strong proficiency in Kotlin and modern Android development practices
* Deep understanding of Android SDK, Jetpack libraries, and Android architecture components
* Experience building and shipping production Android applications to the Google Play Store
* Experience leveraging AI\-powered development tools (such as GitHub Copilot, Cursor, or similar) to accelerate development
**PREFERRED QUALIFICATIONS**
----------------------------
* Experience with hybrid mobile architectures, WebView integration, JavaScript bridges, React, or React Native
* Experience with video streaming or real\-time communication technologies
* Experience working on platform or infrastructure teams that support multiple product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5">
      <c r="A65" t="inlineStr">
        <is>
          <t>in-c53d7e049eb5871e</t>
        </is>
      </c>
      <c r="B65" t="inlineStr">
        <is>
          <t>Software Engineer II, Android</t>
        </is>
      </c>
      <c r="C65" t="inlineStr">
        <is>
          <t>Amazon.com</t>
        </is>
      </c>
      <c r="D65" t="inlineStr">
        <is>
          <t>indeed</t>
        </is>
      </c>
      <c r="E65">
        <f>HYPERLINK("https://www.indeed.com/viewjob?jk=c53d7e049eb5871e", "https://www.indeed.com/viewjob?jk=c53d7e049eb5871e")</f>
        <v/>
      </c>
      <c r="F65">
        <f>HYPERLINK("https://www.amazon.jobs/jobs/3138330/software-engineer-ii-android?cmpid=DA_INAD200785B", "https://www.amazon.jobs/jobs/3138330/software-engineer-ii-android?cmpid=DA_INAD200785B")</f>
        <v/>
      </c>
      <c r="G65" t="inlineStr">
        <is>
          <t>San Francisco, CA, US</t>
        </is>
      </c>
      <c r="H65" s="2" t="n">
        <v>45995</v>
      </c>
      <c r="I6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Mobile Core Engineering team as an Android Software Engineer and help shape the foundation of mobile development across Twitch. As a platform team, Mobile Core provides critical tools, frameworks, and best practices that empower all mobile engineers at Twitch to build exceptional experiences for millions of users. Twitch is evolving its mobile strategy from native\-first to a hybrid approach that leverages React in WebViews alongside native Android capabilities. You'll work on high\-impact initiatives including our hybrid web\-to\-mobile platform, performance optimization at scale, automated testing infrastructure, and developer tooling that accelerates velocity across the organization. Your work will directly impact how hundreds of engineers build features and how millions of users experience Twitch on Android. This role requires independent operation and technical leadership, as you'll regularly provide guidance to product teams across Community and Commerce organizations.  
This position can sit in San Francisco, Irvine, or Seattle.
You Will  
* Design and implement foundational Android components and frameworks that support both native and hybrid (React in WebView) experiences
* Build robust WebView infrastructure and bridges that enable seamless integration between React\-based web content and native Android functionality
* Optimize performance and scalability of platform components used by millions of daily active users
* Provide technical leadership and mentorship to Android engineers across multiple product teams on hybrid mobile architecture
* Drive architectural decisions that balance developer velocity, app performance, and maintainability
* Collaborate with cross\-functional teams to establish and maintain development standards for hybrid mobile applications
Perks  
* Medical, Dental, Vision \&amp; Disability Insurance
* 401(k)
* Maternity \&amp; Parental Leave
* Flexible PTO
* Amazon Employee Discount
**BASIC QUALIFICATIONS**
------------------------
* 3\+ years of Android development experience
* Strong proficiency in Kotlin and modern Android development practices
* Deep understanding of Android SDK, Jetpack libraries, and Android architecture components
* Experience building and shipping production Android applications to the Google Play Store
* Experience leveraging AI\-powered development tools (such as GitHub Copilot, Cursor, or similar) to accelerate development
**PREFERRED QUALIFICATIONS**
----------------------------
* Experience with hybrid mobile architectures, WebView integration, JavaScript bridges, React, or React Native
* Experience with video streaming or real\-time communication technologies
* Experience working on platform or infrastructure teams that support multiple product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6">
      <c r="A66" t="inlineStr">
        <is>
          <t>in-48fb8ec7fabc7edd</t>
        </is>
      </c>
      <c r="B66" t="inlineStr">
        <is>
          <t>Software Engineer II, Twitch</t>
        </is>
      </c>
      <c r="C66" t="inlineStr">
        <is>
          <t>Amazon.com</t>
        </is>
      </c>
      <c r="D66" t="inlineStr">
        <is>
          <t>indeed</t>
        </is>
      </c>
      <c r="E66">
        <f>HYPERLINK("https://www.indeed.com/viewjob?jk=48fb8ec7fabc7edd", "https://www.indeed.com/viewjob?jk=48fb8ec7fabc7edd")</f>
        <v/>
      </c>
      <c r="F66">
        <f>HYPERLINK("https://www.amazon.jobs/jobs/3138052/software-engineer-ii-twitch?cmpid=DA_INAD200785B", "https://www.amazon.jobs/jobs/3138052/software-engineer-ii-twitch?cmpid=DA_INAD200785B")</f>
        <v/>
      </c>
      <c r="G66" t="inlineStr">
        <is>
          <t>San Francisco, CA, US</t>
        </is>
      </c>
      <c r="H66" s="2" t="n">
        <v>45995</v>
      </c>
      <c r="I66" t="inlineStr">
        <is>
          <t>**DESCRIPTION**
---------------
Twitch is the world’s biggest live streaming service, with global communities built around gaming, entertainment, music, sports, cooking, and more. It is where thousands of communities come together for whatever, every day.  
IVS is building the future of interactive video. The Video Server Platform Network Traffic Management (NTM) team is seeking an experienced back end distributed systems developer to lead the design and development of our next generation video distribution system. This role focuses on building systems that manage traffic delivery across multiple CDNs (Content Delivery Networks).  
If you’re excited by the idea of building back end services that operate at a worldwide scale, and have an interest in live video, this is the position for you.  
Key job responsibilities  
* Build features enabling the next generation of the Twitch Video Distribution system.
* Implement the systems which shape traffic across multiple CDNs, including our own custom live video specialized CDN
* Build robust, operable, and maintainable distributed software systems
* Provide technical leadership and guidance to junior members of the team
About the team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 Experience implementing AWS services
* Strong background in Golang/Go
* Experience building or running a CDN
**PREFERRED QUALIFICATIONS**
----------------------------
* 3\+ years of full software development life cycle, including coding standards, code reviews, source control management, build processes, testing, and operations experience
* Bachelor's degree in computer science or equivalent
* Experience with video encoding and streaming media standards
* Knowledge of networking fundamentals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7">
      <c r="A67" t="inlineStr">
        <is>
          <t>in-16536e3a491fd6df</t>
        </is>
      </c>
      <c r="B67" t="inlineStr">
        <is>
          <t>Software Engineer II, Android</t>
        </is>
      </c>
      <c r="C67" t="inlineStr">
        <is>
          <t>Amazon.com</t>
        </is>
      </c>
      <c r="D67" t="inlineStr">
        <is>
          <t>indeed</t>
        </is>
      </c>
      <c r="E67">
        <f>HYPERLINK("https://www.indeed.com/viewjob?jk=16536e3a491fd6df", "https://www.indeed.com/viewjob?jk=16536e3a491fd6df")</f>
        <v/>
      </c>
      <c r="F67">
        <f>HYPERLINK("https://www.amazon.jobs/jobs/3138330/software-engineer-ii-android?cmpid=DA_INAD200785B", "https://www.amazon.jobs/jobs/3138330/software-engineer-ii-android?cmpid=DA_INAD200785B")</f>
        <v/>
      </c>
      <c r="G67" t="inlineStr">
        <is>
          <t>Seattle, WA, US</t>
        </is>
      </c>
      <c r="H67" s="2" t="n">
        <v>45995</v>
      </c>
      <c r="I67"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Join Twitch's Mobile Core Engineering team as an Android Software Engineer and help shape the foundation of mobile development across Twitch. As a platform team, Mobile Core provides critical tools, frameworks, and best practices that empower all mobile engineers at Twitch to build exceptional experiences for millions of users. Twitch is evolving its mobile strategy from native\-first to a hybrid approach that leverages React in WebViews alongside native Android capabilities. You'll work on high\-impact initiatives including our hybrid web\-to\-mobile platform, performance optimization at scale, automated testing infrastructure, and developer tooling that accelerates velocity across the organization. Your work will directly impact how hundreds of engineers build features and how millions of users experience Twitch on Android. This role requires independent operation and technical leadership, as you'll regularly provide guidance to product teams across Community and Commerce organizations.  
This position can sit in San Francisco, Irvine, or Seattle.
You Will  
* Design and implement foundational Android components and frameworks that support both native and hybrid (React in WebView) experiences
* Build robust WebView infrastructure and bridges that enable seamless integration between React\-based web content and native Android functionality
* Optimize performance and scalability of platform components used by millions of daily active users
* Provide technical leadership and mentorship to Android engineers across multiple product teams on hybrid mobile architecture
* Drive architectural decisions that balance developer velocity, app performance, and maintainability
* Collaborate with cross\-functional teams to establish and maintain development standards for hybrid mobile applications
Perks  
* Medical, Dental, Vision \&amp; Disability Insurance
* 401(k)
* Maternity \&amp; Parental Leave
* Flexible PTO
* Amazon Employee Discount
**BASIC QUALIFICATIONS**
------------------------
* 3\+ years of Android development experience
* Strong proficiency in Kotlin and modern Android development practices
* Deep understanding of Android SDK, Jetpack libraries, and Android architecture components
* Experience building and shipping production Android applications to the Google Play Store
* Experience leveraging AI\-powered development tools (such as GitHub Copilot, Cursor, or similar) to accelerate development
**PREFERRED QUALIFICATIONS**
----------------------------
* Experience with hybrid mobile architectures, WebView integration, JavaScript bridges, React, or React Native
* Experience with video streaming or real\-time communication technologies
* Experience working on platform or infrastructure teams that support multiple product teams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8">
      <c r="A68" t="inlineStr">
        <is>
          <t>in-12daf812b7813402</t>
        </is>
      </c>
      <c r="B68" t="inlineStr">
        <is>
          <t>Software Engineer II, Twitch</t>
        </is>
      </c>
      <c r="C68" t="inlineStr">
        <is>
          <t>Amazon.com</t>
        </is>
      </c>
      <c r="D68" t="inlineStr">
        <is>
          <t>indeed</t>
        </is>
      </c>
      <c r="E68">
        <f>HYPERLINK("https://www.indeed.com/viewjob?jk=12daf812b7813402", "https://www.indeed.com/viewjob?jk=12daf812b7813402")</f>
        <v/>
      </c>
      <c r="F68">
        <f>HYPERLINK("https://www.amazon.jobs/jobs/3138052/software-engineer-ii-twitch?cmpid=DA_INAD200785B", "https://www.amazon.jobs/jobs/3138052/software-engineer-ii-twitch?cmpid=DA_INAD200785B")</f>
        <v/>
      </c>
      <c r="G68" t="inlineStr">
        <is>
          <t>Seattle, WA, US</t>
        </is>
      </c>
      <c r="H68" s="2" t="n">
        <v>45995</v>
      </c>
      <c r="I68" t="inlineStr">
        <is>
          <t>**DESCRIPTION**
---------------
Twitch is the world’s biggest live streaming service, with global communities built around gaming, entertainment, music, sports, cooking, and more. It is where thousands of communities come together for whatever, every day.  
IVS is building the future of interactive video. The Video Server Platform Network Traffic Management (NTM) team is seeking an experienced back end distributed systems developer to lead the design and development of our next generation video distribution system. This role focuses on building systems that manage traffic delivery across multiple CDNs (Content Delivery Networks).  
If you’re excited by the idea of building back end services that operate at a worldwide scale, and have an interest in live video, this is the position for you.  
Key job responsibilities  
* Build features enabling the next generation of the Twitch Video Distribution system.
* Implement the systems which shape traffic across multiple CDNs, including our own custom live video specialized CDN
* Build robust, operable, and maintainable distributed software systems
* Provide technical leadership and guidance to junior members of the team
About the team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process.**BASIC QUALIFICATIONS**
------------------------
* 3\+ years of non\-internship professional software development experience
* 2\+ years of non\-internship design or architecture (design patterns, reliability and scaling) of new and existing systems experience
* Experience programming with at least one software programming language
* Experience implementing AWS services
* Strong background in Golang/Go
* Experience building or running a CDN
**PREFERRED QUALIFICATIONS**
----------------------------
* 3\+ years of full software development life cycle, including coding standards, code reviews, source control management, build processes, testing, and operations experience
* Bachelor's degree in computer science or equivalent
* Experience with video encoding and streaming media standards
* Knowledge of networking fundamentals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$129,300/year in our lowest geographic market up to $223,600/year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9">
      <c r="A69" t="inlineStr">
        <is>
          <t>in-3ff8098e03cbde54</t>
        </is>
      </c>
      <c r="B69" t="inlineStr">
        <is>
          <t>Senior Embedded Software Engineer, Amazon Leo Digital RF Systems</t>
        </is>
      </c>
      <c r="C69" t="inlineStr">
        <is>
          <t>Amazon.com</t>
        </is>
      </c>
      <c r="D69" t="inlineStr">
        <is>
          <t>indeed</t>
        </is>
      </c>
      <c r="E69">
        <f>HYPERLINK("https://www.indeed.com/viewjob?jk=3ff8098e03cbde54", "https://www.indeed.com/viewjob?jk=3ff8098e03cbde54")</f>
        <v/>
      </c>
      <c r="F69">
        <f>HYPERLINK("https://www.amazon.jobs/jobs/3130773/senior-embedded-software-engineer-amazon-leo-digital-rf-systems?cmpid=DA_INAD200785B", "https://www.amazon.jobs/jobs/3130773/senior-embedded-software-engineer-amazon-leo-digital-rf-systems?cmpid=DA_INAD200785B")</f>
        <v/>
      </c>
      <c r="G69" t="inlineStr">
        <is>
          <t>San Diego, CA, US</t>
        </is>
      </c>
      <c r="H69" s="2" t="n">
        <v>45981</v>
      </c>
      <c r="I69" t="inlineStr">
        <is>
          <t>**DESCRIPTION**
---------------
Amazon Leo is Amazon’s low Earth orbit satellite network. Our mission is to deliver fast, reliable internet connectivity to customers beyond the reach of existing networks. From individual households to schools, hospitals, businesses, and government agencies, Amazon Leo will serve people and organizations operating in locations without reliable connectivity.  
Join our mission to revolutionize space technology by developing secure, mission\-critical software that powers our satellite constellation. Your work will directly enable communications, autonomous operations, and reliable performance for satellites serving customers worldwide—while ensuring robust security from the moment they launch until their planned de\-orbit.  
About the Role:  
We're seeking an experienced embedded software engineer with strong security expertise to architect and develop mission\-critical, security\-hardened software for our satellite systems. You'll work at the intersection of hardware, software, and cybersecurity, creating firmware that not only controls satellite operations but also protects against evolving threats in the space domain.  
Export Control Requirement:  
Due to applicable export control laws and regulations, candidates must be a U.S. citizen or national, U.S. permanent resident (i.e., current Green Card holder), or lawfully admitted into the U.S. as a refugee or granted asylum.  
Key job responsibilities  
* Lead secure software development for critical modules including ASIC firmware, commanding systems, telemetry processing, power control, hardware interfaces, and autonomous capabilities, implementing security\-by\-design principles throughout the satellite's operational lifetime
* Drive security architecture and threat modeling by identifying potential vulnerabilities, conducting security reviews, and designing defensive measures to protect satellite systems from cyber threats
* Design and implement robust, security\-hardened software and firmware in Linux and real\-time operating system (RTOS) environments, ensuring high reliability and security under resource constraints
* Conduct and support penetration testing to validate security controls, identify weaknesses, and implement remediation strategies for embedded systems
* Build secure hardware interfaces by writing software that communicates with devices and electronics using protocols including I2C, I3C, SPI, UART, USB, JTAG, and Ethernet, with appropriate security controls and authentication mechanisms
* Collaborate closely with hardware design teams, security architects, and customers to support secure custom silicon chip and board design, bringing new hardware from concept through secure bring\-up, verification, and integration
* Champion security and reliability by following best practices in secure embedded software development, including secure coding standards, code reviews, and security testing to ensure our systems meet the demanding requirements of space operations
* Optimize for secure production by partnering with test engineers to integrate security validation into manufacturing and test environments
About the team  
* Meaningful impact: Your code will operate in space, enabling critical communications and services while protecting vital infrastructure
* Technical growth: Work with cutting\-edge technology at the intersection of highly sophisticated ASIC/SOC, hardware, software, security, and space systems
* Security leadership: Shape security practices and architecture for next\-generation satellite systems
* Collaborative environment: Partner with world\-class hardware engineers, security architects, systems engineers, and domain experts
* Innovation culture: We value creative problem\-solving and encourage new approaches to complex security and engineering challenges
**BASIC QUALIFICATIONS**
------------------------
* 7\+ years of non\-internship professional software development experience
* 5\+ years of programming with at least one software programming language experience
* 7\+ years of leading design or architecture (design patterns, reliability and scaling) of new and existing systems experience
* Experience as a mentor, tech lead or leading an engineering team
* Knowledge of programming languages such as C/C\+\+, Python, Java or Perl
* 7\+ years of professional software engineering experience, with significant contributions to system design and architecture of complex systems (including architecture patterns, reliability, scaling, and security considerations)
* Deep expertise in secure embedded firmware development for bare\-metal or RTOS\-based systems, with proven ability to meet real\-time, low\-power, reliability, and security requirements under hardware resource constraints
* Experience with debugging tools such as GDB for testing code on FPGA or prototype chips
* Experience with security\-aware software design, including threat modeling, security reviews, and vulnerability assessment
* Practical knowledge of penetration testing methodologies and tools for embedded systems
**PREFERRED QUALIFICATIONS**
----------------------------
* Experience in system\-level architecture and board\-level design
* Background working with security\-aware bootloaders, secure boot chains, and trusted execution environments
* Practical experience using cryptography libraries (mbedTLS, OpenSSL, PKCS11\) in secure applications, including key management and secure storage
* Knowledge of security standards and frameworks (e.g., Common Criteria, NIST guidelines, secure coding standards)
* Experience with hardware security modules (HSMs) or trusted platform modules (TPMs)
* Familiarity with secure communications protocols and encryption implementations
* Knowledge of telecommunications or data communications systems security (routers and switches)
* Experience with security certifications or compliance requirements for aerospace/defense systems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\- 168,100\.00 \- 227,400\.00 USD annually  
USA, WA, Redmond \- 168,100\.00 \- 227,400\.00 USD annually</t>
        </is>
      </c>
    </row>
    <row r="70">
      <c r="A70" t="inlineStr">
        <is>
          <t>in-60c0c397d38a79b5</t>
        </is>
      </c>
      <c r="B70" t="inlineStr">
        <is>
          <t>Senior Embedded Software Engineer, Amazon Leo Digital RF Systems</t>
        </is>
      </c>
      <c r="C70" t="inlineStr">
        <is>
          <t>Amazon.com</t>
        </is>
      </c>
      <c r="D70" t="inlineStr">
        <is>
          <t>indeed</t>
        </is>
      </c>
      <c r="E70">
        <f>HYPERLINK("https://www.indeed.com/viewjob?jk=60c0c397d38a79b5", "https://www.indeed.com/viewjob?jk=60c0c397d38a79b5")</f>
        <v/>
      </c>
      <c r="F70">
        <f>HYPERLINK("https://www.amazon.jobs/jobs/3130773/senior-embedded-software-engineer-amazon-leo-digital-rf-systems?cmpid=DA_INAD200785B", "https://www.amazon.jobs/jobs/3130773/senior-embedded-software-engineer-amazon-leo-digital-rf-systems?cmpid=DA_INAD200785B")</f>
        <v/>
      </c>
      <c r="G70" t="inlineStr">
        <is>
          <t>Redmond, WA, US</t>
        </is>
      </c>
      <c r="H70" s="2" t="n">
        <v>45981</v>
      </c>
      <c r="I70" t="inlineStr">
        <is>
          <t>**DESCRIPTION**
---------------
Amazon Leo is Amazon’s low Earth orbit satellite network. Our mission is to deliver fast, reliable internet connectivity to customers beyond the reach of existing networks. From individual households to schools, hospitals, businesses, and government agencies, Amazon Leo will serve people and organizations operating in locations without reliable connectivity.  
Join our mission to revolutionize space technology by developing secure, mission\-critical software that powers our satellite constellation. Your work will directly enable communications, autonomous operations, and reliable performance for satellites serving customers worldwide—while ensuring robust security from the moment they launch until their planned de\-orbit.  
About the Role:  
We're seeking an experienced embedded software engineer with strong security expertise to architect and develop mission\-critical, security\-hardened software for our satellite systems. You'll work at the intersection of hardware, software, and cybersecurity, creating firmware that not only controls satellite operations but also protects against evolving threats in the space domain.  
Export Control Requirement:  
Due to applicable export control laws and regulations, candidates must be a U.S. citizen or national, U.S. permanent resident (i.e., current Green Card holder), or lawfully admitted into the U.S. as a refugee or granted asylum.  
Key job responsibilities  
* Lead secure software development for critical modules including ASIC firmware, commanding systems, telemetry processing, power control, hardware interfaces, and autonomous capabilities, implementing security\-by\-design principles throughout the satellite's operational lifetime
* Drive security architecture and threat modeling by identifying potential vulnerabilities, conducting security reviews, and designing defensive measures to protect satellite systems from cyber threats
* Design and implement robust, security\-hardened software and firmware in Linux and real\-time operating system (RTOS) environments, ensuring high reliability and security under resource constraints
* Conduct and support penetration testing to validate security controls, identify weaknesses, and implement remediation strategies for embedded systems
* Build secure hardware interfaces by writing software that communicates with devices and electronics using protocols including I2C, I3C, SPI, UART, USB, JTAG, and Ethernet, with appropriate security controls and authentication mechanisms
* Collaborate closely with hardware design teams, security architects, and customers to support secure custom silicon chip and board design, bringing new hardware from concept through secure bring\-up, verification, and integration
* Champion security and reliability by following best practices in secure embedded software development, including secure coding standards, code reviews, and security testing to ensure our systems meet the demanding requirements of space operations
* Optimize for secure production by partnering with test engineers to integrate security validation into manufacturing and test environments
About the team  
* Meaningful impact: Your code will operate in space, enabling critical communications and services while protecting vital infrastructure
* Technical growth: Work with cutting\-edge technology at the intersection of highly sophisticated ASIC/SOC, hardware, software, security, and space systems
* Security leadership: Shape security practices and architecture for next\-generation satellite systems
* Collaborative environment: Partner with world\-class hardware engineers, security architects, systems engineers, and domain experts
* Innovation culture: We value creative problem\-solving and encourage new approaches to complex security and engineering challenges
**BASIC QUALIFICATIONS**
------------------------
* 7\+ years of non\-internship professional software development experience
* 5\+ years of programming with at least one software programming language experience
* 7\+ years of leading design or architecture (design patterns, reliability and scaling) of new and existing systems experience
* Experience as a mentor, tech lead or leading an engineering team
* Knowledge of programming languages such as C/C\+\+, Python, Java or Perl
* 7\+ years of professional software engineering experience, with significant contributions to system design and architecture of complex systems (including architecture patterns, reliability, scaling, and security considerations)
* Deep expertise in secure embedded firmware development for bare\-metal or RTOS\-based systems, with proven ability to meet real\-time, low\-power, reliability, and security requirements under hardware resource constraints
* Experience with debugging tools such as GDB for testing code on FPGA or prototype chips
* Experience with security\-aware software design, including threat modeling, security reviews, and vulnerability assessment
* Practical knowledge of penetration testing methodologies and tools for embedded systems
**PREFERRED QUALIFICATIONS**
----------------------------
* Experience in system\-level architecture and board\-level design
* Background working with security\-aware bootloaders, secure boot chains, and trusted execution environments
* Practical experience using cryptography libraries (mbedTLS, OpenSSL, PKCS11\) in secure applications, including key management and secure storage
* Knowledge of security standards and frameworks (e.g., Common Criteria, NIST guidelines, secure coding standards)
* Experience with hardware security modules (HSMs) or trusted platform modules (TPMs)
* Familiarity with secure communications protocols and encryption implementations
* Knowledge of telecommunications or data communications systems security (routers and switches)
* Experience with security certifications or compliance requirements for aerospace/defense systems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\- 168,100\.00 \- 227,400\.00 USD annually  
USA, WA, Redmond \- 168,100\.00 \- 227,400\.00 USD annually</t>
        </is>
      </c>
    </row>
    <row r="71">
      <c r="A71" t="inlineStr">
        <is>
          <t>in-b5bd30ad4a05771e</t>
        </is>
      </c>
      <c r="B71" t="inlineStr">
        <is>
          <t>Senior Software Engineer - Query Optimization, Aurora DSQL</t>
        </is>
      </c>
      <c r="C71" t="inlineStr">
        <is>
          <t>Amazon Web Services</t>
        </is>
      </c>
      <c r="D71" t="inlineStr">
        <is>
          <t>indeed</t>
        </is>
      </c>
      <c r="E71">
        <f>HYPERLINK("https://www.indeed.com/viewjob?jk=b5bd30ad4a05771e", "https://www.indeed.com/viewjob?jk=b5bd30ad4a05771e")</f>
        <v/>
      </c>
      <c r="F71">
        <f>HYPERLINK("https://www.amazon.jobs/jobs/3100177/senior-software-engineer--query-optimization-aurora-dsql?cmpid=DA_INAD200785B", "https://www.amazon.jobs/jobs/3100177/senior-software-engineer--query-optimization-aurora-dsql?cmpid=DA_INAD200785B")</f>
        <v/>
      </c>
      <c r="G71" t="inlineStr">
        <is>
          <t>Seattle, WA, US</t>
        </is>
      </c>
      <c r="H71" s="2" t="n">
        <v>45931</v>
      </c>
      <c r="I71"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We are seeking an engineer to enhance the query optimization and execution layer of Aurora DSQL. The role focuses on designing and implementing query optimization algorithms, cost\-based optimization strategies, and core execution engine improvements. The ideal candidate has deep experience with database system internals and query optimizer architectures.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5\+ years of non\-internship professional software development experience
* 5\+ years of programming with at least one software programming language experience
* 4\+ years of leading design or architecture (design patterns, reliability and scaling) of new and existing systems experience
* Experience as a mentor, tech lead or leading an engineering team
* Strong background in database system internals and query processing fundamentals
**PREFERRED QUALIFICATIONS**
----------------------------
* 2\+ years of experience with query optimizer architectures, cost based optimizers in OLTP database engines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East Palo Alto \- 193,300\.00 \- 261,500\.00 USD annually  
USA, WA, Seattle \- 168,100\.00 \- 227,400\.00 USD annually</t>
        </is>
      </c>
    </row>
    <row r="72">
      <c r="A72" t="inlineStr">
        <is>
          <t>in-c9ff1928e51f4537</t>
        </is>
      </c>
      <c r="B72" t="inlineStr">
        <is>
          <t>Senior Software Engineer - Query Optimization, Aurora DSQL</t>
        </is>
      </c>
      <c r="C72" t="inlineStr">
        <is>
          <t>Amazon Web Services</t>
        </is>
      </c>
      <c r="D72" t="inlineStr">
        <is>
          <t>indeed</t>
        </is>
      </c>
      <c r="E72">
        <f>HYPERLINK("https://www.indeed.com/viewjob?jk=c9ff1928e51f4537", "https://www.indeed.com/viewjob?jk=c9ff1928e51f4537")</f>
        <v/>
      </c>
      <c r="F72">
        <f>HYPERLINK("https://www.amazon.jobs/jobs/3100177/senior-software-engineer--query-optimization-aurora-dsql?cmpid=DA_INAD200785B", "https://www.amazon.jobs/jobs/3100177/senior-software-engineer--query-optimization-aurora-dsql?cmpid=DA_INAD200785B")</f>
        <v/>
      </c>
      <c r="G72" t="inlineStr">
        <is>
          <t>East Palo Alto, CA, US</t>
        </is>
      </c>
      <c r="H72" s="2" t="n">
        <v>45931</v>
      </c>
      <c r="I72"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We are seeking an engineer to enhance the query optimization and execution layer of Aurora DSQL. The role focuses on designing and implementing query optimization algorithms, cost\-based optimization strategies, and core execution engine improvements. The ideal candidate has deep experience with database system internals and query optimizer architectures.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5\+ years of non\-internship professional software development experience
* 5\+ years of programming with at least one software programming language experience
* 4\+ years of leading design or architecture (design patterns, reliability and scaling) of new and existing systems experience
* Experience as a mentor, tech lead or leading an engineering team
* Strong background in database system internals and query processing fundamentals
**PREFERRED QUALIFICATIONS**
----------------------------
* 2\+ years of experience with query optimizer architectures, cost based optimizers in OLTP database engines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East Palo Alto \- 193,300\.00 \- 261,500\.00 USD annually  
USA, WA, Seattle \- 168,100\.00 \- 227,400\.00 USD annually</t>
        </is>
      </c>
    </row>
    <row r="73">
      <c r="A73" t="inlineStr">
        <is>
          <t>in-636680ebf230d84b</t>
        </is>
      </c>
      <c r="B73" t="inlineStr">
        <is>
          <t>Software Developer Engineer - iOS, Ring</t>
        </is>
      </c>
      <c r="C73" t="inlineStr">
        <is>
          <t>Amazon.com</t>
        </is>
      </c>
      <c r="D73" t="inlineStr">
        <is>
          <t>indeed</t>
        </is>
      </c>
      <c r="E73">
        <f>HYPERLINK("https://www.indeed.com/viewjob?jk=636680ebf230d84b", "https://www.indeed.com/viewjob?jk=636680ebf230d84b")</f>
        <v/>
      </c>
      <c r="F73">
        <f>HYPERLINK("https://www.amazon.jobs/jobs/3011028/software-developer-engineer--ios-ring?cmpid=DA_INAD200785B", "https://www.amazon.jobs/jobs/3011028/software-developer-engineer--ios-ring?cmpid=DA_INAD200785B")</f>
        <v/>
      </c>
      <c r="G73" t="inlineStr">
        <is>
          <t>Hawthorne, CA, US</t>
        </is>
      </c>
      <c r="H73" s="2" t="n">
        <v>45812</v>
      </c>
      <c r="I73" t="inlineStr">
        <is>
          <t>**DESCRIPTION**
---------------
The Ring team is looking for a passionate and talented iOS Software Development Engineer who has experience building world\-class mobile apps. You will be responsible for developing mobile applications that interact seamlessly with our devices and delight our customers.  
You will join a team that owns some of the most important functionality in the Ring app. With a huge audience and an exciting roadmap, this is a rare opportunity to shape the community experience for millions of users.  
Our goal is to provide the best possible experience to our customers, building solutions and supporting new products that help Ring on their mission to make neighborhoods safer.  
Key job responsibilities  
* Design, develop and maintain our iOS mobile applications
* Work with team members to investigate design approaches, prototype technology and evaluate technical feasibility
* Lead architecture and design of features, from conception to launch
* Help to improve engineering processes and tools to increase team effectiveness
* Be part of an agile development process to deliver high\-quality software
A day in the life  
This role provides a unique opportunity to be a key part in shaping the core of Ring's offerings to our customers. You will work across teams to prototype ideas and solve complex problems, and raise the bar of our applications by advocating and driving software best practices, automating tasks and identifying pitfalls. As part of the team, you will continue to learn and become an expert in challenging fields. You will have the opportunity to contribute your creative ideas and energy, working with world\-class experts, distributed cloud systems and home security devices.  
About the team  
Working on exciting new features and fully owning some of the most visited and core experiences in the Ring app, our team is always looking to learn and innovate. We frequently collaborate with cloud, firmware and other mobile teams to solve problems, come up with solutions and delight our customers. We are data driven, value and promote ownership, working backwards from our customers to bring them an innovative and seamless home security experience.**BASIC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 5\+ years of programming using a modern programming language such as Java, C\+\+, or C\#, including object\-oriented design experience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4">
      <c r="A74" t="inlineStr">
        <is>
          <t>in-15dc5665c0fe8b47</t>
        </is>
      </c>
      <c r="B74" t="inlineStr">
        <is>
          <t>Software Developer Engineer - iOS, Ring</t>
        </is>
      </c>
      <c r="C74" t="inlineStr">
        <is>
          <t>Amazon.com</t>
        </is>
      </c>
      <c r="D74" t="inlineStr">
        <is>
          <t>indeed</t>
        </is>
      </c>
      <c r="E74">
        <f>HYPERLINK("https://www.indeed.com/viewjob?jk=15dc5665c0fe8b47", "https://www.indeed.com/viewjob?jk=15dc5665c0fe8b47")</f>
        <v/>
      </c>
      <c r="F74">
        <f>HYPERLINK("https://www.amazon.jobs/jobs/3011028/software-developer-engineer--ios-ring?cmpid=DA_INAD200785B", "https://www.amazon.jobs/jobs/3011028/software-developer-engineer--ios-ring?cmpid=DA_INAD200785B")</f>
        <v/>
      </c>
      <c r="G74" t="inlineStr">
        <is>
          <t>Austin, TX, US</t>
        </is>
      </c>
      <c r="H74" s="2" t="n">
        <v>45812</v>
      </c>
      <c r="I74" t="inlineStr">
        <is>
          <t>**DESCRIPTION**
---------------
The Ring team is looking for a passionate and talented iOS Software Development Engineer who has experience building world\-class mobile apps. You will be responsible for developing mobile applications that interact seamlessly with our devices and delight our customers.  
You will join a team that owns some of the most important functionality in the Ring app. With a huge audience and an exciting roadmap, this is a rare opportunity to shape the community experience for millions of users.  
Our goal is to provide the best possible experience to our customers, building solutions and supporting new products that help Ring on their mission to make neighborhoods safer.  
Key job responsibilities  
* Design, develop and maintain our iOS mobile applications
* Work with team members to investigate design approaches, prototype technology and evaluate technical feasibility
* Lead architecture and design of features, from conception to launch
* Help to improve engineering processes and tools to increase team effectiveness
* Be part of an agile development process to deliver high\-quality software
A day in the life  
This role provides a unique opportunity to be a key part in shaping the core of Ring's offerings to our customers. You will work across teams to prototype ideas and solve complex problems, and raise the bar of our applications by advocating and driving software best practices, automating tasks and identifying pitfalls. As part of the team, you will continue to learn and become an expert in challenging fields. You will have the opportunity to contribute your creative ideas and energy, working with world\-class experts, distributed cloud systems and home security devices.  
About the team  
Working on exciting new features and fully owning some of the most visited and core experiences in the Ring app, our team is always looking to learn and innovate. We frequently collaborate with cloud, firmware and other mobile teams to solve problems, come up with solutions and delight our customers. We are data driven, value and promote ownership, working backwards from our customers to bring them an innovative and seamless home security experience.**BASIC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 5\+ years of programming using a modern programming language such as Java, C\+\+, or C\#, including object\-oriented design experience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5">
      <c r="A75" t="inlineStr">
        <is>
          <t>in-edd73a2cb5f6cd31</t>
        </is>
      </c>
      <c r="B75" t="inlineStr">
        <is>
          <t>Software Developer Engineer - iOS, Ring</t>
        </is>
      </c>
      <c r="C75" t="inlineStr">
        <is>
          <t>Amazon.com</t>
        </is>
      </c>
      <c r="D75" t="inlineStr">
        <is>
          <t>indeed</t>
        </is>
      </c>
      <c r="E75">
        <f>HYPERLINK("https://www.indeed.com/viewjob?jk=edd73a2cb5f6cd31", "https://www.indeed.com/viewjob?jk=edd73a2cb5f6cd31")</f>
        <v/>
      </c>
      <c r="F75">
        <f>HYPERLINK("https://www.amazon.jobs/jobs/3011028/software-developer-engineer--ios-ring?cmpid=DA_INAD200785B", "https://www.amazon.jobs/jobs/3011028/software-developer-engineer--ios-ring?cmpid=DA_INAD200785B")</f>
        <v/>
      </c>
      <c r="G75" t="inlineStr">
        <is>
          <t>Irvine, CA, US</t>
        </is>
      </c>
      <c r="H75" s="2" t="n">
        <v>45812</v>
      </c>
      <c r="I75" t="inlineStr">
        <is>
          <t>**DESCRIPTION**
---------------
The Ring team is looking for a passionate and talented iOS Software Development Engineer who has experience building world\-class mobile apps. You will be responsible for developing mobile applications that interact seamlessly with our devices and delight our customers.  
You will join a team that owns some of the most important functionality in the Ring app. With a huge audience and an exciting roadmap, this is a rare opportunity to shape the community experience for millions of users.  
Our goal is to provide the best possible experience to our customers, building solutions and supporting new products that help Ring on their mission to make neighborhoods safer.  
Key job responsibilities  
* Design, develop and maintain our iOS mobile applications
* Work with team members to investigate design approaches, prototype technology and evaluate technical feasibility
* Lead architecture and design of features, from conception to launch
* Help to improve engineering processes and tools to increase team effectiveness
* Be part of an agile development process to deliver high\-quality software
A day in the life  
This role provides a unique opportunity to be a key part in shaping the core of Ring's offerings to our customers. You will work across teams to prototype ideas and solve complex problems, and raise the bar of our applications by advocating and driving software best practices, automating tasks and identifying pitfalls. As part of the team, you will continue to learn and become an expert in challenging fields. You will have the opportunity to contribute your creative ideas and energy, working with world\-class experts, distributed cloud systems and home security devices.  
About the team  
Working on exciting new features and fully owning some of the most visited and core experiences in the Ring app, our team is always looking to learn and innovate. We frequently collaborate with cloud, firmware and other mobile teams to solve problems, come up with solutions and delight our customers. We are data driven, value and promote ownership, working backwards from our customers to bring them an innovative and seamless home security experience.**BASIC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**PREFERRED QUALIFICATIONS**
----------------------------
* 5\+ years of full software development life cycle, including coding standards, code reviews, source control management, build processes, testing, and operations experience
* Bachelor's degree in computer science or equivalent
* 5\+ years of programming using a modern programming language such as Java, C\+\+, or C\#, including object\-oriented design experience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6">
      <c r="A76" t="inlineStr">
        <is>
          <t>in-16e9b30374334ee7</t>
        </is>
      </c>
      <c r="B76" t="inlineStr">
        <is>
          <t>Senior Software Engineer - Query Processing, Aurora DSQL</t>
        </is>
      </c>
      <c r="C76" t="inlineStr">
        <is>
          <t>Amazon Web Services</t>
        </is>
      </c>
      <c r="D76" t="inlineStr">
        <is>
          <t>indeed</t>
        </is>
      </c>
      <c r="E76">
        <f>HYPERLINK("https://www.indeed.com/viewjob?jk=16e9b30374334ee7", "https://www.indeed.com/viewjob?jk=16e9b30374334ee7")</f>
        <v/>
      </c>
      <c r="F76">
        <f>HYPERLINK("https://www.amazon.jobs/jobs/2987643/senior-software-engineer--query-processing-aurora-dsql?cmpid=DA_INAD200785B", "https://www.amazon.jobs/jobs/2987643/senior-software-engineer--query-processing-aurora-dsql?cmpid=DA_INAD200785B")</f>
        <v/>
      </c>
      <c r="G76" t="inlineStr">
        <is>
          <t>East Palo Alto, CA, US</t>
        </is>
      </c>
      <c r="H76" s="2" t="n">
        <v>45796</v>
      </c>
      <c r="I76"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We are seeking an engineer to enhance the query optimization and execution layer of Aurora DSQL. The role focuses on designing and implementing query optimization algorithms, cost\-based optimization strategies, and core execution engine improvements. The ideal candidate has deep experience with database system internals and query optimizer architectures.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5\+ years of non\-internship professional software development experience
* 5\+ years of programming with at least one software programming language experience
* 4\+ years of leading design or architecture (design patterns, reliability and scaling) of new and existing systems experience
* Experience as a mentor, tech lead or leading an engineering team
* Strong background in database system internals and query processing fundamentals
**PREFERRED QUALIFICATIONS**
----------------------------
* 2\+ years of experience with query optimizer architectures, cost based optimizers in OLTP database engines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7">
      <c r="A77" t="inlineStr">
        <is>
          <t>in-3a08bbe2b972797e</t>
        </is>
      </c>
      <c r="B77" t="inlineStr">
        <is>
          <t>Senior Software Engineer - Query Processing, Aurora DSQL</t>
        </is>
      </c>
      <c r="C77" t="inlineStr">
        <is>
          <t>Amazon Web Services</t>
        </is>
      </c>
      <c r="D77" t="inlineStr">
        <is>
          <t>indeed</t>
        </is>
      </c>
      <c r="E77">
        <f>HYPERLINK("https://www.indeed.com/viewjob?jk=3a08bbe2b972797e", "https://www.indeed.com/viewjob?jk=3a08bbe2b972797e")</f>
        <v/>
      </c>
      <c r="F77">
        <f>HYPERLINK("https://www.amazon.jobs/jobs/2987643/senior-software-engineer--query-processing-aurora-dsql?cmpid=DA_INAD200785B", "https://www.amazon.jobs/jobs/2987643/senior-software-engineer--query-processing-aurora-dsql?cmpid=DA_INAD200785B")</f>
        <v/>
      </c>
      <c r="G77" t="inlineStr">
        <is>
          <t>Seattle, WA, US</t>
        </is>
      </c>
      <c r="H77" s="2" t="n">
        <v>45796</v>
      </c>
      <c r="I77"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We are seeking an engineer to enhance the query optimization and execution layer of Aurora DSQL. The role focuses on designing and implementing query optimization algorithms, cost\-based optimization strategies, and core execution engine improvements. The ideal candidate has deep experience with database system internals and query optimizer architectures.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5\+ years of non\-internship professional software development experience
* 5\+ years of programming with at least one software programming language experience
* 4\+ years of leading design or architecture (design patterns, reliability and scaling) of new and existing systems experience
* Experience as a mentor, tech lead or leading an engineering team
* Strong background in database system internals and query processing fundamentals
**PREFERRED QUALIFICATIONS**
----------------------------
* 2\+ years of experience with query optimizer architectures, cost based optimizers in OLTP database engines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$151,300/year in our lowest geographic market up to $261,500/year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9"/>
  <sheetViews>
    <sheetView workbookViewId="0">
      <selection activeCell="A1" sqref="A1"/>
    </sheetView>
  </sheetViews>
  <sheetFormatPr baseColWidth="8" defaultRowHeight="15"/>
  <sheetData>
    <row r="1">
      <c r="A1" s="1" t="inlineStr">
        <is>
          <t>job id</t>
        </is>
      </c>
      <c r="B1" s="1" t="inlineStr">
        <is>
          <t>title</t>
        </is>
      </c>
      <c r="C1" s="1" t="inlineStr">
        <is>
          <t>company</t>
        </is>
      </c>
      <c r="D1" s="1" t="inlineStr">
        <is>
          <t>site</t>
        </is>
      </c>
      <c r="E1" s="1" t="inlineStr">
        <is>
          <t>job_url</t>
        </is>
      </c>
      <c r="F1" s="1" t="inlineStr">
        <is>
          <t>job_url_direct</t>
        </is>
      </c>
      <c r="G1" s="1" t="inlineStr">
        <is>
          <t>location</t>
        </is>
      </c>
      <c r="H1" s="1" t="inlineStr">
        <is>
          <t>date posted</t>
        </is>
      </c>
      <c r="I1" s="1" t="inlineStr">
        <is>
          <t>description</t>
        </is>
      </c>
    </row>
    <row r="2">
      <c r="A2" t="inlineStr">
        <is>
          <t>li-4362705709</t>
        </is>
      </c>
      <c r="B2" t="inlineStr">
        <is>
          <t>Senior Software Engineer</t>
        </is>
      </c>
      <c r="C2" t="inlineStr">
        <is>
          <t>Microsoft</t>
        </is>
      </c>
      <c r="D2" t="inlineStr">
        <is>
          <t>linkedin</t>
        </is>
      </c>
      <c r="E2">
        <f>HYPERLINK("https://www.linkedin.com/jobs/view/4362705709", "https://www.linkedin.com/jobs/view/4362705709")</f>
        <v/>
      </c>
      <c r="F2" t="inlineStr"/>
      <c r="G2" t="inlineStr">
        <is>
          <t>Redmond, WA</t>
        </is>
      </c>
      <c r="H2" t="inlineStr"/>
      <c r="I2" t="inlineStr">
        <is>
          <t>**Overview**
 Are you passionate about gaming or a frequent consumer of short‑form and long‑form video? Do you get excited about helping fellow gamers with their everyday needs? Are you driven to surface the most engaging entertainment content for millions of users? Does seeing your code impact people around the world every single day inspire you? If so, our team could be the perfect fit.
 The MSN Entertainment team is seeking talented software engineers to help build the next generation of gaming and video experiences on MSN. In this role, you’ll collaborate with teams across Edge, Windows, Xbox, Bing, and other partner groups to deliver innovative, high‑impact solutions for our users and content partners. You’ll work across the full technology stack—from web UX and service endpoints to middle‑tier workflows and data layers—contributing to features that shape how millions of people experience entertainment on MSN.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AI\-Native Development
+ Independently uses appropriate artificial intelligence (AI) tools and practices across the software development lifecycle (SDLC) in a disciplined manner. Takes responsibility for the content of their AI\-generated requirements, design documents, code, and other assets, assisting other members of the team to do the same. Uses SDLC and engineering health measures (e.g., Accelerate, SPACE framework, Engineering System Success Playbook \[ESSP]) to improve processes and practices, especially those involving AI. Experiments with AI tools and practices to improve their own capabilities.
* Coding
+ Reviews product code and test code to ensure it meets team standards, contains the correct test coverage, and is appropriate for the product or solution area. Brings insight to code reviews to help improve code quality, coaching and providing feedback to develop other engineers' skills. Conducts code reviews in a timely fashion that helps accelerate the pace of development on the team. Considers diagnosability, reliability, testability, and maintainability when reviewing code, and understands when code is ready to be shared or delivered. Applies and reviews for coding patterns, security risks, compliance issues, and best practices in code reviews, providing feedback on code to drive adherence to best practices. Uses automated source code analysis tools that are incorporated into the build/development process.
+ Uses debugging tools, tests, logs, telemetry, and other methods to proactively verify assumptions while developing code before issues occur for products in production. Conducts incident retrospectives to identify root causes of problems, implements repair actions, and identifies mechanisms to prevent incident recurrence. Independently applies least\-access principles, uses logging, telemetry, and other appropriate mechanisms to investigate issues while retaining privacy and security, and drives those practices across the team.
+ Leads by example within the team to produce extensible, maintainable, well\-tested, secure, and performant code that adheres to design specifications. Continuously improves code performance, testability, maintainability, effectiveness, and cost, while learning about and accounting for relevant trade\-offs. Applies metrics to drive code quality and stability. Applies appropriate coding patterns and best practices (e.g., leveraging state\-of\-the\-art generative artificial intelligence \[GenAI], approaches to source code organization, naming conventions). Identifies and escalates blockers or unknowns during the development process, communicates how they will impact timelines, and identifies strategies and/or opportunities to address them.
* Design
+ Independently creates a clear test strategy that ensures solution quality, prevents regression from being introduced into existing code. Ensures test plans incorporate security testing to validate security invariants (including negative cases). Drives adding new tests to cover gaps, deleting or fixing broken tests, and improving the speed, reliability, and defect localization of the test suite. Independently builds testable code and considers testability during design for a project/sub\-section of a product/solution. Understands the different types of tests that can be done on a particular system (e.g., unit tests), maintains up\-to\-date understanding of testing architectures used both across Microsoft and across the industry, and applies them across the architecture as appropriate. Identifies difficult or untestable sections of codes for a project/sub\-section of a product/solution for future design or rearchitecture discussions. Leverages artificial intelligence (AI) tools for test automation.
+ Identifies dependencies and incorporates them into the development of design documents for a product, application, service or platform. Actively identifies other teams and technologies to leverage, how they interact, and where their own system or team can support others. Understands upstream and downstream interactions between systems and ensures security, compliance, performance, and reliability can be achieved across the entire stack. Collaborates with other teams to reach common goals where dependencies and validation concerns overlap. Works across teams to resolve conflicts around dependency ownership and required work.
+ Leads discussions for and owns the architecture of a products/solutions and creates proposals for architecture by testing design hypotheses and develop complex design specifications. Tests and explores various design options for a complex product/solution scenario, outlining strengths and weaknesses of each option. Independently collaborates with architects to build and modify complex products/solutions, providing feedback as needed. Owns or collaborates with other engineers on the architecture of solutions, with minimal technical oversight. Develops design documents that support user stories and other product requirements. Maintains awareness of the current technology landscape, and determines how to integrate these technologies within existing systems. Shares learnings and identified solutions from investigations with the team and owns for some design decisions. Ensures system architecture and individual designs meet performance, scalability, resiliency, cost of goods sold (COGS), disaster recovery, and other requirements and expectations. Upholds Microsoft standards of security, privacy, and other compliance requirements and expectations. Understands and coaches less experienced engineers on the importance of building solutions that expand upon the work of others. Drives the refinement of products through data analytics, and makes informed decisions in engineering products through data integration. Reviews designs/architectures within and across teams to provide recommendations for improvements.
* Engineering Excellence
+ Applies best practices to build code based on well\-established methods and secure design principles while also applying best practices for new code development and formal validation of security invariants. Drives product development and scaling to customer requirements and applies best practices for meeting scaling needs and performance expectations and security promises.
+ Considers, identifies requirements for, and drives comprehensive application of automation within production and deployment of a product, targeting zero\-touch deployment when possible. Runs code in simulated or other non\-production environments to confirm functionality and error\-free runtime for products.
+ Drives efforts to ensure the correct processes are followed to achieve a high degree of security, privacy, safety, and accessibility. Creates and assures the presence of visible evidence (e.g., audit trail) to demonstrate compliance for products. Develops and maintains a deep understanding of the implications of onboarding new technologies following expectations of compliance at Microsoft. Demonstrates and maintains an up\-to\-date understanding of both global and local regulations for technologies and system applications to ensure regulations are followed and met.
+ Works with partner teams to ensure a project/sub\-system of a product works well with the components of the partner team, ensuring proper end\-to\-end testing, live\-site coverage, scalability, performance, and DRI escalation pathways are established before going live.
+ Remains current in skills by investing time and effort into being informed of current developments. Proactively seeks new knowledge, evaluating new trends, technical solutions, and patterns, assessing how to adapt them to current problems. Conducts learning and literary sessions to raise awareness on relevant engineering design principles (e.g., security, testability, performance, scalability, accessibility, product knowledge).
+ Uses and enhances, or builds, new software developer tools to support easier, faster, and more effective software engineering for products. Identifies whether open source or internal code is available to address coding needs for a project/sub\-system of a product, and reuses it in a responsible manner where applicable. Develops skills in tools outside current areas of expertise. Identifies and/or creates tools that are useful for building the product. Shares best practices and teaches others about new tools and strategies.
+ Understands and applies security best practices and establishes code invariants to model "security as code," ensuring each layer is independently secure, and minimizing risk. Supports and/or adopts security standards for clear security code review practices for a project/sub\-system of a product that align with design and engineering principles to raise the security hardening for both protections and detections. Incorporates deployment gates on security controls, and scanners for a project/sub\-system of a product to prevent regressions and/or vulnerabilities that would have customer impact. Includes required security monitoring to ensure detection of violations. Independently works with relevant security partners to define security promises and security invariants for the design of a product/solution while factoring in attacker/investigator personas for security monitoring and telemetry needs, ensure threat models and premortems validate upstream and downstream assumptions and security invariants, establish security breach drills and security incident response processes (e.g., impact analysis, containment), and ensure that artificial intelligence (AI) safety features are implemented for the AI production systems tied to a project/sub\-system of a product.
* Implement
+ Leverages their subject\-matter expertise to partner with appropriate stakeholders (e.g., technical program managers) to drive a workgroup's project plans, release plans, and work items. Organizes work into smaller sets of tasks as part of an overall roadmap. Guides other members for project estimation and escalates issues that might cause a delay. Ensures required security protections and detection processes are accounted for in planning. Ensures project plans adhere to security, privacy, and compliance requirements. Ensures all code for a product/solution is properly flighted for quicker mitigation of production incidents. Calculates capacity for planning, accounting for appropriate failover and backup/restore mechanisms for disaster recovery for a project/sub\-system of a product. Makes considerations for efficient operation of a project/sub\-system of a product after it is live. Establishes a rollback plan for a project/sub\-system of a product.
+ Leveraging internal experimentation infrastructures, drives experiments that determine the impact of changes, using feature flags/flighting in their code. Collaborates with internal partners (e.g., Data Science, product managers) to incorporate success and guard rail metrics for experimentation.
+ Leverages existing deployment frameworks in the implementation of solutions, automating deployment tasks when possible to ensure efficiency. Follows safe change deployment best practices (e.g., ensuring that flights are set correctly) for their team to minimize adverse impact to users and other services. Ensures that solutions are deployed safely, rolling out security\-sensitive features only to applicable, relevant customers and scenarios to reduce the attack surface. Monitors dependency status and ensures that only the latest, secure versions are deployed. Identifies when rollback plans should be enacted for a project/sub\-sub\-system of a product. Builds deployment infrastructure to allow developers' private builds for a project/sub\-sub\-system of a product to be tested in a production\-like environment.
* Reliability and Supportability
+ Drives efforts to integrate logging and instrumentation for gathering telemetry data on system behavior such as performance, reliability, availability, usage, and safety mechanisms, and for allowing monitoring and investigating security\-related concerns and scenarios for both live and A/B experiments for products, services, and offerings. Leverages telemetry feedback and effectiveness to independently improve subsequent monitoring designs. Classifies and analyzes data on a range of metrics (e.g., health of the system, where bugs may be occurring), and creates outputs (e.g., notifications, dashboards) that improve monitoring and investigating security\-related concerns and scenarios, system monitoring and/or issue identification and mitigation. Considers the privacy implications of telemetry code changes, and adding new data points.
+ Acts as a designated responsible individual (DRI) and guides other engineers by developing and following the playbook, working on\-call to monitor a system/product/service for degradation, downtime, or interruptions. Alerts stakeholders as to status and initiates actions to restore system/product/service for simple problems and complex problems when appropriate. Responds within service level agreement (SLA) timeframe. Drives efforts to reduce incident volume, looking globally at incidences and providing broad resolutions. Escalates issues to appropriate owners.
+ Maintains operations of live site service, following security best practices when responding quickly to mitigate issues while using the minimum required permissions to do so that arise on a rotational, on\-call basis. Implements solutions and mitigations to more complex issues impacting performance or functionality of live site service and escalates appropriately. Reviews and writes incident postmortem and presents insights that drive changes to reduce or eliminate incidents. Independently improves troubleshooting guides (TSGs), wikis, tests, and telemetry to make on\-call better, and recommends user\-facing support documentation and additional test coverage to reduce likelihood of future user\-initiated incidents. Enables secure operations, security monitoring, and integration with live site investigation activities. Identifies and proposes opportunities (e.g., lunch talks, automation, practices, tools) that can be leveraged to improve the live site experience. Adds comprehensive observability and monitoring to services.
* Understand User Requirements
+ Collaborates with and guides appropriate internal (e.g., product manager, privacy/security subject matter expert, technical lead) and external (e.g. customer escalation team, public forums) stakeholders to determine and confirm customer/user requirements for a project/sub\-section of a product/solution. Incorporates customer insights into future designs or solution fixes. Ensures unwritten requirements, such as appropriate continuous feedback loops that measure actionable, quantitative (e.g., customer value, usage patterns, solution performance) and qualitative (e.g., accessibility, globalization) indicators of value are incorporated. Understands, provides feedback on, and advocates for security and privacy needs of the customer who will be using the project/sub\-section of a product/solution.
**Qualifications**
**Required Qualifications:**
* Bachelor's Degree in Computer Science or related technical field AND 4\+ years technical engineering experience with coding in languages including, but not limited to, C, C\+\+, C\#, Java, JavaScript, or Python OR equivalent experience.
**Preferred Qualifications**
* Master's Degree in Computer Science or related technical field AND 6\+ years technical engineering experience with coding in languages including, but not limited to, C, C\+\+, C\#, Java, JavaScript, or Python OR Bachelor's Degree in Computer Science or related technical field AND 8\+ years technical engineering experience with coding in languages including, but not limited to, C, C\+\+, C\#, Java, JavaScript, or Python OR equivalent experience.
* Experience in UX (React, Web components, typescript, JavaScript)
* Interest in gaming \&amp; video feed.
* A demonstrated ability to ship high\-quality software on time.
* Solid communication skills. Ability to work closely and collaborate independently across a feature team.
* Ability to span across a large number of areas while getting sufficiently deep in new focus areas where necessary
* Passion for product excellence.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\#MicrosoftAI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3">
      <c r="A3" t="inlineStr">
        <is>
          <t>li-4361005542</t>
        </is>
      </c>
      <c r="B3" t="inlineStr">
        <is>
          <t>Senior Software Engineer, Data Engineering</t>
        </is>
      </c>
      <c r="C3" t="inlineStr">
        <is>
          <t>Airbnb</t>
        </is>
      </c>
      <c r="D3" t="inlineStr">
        <is>
          <t>linkedin</t>
        </is>
      </c>
      <c r="E3">
        <f>HYPERLINK("https://www.linkedin.com/jobs/view/4361005542", "https://www.linkedin.com/jobs/view/4361005542")</f>
        <v/>
      </c>
      <c r="F3" t="inlineStr"/>
      <c r="G3" t="inlineStr"/>
      <c r="H3" t="inlineStr"/>
      <c r="I3" t="inlineStr">
        <is>
          <t>Airbnb was born in 2007 when two hosts welcomed three guests to their San Francisco home, and has since grown to over 5 million hosts who have welcomed over 2 billion guest arrivals in almost every country across the globe. Every day, hosts offer unique stays and experiences that make it possible for guests to connect with communities in a more authentic way.
**The Community You Will Join**
*We are currently hiring for multiple teams:*
 Guest Data: Understanding how guests and hosts use Airbnb allows us to give them the best possible experience. The Guest Data team, part of the Guest \&amp; Host organization, is dedicated to developing top\-tier tools, frameworks, and data models that offer a data\-driven perspective on guest experiences on Airbnb products. Our primary stakeholders include analytics and data science partners, ML engineers, and product and engineering leaders involved in the core booking flow.
 Supply and One Community (BizTech) \- Team is building a platform for Airbnb to acquire high quality supply for its product lines such as Homes, Hotels, Experiences and Services. High quality supply in the right geograhies is a key lever to Airbnb’s growth. One Community offers host clubs for geo\-graphically colocated hosts to communicate. Host clubs offers a meaningful education, announcements and tool of communication in disaster scenarios, it’s an important input to measure host engagement.
 The Growth Data Platform team in the Marketing Technology organization is looking for a Senior Data Engineer to join our team. We own and curate important marketing data models, data resources, and metrics that are critical to drive business growth and product engagement. In this role you will own some of Airbnb’s most foundational data assets, including our marketing communication \&amp; engagement, growth \&amp; attribution, ads performance and traffic acquisition. You will design, build and own the company\-wide marketing and growth data models and metrics. You will work closely with Analytics Engineers, Software Engineers, Analytics and the Finance team to make sure our marketing core data foundation is accurate, high quality, and adapting to the evolving business needs.
 Airbnb is powered by our Host and Guest communities. Our teams work on everything from driving improvements for the end\-to\-end Host and Guest experience to launching new product verticals from the ground up. Our job is to build world\-class, comprehensive platforms and features to create high\-quality experiences for our outstanding community of Hosts and Guests.
 Listings and Host Tools Data and AI (LHT\-DnA) team is one of the 4 teams of the Marketplace\-DnA org: The LHT\-DnA team supports host personalization products and provides data driven solutions to achieve superior host experience on Airbnb. These products include but are not limited to managing your space (MYS), host quality standards etc. We own data pipelines and ML models and will build services for serving that are used in the above areas.
 The Supply \&amp; Insights Data and AI team provides rich, high\-quality data assets to power insights that enable Airbnb and our hosts to be competitive in our marketplaces. The team is composed of Engineers specializing in Data, Analytics, Backend and Machine Learning, and we work closely with a wide range of teams across the company, including Data Science, Strategic Finance, Sales Operations, and Product Engineering in order to see our work through to business impact.
**The Difference You Will Make**
 Guest Data: As a Senior Data Engineer, you will help build our data strategy, develop top\-tier data models and tooling, and provide technical leadership to a team of senior data engineers. You have the opportunity to influence critical aspects of the Airbnb experience, including Search and Checkout, while collaborating with long\-standing xfn partners across Product, Analytics Engineering, Data Science, Infrastructure, and AI/ML. Your work will impact the quality of the Airbnb product experience for millions of daily visitors, making it an exciting opportunity for anyone passionate about data and its transformative potential.
 Supply and One Community (BizTech) \- As a Senior Data Engineer, you will help build and execute our data strategy, develop top\-tier data models and tooling, and provide technical leadership to data practitioners in the organization. Supply organization uses Salesforce for their workflows offering you an opportunity to build a paved path to exchange data between Airbnb and its vendor efficiently and in near real\-time with an opportunity to influence vendor data exchange at Airbnb. Your work will impact the quality of the Airbnb experience for hosts and allow Airbnb to acquire, onboard high quality hosts. You will be collaborating with long\-standing xfn partners across Product, Analytics Engineering, Data Science, Infrastructure, and AI/ML.
**A Typical Day**
* Design, build, and maintain robust and efficient data pipelines that collect, process, and store data from various sources, including user interactions, listing details, and external data feeds.
* Develop data models that enable the efficient analysis and manipulation of data for merchandising optimization. Ensure data quality, consistency, and accuracy.
* Build scalable data pipelines (SparkSQL \&amp; Scala) leveraging Airflow scheduler/executor framework
* Collaborate with cross\-functional teams, including Data Scientists, Product Managers, and Software Engineers, to define data requirements, and deliver data solutions that drive merchandising and sales improvements.
* Contribute to the broader Data Engineering community at Airbnb to influence tooling and standards to improve culture and productivity
* Improve code and data quality by leveraging and contributing to internal tools to automatically detect and mitigate issues
**Your Expertise**
* 5\-9\+ years of relevant industry experience with a BS/Masters, or 2\+ years with a PhD
* Experience with distributed processing technologies and frameworks, such as Hadoop, Spark, Kafka, and distributed storage systems (e.g., HDFS, S3\)
* Demonstrated ability to analyze large data sets to identify gaps and inconsistencies, provide data insights, and advance effective product solutions
* Expertise with ETL schedulers such as Apache Airflow, Luigi, Oozie, AWS Glue or similar frameworks
* Solid understanding of data warehousing concepts and hands\-on experience with relational databases (e.g., PostgreSQL, MySQL) and columnar databases (e.g., Redshift, BigQuery, HBase, ClickHouse)
* Excellent written and verbal communication skills
**Your Location:**
 This position is US \- Remote Eligible. The role may include occasional work at an Airbnb office or attendance at offsites, as agreed to with your manager. While the position is Remote Eligible, you must live in a state where Airbnb, Inc. has a registered entity. Click here for the up\-to\-date list of excluded states. This list is continuously evolving, so please check back with us if the state you live in is on the exclusion list. If your position is employed by another Airbnb entity, your recruiter will inform you what states you are eligible to work from.
**Our Commitment To Inclusion \&amp; Belonging**
 Airbnb is committed to working with the broadest talent pool possible. We believe diverse ideas foster innovation and engagement, and allow us to attract creatively\-led people, and to develop the best products, services and solutions. All qualified individuals are encouraged to apply.
 We strive to also provide a disability inclusive application and interview process. If you are a candidate with a disability and require reasonable accommodation in order to submit an application, please contact us at: reasonableaccommodations@airbnb.com. Please include your full name, the role you’re applying for and the accommodation necessary to assist you with the recruiting process.
 We ask that you only reach out to us if you are a candidate whose disability prevents you from being able to complete our online application.
**How We'll Take Care Of You**
 Our job titles may span more than one career level. The actual base pay is dependent upon many factors, such as: training, transferable skills, work experience, business needs and market demands. The base pay range is subject to change and may be modified in the future. This role may also be eligible for bonus, equity, benefits, and Employee Travel Credits.
 Pay Range
 $191,000—$223,000 USD</t>
        </is>
      </c>
    </row>
    <row r="4">
      <c r="A4" t="inlineStr">
        <is>
          <t>li-4321878944</t>
        </is>
      </c>
      <c r="B4" t="inlineStr">
        <is>
          <t>Senior Infrastructure Software Engineer, Storage</t>
        </is>
      </c>
      <c r="C4" t="inlineStr">
        <is>
          <t>Dropbox</t>
        </is>
      </c>
      <c r="D4" t="inlineStr">
        <is>
          <t>linkedin</t>
        </is>
      </c>
      <c r="E4">
        <f>HYPERLINK("https://www.linkedin.com/jobs/view/4321878944", "https://www.linkedin.com/jobs/view/4321878944")</f>
        <v/>
      </c>
      <c r="F4" t="inlineStr"/>
      <c r="G4" t="inlineStr"/>
      <c r="H4" t="inlineStr"/>
      <c r="I4" t="inlineStr">
        <is>
          <t>**PLEASE READ: Zones are based on your zip code. If you’re within 100 miles of a listed metro area (straight\-line radius), you’re included in that Zone. For this role, we are hiring in Zones 2 and 3\. Check your Zone here before applying.**
**Company Description**
 Dropbox isn’t just a workplace—it’s a living lab for more enlightened ways of working. We're a global community of bold visionaries and resourceful doers who are shaping the future of Dropbox—and with it the future of work. Our Virtual First model combines the autonomy of a distributed workplace with the power of human connection, making space for both meaningful work and meaningful relationships. With our start\-up mindset and enterprise\-level opportunities, you can be who you are and grow into who you’re meant to be. Here, you can own your impact to make work more intuitive, joyful, and human—for you as a Dropboxer and for hundreds of millions of people worldwide. If you're ready to push boundaries—and yourself— Dropbox is ready for you.
**Team Description**
 The Dropbox Engineering Team builds the technology that creates more enlightened ways of working for hundreds of millions of people. Every day, our platforms—including Dropbox Dash, Dropbox Sign, and our core sync engine—handle over a billion files for users worldwide, creating engineering challenges as great as the opportunity for impact. Our software engineering team uses a range of technologies to solve interesting problems, including Python, React, Node.js, JavaScript, MongoDB, PostgreSQL, and Android development. We think like a startup but build for an enterprise, exploring new possibilities that transform how people work. If you're excited about turning complex technical challenges into intuitive solutions at scale, join our Engineering team. Areas of work include Machine Learning Engineers, Infrastructure Engineer, Product SWE Frontend and Backend, Mobile Software Engineers (iOS and Android), Engineering Manager, Data Engineer, Software Development Engineer in Test, Security Engineering, Site Reliability Engineer, Technical Program Managers, Network Engineer, Datacenter Engineer, Technical Supply Chain Manager and more.
**Role Description**
 As a Senior Software Engineer on the Storage team, you will help design, build, and operate Dropbox’s large\-scale storage systems that provide high durability and scalability for millions of users across all of Dropbox products. The Storage team owns the distributed storage infrastructure at the heart of Dropbox, systems responsible for storing exabytes of user data across multiple data centers worldwide.
 You’ll collaborate with experienced engineers across infrastructure and product teams to improve reliability, optimize performance, and evolve the architecture of Dropbox’s storage layer. This role offers deep exposure to distributed systems and storage challenges such as replication, erasure coding, consistency tradeoffs, and performance tuning at massive scale.
 It’s an ideal opportunity for engineers who love building resilient infrastructure, learning from complex production systems, and growing into technical leadership. You’ll gain hands\-on experience operating mission\-critical services, influence architectural decisions, and directly improve how Dropbox keeps user data safe, durable, and available.
 Our Engineering Career Framework is viewable by anyone outside the company and describes what’s expected for our engineers at each of our career levels. Check out our blog post on this topic and more here.
**Responsibilities**
* Design, implement, and maintain large\-scale distributed storage systems that ensure data durability, availability, and performance.
* Collaborate with peers to evolve the architecture of Dropbox’s core storage infrastructure for improved scalability and efficiency.
* Contribute to the design of replication, erasure coding, and system lifecycle management systems that balance cost, reliability, and performance.
* Write high\-quality, performant, and maintainable code in Go and Rust.
* Participate in the on\-call rotation, gaining firsthand experience operating Dropbox’s production storage systems
* Investigate and resolve complex production issues, performing root cause analysis and driving continuous reliability improvements.
* Partner with cross\-functional teams (Networking, Hardware, Capacity Planning) to deliver end\-to\-end reliable and cost\-efficient storage solutions
* Take ownership of scoped projects and demonstrate growth toward leading larger, cross\-team technical initiatives.
 Many teams at Dropbox run Services with on\-call rotations, which entails being available for calls during both core and non\-core business hours. If a team has an on\-call rotation, all engineers on the team are expected to participate in the rotation as part of their employment. Applicants are encouraged to ask for more details of the rotations to which the applicant is applying.
**Requirements**
* 8\+ years of strong understanding of distributed systems principles, including replication, consistency, and fault tolerance.
* Experience developing and debugging production services in C\+\+, Go, or Rust.
* Familiarity with distributed storage systems, file systems, or data infrastructure at scale.
* Demonstrated ability to write efficient, reliable, and maintainable code in mission\-critical environments.
* Experience troubleshooting complex systems and participating in on\-call or operational rotations.
* Solid communication and collaboration skills, with the ability to work across infrastructure and product teams.
* Eagerness to learn, grow, and contribute to multi\-year infrastructure evolution initiatives.
**Preferred Qualifications**
* Experience building and operating large\-scale object storage or distributed storage systems (e.g. S3, Ceph, GFS/Colossus).
* Deep interest in systems performance, profiling, and low\-level optimization.
* Familiarity with replication protocols, erasure coding, and data placement algorithms.
* Experience with production monitoring, observability, and incident response workflows.
* Contributions to infrastructure projects, open\-source systems, or developer tooling that improved reliability and performance.
**Compensation**
 US Zone 1
 This role is not available in Zone 1
 US Zone 2
 $202,700—$274,300 USD
 US Zone 3
 $180,200—$243,800 USD
 The range(s) listed above is the expected annual salary/OTE (On\-Target Earnings) for this role, subject to change.
 Please note, OTE are for sales roles only.
 Salary/OTE is just one component of Dropbox’s total rewards package. All regular employees are also eligible for the corporate bonus program or a sales incentive (target included in OTE) as well as stock in the form of Restricted Stock Units (RSUs).
 Dropbox takes a number of factors into account when determining individual starting pay, including job and level they are hired into, location/metropolitan area, skillset, and peer compensation. We target most new hire offers between the minimum up to the middle of the range.
 Dropbox uses the zip code of an employee’s remote work location to determine which metropolitan pay range we use. Current US Zone locations are as follows:
* US Zone 1: San Francisco metro, New York City metro, or Seattle metro
* US Zone 2: California (outside SF metro), Colorado, Connecticut (outside NYC metro), Delaware, Illinois (Chicago metro), Indiana (Chicago metro), Maryland, Massachusetts, Michigan (Chicago metro), New Hampshire, New Jersey (outside NYC metro), New York (outside NYC metro), Oregon, Pennsylvania (D.C. metro), Pennsylvania (outside NYC or DC metro), Texas (Austin metro) Virginia (DC metro), Washington (outside Seattle metro), Washington DC metro, West Virginia (DC metro), Wisconsin (Chicago metro)
* US Zone 3: All other US locations
**Benefits**
 Dropbox is committed to investing in the holistic health and wellbeing of all Dropboxers and their families. Our benefits and perks programs include, but are not limited to:
* Competitive medical, dental, and vision coverage
* 401(k) plan with a generous company match and immediate vesting
* Flexible PTO/Paid Time Off, paid holidays, Volunteer Time Off, and more, allowing you time to unplug, unwind, and refresh
* Income Protection Plans: Life and disability insurance
* Business Travel Protection: Travel medical and accident insurance
* Perks Allowance to be used on what matters most to you, whether that’s wellness, learning and development, food and groceries, and much more
* Parental benefits including: Parental Leave, Child and Adult Care, Day Care FSA, Fertility Benefits, Adoption and Surrogacy Support, and Lactation Support
* Access to over 10,000 global co\-working spaces through Gable.tomaking it easy to book flexible workspaces for collaboration or individual work
* Quarterly Cell phone and internet allowance
* Mental health and wellness benefits
* Disability and neurodivergence support benefits
 Additional benefit details are available upon request.
 Dropbox supports responsible use of AI for preparation, but misrepresentation of skills or experience is not permitted. See our AI philosophy.
 Dropbox is an equal opportunity employer. We are a welcoming place for everyone, and we do our best to make sure all people feel supported and connected at work. A big part of that effort is our support for members and allies of internal groups like Asians at Dropbox, BlackDropboxers, enABLE, TODOS (Latinx), Pridebox (LGBTQ), Vets at Dropbox, and Women at Dropbox.</t>
        </is>
      </c>
    </row>
    <row r="5">
      <c r="A5" t="inlineStr">
        <is>
          <t>li-4325734622</t>
        </is>
      </c>
      <c r="B5" t="inlineStr">
        <is>
          <t>Fullstack Product Software Engineer, Growth Monetization</t>
        </is>
      </c>
      <c r="C5" t="inlineStr">
        <is>
          <t>Dropbox</t>
        </is>
      </c>
      <c r="D5" t="inlineStr">
        <is>
          <t>linkedin</t>
        </is>
      </c>
      <c r="E5">
        <f>HYPERLINK("https://www.linkedin.com/jobs/view/4325734622", "https://www.linkedin.com/jobs/view/4325734622")</f>
        <v/>
      </c>
      <c r="F5" t="inlineStr"/>
      <c r="G5" t="inlineStr"/>
      <c r="H5" t="inlineStr"/>
      <c r="I5" t="inlineStr">
        <is>
          <t>**PLEASE READ: Zones are based on your zip code. If you’re within 100 miles of a listed metro area (straight\-line radius), you’re included in that Zone. For this role, we are hiring in Zones 2 and 3\. Check your Zone here before applying.**
**Company Description**
 Dropbox isn’t just a workplace—it’s a living lab for more enlightened ways of working. We're a global community of bold visionaries and resourceful doers who are shaping the future of Dropbox—and with it the future of work. Our Virtual First model combines the autonomy of a distributed workplace with the power of human connection, making space for both meaningful work and meaningful relationships. With our start\-up mindset and enterprise\-level opportunities, you can be who you are and grow into who you’re meant to be. Here, you can own your impact to make work more intuitive, joyful, and human—for you as a Dropboxer and for hundreds of millions of people worldwide. If you're ready to push boundaries—and yourself— Dropbox is ready for you.
**Team Description**
 The Dropbox Engineering Team builds the technology that creates more enlightened ways of working for hundreds of millions of people. Every day, our platforms—including Dropbox Dash, Dropbox Sign, and our core sync engine—handle over a billion files for users worldwide, creating engineering challenges as great as the opportunity for impact. Our software engineering team uses a range of technologies to solve interesting problems, including Python, React, Node.js, JavaScript, MongoDB, PostgreSQL, and Android development. We think like a startup but build for an enterprise, exploring new possibilities that transform how people work. If you're excited about turning complex technical challenges into intuitive solutions at scale, join our Engineering team. Areas of work include Machine Learning Engineers, Infrastructure Engineer, Product SWE Frontend and Backend, Mobile Software Engineers (iOS and Android), Engineering Manager, Data Engineer, Software Development Engineer in Test, Security Engineering, Site Reliability Engineer, Technical Program Managers, Network Engineer, Datacenter Engineer, Technical Supply Chain Manager and more.
**Role Description**
 As a Product Engineer at Dropbox, you will play a pivotal role in shaping the future of collaboration and file sharing. Your responsibilities will revolve around developing and enhancing our suite of Dropbox Products to deliver exceptional user experiences. You will work closely with cross\-functional teams, turning innovative ideas into robust, scalable, and user\-friendly features.
 This year, Dropbox is on a mission to expedite the creation and implementation of AI\-enable products by providing a comprehensive AI technology stack that facilitates speedy prototyping and reliable deployment of AI\-driven functionalities.
 Our Engineering Career Framework is viewable by anyone outside the company and describes what’s expected for our engineers at each of our career levels. Check out our blog post on this topic and more here.
**Responsibilities**
* Autonomously deliver ongoing business impact across a team, product capability, or technical system.
* Collaborate effectively with cross\-functional teams, including product managers, designers, and other engineers.
* Excellent problem\-solving skills and the ability to make effective tradeoffs between technical requirements and business goals.
* Mentor junior engineers and contributing to the overall growth and success of the engineering team.
* Adapt to a dynamic and fast\-paced work environment, with a focus on continuous learning and professional development.
* Ensure continuous service operation by participating in the team's on\-call rotation, including outside core collaboration hours on a periodic basis.
 Many teams at Dropbox run Services with on\-call rotations, which entails being available for calls during both core and non\-core business hours. If a team has an on\-call rotation, all engineers on the team are expected to participate in the rotation as part of their employment. Applicants are encouraged to ask for more details of the rotations to which the applicant is applying.
**Requirements**
* 5\-9 years of experience building applications professionally.
* BS degree or higher in Computer Science or a related technical field. (e.g., physics or mathematics), or equivalent technical experience.
* Delivered tangible results, from conceptualization to implementation, while making significant contributions to the success of the project.
* Experience in developing web applications, demonstrating a deep understanding of the intricacies involved in building robust and scalable systems.
**Preferred Qualifications**
* Contributions to open source projects or technical communities
* Full\-Stack Development
* Technologies: MySQL, Python, Go, Java, Rust
**Compensation**
 US Zone 1
 This role is not available in Zone 1
 US Zone 2
 $183,600—$248,400 USD
 US Zone 3
 $163,200—$220,800 USD
 The range(s) listed above is the expected annual salary/OTE (On\-Target Earnings) for this role, subject to change.
 Please note, OTE are for sales roles only.
 Salary/OTE is just one component of Dropbox’s total rewards package. All regular employees are also eligible for the corporate bonus program or a sales incentive (target included in OTE) as well as stock in the form of Restricted Stock Units (RSUs).
 Dropbox takes a number of factors into account when determining individual starting pay, including job and level they are hired into, location/metropolitan area, skillset, and peer compensation. We target most new hire offers between the minimum up to the middle of the range.
 Dropbox uses the zip code of an employee’s remote work location to determine which metropolitan pay range we use. Current US Zone locations are as follows:
* US Zone 1: San Francisco metro, New York City metro, or Seattle metro
* US Zone 2: California (outside SF metro), Colorado, Connecticut (outside NYC metro), Delaware, Illinois (Chicago metro), Indiana (Chicago metro), Maryland, Massachusetts, Michigan (Chicago metro), New Hampshire, New Jersey (outside NYC metro), New York (outside NYC metro), Oregon, Pennsylvania (D.C. metro), Pennsylvania (outside NYC or DC metro), Texas (Austin metro) Virginia (DC metro), Washington (outside Seattle metro), Washington DC metro, West Virginia (DC metro), Wisconsin (Chicago metro)
* US Zone 3: All other US locations
**Benefits**
 Dropbox is committed to investing in the holistic health and wellbeing of all Dropboxers and their families. Our benefits and perks programs include, but are not limited to:
* Competitive medical, dental, and vision coverage
* 401(k) plan with a generous company match and immediate vesting
* Flexible PTO/Paid Time Off, paid holidays, Volunteer Time Off, and more, allowing you time to unplug, unwind, and refresh
* Income Protection Plans: Life and disability insurance
* Business Travel Protection: Travel medical and accident insurance
* Perks Allowance to be used on what matters most to you, whether that’s wellness, learning and development, food and groceries, and much more
* Parental benefits including: Parental Leave, Child and Adult Care, Day Care FSA, Fertility Benefits, Adoption and Surrogacy Support, and Lactation Support
* Access to over 10,000 global co\-working spaces through Gable.tomaking it easy to book flexible workspaces for collaboration or individual work
* Quarterly Cell phone and internet allowance
* Mental health and wellness benefits
* Disability and neurodivergence support benefits
 Additional benefit details are available upon request.
 Dropbox supports responsible use of AI for preparation, but misrepresentation of skills or experience is not permitted. See our AI philosophy.
 Dropbox is an equal opportunity employer. We are a welcoming place for everyone, and we do our best to make sure all people feel supported and connected at work. A big part of that effort is our support for members and allies of internal groups like Asians at Dropbox, BlackDropboxers, enABLE, TODOS (Latinx), Pridebox (LGBTQ), Vets at Dropbox, and Women at Dropbox.</t>
        </is>
      </c>
    </row>
    <row r="6">
      <c r="A6" t="inlineStr">
        <is>
          <t>li-4353512501</t>
        </is>
      </c>
      <c r="B6" t="inlineStr">
        <is>
          <t>(USA) Senior, Software Engineer</t>
        </is>
      </c>
      <c r="C6" t="inlineStr">
        <is>
          <t>Walmart</t>
        </is>
      </c>
      <c r="D6" t="inlineStr">
        <is>
          <t>linkedin</t>
        </is>
      </c>
      <c r="E6">
        <f>HYPERLINK("https://www.linkedin.com/jobs/view/4353512501", "https://www.linkedin.com/jobs/view/4353512501")</f>
        <v/>
      </c>
      <c r="F6">
        <f>HYPERLINK("https://click.appcast.io/t/5SY9kbeP3DyZYKcGurBSAP-i1lkg1NixZ2rZi_hqjIqI19HjXbpeFeJ6r1QKS12u?source=LinkedIn&amp;urlHash=nGdb", "https://click.appcast.io/t/5SY9kbeP3DyZYKcGurBSAP-i1lkg1NixZ2rZi_hqjIqI19HjXbpeFeJ6r1QKS12u?source=LinkedIn&amp;urlHash=nGdb")</f>
        <v/>
      </c>
      <c r="G6" t="inlineStr">
        <is>
          <t>Bentonville, AR</t>
        </is>
      </c>
      <c r="H6" t="inlineStr"/>
      <c r="I6" t="inlineStr">
        <is>
          <t>Position Summary...
 What you'll do...What you'll do...
 It’s exciting time to join our Walmart journey. We are seeking a Software Engineer to work and partner with teams to build Platforms, Machine Learning models and AI Agents under Finance Data Factory team within Finance Technology.
**About The Team**
 As a part of Walmart Finance Technology – Finance Data Factory (FDF) team, we build industry defining Data platform/workflows that process large quantity of data that run on data platform for visualization and consumed by downstream applications Also, Machine Learning and statistical modeling that enable transparency, governance, and automation. The goals include improved Business partner user experience, standardizing the core and utilizing reporting/predictive analytics to uncover insights faster.
 You will be in the unique position to be of service to associates as a member of this organization supporting all segments of Walmart Finance. If you are the type of person who feels a personal stake in everything that you work on, has a strong sense of ownership, has a love for financial data, enjoys solving complex problems, has a passion for privacy, knows how to foster strong relationships and build trust, and works for the success of the product \- then this role could be for you. The ideal candidate will be a driver for any given work stream within the program, working closely with the engineering and business teams to take an idea thru implementation and stabilization.
 Also, you will be positioned to work/partner with a team of data scientist to develop machine learning models to enable observability, monitoring, data Quality and impact\-based alerting, orchestrate with multiple systems in the landscape to provide end\-to\-end visibility and connectivity between the systems to better serve business/customers. Provides visibility into data correctness, completeness, accuracy for downstream systems. Identifies data gaps upfront, hence providing proactive alerting. Enabling data transparency, insights hence help kick off the data remediation process in upstream systems.
 What you’ll bring:
* Minimum 3 to 4 years of software development experience
* Professional frontend development experience using Javascript, HTML/CSS, ReactJs or next.js
* Strong Java, Spring framework, Kafka, SQL and cloud experience such as Azure.
* Strong experience in RESTful Microservices
* Container technologies such as Docker on Kubernetes
* Strong API design, development, and management
* Experience with cloud native technology, CI/CD (KITT)
* Experience with third\-party libraries and APIs
* Strong experience with UI tech stack using React JS, React native
* Experience with UI testing frameworks like Jest
* Software development (Java or Python, Pysprak is preferable)
* Solid skills in java stack (Spring, Maven, Hibernate)
* Strong experience within the Cloud Services using Azure or Google GCP
* Experience with working with CI/CD (Jenkins/Travis)
* Experience with working with cloud deployments (scaling, resiliency, load balancing etc)
* Experience with SQL and NoSQL databases (MSSQL, GCP BigQuery)
* Experience working with message stream systems (Pub/Sub \-Kafka, RabbitMQ)
* Experience working in agile environment (Scrum, daily standups etc)
* Experience of delivering and supporting a large\-scale production system
* Experience with being a core contributor to a software project: understanding domain and business requirements, being responsible for critical parts of the application.
* Experience working with logging and application monitoring stack: Splunk, Dynatrace,Grafana
* Good communication skills, working in multi\-team project.
 Additional skills that is a plus:
* Strong knowledge of retail and one or more business practices across domains such as product, finance, marketing, technology, and business systems.
* Big Data processing and feature engineering
* Exceptional analytical and quantitative problem\-solving skills.
* Experience with large dataset mining tools and open\-source programming tools (e.g., R, Python).
* Expertise in solving optimization problems using integer programming.
* Ability to deconstruct abstract problems, formulate hypotheses, and conduct detailed analyses.
* Experience navigating ambiguity and building rapid business cases/prototypes.
* Hands\-on experience with analytics and reporting tools such as Google Cloud Platform (BigQuery), Microsoft Azure, Power BI, and Microsoft Excel.
* Time series forecasting, anomaly detection, LLM tuning, using sound statistical and deep learning methods.
* Deployment of machine learning models to cloud platforms to serve internal customers at scale.
* Experience in Technical Solutions Architecture and design leadership.
 You’ll really wow us if…
* You are a driver, takes responsibility to ensure timely delivery.
* You are passionate, driven and humble in your approach.
* You’re excited about solving challenges with can\-do attitude.
* You’re team\-centric in spirit and in execution.
* You’re leading and participating in medium\- to large\-scale, complex, cross\-functional projects by reviewing project requirements, translating requirements into technical solutions, gathering requested information (for example, design documents, product requirements, wire frames).
* You’re writing and developing code; conducting unit testing, communicating status and issues to team members and stakeholders, collaborating with project team and cross functional teams.
 You’ll make an impact by…
* Effectively translating requirements into solutions while working with agility.
* Helping cross\-functional teams to solve for business problems and develop solutions that enable us to redefine a “best\-in\-class” customer experience.
* Encouraging the teams that you oversee to work collaboratively and to aim for insight\-driven outcomes.
 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
 Eligibility requirements apply to some benefits and may depend on your job classification and length of employment. Benefits are subject to change and may be subject to a specific plan or program terms.
**For Information About Benefits And Eligibility, See One.Walmart.**
 The annual salary range for this position is $90,000\.00 \- $180,000\.00 Additional compensation includes annual or quarterly performance bonuses. Additional compensation for certain positions may also include :
* Stock
 ㅤ
 ㅤ
 ㅤ
 ㅤ
 ‎
**Minimum Qualifications...**
**Outlined below are the required minimum qualifications for this position. If none are listed, there are no minimum qualifications.**
 Option 1: Bachelor's degree in computer science, computer engineering, computer information systems, software engineering, or related area and 3 years’ experience in software engineering or related area.
 Option 2: 5 years’ experience in software engineering or related area.
**Preferred Qualifications...**
**Outlined below are the optional preferred qualifications for this position. If none are listed, there are no preferred qualifications.**
 Master’s degree in Computer Science, Computer Engineering, Computer Information Systems, Software Engineering, or related area and 1 year's experience in software engineering or related area., We value candidates with a background in creating inclusive digital experiences, demonstrating knowledge in implementing Web Content Accessibility Guidelines (WCAG) 2\.2 AA standards, assistive technologies, and integrating digital accessibility seamlessly. The ideal candidate would have knowledge of accessibility best practices and join us as we continue to create accessible products and services following Walmart’s accessibility standards and guidelines for supporting an inclusive culture.
 Primary Location...
 805 Se Moberly Ln, Bentonville, AR 72712, United States of America
 Walmart and its subsidiaries are committed to maintaining a drug\-free workplace and has a no tolerance policy regarding the use of illegal drugs and alcohol on the job. This policy applies to all employees and aims to create a safe and productive work environment.</t>
        </is>
      </c>
    </row>
    <row r="7">
      <c r="A7" t="inlineStr">
        <is>
          <t>li-4353532464</t>
        </is>
      </c>
      <c r="B7" t="inlineStr">
        <is>
          <t>(USA) Senior, Software Engineer</t>
        </is>
      </c>
      <c r="C7" t="inlineStr">
        <is>
          <t>Walmart</t>
        </is>
      </c>
      <c r="D7" t="inlineStr">
        <is>
          <t>linkedin</t>
        </is>
      </c>
      <c r="E7">
        <f>HYPERLINK("https://www.linkedin.com/jobs/view/4353532464", "https://www.linkedin.com/jobs/view/4353532464")</f>
        <v/>
      </c>
      <c r="F7">
        <f>HYPERLINK("https://click.appcast.io/t/ggPIxU91thYWm4ZKKuVlKAQ77-Rf2pUjuyW9OxUEQKA-hp48xwpAIkvi0sQC92Uj?source=LinkedIn&amp;urlHash=z1ro", "https://click.appcast.io/t/ggPIxU91thYWm4ZKKuVlKAQ77-Rf2pUjuyW9OxUEQKA-hp48xwpAIkvi0sQC92Uj?source=LinkedIn&amp;urlHash=z1ro")</f>
        <v/>
      </c>
      <c r="G7" t="inlineStr">
        <is>
          <t>Bentonville, AR</t>
        </is>
      </c>
      <c r="H7" t="inlineStr"/>
      <c r="I7" t="inlineStr">
        <is>
          <t>Position Summary...
 What you'll do...What you'll do...
 It’s exciting time to join our Walmart journey. We are seeking a Software Engineer to work and partner with teams to build Platforms, Machine Learning models and AI Agents under Finance Data Factory team within Finance Technology.
**About The Team**
 As a part of Walmart Finance Technology – Finance Data Factory (FDF) team, we build industry defining Data platform/workflows that process large quantity of data that run on data platform for visualization and consumed by downstream applications Also, Machine Learning and statistical modeling that enable transparency, governance, and automation. The goals include improved Business partner user experience, standardizing the core and utilizing reporting/predictive analytics to uncover insights faster.
 You will be in the unique position to be of service to associates as a member of this organization supporting all segments of Walmart Finance. If you are the type of person who feels a personal stake in everything that you work on, has a strong sense of ownership, has a love for financial data, enjoys solving complex problems, has a passion for privacy, knows how to foster strong relationships and build trust, and works for the success of the product \- then this role could be for you. The ideal candidate will be a driver for any given work stream within the program, working closely with the engineering and business teams to take an idea thru implementation and stabilization.
 Also, you will be positioned to work/partner with a team of data scientist to develop machine learning models to enable observability, monitoring, data Quality and impact\-based alerting, orchestrate with multiple systems in the landscape to provide end\-to\-end visibility and connectivity between the systems to better serve business/customers. Provides visibility into data correctness, completeness, accuracy for downstream systems. Identifies data gaps upfront, hence providing proactive alerting. Enabling data transparency, insights hence help kick off the data remediation process in upstream systems.
 What you’ll bring:
* Minimum 3 to 4 years of software development experience
* Professional frontend development experience using Javascript, HTML/CSS, ReactJs or next.js
* Strong Java, Spring framework, Kafka, SQL and cloud experience such as Azure.
* Strong experience in RESTful Microservices
* Container technologies such as Docker on Kubernetes
* Strong API design, development, and management
* Experience with cloud native technology, CI/CD (KITT)
* Experience with third\-party libraries and APIs
* Strong experience with UI tech stack using React JS, React native
* Experience with UI testing frameworks like Jest
* Software development (Java or Python, Pysprak is preferable)
* Solid skills in java stack (Spring, Maven, Hibernate)
* Strong experience within the Cloud Services using Azure or Google GCP
* Experience with working with CI/CD (Jenkins/Travis)
* Experience with working with cloud deployments (scaling, resiliency, load balancing etc)
* Experience with SQL and NoSQL databases (MSSQL, GCP BigQuery)
* Experience working with message stream systems (Pub/Sub \-Kafka, RabbitMQ)
* Experience working in agile environment (Scrum, daily standups etc)
* Experience of delivering and supporting a large\-scale production system
* Experience with being a core contributor to a software project: understanding domain and business requirements, being responsible for critical parts of the application.
* Experience working with logging and application monitoring stack: Splunk, Dynatrace,Grafana
* Good communication skills, working in multi\-team project.
 Additional skills that is a plus:
* Strong knowledge of retail and one or more business practices across domains such as product, finance, marketing, technology, and business systems.
* Big Data processing and feature engineering
* Exceptional analytical and quantitative problem\-solving skills.
* Experience with large dataset mining tools and open\-source programming tools (e.g., R, Python).
* Expertise in solving optimization problems using integer programming.
* Ability to deconstruct abstract problems, formulate hypotheses, and conduct detailed analyses.
* Experience navigating ambiguity and building rapid business cases/prototypes.
* Hands\-on experience with analytics and reporting tools such as Google Cloud Platform (BigQuery), Microsoft Azure, Power BI, and Microsoft Excel.
* Time series forecasting, anomaly detection, LLM tuning, using sound statistical and deep learning methods.
* Deployment of machine learning models to cloud platforms to serve internal customers at scale.
* Experience in Technical Solutions Architecture and design leadership.
 You’ll really wow us if…
* You are a driver, takes responsibility to ensure timely delivery.
* You are passionate, driven and humble in your approach.
* You’re excited about solving challenges with can\-do attitude.
* You’re team\-centric in spirit and in execution.
* You’re leading and participating in medium\- to large\-scale, complex, cross\-functional projects by reviewing project requirements, translating requirements into technical solutions, gathering requested information (for example, design documents, product requirements, wire frames).
* You’re writing and developing code; conducting unit testing, communicating status and issues to team members and stakeholders, collaborating with project team and cross functional teams.
 You’ll make an impact by…
* Effectively translating requirements into solutions while working with agility.
* Helping cross\-functional teams to solve for business problems and develop solutions that enable us to redefine a “best\-in\-class” customer experience.
* Encouraging the teams that you oversee to work collaboratively and to aim for insight\-driven outcomes.
 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
 Eligibility requirements apply to some benefits and may depend on your job classification and length of employment. Benefits are subject to change and may be subject to a specific plan or program terms.
**For Information About Benefits And Eligibility, See One.Walmart.**
 The annual salary range for this position is $90,000\.00 \- $180,000\.00 Additional compensation includes annual or quarterly performance bonuses. Additional compensation for certain positions may also include :
* Stock
 ㅤ
 ㅤ
 ㅤ
 ㅤ
 ‎
**Minimum Qualifications...**
**Outlined below are the required minimum qualifications for this position. If none are listed, there are no minimum qualifications.**
 Option 1: Bachelor's degree in computer science, computer engineering, computer information systems, software engineering, or related area and 3 years’ experience in software engineering or related area.
 Option 2: 5 years’ experience in software engineering or related area.
**Preferred Qualifications...**
**Outlined below are the optional preferred qualifications for this position. If none are listed, there are no preferred qualifications.**
 Master’s degree in Computer Science, Computer Engineering, Computer Information Systems, Software Engineering, or related area and 1 year's experience in software engineering or related area., We value candidates with a background in creating inclusive digital experiences, demonstrating knowledge in implementing Web Content Accessibility Guidelines (WCAG) 2\.2 AA standards, assistive technologies, and integrating digital accessibility seamlessly. The ideal candidate would have knowledge of accessibility best practices and join us as we continue to create accessible products and services following Walmart’s accessibility standards and guidelines for supporting an inclusive culture.
 Primary Location...
 805 Se Moberly Ln, Bentonville, AR 72712, United States of America
 Walmart and its subsidiaries are committed to maintaining a drug\-free workplace and has a no tolerance policy regarding the use of illegal drugs and alcohol on the job. This policy applies to all employees and aims to create a safe and productive work environment.</t>
        </is>
      </c>
    </row>
    <row r="8">
      <c r="A8" t="inlineStr">
        <is>
          <t>li-4353652539</t>
        </is>
      </c>
      <c r="B8" t="inlineStr">
        <is>
          <t>(USA) Senior, Software Engineer</t>
        </is>
      </c>
      <c r="C8" t="inlineStr">
        <is>
          <t>Walmart</t>
        </is>
      </c>
      <c r="D8" t="inlineStr">
        <is>
          <t>linkedin</t>
        </is>
      </c>
      <c r="E8">
        <f>HYPERLINK("https://www.linkedin.com/jobs/view/4353652539", "https://www.linkedin.com/jobs/view/4353652539")</f>
        <v/>
      </c>
      <c r="F8">
        <f>HYPERLINK("https://click.appcast.io/t/3CTxB53p9EIoOZGN6bdFLK7vOLhQeV1NI-pKE5nPOsH4MVF4QQDmGJa0wTtdmQz2?source=LinkedIn&amp;urlHash=ek3h", "https://click.appcast.io/t/3CTxB53p9EIoOZGN6bdFLK7vOLhQeV1NI-pKE5nPOsH4MVF4QQDmGJa0wTtdmQz2?source=LinkedIn&amp;urlHash=ek3h")</f>
        <v/>
      </c>
      <c r="G8" t="inlineStr">
        <is>
          <t>Bentonville, AR</t>
        </is>
      </c>
      <c r="H8" t="inlineStr"/>
      <c r="I8" t="inlineStr">
        <is>
          <t>Position Summary...
 What you'll do...What you'll do...
 It’s exciting time to join our Walmart journey. We are seeking a Software Engineer to work and partner with teams to build Platforms, Machine Learning models and AI Agents under Finance Data Factory team within Finance Technology.
**About The Team**
 As a part of Walmart Finance Technology – Finance Data Factory (FDF) team, we build industry defining Data platform/workflows that process large quantity of data that run on data platform for visualization and consumed by downstream applications Also, Machine Learning and statistical modeling that enable transparency, governance, and automation. The goals include improved Business partner user experience, standardizing the core and utilizing reporting/predictive analytics to uncover insights faster.
 You will be in the unique position to be of service to associates as a member of this organization supporting all segments of Walmart Finance. If you are the type of person who feels a personal stake in everything that you work on, has a strong sense of ownership, has a love for financial data, enjoys solving complex problems, has a passion for privacy, knows how to foster strong relationships and build trust, and works for the success of the product \- then this role could be for you. The ideal candidate will be a driver for any given work stream within the program, working closely with the engineering and business teams to take an idea thru implementation and stabilization.
 Also, you will be positioned to work/partner with a team of data scientist to develop machine learning models to enable observability, monitoring, data Quality and impact\-based alerting, orchestrate with multiple systems in the landscape to provide end\-to\-end visibility and connectivity between the systems to better serve business/customers. Provides visibility into data correctness, completeness, accuracy for downstream systems. Identifies data gaps upfront, hence providing proactive alerting. Enabling data transparency, insights hence help kick off the data remediation process in upstream systems.
 What you’ll bring:
* Minimum 3 to 4 years of software development experience
* Professional frontend development experience using Javascript, HTML/CSS, ReactJs or next.js
* Strong Java, Spring framework, Kafka, SQL and cloud experience such as Azure.
* Strong experience in RESTful Microservices
* Container technologies such as Docker on Kubernetes
* Strong API design, development, and management
* Experience with cloud native technology, CI/CD (KITT)
* Experience with third\-party libraries and APIs
* Strong experience with UI tech stack using React JS, React native
* Experience with UI testing frameworks like Jest
* Software development (Java or Python, Pysprak is preferable)
* Solid skills in java stack (Spring, Maven, Hibernate)
* Strong experience within the Cloud Services using Azure or Google GCP
* Experience with working with CI/CD (Jenkins/Travis)
* Experience with working with cloud deployments (scaling, resiliency, load balancing etc)
* Experience with SQL and NoSQL databases (MSSQL, GCP BigQuery)
* Experience working with message stream systems (Pub/Sub \-Kafka, RabbitMQ)
* Experience working in agile environment (Scrum, daily standups etc)
* Experience of delivering and supporting a large\-scale production system
* Experience with being a core contributor to a software project: understanding domain and business requirements, being responsible for critical parts of the application.
* Experience working with logging and application monitoring stack: Splunk, Dynatrace,Grafana
* Good communication skills, working in multi\-team project.
 Additional skills that is a plus:
* Strong knowledge of retail and one or more business practices across domains such as product, finance, marketing, technology, and business systems.
* Big Data processing and feature engineering
* Exceptional analytical and quantitative problem\-solving skills.
* Experience with large dataset mining tools and open\-source programming tools (e.g., R, Python).
* Expertise in solving optimization problems using integer programming.
* Ability to deconstruct abstract problems, formulate hypotheses, and conduct detailed analyses.
* Experience navigating ambiguity and building rapid business cases/prototypes.
* Hands\-on experience with analytics and reporting tools such as Google Cloud Platform (BigQuery), Microsoft Azure, Power BI, and Microsoft Excel.
* Time series forecasting, anomaly detection, LLM tuning, using sound statistical and deep learning methods.
* Deployment of machine learning models to cloud platforms to serve internal customers at scale.
* Experience in Technical Solutions Architecture and design leadership.
 You’ll really wow us if…
* You are a driver, takes responsibility to ensure timely delivery.
* You are passionate, driven and humble in your approach.
* You’re excited about solving challenges with can\-do attitude.
* You’re team\-centric in spirit and in execution.
* You’re leading and participating in medium\- to large\-scale, complex, cross\-functional projects by reviewing project requirements, translating requirements into technical solutions, gathering requested information (for example, design documents, product requirements, wire frames).
* You’re writing and developing code; conducting unit testing, communicating status and issues to team members and stakeholders, collaborating with project team and cross functional teams.
 You’ll make an impact by…
* Effectively translating requirements into solutions while working with agility.
* Helping cross\-functional teams to solve for business problems and develop solutions that enable us to redefine a “best\-in\-class” customer experience.
* Encouraging the teams that you oversee to work collaboratively and to aim for insight\-driven outcomes.
 At Walmart, we offer competitive pay as well as performance\-based bonus awards and other great benefits for a happier mind, body, and wallet. Health benefits include medical, vision and dental coverage. Financial benefits include 401(k), stock purchase and company\-paid life insurance. Paid time off benefits include PTO (including sick leave), parental leave, family care leave, bereavement, jury duty, and voting. Other benefits include short\-term and long\-term disability, company discounts, Military Leave Pay, adoption and surrogacy expense reimbursement, and more. You will also receive PTO and/or PPTO that can be used for vacation, sick leave, holidays, or other purposes. The amount you receive depends on your job classification and length of employment. It will meet or exceed the requirements of paid sick leave laws, where applicable. For information about PTO, see https://one.walmart.com/notices. Live Better U is a Walmart\-paid education benefit program for full\-time and part\-time associates in Walmart and Sam's Club facilities. Programs range from high school completion to bachelor's degrees, including English Language Learning and short\-form certificates. Tuition, books, and fees are completely paid for by Walmart.
 Eligibility requirements apply to some benefits and may depend on your job classification and length of employment. Benefits are subject to change and may be subject to a specific plan or program terms.
**For Information About Benefits And Eligibility, See One.Walmart.**
 The annual salary range for this position is $90,000\.00 \- $180,000\.00 Additional compensation includes annual or quarterly performance bonuses. Additional compensation for certain positions may also include :
* Stock
 ㅤ
 ㅤ
 ㅤ
 ㅤ
 ‎
**Minimum Qualifications...**
**Outlined below are the required minimum qualifications for this position. If none are listed, there are no minimum qualifications.**
 Option 1: Bachelor's degree in computer science, computer engineering, computer information systems, software engineering, or related area and 3 years’ experience in software engineering or related area.
 Option 2: 5 years’ experience in software engineering or related area.
**Preferred Qualifications...**
**Outlined below are the optional preferred qualifications for this position. If none are listed, there are no preferred qualifications.**
 Master’s degree in Computer Science, Computer Engineering, Computer Information Systems, Software Engineering, or related area and 1 year's experience in software engineering or related area., We value candidates with a background in creating inclusive digital experiences, demonstrating knowledge in implementing Web Content Accessibility Guidelines (WCAG) 2\.2 AA standards, assistive technologies, and integrating digital accessibility seamlessly. The ideal candidate would have knowledge of accessibility best practices and join us as we continue to create accessible products and services following Walmart’s accessibility standards and guidelines for supporting an inclusive culture.
 Primary Location...
 805 Se Moberly Ln, Bentonville, AR 72712, United States of America
 Walmart and its subsidiaries are committed to maintaining a drug\-free workplace and has a no tolerance policy regarding the use of illegal drugs and alcohol on the job. This policy applies to all employees and aims to create a safe and productive work environment.</t>
        </is>
      </c>
    </row>
    <row r="9">
      <c r="A9" t="inlineStr">
        <is>
          <t>li-4340055155</t>
        </is>
      </c>
      <c r="B9" t="inlineStr">
        <is>
          <t>Software Engineering Manager</t>
        </is>
      </c>
      <c r="C9" t="inlineStr">
        <is>
          <t>BAE Systems, Inc.</t>
        </is>
      </c>
      <c r="D9" t="inlineStr">
        <is>
          <t>linkedin</t>
        </is>
      </c>
      <c r="E9">
        <f>HYPERLINK("https://www.linkedin.com/jobs/view/4340055155", "https://www.linkedin.com/jobs/view/4340055155")</f>
        <v/>
      </c>
      <c r="F9">
        <f>HYPERLINK("https://jobs.baesystems.com/global/en/job/BAE1US118239BREXTERNAL/Software-Engineering-Manager?utm_source=linkedin&amp;utm_medium=phenom-feeds&amp;urlHash=hVgR", "https://jobs.baesystems.com/global/en/job/BAE1US118239BREXTERNAL/Software-Engineering-Manager?utm_source=linkedin&amp;utm_medium=phenom-feeds&amp;urlHash=hVgR")</f>
        <v/>
      </c>
      <c r="G9" t="inlineStr">
        <is>
          <t>Nashua, NH</t>
        </is>
      </c>
      <c r="H9" t="inlineStr"/>
      <c r="I9" t="inlineStr">
        <is>
          <t>**Job Description**
 We are seeking a highly skilled and experienced Data Analytics Manager to lead our data analytics team in developing and implementing data\-driven solutions to drive business growth and inform strategic decision\-making. The successful candidate will have a strong background in data analysis, data visualization, and data storytelling, as well as excellent leadership and communication skills. As a key member of our leadership team, you'll oversee the development of mission\-critical data analysis solutions for Next Generation Electronic Warfare Systems Products and Solutions. If you're a Data Analytics Manager or seasoned Data Analytics Engineer with 6\+ years’ experience and a passion for leading high\-performing teams and upholding the principles of transparency, accountability, and posterity, we want to hear from you!
**Responsibilities**
* Develop and execute data analytics strategies to drive business outcomes and inform strategic decision\-making
* Lead a team of data analysts and data scientists in designing, developing, deploying, and sustaining data analytics solutions
* Collaborate with cross\-functional teams, including business stakeholders, product managers, and engineers, to identify business needs, create clear problem definitions, and develop data\-driven solutions
* Lead a team to design and implement data visualizations and reports to communicate insights and trends to stakeholders
* Develop and maintain relationships with data stakeholders, including data providers, data consumers, and external partners
* Stay up\-to\-date with industry trends and emerging technologies in data analytics and make recommendations for adoption
* Manage and optimize data analytics workflows, including data ingestion, processing, and storage
* Ensure data quality, integrity, and compliance with organizational data policies and procedures
* Mentor and develop team members to achieve their full potential and advance in their careers
* Manage projects, including budgeting, resource allocation, and timeline management
* Ensure compliance with industry standards, regulatory requirements, and company policies
* Foster a culture of transparency, ensuring that all team members have visibility into project goals, objectives, and outcomes
* Promote accountability, holding team members responsible for their actions and decisions
* Ensure that all development activities are properly documented and archived, upholding the principle of posterity
* Cultivating creative problem\-solving skills, promoting experimentation, and exploring novel approaches to address complex challenges
**Required Education, Experience, \&amp; Skills**
* Education: Bachelor's Degree in Computer Science, Statistics, Mathematics, or related field
* Experience: 6\+ years of data analytics, data science, or related field
* Proven experience in leading a team of data analysts and data scientists
* Strong technical skills in data analysis, data visualization, and data storytelling
* Proficiency in programming languages, such as Python or JavaScript
* Strong understanding of data management principles, including data governance, data quality, data security, and data literacy
**Preferred Skills**
**Preferred Education, Experience, \&amp; Skills**
**Experience With**
* Experience with machine learning, deep learning, or natural language processing
* Certification in data analytics, data science, or related field (e.g., Certified Data Scientist, Certified Analytics Professional)
* Experience with data visualization tools, such as Tableau, Power BI, or Metabase
* Excellent communication and leadership skills
* Ability to work in a fast\-paced environment and adapt to changing priorities
* Ability to motivate and inspire team members to achieve high\-performance results
* Strong strategic thinking and problem\-solving skills
**Leadership Expectations**
* Develop and execute a vision for the data analytics team that aligns with company goals and objectives
* Foster a culture of innovation, collaboration, and continuous improvement
* Build and maintain strong relationships with stakeholders, including engineering teams, product managers, and customers
* Drive technical excellence and ensure high\-quality products and solutions
* Uphold the principles of transparency, accountability, and posterity in all aspects of software development and team management
**Pay Information**
 Full\-Time Salary Range: $130355 \- $221603
 Please note: This range is based on our market pay structures. However, individual salaries are determined by a variety of factors including, but not limited to: business considerations, local market conditions, and internal equity, as well as candidate qualifications, such as skills, education, and experience.
 Employee Benefits: At BAE Systems, we support our employees in all aspects of their life, including their health and financial well\-being. Regular employees scheduled to work 20\+ hours per week are offered: health, dental, and vision insurance; health savings accounts; a 401(k) savings plan; disability coverage; and life and accident insurance. We also have an employee assistance program, a legal plan, and other perks including discounts on things like home, auto, and pet insurance. Our leave programs include paid time off, paid holidays, as well as other types of leave, including paid parental, military, bereavement, and any applicable federal and state sick leave. Employees may participate in the company recognition program to receive monetary or non\-monetary recognition awards. Other incentives may be available based on position level and/or job specifics.
**About BAE Systems Electronic Systems**
 BAE Systems, Inc. is the U.S. subsidiary of BAE Systems plc, an international defense, aerospace and security company which delivers a full range of products and services for air, land and naval forces, as well as advanced electronics, security, information technology solutions and customer support services. Improving the future and protecting lives is an ambitious mission, but it’s what we do at BAE Systems. Working here means using your passion and ingenuity where it counts – defending national security with breakthrough technology, superior products, and intelligence solutions. As you develop the latest technology and defend national security, you will continually hone your skills on a team—making a big impact on a global scale. At BAE Systems, you’ll find a rewarding career that truly makes a difference. Electronic Systems (ES) is the global innovator behind BAE Systems’ game\-changing defense and commercial electronics. Exploiting every electron, we push the limits of what is possible, giving our customers the edge and our employees opportunities to change the world. Our products and capabilities can be found everywhere – from the depths of the ocean to the far reaches of space. At our core are more than 14,000 highly talented Electronic Systems employees with the brightest minds in the industry, we make an impact – for our customers and the communities we serve.
 This position will be posted for at least 5 calendar days. The posting will remain active until the position is filled, or a qualified pool of candidates is identified.</t>
        </is>
      </c>
    </row>
    <row r="10">
      <c r="A10" t="inlineStr">
        <is>
          <t>li-4342020687</t>
        </is>
      </c>
      <c r="B10" t="inlineStr">
        <is>
          <t>Machine Learning Software Engineer</t>
        </is>
      </c>
      <c r="C10" t="inlineStr">
        <is>
          <t>Microsoft</t>
        </is>
      </c>
      <c r="D10" t="inlineStr">
        <is>
          <t>linkedin</t>
        </is>
      </c>
      <c r="E10">
        <f>HYPERLINK("https://www.linkedin.com/jobs/view/4342020687", "https://www.linkedin.com/jobs/view/4342020687")</f>
        <v/>
      </c>
      <c r="F10" t="inlineStr"/>
      <c r="G10" t="inlineStr">
        <is>
          <t>New York, United States</t>
        </is>
      </c>
      <c r="H10" t="inlineStr"/>
      <c r="I10" t="inlineStr">
        <is>
          <t>**Overview**
 As a Member of Technical Staff \- Software Engineer \&amp; Machine Learning, you will work building AI Insights, a Copilot analytics product that enables our internal stakeholders to move from “What happened?” to “Why did it happen?” in minutes. You’ll design and implement AI\-driven trend detection, cohort analysis, and drill\-down workflows that connect metrics to real user conversations. n developing AI based insights on large scale multi modal Copilot data part of the Microsoft AI (MAI) organization. We’re looking for a experienced Machine Learning engineer with strong hands\-on skills in machine learning, data platforms, and distributed systems to lead the development of AI Insights, a next\-generation Copilot analytics product. The right candidate takes the initiative and enjoys building world\-class consumer experiences and products in a fast\-paced environment.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MAI employees are expected to work from a designated Microsoft office at least four days a week if they live within 50 miles (U.S.) or 25 miles (non\-U.S., country\-specific) of that location. This expectation is subject to local law and may vary by jurisdiction.
**Responsibilities**
* Build scalable data pipelines for telemetry ingestion, anomaly detection, and cohort segmentation.
* Implement ML\-driven insights (prompted classifiers, anomaly detection) and integrate them into dashboards and APIs.
* Develop secure, compliant workflows for handling production logs and conversation data.
* Enable drill\-down capabilities linking quantitative metrics to qualitative evidence for actionable context.
* Collaborate with PMs and DS to refine hypotheses and deliver intuitive, high\-performance interfaces.
* Own technical strategy for trend detection, cohort analysis, and drill\-down workflows linking quantitative metrics to qualitative conversation evidence.
* Prototype and productionize ML models for anomaly detection and predictive insights.
* Ensure compliance and security for data handling across telemetry, logs, and conversation datasets.
* Collaborate with PMs, data scientists, and UX to define roadmap and deliver intuitive, high\-impact workflows.
* Independently write efficient, readable, extensible code and model pipelines.
* Commit to a customer\-oriented focus by acknowledging customer needs and perspectives, validating customer perspectives, focusing on broader customer context, and serving as a trusted advisor.
* Hands\-on with observability (metrics, tracing, logs) and model evaluation frameworks.
**Qualifications**
**Required Qualifications:**
* Bachelor's Degree in Computer Science or related technical field AND 6\+ years technical engineering experience with coding in languages including, but not limited to, C, C\+\+, C\#, Java, JavaScript, or Python
+ OR equivalent experience.
**Preferred Qualifications**
* Master's Degree in Computer Science or related technical field AND 8\+ years technical engineering experience with coding in languages including, but not limited to, C, C\+\+, C\#, Java, JavaScript, or Python
+ OR Bachelor's Degree in Computer Science or related technical field AND 12\+ years technical engineering experience with coding in languages including, but not limited to, C, C\+\+, C\#, Java, JavaScript, or Python OR equivalent experience.
* Proven experience leading small engineering and machine learning teams, and collaborating effectively with cross\-functional stakeholders including product managers, UX designers, and security specialists.
* Demonstrated interest in Responsible AI.
 \#MicrosoftAI
 Software Engineering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11">
      <c r="A11" t="inlineStr">
        <is>
          <t>li-4359588418</t>
        </is>
      </c>
      <c r="B11" t="inlineStr">
        <is>
          <t>Software Developer 4</t>
        </is>
      </c>
      <c r="C11" t="inlineStr">
        <is>
          <t>Oracle</t>
        </is>
      </c>
      <c r="D11" t="inlineStr">
        <is>
          <t>linkedin</t>
        </is>
      </c>
      <c r="E11">
        <f>HYPERLINK("https://www.linkedin.com/jobs/view/4359588418", "https://www.linkedin.com/jobs/view/4359588418")</f>
        <v/>
      </c>
      <c r="F11" t="inlineStr"/>
      <c r="G11" t="inlineStr">
        <is>
          <t>California, United States</t>
        </is>
      </c>
      <c r="H11" t="inlineStr"/>
      <c r="I11" t="inlineStr">
        <is>
          <t>**Job Description**
*At Oracle Cloud Infrastructure (OCI), we build the future of the cloud for Enterprises as a diverse team of fellow creators and inventors. We act with the speed and attitude of a start\-up, with the scale and customer\-focus of the leading enterprise software company in the world.*
 Oracle Generative AI Service is an exciting team in Oracle Cloud Infrastructure. We are delivering innovative services at the intersection of artificial intelligence and cloud infrastructure. In Generative AI Service team, you will build and operate massive\-scale cloud services leveraging state of art machine learning technologies. We are committed to providing the best in cloud products to meet the needs of our customers who are tackling some of the world’s most challenging problems.
 You will be part of a team of smart, hands\-on engineers with the expertise and passion to solve difficult problems in distributed highly available services and virtualized infrastructure. At every level, our engineers have a significant technical and business impact by designing and building innovative new systems to power our customer’s business critical applications.
 As a senior software engineer in Generative AI Service team, you will be leading the effort of building distributed, scalable, high\-performance AI model training and serving systems in partnership with our applied scientists and software engineers. You will dive deep into model structure to optimize model performance and scalability. You will build state of art systems with cutting\-edge technologies in this fast evolving area.
**What we offer:**
* Being part of one of the most visionary and mission\-driven organizations in Oracle, cooperating with talented peers with diverse backgrounds worldwide.
* High visibility to senior leadership, opportunity to make huge impacts across organizations.
* Opportunity to build state\-of\-the\-art technologies in large language models (LLM) and generative AI at scale to solve real business problems.
* Close partnership with applied scientists and software engineers to deploy solutions into production in various business\-critical scenarios.
**About You:**
* You are an experienced machine learning engineer with a proven track record of delivering large\-scale, high\-performance model serving/training systems in production.
* You are obsessed with customers and exceeding their expectations.
* You have excellent communication skills and you can clearly explain complex technical concepts.
* You are a disciplined engineer who understands the importance of high standards, never satisfied with mediocrity and constantly striving for excellence.
* You are passionate about technology and self\-motivated to stay updated with latest developments in machine learning related technologies.
**Responsibilities**
**Minimum Qualifications**
* BS in Computer Science, or equivalent experience.
* 5\+ years of experience shipping scalable, cloud\-native distributed systems
* Ability to work in a collaborative, cross\-functional team environment.
* Proficient in Python and shell scripting tools.
* Experience with container orchestration technologies like Kubernetes.
* Experience with production operations and best practices for putting quality code in production and troubleshoot issues when they arise.
* Able to effectively communicate technical ideas verbally and in writing (technical proposals, design specs, architecture diagrams and presentations).
**Preferred Qualifications**
* MS in Computer Science.
* Production experience with cloud computing.
* Experience with Large Language Model (LLM) serving technologies like DeepSpeed, FasterTransformer etc.
* Experience with popular model training and serving frameworks like KServe, KubeFlow, Triton etc.
* Experience with LLM fine\-tuning, especially the latest parameter efficient fine\-tuning technologies and multi\-task serving technologies
* Experience with deep learning frameworks (such as PyTorch, JAX, or TensorFlow) and deep learning architectures (especially Transformers).
* Experience in diagnosing, troubleshooting and resolving issues in AI model training and serving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$96,800 \- $223,400 per year. May be eligible for bonus and equity.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IC4
**About Us**
 As a world leader in cloud solutions, Oracle uses tomorrow’s technology to tackle today’s challenges. We’ve partnered with industry\-leaders in almost every sector—and continue to thrive after 40\+ years of change by operating with integrity.
 We know that true innovation starts when everyone is empowered to contribute. That’s why we’re committed to growing an inclusive workforce that promotes opportunities for all.
 Oracle careers open the door to global opportunities where work\-life balance flourishes. We offer competitive benefits based on parity and consistency and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\+1 888 404 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12">
      <c r="A12" t="inlineStr">
        <is>
          <t>li-4361024585</t>
        </is>
      </c>
      <c r="B12" t="inlineStr">
        <is>
          <t>Software Developer 4</t>
        </is>
      </c>
      <c r="C12" t="inlineStr">
        <is>
          <t>Oracle</t>
        </is>
      </c>
      <c r="D12" t="inlineStr">
        <is>
          <t>linkedin</t>
        </is>
      </c>
      <c r="E12">
        <f>HYPERLINK("https://www.linkedin.com/jobs/view/4361024585", "https://www.linkedin.com/jobs/view/4361024585")</f>
        <v/>
      </c>
      <c r="F12">
        <f>HYPERLINK("https://eeho.fa.us2.oraclecloud.com/hcmUI/CandidateExperience/en/job/320653/?utm_medium=jobboard&amp;utm_source=LinkedIn&amp;urlHash=go1O", "https://eeho.fa.us2.oraclecloud.com/hcmUI/CandidateExperience/en/job/320653/?utm_medium=jobboard&amp;utm_source=LinkedIn&amp;urlHash=go1O")</f>
        <v/>
      </c>
      <c r="G12" t="inlineStr">
        <is>
          <t>Seattle, WA</t>
        </is>
      </c>
      <c r="H12" t="inlineStr"/>
      <c r="I12" t="inlineStr">
        <is>
          <t>**Job Description**
*At Oracle Cloud Infrastructure (OCI), we build the future of the cloud for Enterprises as a diverse team of fellow creators and inventors. We act with the speed and attitude of a start\-up, with the scale and customer\-focus of the leading enterprise software company in the world.*
 Oracle Generative AI Service is an exciting team in Oracle Cloud Infrastructure. We are delivering innovative services at the intersection of artificial intelligence and cloud infrastructure. In Generative AI Service team, you will build and operate massive\-scale cloud services leveraging state of art machine learning technologies. We are committed to providing the best in cloud products to meet the needs of our customers who are tackling some of the world’s most challenging problems.
 You will be part of a team of smart, hands\-on engineers with the expertise and passion to solve difficult problems in distributed highly available services and virtualized infrastructure. At every level, our engineers have a significant technical and business impact by designing and building innovative new systems to power our customer’s business critical applications.
 As a senior software engineer in Generative AI Service team, you will be leading the effort of building distributed, scalable, high\-performance AI model training and serving systems in partnership with our applied scientists and software engineers. You will dive deep into model structure to optimize model performance and scalability. You will build state of art systems with cutting\-edge technologies in this fast evolving area.
**What we offer:**
* Being part of one of the most visionary and mission\-driven organizations in Oracle, cooperating with talented peers with diverse backgrounds worldwide.
* High visibility to senior leadership, opportunity to make huge impacts across organizations.
* Opportunity to build state\-of\-the\-art technologies in large language models (LLM) and generative AI at scale to solve real business problems.
* Close partnership with applied scientists and software engineers to deploy solutions into production in various business\-critical scenarios.
**About You:**
* You are an experienced machine learning engineer with a proven track record of delivering large\-scale, high\-performance model serving/training systems in production.
* You are obsessed with customers and exceeding their expectations.
* You have excellent communication skills and you can clearly explain complex technical concepts.
* You are a disciplined engineer who understands the importance of high standards, never satisfied with mediocrity and constantly striving for excellence.
* You are passionate about technology and self\-motivated to stay updated with latest developments in machine learning related technologies.
**Responsibilities**
**Minimum Qualifications**
* BS in Computer Science, or equivalent experience.
* 5\+ years of experience shipping scalable, cloud\-native distributed systems
* Ability to work in a collaborative, cross\-functional team environment.
* Proficient in Python and shell scripting tools.
* Experience with container orchestration technologies like Kubernetes.
* Experience with production operations and best practices for putting quality code in production and troubleshoot issues when they arise.
* Able to effectively communicate technical ideas verbally and in writing (technical proposals, design specs, architecture diagrams and presentations).
**Preferred Qualifications**
* MS in Computer Science.
* Production experience with cloud computing.
* Experience with Large Language Model (LLM) serving technologies like DeepSpeed, FasterTransformer etc.
* Experience with popular model training and serving frameworks like KServe, KubeFlow, Triton etc.
* Experience with LLM fine\-tuning, especially the latest parameter efficient fine\-tuning technologies and multi\-task serving technologies
* Experience with deep learning frameworks (such as PyTorch, JAX, or TensorFlow) and deep learning architectures (especially Transformers).
* Experience in diagnosing, troubleshooting and resolving issues in AI model training and serving
**Qualifications**
 Disclaimer:
**Certain US customer or client\-facing roles may be required to comply with applicable requirements, such as immunization and occupational health mandates.**
**Range and benefit information provided in this posting are specific to the stated locations only**
 US: Hiring Range in USD from: $96,800 \- $223,400 per year. May be eligible for bonus and equity.
 Oracle maintains broad salary ranges for its roles in order to account for variations in knowledge, skills, experience, market conditions and locations, as well as reflect Oracle’s differing products, industries and lines of business.
 Candidates are typically placed into the range based on the preceding factors as well as internal peer equity.
 Oracle US offers a comprehensive benefits package which includes the following:
* Medical, dental, and vision insurance, including expert medical opinion
* Short term disability and long term disability
* Life insurance and AD\&amp;D
* Supplemental life insurance (Employee/Spouse/Child)
* Health care and dependent care Flexible Spending Accounts
* Pre\-tax commuter and parking benefits
* 401(k) Savings and Investment Plan with company match
* Paid time off: Flexible Vacation is provided to all eligible employees assigned to a salaried (non\-overtime eligible) position. Accrued Vacation is provided to all other employees eligible for vacation benefits. For employees working at least 35 hours per week, the vacation accrual rate is 13 days annually for the first three years of employment and 18 days annually for subsequent years of employment. Vacation accrual is prorated for employees working between 20 and 34 hours per week. Employees working fewer than 20 hours per week are not eligible for vacation.
* 11 paid holidays
* Paid sick leave: 72 hours of paid sick leave upon date of hire. Refreshes each calendar year. Unused balance will carry over each year up to a maximum cap of 112 hours.
* Paid parental leave
* Adoption assistance
* Employee Stock Purchase Plan
* Financial planning and group legal
* Voluntary benefits including auto, homeowner and pet insurance
 The role will generally accept applications for at least three calendar days from the posting date or as long as the job remains posted.
 Career Level \- IC4
**About Us**
 As a world leader in cloud solutions, Oracle uses tomorrow’s technology to tackle today’s challenges. We’ve partnered with industry\-leaders in almost every sector—and continue to thrive after 40\+ years of change by operating with integrity.
 We know that true innovation starts when everyone is empowered to contribute. That’s why we’re committed to growing an inclusive workforce that promotes opportunities for all.
 Oracle careers open the door to global opportunities where work\-life balance flourishes. We offer competitive benefits based on parity and consistency and support our people with flexible medical, life insurance, and retirement options. We also encourage employees to give back to their communities through our volunteer programs.
 We’re committed to including people with disabilities at all stages of the employment process. If you require accessibility assistance or accommodation for a disability at any point, let us know by emailing accommodation\-request\_mb@oracle.com or by calling \+1 888 404 2494 in the United States.
 Oracle is an Equal Employment Opportunity Employer. All qualified applicants will receive consideration for employment without regard to race, color, religion, sex, national origin, sexual orientation, gender identity, disability and protected veterans’ status, or any other characteristic protected by law. Oracle will consider for employment qualified applicants with arrest and conviction records pursuant to applicable law.</t>
        </is>
      </c>
    </row>
    <row r="13">
      <c r="A13" t="inlineStr">
        <is>
          <t>li-4359817667</t>
        </is>
      </c>
      <c r="B13" t="inlineStr">
        <is>
          <t>Full Stack Engineer</t>
        </is>
      </c>
      <c r="C13" t="inlineStr">
        <is>
          <t>Uber</t>
        </is>
      </c>
      <c r="D13" t="inlineStr">
        <is>
          <t>linkedin</t>
        </is>
      </c>
      <c r="E13">
        <f>HYPERLINK("https://www.linkedin.com/jobs/view/4359817667", "https://www.linkedin.com/jobs/view/4359817667")</f>
        <v/>
      </c>
      <c r="F13" t="inlineStr"/>
      <c r="G13" t="inlineStr">
        <is>
          <t>New York, NY</t>
        </is>
      </c>
      <c r="H13" t="inlineStr"/>
      <c r="I13" t="inlineStr">
        <is>
          <t>**About The Role**
 The Logistics Experience team is a frontend product team focused on building innovative, affordable and efficient growth products such as Meal Deals, Priority \&amp; Saver Delivery and Scheduled Orders that serve millions of Uber users every month.
 Logistics Experience is a central pillar to Uber's core mobility and delivery products. As the central brain of the company, we are the decision\-makers enabling seamless movement from point A to point B for UberEats orders and Uber Trips. We handle all the logic from making the dispatch, predicting how long a delivery might take, and estimating optimal pickup times for orders.
 At a high level the team leverage real\-time marketplace dynamics to shape consumer behavior and optimize business trade\-offs. We continuously aim to enhance the experience for all marketplace users, including consumers, merchants, and couriers. This includes building consumer facing products, optimizing our core algorithms and creating predictive models for order lifecycle events.
 The team addresses large\-scale variations of the traveling salesperson problem in real\-time.At any given time, we have tens of thousands of delivery requests and couriers looking for work in a city. Our jobs are to write software that identifies who is the best driver to complete a given request, how to batch trips or orders together that have similar routes, and when the best time is to make this decision. As you could imagine, solving this NP hard problem creates many fascinating problems around how to search the problem space, how to rapidly reach a near\-optimal solution, and how to scale this process to operate within seconds. To do this, our team uses a wide variety of innovative technologies.
 As a Web Mobile Engineer you'll work across multiple apps, including Eats, Rides, Earner and Restaurants, integrating web work with BE solutions, owning the stack for both product and platform features and leading a wide variety of solutions, working with multiple external stakeholders and mentoring young engineers.
**Basic Qualifications**
* Bachelor's degree in Computer Science or related technical field or equivalent practical experience
* Solid domain knowledge of Web development, including HTML, CSS, Javascript, Typescript, and a modern Javascript framework (React, Vue, etc.)
* 2\+ years of experience
* Strong focus on high\-quality UI experiences and feature developments
* Ability and readiness to learn new domains, going out your comfort zone
* Independently own and collaborate with other engineers
* Fluent communication skills
**Preferred Qualifications**
* Experience working with a server\-side application language such as Java or Golang
* Previous contributions to creating efficiency or positive cultural initiatives within your team
* Previously worked on mobile apps that scale to millions of users
* Experience working with web integrations under native
* Android or iOS knowledge is a plus
**What the Candidate Will Do**
* Build critical parts of core flows across the Eater and Restaurants apps, both mobile applications and desktop versions. Some examples include Meal Deals, Priority Delivery or Storefront on UberEats, Scheduled Orders experience, Groceries, etc.
* Own features by contributing from ideation with design and product into working with data science and backend to design experiments that continuously improve our products
* Build relationships with engineers across Marketplace teams like Advance Matching, Demand Shaping, Verticals, Eats Web Feed, Rider, Earner and multiple teams.
* Implement user\-facing and platform features with the latest web technologies
 For New York, NY\-based roles: The base salary range for this role is USD$171,000 per year \- USD$190,000 per year.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USD$171,000 per year \- USD$190,000 per year.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14">
      <c r="A14" t="inlineStr">
        <is>
          <t>li-4369324219</t>
        </is>
      </c>
      <c r="B14" t="inlineStr">
        <is>
          <t>Software Engineer I</t>
        </is>
      </c>
      <c r="C14" t="inlineStr">
        <is>
          <t>Intuit</t>
        </is>
      </c>
      <c r="D14" t="inlineStr">
        <is>
          <t>linkedin</t>
        </is>
      </c>
      <c r="E14">
        <f>HYPERLINK("https://www.linkedin.com/jobs/view/4369324219", "https://www.linkedin.com/jobs/view/4369324219")</f>
        <v/>
      </c>
      <c r="F14" t="inlineStr"/>
      <c r="G14" t="inlineStr">
        <is>
          <t>Mountain View, CA</t>
        </is>
      </c>
      <c r="H14" t="inlineStr"/>
      <c r="I14" t="inlineStr">
        <is>
          <t>**Overview**
 Come join the Intuit Fintech Data Engineering Team as a Software Engineer 1 in Data.
 Intuit FinTech is your trusted financial expert empowering financial prosperity for businesses and
 consumers through a convenient, powerful, AI\-native fintech platform providing fast and easy access to
 funds at the time of need. We process millions of transactions every day across various payment
 methods. Millions of customers and merchants send billions of dollars moving at light\-speed through our
 systems annually.
**Responsibilities**
* Build and maintain data pipelines: Assist with the development and upkeep of
 Extract, Transform, Load (ETL) and Extract, Load, Transform (ELT) pipelines
 that move data from various sources into our data warehouses and lakes.
* Support data quality: Perform data validation and quality checks to ensure the
 accuracy, reliability, and integrity of our datasets.
* Troubleshoot and monitor: Aid in monitoring data pipelines and infrastructure
 and diagnose and resolve basic issues as they arise.
* Document processes: Create and maintain documentation for data pipelines,
 processes, and schemas for future reference and knowledge sharing.
* Support large data volumes and design for scalability
* As a key member of the team drive adoption of new technologies, tools, and
 process improvements to build world class analytical capabilities for web
 analytics, optimization, experimentation and personalization.
* Work cross\-functionally with various Intuit teams: Product Management, Project
 Management, Data Architects, Data Scientists, Data Analysts, Software
 Engineers, and other Data Engineers.
* Build GenAI based solutions to solve for customers/Experts benefit or internal
 productivity gains.
**Qualifications**
* Bachelors/ Masters in computer science or related field.
* Experience in developing data pipelines, creating ETLs, and working in
 distributed systems.
* Good SQL skills
* Ideal candidate to have 1\+ years of experience in end\-to\-end data warehouse
 implementations
* Hands on experience in AWS technologies (S3, EMR, Redshift) or other cloud
 technologies.
* Hands on experience in any of the programming languages (Python, Java, etc).
* Knowledge of AI / ML, Generative AI
* Understanding of the Software design and architecture process.
* Hands on experience with unit testing and data quality automation checks
* Excellent communication skills and an eagerness to learn and grow in a fast\-
 paced environment.
 Intuit provides a competitive compensation package with a strong pay for performance rewards approach. This position may be eligible for a cash bonus, equity rewards and benefits, in accordance with our applicable plans and programs (see more about our compensation and benefits at Intuit®: Careers \| Benefits). Pay offered is based on factors such as job\-related knowledge, skills, experience, and work location. To drive ongoing fair pay for employees, Intuit conducts regular comparisons across categories of ethnicity and gender. The expected base pay range for this position is:</t>
        </is>
      </c>
    </row>
    <row r="15">
      <c r="A15" t="inlineStr">
        <is>
          <t>li-4354953402</t>
        </is>
      </c>
      <c r="B15" t="inlineStr">
        <is>
          <t>Software Engineer I</t>
        </is>
      </c>
      <c r="C15" t="inlineStr">
        <is>
          <t>Microsoft</t>
        </is>
      </c>
      <c r="D15" t="inlineStr">
        <is>
          <t>linkedin</t>
        </is>
      </c>
      <c r="E15">
        <f>HYPERLINK("https://www.linkedin.com/jobs/view/4354953402", "https://www.linkedin.com/jobs/view/4354953402")</f>
        <v/>
      </c>
      <c r="F15" t="inlineStr"/>
      <c r="G15" t="inlineStr">
        <is>
          <t>Redmond, WA</t>
        </is>
      </c>
      <c r="H15" t="inlineStr"/>
      <c r="I15" t="inlineStr">
        <is>
          <t>**Overview**
 Join our innovative Web Data Platform Team as a Software Engineer and help us revolutionize the future of web document processing and rendering!
 At Web Data Document Processing \&amp; Rendering team, you'll play a key role in building cutting\-edge batch and streaming systems as part of our platform that powers Bing Search and Microsoft AI training scenarios, empowers data scientists to seamlessly integrate their machine learning models, driving transformative insights at massive scale. Here you will be working with eye\-popping scales, processing tens of billions of documents per day and managing hundreds of petabytes of data. The opportunity to make an impact on millions of users with each feature you ship is truly motivating.
 In today's AI\-driven world, where data is more valuable than ever, we're embarking on an exciting mission to elevate our platform, scaling it even further to unlock new possibilities and serve a growing array of use cases and customers. If you're passionate about building high\-performance systems that shape the future of data processing, this is the place for you!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AI \&amp; Coding: Uses AI tools responsibly, follows coding standards, writes maintainable code, and participates in code reviews.
* Debugging \&amp; Incidents: Uses logs, tests, and telemetry to detect issues and supports incident analysis and fixes.
* Design \&amp; Testing: Assists with design exploration, understands system tradeoffs, and supports test strategies and automation.
* Security \&amp; Engineering Excellence: Applies secure design principles, compliance requirements, and security best practices.
* Implementation \&amp; Deployment: Breaks down work, follows safe deployment and rollback practices, and supports production readiness.
* Operations \&amp; User Focus: Supports live\-site operations, improves observability, respects privacy, and incorporates user requirements.
**Qualifications**
**Required Qualifications:**
* Bachelor's Degree in Computer Science, or related technical discipline with proven experience coding in languages including, but not limited to, C, C\+\+, C\#, Java, JavaScript, or Python
+ OR equivalent experience.
**Preferred Qualifications**
* Master's Degree in Computer Science or related technical field with proven experience coding in languages including, but not limited to, C, C\+\+, C\#, Java, JavaScript, or Python
+ OR Bachelor's Degree in Computer Science or related technical field AND 2\+ years technical engineering experience with coding in languages including, but not limited to, C, C\+\+, C\#, Java, JavaScript, or Python
+ OR equivalent experience.
 \#MicrosoftAI
 Software Engineering IC2 \- The typical base pay range for this role across the U.S. is USD $84,200 \- $165,200 per year. There is a different range applicable to specific work locations, within the San Francisco Bay area and New York City metropolitan area, and the base pay range for this role in those locations is USD $109,000 \- $180,400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16">
      <c r="A16" t="inlineStr">
        <is>
          <t>li-4359827450</t>
        </is>
      </c>
      <c r="B16" t="inlineStr">
        <is>
          <t>Software Engineer II</t>
        </is>
      </c>
      <c r="C16" t="inlineStr">
        <is>
          <t>Uber</t>
        </is>
      </c>
      <c r="D16" t="inlineStr">
        <is>
          <t>linkedin</t>
        </is>
      </c>
      <c r="E16">
        <f>HYPERLINK("https://www.linkedin.com/jobs/view/4359827450", "https://www.linkedin.com/jobs/view/4359827450")</f>
        <v/>
      </c>
      <c r="F16" t="inlineStr"/>
      <c r="G16" t="inlineStr">
        <is>
          <t>New York, NY</t>
        </is>
      </c>
      <c r="H16" t="inlineStr"/>
      <c r="I16" t="inlineStr">
        <is>
          <t>**About The Role**
 The Logistics Experience team is a frontend product team focused on building innovative, affordable and efficient growth products such as Meal Deals, Priority \&amp; Saver Delivery and Scheduled Orders that serve millions of Uber users every month.
 Logistics Experience is a central pillar to Uber's core mobility and delivery products. As the central brain of the company, we are the decision\-makers enabling seamless movement from point A to point B for UberEats orders and Uber Trips. We handle all the logic from making the dispatch, predicting how long a delivery might take, and estimating optimal pickup times for orders.
 At a high level the team leverage real\-time marketplace dynamics to shape consumer behavior and optimize business trade\-offs. We continuously aim to enhance the experience for all marketplace users, including consumers, merchants, and couriers. This includes building consumer facing products, optimizing our core algorithms and creating predictive models for order lifecycle events.
 The team addresses large\-scale variations of the traveling salesperson problem in real\-time.At any given time, we have tens of thousands of delivery requests and couriers looking for work in a city. Our jobs are to write software that identifies who is the best driver to complete a given request, how to batch trips or orders together that have similar routes, and when the best time is to make this decision. As you could imagine, solving this NP hard problem creates many fascinating problems around how to search the problem space, how to rapidly reach a near\-optimal solution, and how to scale this process to operate within seconds. To do this, our team uses a wide variety of innovative technologies.
 As a Web Mobile Engineer you'll work across multiple apps, including Eats, Rides, Earner and Restaurants, integrating web work with BE solutions, owning the stack for both product and platform features and leading a wide variety of solutions, working with multiple external stakeholders and mentoring young engineers.
**Basic Qualifications**
* Bachelor's degree in Computer Science or related technical field or equivalent practical experience
* Solid domain knowledge of Web development, including HTML, CSS, Javascript, Typescript, and a modern Javascript framework (React, Vue, etc.)
* 2\+ years of experience
* Strong focus on high\-quality UI experiences and feature developments
* Ability and readiness to learn new domains, going out your comfort zone
* Independently own and collaborate with other engineers
* Fluent communication skills
**Preferred Qualifications**
* Experience working with a server\-side application language such as Java or Golang
* Previous contributions to creating efficiency or positive cultural initiatives within your team
* Previously worked on mobile apps that scale to millions of users
* Experience working with web integrations under native
* Android or iOS knowledge is a plus
**What the Candidate Will Do**
* Build critical parts of core flows across the Eater and Restaurants apps, both mobile applications and desktop versions. Some examples include Meal Deals, Priority Delivery or Storefront on UberEats, Scheduled Orders experience, Groceries, etc.
* Own features by contributing from ideation with design and product into working with data science and backend to design experiments that continuously improve our products
* Build relationships with engineers across Marketplace teams like Advance Matching, Demand Shaping, Verticals, Eats Web Feed, Rider, Earner and multiple teams.
* Implement user\-facing and platform features with the latest web technologies
 For New York, NY\-based roles: The base salary range for this role is USD$171,000 per year \- USD$190,000 per year.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New York, NY\-based roles: The base salary range for this role is USD$171,000 per year \- USD$190,000 per year.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17">
      <c r="A17" t="inlineStr">
        <is>
          <t>li-4369351175</t>
        </is>
      </c>
      <c r="B17" t="inlineStr">
        <is>
          <t>Senior Software Engineer</t>
        </is>
      </c>
      <c r="C17" t="inlineStr">
        <is>
          <t>Kandu</t>
        </is>
      </c>
      <c r="D17" t="inlineStr">
        <is>
          <t>linkedin</t>
        </is>
      </c>
      <c r="E17">
        <f>HYPERLINK("https://www.linkedin.com/jobs/view/4369351175", "https://www.linkedin.com/jobs/view/4369351175")</f>
        <v/>
      </c>
      <c r="F17" t="inlineStr"/>
      <c r="G17" t="inlineStr">
        <is>
          <t>Los Angeles, CA</t>
        </is>
      </c>
      <c r="H17" t="inlineStr"/>
      <c r="I17" t="inlineStr">
        <is>
          <t>Kandu, Inc. is pioneering an integrated approach to stroke recovery by combining FDA\-cleared brain\-computer interface technology with personalized telehealth services. Our IpsiHand® device is durable medical equipment that enables chronic stroke survivors to regain upper extremity function with daily home use. Combining this advanced technology with the support of expert clinicians offers a comprehensive path to recovery–helping survivors improve mobility, independence, and quality of life.
**Summary**
 We are seeking a highly skilled C\# Developer to join our engineering team. The ideal candidate will have strong experience in backend development, Azure cloud services, database management, unit testing and scripting for automation. This role will involve building and maintaining robust, scalable solutions, ensuring secure and efficient data handling, and automating workflows to improve productivity.
**What You’ll Do:**
* Design, develop, and maintain C\# applications and services using modern .NET framework
* Implement solutions leveraging Microsoft Azure (App Services, Functions, Storage, SQL Database, Key Vault, etc.)
* Work with relational databases (primarily Microsoft SQL Server and Azure SQL), including schema design, optimization, and query performance tuning
* Develop and maintain automation scripts in PowerShell and Python for deployment, monitoring, and data processing
* Write and maintain unit tests to ensure code quality, reliability, and maintainability
* Develop and maintain CI/CD pipelines, infrastructure as code, and automated deployments
* Troubleshoot and resolve issues across application, data, and infrastructure layers
* Participate in code reviews
* Write clean, maintainable, and well\-documented code
**What You’ll Bring:**
* Bachelors in Computer Science or closely related field
* Strong professional experience(10\+ years) in C\# / .NET 8\+ (experience with .Net 4\.8 is a plus)
* Working knowledge of Azure services (App Services, Functions, SQL Database, Storage, Networking)
* Solid knowledge of SQL (T\-SQL, stored procedures, indexing, optimization)
* Experience writing and maintaining unit tests to ensure code quality and reliability
* Experience with PowerShell for automation (infrastructure management, deployments, scripting tasks)
* Experience with Python for scripting, data manipulation, or integration tasks
* Knowledge of CI/CD pipelines (Azure DevOps, GitHub Actions, or similar)
* Understanding of secure coding practices, authentication/authorization, and role\-based access control
* Experience with Entity Framework Core for data access, including migrations, LINQ queries, and performance tuning
**Preferred Qualifications:**
* Experience with xUnit, Moq and Coverlet
* Experience with monitoring/observability tools (Application Insights, Azure Monitor, Grafana, etc.)
* Experience with system administration tasks, including deployment, configuration, and maintenance of applications in production environments
* Experience working in a regulated environment such as medical device development, aerospace or defense desired
**What We Offer:**
* Competitive Compensation (130k\-145k plus stock options)
* Insurance (Medical/Dental/Vision)
* 401(k) with company
* Unlimited PTO \&amp; Holidays
* Life Insurance, LTD and STD
 Please note that the salary information is a general guidance only. Kandu, Inc. considers factors such as scope and responsibilities of the position, candidate’s work experience, education/training, key skills and internal parity, as well as location, market and business considerations when extending an offer.
 Kandu, Inc. is an equal opportunity employer. We do not discriminate on the basis of race, religion, color, national origin, gender, sexual orientation, age, marital status, veteran status, or disability status.
 Powered by JazzHR
 oVWcIOiWSk</t>
        </is>
      </c>
    </row>
    <row r="18">
      <c r="A18" t="inlineStr">
        <is>
          <t>li-4359838844</t>
        </is>
      </c>
      <c r="B18" t="inlineStr">
        <is>
          <t>Software Engineer</t>
        </is>
      </c>
      <c r="C18" t="inlineStr">
        <is>
          <t>LENS</t>
        </is>
      </c>
      <c r="D18" t="inlineStr">
        <is>
          <t>linkedin</t>
        </is>
      </c>
      <c r="E18">
        <f>HYPERLINK("https://www.linkedin.com/jobs/view/4359838844", "https://www.linkedin.com/jobs/view/4359838844")</f>
        <v/>
      </c>
      <c r="F18" t="inlineStr"/>
      <c r="G18" t="inlineStr">
        <is>
          <t>Los Angeles, CA</t>
        </is>
      </c>
      <c r="H18" t="inlineStr"/>
      <c r="I18" t="inlineStr">
        <is>
          <t>**Mission**
 LENS’s mission is to end traffic accidents. We partner with Public Safety Agencies who use LENS to detect pre\-accidents to prevent accidents before they happen. By using LENS, Public Safety Officers detect hazards, which include Disabled Vehicles, Objects on the Road, and even Pedestrians on the Freeway, to prevent accidents and save lives.
**Role**
 As a Software Engineer, you seek transformational change. You do not accept the status quo that accidents are an accepted inevitability, or that
 *they just happen* 
 . Instead, you believe when the root cause of an accident can be known in advance, the accident can and should be prevented. You work with fellow Preventers that share this core belief, and together use LENS to prevent accidents and save lives.
 CBS LA recently did a three minute TV feature that succinctly captures what LENS is doing with Public Safety Agencies in one of the largest traffic capitals in the world:
 CHP LA Communications Center using AI to prevent accidents before they happen
 You will increase the scale and speed of preventing accidents by being singularly focused on developing the software that makes mission\-critical outcomes possible. You write clean, maintainable, high\-quality code and take ownership of features from design through testing, deployment, and ongoing refinement. You are driven by creativity and system\-level thinking, and routinely develop novel solutions to complex problems. You understand not only how a piece of code works, but how it fits into the larger product and serves the people who depend on it. You will have a broad surface area to impact, with time a limited resource. You play to win and go where mission leverage is greatest \- system design, backend services, cloud infrastructure, data reliability, performance and monitoring, etc. \- to maximally impact LENS’s mission in the communities we serve.
 Your impact on the LENS mission is measured by:
* Pre\-accidents detected, accidents prevented, and lives saved through the infrastructure, systems, and product capabilities you design, build, and operate
* Pre\-accidents detected, accidents prevented, and lives saved through the operational, educational, and technical frameworks you create, improve, and scale across agencies
* Pre\-accidents detected, accidents prevented, and lives saved through breakthrough capabilities you invent or assemble that fundamentally expand what is possible in ending traffic accidents
**Values \&amp; Principles**
 The LENS team is a culture built on a shared set of values and principles. Our culture is defined not by what we say, but by what we do (credit to Ben Horowitz’s book). Some of our values that define what we do are: (1\) Prioritize what fulfills the mission the fastest, (2\) Elevate each other to our highest \&amp; best frequency, (3\) Systems\-thinking, end to end. A few of our principles include: (1\) we learn, practice, and master. (2\) we continually absorb what enables operators of LENS to make an impact, and make that even better, (3\) we focus to supercharge our impact. Our Mission, Values, and Principles together give us a clear, shared, and continually evolving framework to keep enabling more Public Safety officers to prevent accidents and save more lives.</t>
        </is>
      </c>
    </row>
    <row r="19">
      <c r="A19" t="inlineStr">
        <is>
          <t>li-4361410401</t>
        </is>
      </c>
      <c r="B19" t="inlineStr">
        <is>
          <t>Software Engineer II</t>
        </is>
      </c>
      <c r="C19" t="inlineStr">
        <is>
          <t>Nike</t>
        </is>
      </c>
      <c r="D19" t="inlineStr">
        <is>
          <t>linkedin</t>
        </is>
      </c>
      <c r="E19">
        <f>HYPERLINK("https://www.linkedin.com/jobs/view/4361410401", "https://www.linkedin.com/jobs/view/4361410401")</f>
        <v/>
      </c>
      <c r="F19" t="inlineStr"/>
      <c r="G19" t="inlineStr">
        <is>
          <t>Beaverton, OR</t>
        </is>
      </c>
      <c r="H19" t="inlineStr"/>
      <c r="I19" t="inlineStr">
        <is>
          <t>**SOFTWARE ENGINEER II**
**Become a Part of the NIKE, Inc. Team**
 NIKE, Inc. does more than outfit the world's best athletes. It is a place to explore potential, obliterate boundaries and push out the edges of what can be. The company looks for people who can grow, think, dream and create. Its culture thrives by embracing diversity and rewarding imagination. The brand seeks achievers, leaders and visionaries. At Nike, it’s about each person bringing skills and passion to a challenging and constantly evolving game.
**Who We Are Looking For**
 We’re looking for a Software Engineer II to solve complex software engineering problems supporting Nike’s pursuit of delivering state of the art tools to our Consumer Product \&amp; Innovation community. The candidate needs to be highly collaborative with peers, productive in a fast\-paced development environment and have depth of native cloud software engineering experience.
**What You Will Work On**
 You will be part of a team of engineers building out tooling for our internal Consumer Product \&amp; Innovation team members. We are investing in building modular, configurable and “API\-First” capabilities which will be consumed by modern web applications build with the most recent SPA frameworks.
**Who You Will Work With**
 You will be a part of the larger Global Technology organization working on Nike’s internal product creation tools and report to the team’s Engineering Director. You will work day\-to\-day with the a team of engineers, the team’s Product Manager and Principal Engineers in the organization on software projects to achieve Nike’s business objectives. You will also engage with other Global Technology functions and teams on organizational and technical goals.
**What You Bring**
* Bachelor or related technical subject area or equivalent combination of education and experience
* 2\+ years of hands\-on industry software development experience.
* Proficiency in HTML, CSS, and JavaScript2\.
* Experience with frontend frameworks such as React, Angular, or VUE.JS.
* Understanding of web markup including HTML5 and CSS3\.
* Version control systems like Git.
* Responsive design principles to ensure websites work on various devices
* Basic knowledge of backend technologies (e.g., Node.js, RESTful APIs).
* Problem\-solving abilities and attention to detail.
* Good communication skills to work effectively in a team.
* Time management and project management skills.
 We offer a number of accommodations to complete our interview process including screen readers, sign language interpreters, accessible and single location for in\-person interviews, closed captioning, and other reasonable modifications as needed. If you discover, as you navigate our application process, that you need assistance or an accommodation due to a disability, please complete the Candidate Accommodation Request Form.</t>
        </is>
      </c>
    </row>
    <row r="20">
      <c r="A20" t="inlineStr">
        <is>
          <t>li-4359888602</t>
        </is>
      </c>
      <c r="B20" t="inlineStr">
        <is>
          <t>Backend Engineer</t>
        </is>
      </c>
      <c r="C20" t="inlineStr">
        <is>
          <t>HealthLeap AI</t>
        </is>
      </c>
      <c r="D20" t="inlineStr">
        <is>
          <t>linkedin</t>
        </is>
      </c>
      <c r="E20">
        <f>HYPERLINK("https://www.linkedin.com/jobs/view/4359888602", "https://www.linkedin.com/jobs/view/4359888602")</f>
        <v/>
      </c>
      <c r="F20">
        <f>HYPERLINK("https://jobs.ashbyhq.com/healthleap/b36964b8-0d5c-4d2d-bc3a-158fc712954d&amp;urlHash=pam4", "https://jobs.ashbyhq.com/healthleap/b36964b8-0d5c-4d2d-bc3a-158fc712954d&amp;urlHash=pam4")</f>
        <v/>
      </c>
      <c r="G20" t="inlineStr">
        <is>
          <t>San Francisco, CA</t>
        </is>
      </c>
      <c r="H20" t="inlineStr"/>
      <c r="I20" t="inlineStr">
        <is>
          <t>**About Healthleap**
 HealthLeap builds AI that helps clinicians prioritize patients, surfaces the right data, and gets patients the care they need earlier, so they can leave the hospital sooner.
 We integrate with hospital electronic health record systems, screen 100% of patients daily, and risk\-rank them in real time. Clinicians at Cedars\-Sinai and Penn Medicine start every morning with HealthLeap — with Houston Methodist, Emory, and Intermountain Health deploying now.
**Real results:** 
 39% more diagnoses. 4 days earlier detection. $11M/year ROI for our first site at Cedars Sinai. 7× revenue growth in 7 months.
 We started with malnutrition. We're expanding to every major condition to ensure no patient falls through the cracks. Sequoia and First Round are backing us to build the platform that screens every patient for everything and drives tangible outcomes.
**We're \~15 people. \&gt;$7M raised. SF\-based, hybrid\-friendly.** 
 Early enough to shape the product. Late enough to know it works. Results that are changing lives.
**About The Role**
**Build the systems that screen every hospital patient, every day.**
 HealthLeap processes billions of data points from hospital EHRs \- labs, vitals, clinical notes, structured records \- and turns them into real\-time risk scores that clinicians rely on every morning. You'll build the backend systems and infrastructure that make this possible.
 Why you
 You've built systems that handle real scale \- not toy projects, real data, real users, real uptime requirements. You've debugged distributed systems at 2am. You've dealt with messy third\-party APIs that had no documentation. You're the person who figures things out when the docs don't help.
 What you'll do
* Build data pipelines that process millions of patient records daily
* Parse 50,000\+ clinical notes per patient using LLMs \- without hallucinating
* Own infrastructure on AWS and Kubernetes \- deploy it, monitor it, fix it when it breaks
* Design systems for high concurrency and reliability \- clinicians depend on this every morning
* Build feature engineering pipelines for ML models
 What we're looking for
* 5\+ years backend engineering experience
* Deep experience with distributed systems and highly concurrent workloads
* Solid with databases, data pipelines, ETL processing
* Comfortable with AWS, Kubernetes, and infrastructure\-as\-code
* You figure things out \- even when documentation doesn't exist
 Nice to have
* Experience with healthcare data standards (FHIR, HL7v2\)
* Background in LLM infrastructure or applied AI systems
 This role is NOT for you if
* Startup unpredictability feels like chaos to you. We find it exciting.
* You need detailed specs before you start. We figure it out as we go.
* You've never owned something end\-to\-end. Here, you own outcomes, not tasks.
* You wait to be told what to do next. We need people who see what's needed and do it.
* You're looking for a 9\-5 with predictable hours. We care about deep work and deep rest (we have a minimum leave policy), but when a hospital go\-live is on the line, we show up \- even if that means a 60\+ hour week.
* You see collaboration as interruption. We see it as leverage. The best engineers here are constantly pulling each other in \- quick Slacks, 5\-minute calls, shared context. If you prefer to work in isolation, this isn't the right fit.
 Interview process
* Intro call \- Get to know each other
* Technical \- 1\-2 interviews
* Onsite \- Coding, case study, team meet
* Decision \- Same week as onsite
 We respect your time. If there's a fit, you'll know fast.
**Compensation \&amp; Benefits**
* Salary: $200,000 \- $275,000 base
* Equity: Meaningful ownership in an early\-stage company
* Healthcare: 100% of premiums covered
* PTO: Unlimited, with a recommended minimum of 20 days
* 401(k): 4% match
* Equipment: Laptop \+ budget for your home office
 Location
 San Francisco (preferred), open to NYC. Hybrid (Mon/Wed/Fri in office).
 If you're passionate about applying frontier AI to real\-world impact, join us in building healthcare's future.</t>
        </is>
      </c>
    </row>
    <row r="21">
      <c r="A21" t="inlineStr">
        <is>
          <t>li-4361063635</t>
        </is>
      </c>
      <c r="B21" t="inlineStr">
        <is>
          <t>Software Engineer - Sandbox Service</t>
        </is>
      </c>
      <c r="C21" t="inlineStr">
        <is>
          <t>xAI</t>
        </is>
      </c>
      <c r="D21" t="inlineStr">
        <is>
          <t>linkedin</t>
        </is>
      </c>
      <c r="E21">
        <f>HYPERLINK("https://www.linkedin.com/jobs/view/4361063635", "https://www.linkedin.com/jobs/view/4361063635")</f>
        <v/>
      </c>
      <c r="F21" t="inlineStr"/>
      <c r="G21" t="inlineStr">
        <is>
          <t>Palo Alto, CA</t>
        </is>
      </c>
      <c r="H21" t="inlineStr"/>
      <c r="I21" t="inlineStr">
        <is>
          <t>**About XAI**
 xAI's mission is to create AI systems that can accurately understand the universe and aid humanity in its pursuit of knowledge.
 Our team is small, highly motivated, and focused on engineering excellence. This organization is for individuals who appreciate challenging themselves and thrive on curiosity.
 We operate with a flat organizational structure. All employees are expected to be hands\-on and to contribute directly to the company's mission. Leadership is given to those who show initiative and consistently deliver excellence. Work ethic and strong prioritization skills are important.
 All engineers are expected to have strong communication skills. They should be able to concisely and accurately share knowledge with their teammates.
**About The Team**
 The Sandbox service team at xAI builds and maintains a secure, scalable system that gives our models safe, controlled access to computational environments. This infrastructure powers critical workloads across training and product, enabling models to run code, build software, interact with tools, and even control applications with user interfaces. We provision containers and virtual machines on large\-scale clusters, granting models interactive control over these remote environments. Our work spans the full stack: from orchestrating massive jobs and resource scheduling at the cluster level, to fine\-tuning filesystem performance on nodes. The Sandbox service enables Grok to safely run and test code in real\-time for user queries, and supports reinforcement learning in training, where models interactively explore tools ranging from compilers to productivity apps.
**About The Role**
 Expect deeply technical work in a fast\-moving environment. We prioritize speed and rapid iteration without compromising on reliability or performance. Ideal candidates have strong backgrounds in at least the following:
* Expert knowledge of Rust, C\+\+ or Go
* Familiarity with Python
* Deep experience with either Linux or Windows systems (familiarity with both is a strong plus)
* Experience with virtualization and containerization technologies (e.g., cgroups, KVM, gVisor, QEMU)
* Solid knowledge of the networking stack
**Interview process**
 After Submitting Your Application, The Team Reviews Your Statement Of Exceptional Work And CV. If Your Application Passes This Stage, You Will Be Invited To a 15 Minute Interview ("phone Interview") During Which a Member Of Our Team Will Ask Some Basic Technical Questions. If You Clear The Initial Phone Interview, You Will Enter The Main Process, Which Consists Of At Least Two Technical Interviews
* Coding interview in Rust or C\+\+.
* Distributed systems design interview.
 Salary range
 $180,000 \- $440,000
**Benefits**
 Base salary is just one part of our total rewards package at xAI, which also includes equity, comprehensive medical, vision, and dental coverage, access to a 401(k) retirement plan, short \&amp; long\-term disability insurance, life insurance, and various other discounts and perks.
*xAI is an equal opportunity employer. For details on data processing, view our* 
*Recruitment Privacy Notice*</t>
        </is>
      </c>
    </row>
    <row r="22">
      <c r="A22" t="inlineStr">
        <is>
          <t>li-4297854738</t>
        </is>
      </c>
      <c r="B22" t="inlineStr">
        <is>
          <t>Software Engineer - Early Career (USA)</t>
        </is>
      </c>
      <c r="C22" t="inlineStr">
        <is>
          <t>Trexquant Investment LP</t>
        </is>
      </c>
      <c r="D22" t="inlineStr">
        <is>
          <t>linkedin</t>
        </is>
      </c>
      <c r="E22">
        <f>HYPERLINK("https://www.linkedin.com/jobs/view/4297854738", "https://www.linkedin.com/jobs/view/4297854738")</f>
        <v/>
      </c>
      <c r="F22" t="inlineStr"/>
      <c r="G22" t="inlineStr"/>
      <c r="H22" t="inlineStr"/>
      <c r="I22" t="inlineStr">
        <is>
          <t>Trexquant is a growing systematic fund at the forefront of quantitative finance, with a team of world\-class researchers and engineers. As we continue to expand our trading operations, we are investing heavily in building the next generation of our quantitative research \&amp; trading platform.
 We are seeking an Early Career Software Engineer with strong programming skills to join our engineering team. In this role, you will work closely with experienced engineers and quantitative researchers to  develop the infrastructure that powers systematic trading, including data pipelines, back testing tools, and execution systems. You will have the opportunity to contribute to greenfield development projects, where you'll help build new systems from the ground up, driving innovation and scalability in our technology stack.
**Responsibilities** 
* Full lifecycle development of low\-latency, high\-throughput research and trading systems using C\+\+, C, Java, or Rust
* Build and optimize data processing pipelines to ensure reliable access to large, high\-quality datasets
* Assist in developing tools for back testing, model training, and strategy evaluation
* Collaborate with researchers and traders to deliver technical solutions that improve research productivity and trading performance
* Participate in code reviews, testing, and documentation to maintain high\-quality standards
* Stay abreast of emerging technologies, tools, and best practices, bringing innovative ideas to continuously improve our systems
**Requirements**
* BS/MS degree in Computer Science, or a related STEM field
* Strong knowledge of data structures, algorithms, and object\-oriented programming
* Proficiency in one or more programming languages{{:}} C\+\+, C, Python, Java, or Rust
* Familiarity with Linux environments
* Excellent problem\-solving skills and ability to learn quickly in a collaborative team setting
**Benefits**
* Competitive salary plus bonus based on individual and company performance
* Collaborative, casual, and friendly work environment
* PPO health, dental, and vision insurance premiums fully covered for you and your dependents
* Pre\-tax commuter benefits
* Weekly company meals
 Applications are open for both Stamford and New York City offices, the latter with a planned opening in October 2026\. 
 The base salary range is $130,000 \- $175,000 depending on the candidate's educational and professional background. Base salary is one component of Trexquant's total compensation, which may also include a discretionary, performance\-based bonus. This position is classified as overtime\-exempt.
 Trexquant is an Equal Opportunity Employer.</t>
        </is>
      </c>
    </row>
    <row r="23">
      <c r="A23" t="inlineStr">
        <is>
          <t>li-4361004564</t>
        </is>
      </c>
      <c r="B23" t="inlineStr">
        <is>
          <t>Software Engineer - Fulfillment Shopping &amp; Ordering</t>
        </is>
      </c>
      <c r="C23" t="inlineStr">
        <is>
          <t>Uber</t>
        </is>
      </c>
      <c r="D23" t="inlineStr">
        <is>
          <t>linkedin</t>
        </is>
      </c>
      <c r="E23">
        <f>HYPERLINK("https://www.linkedin.com/jobs/view/4361004564", "https://www.linkedin.com/jobs/view/4361004564")</f>
        <v/>
      </c>
      <c r="F23" t="inlineStr"/>
      <c r="G23" t="inlineStr">
        <is>
          <t>San Francisco, CA</t>
        </is>
      </c>
      <c r="H23" t="inlineStr"/>
      <c r="I23" t="inlineStr">
        <is>
          <t>**About The Role**
 The Fulfillment platform is the foundation powering the logistics behind fulfilling user orders from any Uber app. It operates life cycles of orders, trips, drivers, eaters, and other user sessions when they interact with Uber. These interactions are real\-time and high\-scale when millions of concurrent riders, drivers, and eaters are using Uber. We support both Uber Rider businesses (pool, airports, hourly rentals, intercity trips, reservations, package delivery, uber health) and Uber Delivery businesses (groceries, uber eats, delivery API).
 Our tech challenges are in both the business layer (data modeling of complex products, building reusable higher order business APIs to share across products) and the Infrastructure layer (storing high write \&amp; transient data, language framework, search \&amp; ranking, events \&amp; data streaming systems)
 We are looking for a Software Engineer for the Fulfillment Shopping team to help build our next generation of product discovery, planning, and order checkout platforms. Over the next few years, this team will be innovating with new offerings like car rentals, third\-party drivers, package deliveries, and reenvisioning the entire shopping and checkout flow for Uber. This is a high\-impact role where you will partner with Engineering, Product, and Ops leaders across the company to launch new products as well as improve the overall efficiency of the marketplace.
 You can get a glimpse of the work we do in Fulfillment
* https://eng.uber.com/fulfillment\-platform\-rearchitecture/
* https://eng.uber.com/building\-ubers\-fulfillment\-platform/
 \-\-\-\- What the Candidate Will Do \-\-\-\-
* Collaborate in a team environment with significant ownership and autonomy over projects.
* Work on the next phase of fulfillment and product lines for our 1P, 3P, and SaaS customers, addressing significant organizational\-level challenges that impact Uber's operations.
* Design, develop and deliver high\-quality features promptly with accountability.
* Partner with engineering managers, product managers, and other engineering teams to define project requirements and execution plans.
* Ensure that system designs, including APIs, architecture, and dependency selection, result in scalable, resilient solutions that minimize support costs and enhance the partner experience.
**Basic Qualifications**
* A Bachelor's Degree in Computer Science or a related field (or equivalent experience).
* At least 3\+ years of professional experience in software development.
* Strong understanding of computer science fundamentals, including object\-oriented design, data structures, algorithm design, problem\-solving, and complexity analysis.
* Proficient in at least one programming language, such as Golang, Java, C\#, or C\+\+.
* Experience working with distributed systems.
* Effective communication skills to interact with engineers, technical teams, and senior management to gather requirements, and describe software product features, technical designs, and product strategy.
**Preferred Qualifications**
* MS / Ph.D. in Computer Science or related field.
* Experience managing production systems with a strong availability SLA.
* Knowledgeable in software engineering best practices throughout the entire software development life cycle, including coding standards, code reviews, source control management, build processes, testing, and operations.
* Experience working with large\-scale distributed systems
 For San Francisco, CA\-based roles: The base salary range for this role is USD$171,000 per year \- USD$190,000 per year. For Sunnyvale, CA\-based roles: The base salary range for this role is USD$171,000 per year \- USD$190,000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San Francisco, CA\-based roles: The base salary range for this role is USD$171,000 per year \- USD$190,000 per year. For Sunnyvale, CA\-based roles: The base salary range for this role is USD$171,000 per year \- USD$190,000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24">
      <c r="A24" t="inlineStr">
        <is>
          <t>li-4361062231</t>
        </is>
      </c>
      <c r="B24" t="inlineStr">
        <is>
          <t>Software Engineer, Data</t>
        </is>
      </c>
      <c r="C24" t="inlineStr">
        <is>
          <t>HeyGen</t>
        </is>
      </c>
      <c r="D24" t="inlineStr">
        <is>
          <t>linkedin</t>
        </is>
      </c>
      <c r="E24">
        <f>HYPERLINK("https://www.linkedin.com/jobs/view/4361062231", "https://www.linkedin.com/jobs/view/4361062231")</f>
        <v/>
      </c>
      <c r="F24">
        <f>HYPERLINK("https://grnh.se/9qekkhzg7us&amp;urlHash=CXLf", "https://grnh.se/9qekkhzg7us&amp;urlHash=CXLf")</f>
        <v/>
      </c>
      <c r="G24" t="inlineStr">
        <is>
          <t>Los Angeles, CA</t>
        </is>
      </c>
      <c r="H24" t="inlineStr"/>
      <c r="I24" t="inlineStr">
        <is>
          <t>**About HeyGen**
 At HeyGen, our mission is to make visual storytelling accessible to all. Over the last decade, visual content has become the preferred method of information creation, consumption, and retention. But the ability to create such content, in particular videos, continues to be costly and challenging to scale. Our ambition is to build technology that equips more people with the power to reach, captivate, and inspire audiences.
 Learn more at www.heygen.com. Visit our Mission and Culture doc here.
**Position Summary**
 A Software Engineer with data engineering responsibilities to bridge the gap between core application development and large\-scale data infrastructure. You will help build the data foundational layers for our next\-generation features. This role is not just about moving data—it's about enabling AI models to function in real\-time, building robust pipelines for multimedia, and powering engaging user experiences. This team is currently working on cutting\-edge features including PPT\-to\-video converters and interactive, conversational video capabilities.
**Core Responsibilities**
* Build \&amp; Scale Data Pipelines: Design, develop, and maintain robust batch and real\-time data pipelines (using Python, Go, Spark, Kafka) that ingest and transform massive multi\-modal data—text, audio, and video—to train and run AI models.
* Power Intelligent Features: Collaborate with ML engineers to implement data structures and APIs for new, exciting features like PPT\-to\-video automation and interactive AI avatars that require low\-latency data fetching.
* Data Lakehouse Infrastructure: Architect and manage data lakehouse solutions (e.g., Snowflake, Databricks, Apache Iceberg) to store and query unstructured media data efficiently, enhancing storage and computation efficiency.
* Data Reliability \&amp; Observability: Implement data quality checks, data contracts, and monitoring to ensure high reliability of data, preventing downtime in production video generation.
* Productize Data: Transform raw data into structured, actionable data products that can be easily consumed by front\-end applications, API endpoints, and AI agents.
**Qualifications**
* Bachelor's/Master's degree in Computer Science, Engineering, or a related field.
* 3\-5\+ years of experience as a Backend Software Engineer with heavy data processing responsibilities.
* Strong proficiency in Python (for ETL/scripting) and SQL (for data modeling).
* Experience with cloud platforms (AWS/GCP) and data technologies like Kafka, Spark, and Snowflake/Databricks.
* Experience or interest in Computer Vision/Generative AI data processing.
* Proactive, "owner" mindset; ability to operate in a fast\-paced, startup environment.
**What HeyGen Offers**
* Competitive salary and benefits package.
* Dynamic and inclusive work environment focused on innovation and creativity.
* Opportunities for professional growth and skill development.
* Collaborative culture that values teamwork and employee input.
* Access to state\-of\-the\-art technologies and tools.
**Salary Range**
 $180,000 – $220,000 \+ equity \+ benefits
 Please note that the salary information is a general guideline only. HeyGen considers factors such as scope and responsibilities of the position, candidate's work experience, education/training, key skills, and internal equity, as well as location, market and business considerations when extending an offer. As part of our total rewards package, HeyGen offers comprehensive benefits including equity, a 401k plan, health benefits, generous PTO, a parental leave program and emotional health resources.
 HeyGen is an Equal Opportunity Employer. We celebrate diversity and are committed to creating an inclusive environment for all employees.
 Join us at HeyGen and be part of a team that's reshaping the world of video creation through innovative technology!</t>
        </is>
      </c>
    </row>
    <row r="25">
      <c r="A25" t="inlineStr">
        <is>
          <t>li-4363681258</t>
        </is>
      </c>
      <c r="B25" t="inlineStr">
        <is>
          <t>Software Engineer II - (Fullstack / Product Engineering)</t>
        </is>
      </c>
      <c r="C25" t="inlineStr">
        <is>
          <t>StubHub</t>
        </is>
      </c>
      <c r="D25" t="inlineStr">
        <is>
          <t>linkedin</t>
        </is>
      </c>
      <c r="E25">
        <f>HYPERLINK("https://www.linkedin.com/jobs/view/4363681258", "https://www.linkedin.com/jobs/view/4363681258")</f>
        <v/>
      </c>
      <c r="F25">
        <f>HYPERLINK("https://job-boards.eu.greenhouse.io/stubhubinc/jobs/4755031101?gh_src=47e65a22teu&amp;urlHash=dz4p", "https://job-boards.eu.greenhouse.io/stubhubinc/jobs/4755031101?gh_src=47e65a22teu&amp;urlHash=dz4p")</f>
        <v/>
      </c>
      <c r="G25" t="inlineStr">
        <is>
          <t>New York, NY</t>
        </is>
      </c>
      <c r="H25" t="inlineStr"/>
      <c r="I25" t="inlineStr">
        <is>
          <t>StubHub is on a mission to redefine the live event experience on a global scale. Whether someone is looking to attend their first event or their hundredth, we’re here to delight them all the way from the moment they start looking for a ticket until they step through the gate. The same goes for our sellers. From fans selling a single ticket to the promoters of a worldwide stadium tour, we want StubHub to be the safest, most convenient way to offer a ticket to the millions of fans who browse our platform around the world.
 StubHub is seeking a Software Engineer II to design and develop next\-generation technologies and complex features. As a Software Engineer at StubHub, you will be at the forefront of tackling significant, ambiguous, and non\-trivial challenges as a core contributor and innovator, bringing creative technical solutions to life. In order to ensure our company's success, our Software Engineers must demonstrate initiative and enthusiasm for the problems they tackle. Over the course of your career at the company, you will have the opportunity to contribute to diverse projects and the needs of the business. The best candidates and most successful team members exhibit versatility, a growth mindset, ability to learn, and enthusiasm in tackling new challenges across the company.
*Location: Hybrid (3 days in office/2 days remote) – New York, NY or Century City, CA*
**About The Team**
 The Consumer Experience (CX) team is responsible for the end\-to\-end product experience for fans looking to discover, buy, and sell tickets to their favorite live events through our web and mobile platforms. It sits at the forefront of fulfilling StubHub’s mission to become the global destination for accessing live event experiences by crafting the product experience that millions of fans interact with every day. We are obsessed with understanding our users’ needs and delivering feature innovations, both short\-term and long\-term, that are as effective as they are enjoyable.
 We serve a global fan base and aim to deliver a localized experience that feels personalized to every individual in over 60 regions and 30 languages. We believe that diversity of thought and transparency of impact breed the best innovations, which is why we are a cross\-functional team of specialists in product, design, engineering, and data working closely together with equal voice in ideation and equal access to insights. We work across the entire stack, leveraging any tool or technology necessary to support web and mobile feature innovation at scale.
**What You'll Do**
* Design, develop, test, deploy, and maintain impactful improvements across all StubHub’s platforms and products, resulting in high\-quality outcomes
* Collaborate with team members to ensure best practices across our code
* Manage individual initiative priorities, deadlines, and deliverables with your technical expertise
* Mentor other team members and help many increase their technical capabilities, fostering a culture of inclusion, results\-oriented execution, open innovation, and limitless creativity
**What You've Done**
* 3\-5 years of professional experience in software development
* Extensive experience in designing large scale web applications across the entire stack using multiple general\-purpose programming languages (e.g., Python, Java, C\#, C/C\+\+, Javascript)
* Previous experience designing and developing solutions to complex problems with significant business impact; focus on large\-scale consumer\-products is preferred
* Proven ability to learn other coding languages, platforms, frameworks, and tools
**What We Offer**
* Accelerated Growth Environment: An environment designed for swift skill and knowledge enhancement, where you have the autonomy to lead experiments and tests on a massive scale.
* Top Tier Compensation Package: Competitive base, equity, and upside that tracks with your impact.
* Flexible Time Off: Enjoy unlimited Flex Time Off, giving you the flexibility to manage your schedule and take time to recharge as needed.
* Comprehensive Benefits Package: Prioritize your well\-being with a comprehensive benefits package, featuring 401k, and premium Health, Vision, and Dental Insurance options.
 The anticipated gross base pay range is below for this role. Actual compensation will vary depending on factors such as a candidate’s qualifications, skills, experience, and competencies. Base annual salary is one component of StubHub’s total compensation and competitive benefits package, which includes equity, 401(k), paid time off, paid parental leave, and comprehensive health benefits.
 Salary Range
 $165,000—$200,000 USD
**About Us**
 StubHub is the world’s leading marketplace to buy and sell tickets to any live event, anywhere. Through StubHub in North America and viagogo, our international platform, we service customers in 195 countries in 33 languages and 49 available currencies. With more than 300 million tickets available annually on our platform to events around the world \-\- from sports to music, comedy to dance, festivals to theater \-\- StubHub offers the safest, most convenient way to buy or sell tickets to the most memorable live experiences. Come join our team for a front\-row seat to the action.
 For California Residents: California Job Applicant Privacy Notice found here
**We are an equal opportunity employer and value diversity on our team. We do not discriminate on the basis of race, color, religion, sex, national origin, gender, sexual orientation, age, disability, veteran status, or any other legally protected status.**</t>
        </is>
      </c>
    </row>
    <row r="26">
      <c r="A26" t="inlineStr">
        <is>
          <t>li-4369338152</t>
        </is>
      </c>
      <c r="B26" t="inlineStr">
        <is>
          <t>Software Engineer II (Remote)</t>
        </is>
      </c>
      <c r="C26" t="inlineStr">
        <is>
          <t>EmergeCore Networks</t>
        </is>
      </c>
      <c r="D26" t="inlineStr">
        <is>
          <t>linkedin</t>
        </is>
      </c>
      <c r="E26">
        <f>HYPERLINK("https://www.linkedin.com/jobs/view/4369338152", "https://www.linkedin.com/jobs/view/4369338152")</f>
        <v/>
      </c>
      <c r="F26" t="inlineStr"/>
      <c r="G26" t="inlineStr"/>
      <c r="H26" t="inlineStr"/>
      <c r="I26" t="inlineStr">
        <is>
          <t>American Specialty Health Incorporated is seeking a passionate and analytical individual looking to contribute his/her skills and leadership to the Software Engineering Team. The Software Engineer II will be responsible for analyzing, designing, developing and maintaining software applications using the latest Microsoft technologies with minimal supervision.
**Salary Range**
 American Specialty Health complies with state and federal wage and hour laws and compensation depends upon candidate’s qualifications, education, skill set, years of experience, and internal equity. $89,300 to $125,000 Full\-Time Annual Salary Range.
**Remote Worker Considerations**
 Candidates who are selected for this position will be trained remotely and must be able to work from home (WFH) in a designated work area with company\-provided technology equipment. This remote/WFH position requires you have a stable connection to your Internet Service Provider with the ability to participate by video in online meetings over a reliable and consistent network (minimum internet download of 50 Mbps and 10 Mbps upload speed. 100 down/20 up is recommended to support higher quality video meetings).
**Responsibilities**
* Design, development, maintenance, and troubleshooting of software applications
* Performs routine programming assignments under Manager’s supervision
* Develops an understanding of assigned application and internal customer area, standards and techniques, and general business knowledge
* Demonstrates understanding of departmental procedures, programming standards, and all pertinent training materials
* Unit testing as applicable
* Providing time estimates of assigned tasks and compare estimates to actual time spent in order to improve estimating accuracy
* Recommends possible improvements in applications
* Work independently with minimal supervision
* Mentor junior programmers
* Properly refactor legacy components as needed
* Communicate directly with product owner and end users
**Qualifications**
* Bachelor’s degree in an IT, computer, or technical related field or equivalent experience. High school diploma required.
* Minimum of 2 years of progressive experience performing computer programming with experience in ASP.Net, VB.Net, C\#, SQL
* Experience with web development programming in a client/server setup required.
* Experience with relational database design, writing queries and stored procedures with MySQL or Microsoft SQL required.
* Exceeds expectations of a programmer with demonstrated proficiency in coding.
* Experience with Object Oriented Analysis and Development within large enterprise level applications required.
* Experience with development and consumption of web services preferred
* Experience with XSLT, XML required
* HTTP, C\#, SQL optimization experience
**Core Competencies**
* Demonstrated ability to interact in a positive, respectful manner and establish and maintain cooperative working relationships.
* Ability to display excellent customer service to meet the needs and expectations of both internal and external customers.
* Excellent listening and interpersonal communication skills to identify critical core competencies based on success factors and organizational environment.
* Ability to effectively organize, prioritize, multi\-task and manage time.
* Demonstrated accuracy and productivity in a changing environment with constant interruptions.
* Demonstrated ability to analyze information, problems, issues, situations and procedures to develop effective solutions.
* Ability to exercise strict confidentiality in all matters.
**Mobility**
 Primarily sedentary, able to sit for long periods of time.
**Physical Requirements**
 Ability to speak, see and hear other personnel and/or objects. Ability to communicate both in verbal and written form. Ability to travel within the facility. Capable of using a telephone and computer keyboard. Ability to lift up to 10 lbs.
**Environmental Conditions**
 Work\-from\-home (WFH) environment.
**American** 
**Specialty Health is an Equal Opportunity/Affirmative Action Employer.**
 All qualified applicants will receive consideration for employment without regard to sex (including pregnancy, childbirth, related medical conditions, breastfeeding, and reproductive health decision\-making), gender, gender identity, gender expression, race, color, religion (including religious dress and grooming practices), creed, national origin, citizenship, ancestry, physical or mental disability, legally\-protected medical condition, marital status, age, sexual orientation, genetic information, military or veteran status, political affiliation, or any other basis protected by applicable local, federal or state law.
 Please view Equal Employment Opportunity Posters provided by OFCCP here.
 If you are a qualified individual with a disability or a disabled veteran, you have the right to request an accommodation if you are unable or limited in your ability to use or access our career center as a result of your disability. To request an accommodation, contact our Human Resources Department at (800\) 848\-3555 x6702\.
 ASH will not discharge or in any other manner discriminate against employees or applicants because they have inquired about, discussed, or disclosed their own pay or the pay of another employee or applicant. However, employees who have access to the compensation information of other employees or applicants as a part of their essential job functions cannot disclose the pay of other employees or applicants to individuals who do not otherwise have access to compensation information, unless the disclosure is (a) in response to a formal complaint or charge, (b) in furtherance of an investigation, proceeding, hearing, or action, including an investigation conducted by the employer, or (c) consistent with the Company’s legal duty to furnish information.
 \#Software \#Engineer \#ASP.Net \#VB.Net \#SQL \#Heakthcare \#Tech</t>
        </is>
      </c>
    </row>
    <row r="27">
      <c r="A27" t="inlineStr">
        <is>
          <t>li-4369331986</t>
        </is>
      </c>
      <c r="B27" t="inlineStr">
        <is>
          <t>Software Engineer, Frontend</t>
        </is>
      </c>
      <c r="C27" t="inlineStr">
        <is>
          <t>Just Appraised</t>
        </is>
      </c>
      <c r="D27" t="inlineStr">
        <is>
          <t>linkedin</t>
        </is>
      </c>
      <c r="E27">
        <f>HYPERLINK("https://www.linkedin.com/jobs/view/4369331986", "https://www.linkedin.com/jobs/view/4369331986")</f>
        <v/>
      </c>
      <c r="F27" t="inlineStr"/>
      <c r="G27" t="inlineStr"/>
      <c r="H27" t="inlineStr"/>
      <c r="I27" t="inlineStr">
        <is>
          <t>Just Appraised is modernizing local government processes related to real estate and property taxes. Our cutting\-edge, AI\-powered software, which leverages Natural Language Processing (NLP), replaces manual data entry to eliminate delays, backlogs, and errors. With over 120 government entities in 25 states relying on us, your work will directly help drive essential revenues and provide critical services to society.
 We are seeking a
 ****Software Engineer****
 (frontend\-focused) who is passionate about crafting exceptional user experiences and building consistent, scalable interfaces across our product suite. You'll be someone who thrives on transforming complex requirements into intuitive, user\-centered designs while maintaining high standards for code quality and architectural consistency.
 In this role, you'll be responsible for UI design and development, working end\-to\-end from initial concept through deployment. You'll be instrumental in establishing and maintaining our design system standards and ensuring seamless user experiences across multiple applications while following established coding practices.
 You'll collaborate with a supportive, remote\-first team that values autonomy, creativity, and measurable impact. This position is perfect for someone who gets energized by engineering modern interfaces and enjoys solving complex UX challenges.
**What You Will Work On**
* Frontend Development: Build and enhance our React/TypeScript applications with a focus on writing clean, modular, and maintainable code that follows our established coding standards and best practices
* User Experience Design: Transform complex business requirements into intuitive, accessible user interfaces that prioritize user needs and create seamless experiences across our product ecosystem
* Interface Standardization: Ensuring consistent UI patterns, styling, and interactions across multiple applications and product lines
* Code Quality \&amp; Architecture: Champion code modularity and long\-term maintainability through thoughtful component design and proper abstraction layers
* Performance \&amp; Quality Assurance: Optimize frontend performance, implement responsive designs, and ensure robust testing coverage to deliver reliable, bug\-free user experiences
**What We’re Looking For**
* An intermediate engineer with 3\+ years of frontend development experience in React/TypeScript, component architecture, and user experience design
* Comfortable diving into existing codebases to understand how interfaces work and how to improve them effectively
* Experience with design systems and component libraries (we use Ant Design)
* Strong understanding of RESTful APIs and how frontend interfaces should consume and display backend data effectively
* Curious, resourceful, and energized by staying current with modern UI/UX patterns, and frontend best practices
* User\-oriented, motivated by creating meaningful experiences and the satisfaction of solving real usability challenges that impact how people work
* Eye for visual design and attention to UI/UX details
* Commitment to writing clean, maintainable code that follows team standards
* A lifelong learner who actively shares knowledge, mentors teammates, and contributes to our collective growth through code reviews and technical discussions
* Competitive research mindset with the ability to analyze competitor interfaces, identify UX gaps and opportunities, and translate insights into innovative solutions that give our users a superior experience
* Proficient at leveraging AI tools and modern development assistants to accelerate development workflows, generate code efficiently, and explore creative solutions while maintaining code quality and team standards
**Preferred Qualifications**
* Proficiency with React Query (TanStack Query) for data fetching, caching, and state management in complex applications
* Familiarity with API design principles and the ability to collaborate with backend teams on API structure to optimize frontend implementation</t>
        </is>
      </c>
    </row>
    <row r="28">
      <c r="A28" t="inlineStr">
        <is>
          <t>li-4362830400</t>
        </is>
      </c>
      <c r="B28" t="inlineStr">
        <is>
          <t>Software Engineer</t>
        </is>
      </c>
      <c r="C28" t="inlineStr">
        <is>
          <t>Microsoft</t>
        </is>
      </c>
      <c r="D28" t="inlineStr">
        <is>
          <t>linkedin</t>
        </is>
      </c>
      <c r="E28">
        <f>HYPERLINK("https://www.linkedin.com/jobs/view/4362830400", "https://www.linkedin.com/jobs/view/4362830400")</f>
        <v/>
      </c>
      <c r="F28" t="inlineStr"/>
      <c r="G28" t="inlineStr">
        <is>
          <t>Redmond, WA</t>
        </is>
      </c>
      <c r="H28" t="inlineStr"/>
      <c r="I28" t="inlineStr">
        <is>
          <t>**Overview**
 Come build community, explore your passions and do your best work at Microsoft. This opportunity will allow you to bring your aspirations, talent, potential \- and excitement for the journey ahead.
 We’re a company of learn\-it\-alls rather than know\-it\-alls and our culture is centered around embracing a growth mindset, a theme of inspiring excellence, and encouraging teams and leaders to bring their best each day. Does this sound like you? Learn more about our cultural attributes.
 As a Software Engineer focused on security you will develop software, tools and code to be used in support of design, infrastructure, and technology platforms as well as commercial or end\-user applications. You will help ensure the software, tools, and code meets the highest standards for security. This opportunity will allow you to create and implement secure and maintainable code for a product, service, or feature. You will partner with stakeholders to determine user requirements for a feature and consider a variety of feedback channels to incorporate insights into future designs or solution fixes. You will collaborate with others to create a clear and articulated plan for testing, assuring quality of solutions, while applying knowledge of debugging tools, logs, telemetry, and other methods to proactively flag issues. This opportunity will allow you to learn about customer scaling requirements and the application of best practices for meeting scaling needs and performance expectations, while ensuring the correct processes are followed to achieve a high degree of security, privacy, safety, and accessibility. You will look for opportunities to raise the security bar as you apply Microsoft’s security policies and best practices.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Learns to review and break down work items into tasks with stakeholder collaboration, provide estimations, and escalate delays, while also supporting feature deployments to customers, considering user and service impacts, and adhering to best deployment practices for safety.
* Collaborates with key stakeholders to define feature requirements, integrates feedback to enhance design, and establishes feedback loops for continuous improvement based on customer metrics.
* Evaluates AI technologies (such as LLMs, SLMs, embeddings) and architectures (such as orchestration patterns, RAG, etc) when developing solutions. Specifies or implements AI platform improvements like fine\-tuning or training custom ML models.
* Learns and applies coding standards and best practices through code reviews, developing maintainable and extensible code with guidance. Utilizes debugging tools to proactively and reactively address issues in product features, ensuring code quality and reliability.
* Supports the identification of dependencies and design documentation for product features, learns about system interactions and back\-end dependencies, and contributes to architectural processes under guidance. Produces code to test hypotheses for technical solutions and assist with technical validation efforts. Collaborates on quality assurance plans, augments test cases, and integrates automation into testing, while understanding the implications of security and compliance in system architecture.
* Contributes to data analysis and feedback integration for product engineering decisions, acting as a Designated Responsible Individual (DRI) for monitoring and restoring system functionality within Service Level Agreement (SLA) timeframe. Participates in live service operations, and supports telemetry data integration for system behavior insights, with a focus on performance, reliability, and safety.
* Develops and applies best practices for reliable code building, understands global and local regulations, customer scaling requirements, and support communication with key partners across Microsoft for user experience enhancement and partner needs.
* Ensures compliance with security, privacy, safety, and accessibility standards, leverages developer tools for code creation and debugging, contributes to automation in production and deployment, and proactively seeks knowledge to improve product availability, reliability, efficiency, and performance at scale.
* Understands and applies Microsoft’s responsible AI practices to ensure systems meet our commitments to our customers.
**Qualifications**
**Required Qualifications**
* Bachelor's Degree in Computer Science, or related technical discipline with proven experience coding in languages including, but not limited to, C, C\+\+, C\#, Java, JavaScript, or Python OR equivalent experience.
**Other Requirements**
*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Bachelor's Degree in Computer Science or related technical field AND 1\+ year(s) technical engineering experience with coding in languages including, but not limited to, C, C\+\+, C\#, Java, JavaScript, or Python OR equivalent experience.
+ OR Master's Degree (or currently pursuing a degree) in Computer Science or related technical field with proven experience coding in languages including, but not limited to, C, C\+\+, C\#, Java, JavaScript, or Python.
* Demonstrated interest in/experience with AI/ML technologies.
 \#EiP \#IC2SWE
 Software Engineering IC2 \- The typical base pay range for this role across the U.S. is USD $84,200 \- $165,200 per year. There is a different range applicable to specific work locations, within the San Francisco Bay area and New York City metropolitan area, and the base pay range for this role in those locations is USD $109,000 \- $180,400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29">
      <c r="A29" t="inlineStr">
        <is>
          <t>li-4360585933</t>
        </is>
      </c>
      <c r="B29" t="inlineStr">
        <is>
          <t>Software Engineer - Fulfillment Shopping &amp; Ordering</t>
        </is>
      </c>
      <c r="C29" t="inlineStr">
        <is>
          <t>Uber</t>
        </is>
      </c>
      <c r="D29" t="inlineStr">
        <is>
          <t>linkedin</t>
        </is>
      </c>
      <c r="E29">
        <f>HYPERLINK("https://www.linkedin.com/jobs/view/4360585933", "https://www.linkedin.com/jobs/view/4360585933")</f>
        <v/>
      </c>
      <c r="F29" t="inlineStr"/>
      <c r="G29" t="inlineStr">
        <is>
          <t>Sunnyvale, CA</t>
        </is>
      </c>
      <c r="H29" t="inlineStr"/>
      <c r="I29" t="inlineStr">
        <is>
          <t>**About The Role**
 The Fulfillment platform is the foundation powering the logistics behind fulfilling user orders from any Uber app. It operates life cycles of orders, trips, drivers, eaters, and other user sessions when they interact with Uber. These interactions are real\-time and high\-scale when millions of concurrent riders, drivers, and eaters are using Uber. We support both Uber Rider businesses (pool, airports, hourly rentals, intercity trips, reservations, package delivery, uber health) and Uber Delivery businesses (groceries, uber eats, delivery API).
 Our tech challenges are in both the business layer (data modeling of complex products, building reusable higher order business APIs to share across products) and the Infrastructure layer (storing high write \&amp; transient data, language framework, search \&amp; ranking, events \&amp; data streaming systems)
 We are looking for a Software Engineer for the Fulfillment Shopping team to help build our next generation of product discovery, planning, and order checkout platforms. Over the next few years, this team will be innovating with new offerings like car rentals, third\-party drivers, package deliveries, and reenvisioning the entire shopping and checkout flow for Uber. This is a high\-impact role where you will partner with Engineering, Product, and Ops leaders across the company to launch new products as well as improve the overall efficiency of the marketplace.
 You can get a glimpse of the work we do in Fulfillment
* https://eng.uber.com/fulfillment\-platform\-rearchitecture/
* https://eng.uber.com/building\-ubers\-fulfillment\-platform/
 \-\-\-\- What the Candidate Will Do \-\-\-\-
* Collaborate in a team environment with significant ownership and autonomy over projects.
* Work on the next phase of fulfillment and product lines for our 1P, 3P, and SaaS customers, addressing significant organizational\-level challenges that impact Uber's operations.
* Design, develop and deliver high\-quality features promptly with accountability.
* Partner with engineering managers, product managers, and other engineering teams to define project requirements and execution plans.
* Ensure that system designs, including APIs, architecture, and dependency selection, result in scalable, resilient solutions that minimize support costs and enhance the partner experience.
**Basic Qualifications**
* A Bachelor's Degree in Computer Science or a related field (or equivalent experience).
* At least 3\+ years of professional experience in software development.
* Strong understanding of computer science fundamentals, including object\-oriented design, data structures, algorithm design, problem\-solving, and complexity analysis.
* Proficient in at least one programming language, such as Golang, Java, C\#, or C\+\+.
* Experience working with distributed systems.
* Effective communication skills to interact with engineers, technical teams, and senior management to gather requirements, and describe software product features, technical designs, and product strategy.
**Preferred Qualifications**
* MS / Ph.D. in Computer Science or related field.
* Experience managing production systems with a strong availability SLA.
* Knowledgeable in software engineering best practices throughout the entire software development life cycle, including coding standards, code reviews, source control management, build processes, testing, and operations.
* Experience working with large\-scale distributed systems
 For San Francisco, CA\-based roles: The base salary range for this role is USD$171,000 per year \- USD$190,000 per year. For Sunnyvale, CA\-based roles: The base salary range for this role is USD$171,000 per year \- USD$190,000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 For San Francisco, CA\-based roles: The base salary range for this role is USD$171,000 per year \- USD$190,000 per year. For Sunnyvale, CA\-based roles: The base salary range for this role is USD$171,000 per year \- USD$190,000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30">
      <c r="A30" t="inlineStr">
        <is>
          <t>li-4353652203</t>
        </is>
      </c>
      <c r="B30" t="inlineStr">
        <is>
          <t>Sr Software Engineer</t>
        </is>
      </c>
      <c r="C30" t="inlineStr">
        <is>
          <t>Venmo</t>
        </is>
      </c>
      <c r="D30" t="inlineStr">
        <is>
          <t>linkedin</t>
        </is>
      </c>
      <c r="E30">
        <f>HYPERLINK("https://www.linkedin.com/jobs/view/4353652203", "https://www.linkedin.com/jobs/view/4353652203")</f>
        <v/>
      </c>
      <c r="F30" t="inlineStr"/>
      <c r="G30" t="inlineStr">
        <is>
          <t>San Jose, CA</t>
        </is>
      </c>
      <c r="H30" t="inlineStr"/>
      <c r="I30" t="inlineStr">
        <is>
          <t>**The Company**
 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
 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
 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
 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
**Job Description Summary:**
 This job delivers complete solutions spanning all phases of the Software Development Lifecycle (SDLC). It involves advising management on project\-level issues, guiding junior engineers, operating with little supervision, and applying knowledge of technical best practices.
**Job Description:**
**Essential Responsibilities:**
* Delivers complete solutions spanning all phases of the Software Development Lifecycle (SDLC) (design, implementation, testing, delivery and operations), based on definitions from more senior roles.
* Advises immediate management on project\-level issues
* Guides junior engineers
* Operates with little day\-to\-day supervision, making technical decisions based on knowledge of internal conventions and industry best practices
* Applies knowledge of technical best practices in making decisions
**Expected Qualifications:**
* 3\+ years relevant experience and a Bachelor’s degree OR Any equivalent combination of education and experience.
**Additional Responsibilities And Preferred Qualifications**
**Engineering at Venmo**
 At Venmo, we are creating a product that people love. We strive to create a delightful user experience while connecting the world and empowering people through payments. We are looking for intellectually curious people who want to be inspired and inspire others to change the world.
 Engineering is a craft, and at Venmo we want the internals of our software to be as elegant as the end user experience we are designing. We spend our days scaling our infrastructure and building new features to meet and exceed our users’ needs and wants. We work with a product team that is data\-driven and human\-centered in its design principles. We teach and learn from one another and push each other to be at our creative and analytical bests.
**Job Description: Cloud/DevOps Engineer**
 Our team is dedicated to ensuring the seamless operation of all user\-facing services, as well as production and development systems. We manage Venmo’s infrastructure comprehensively, encompassing operations, automation, security, compliance, and release engineering. While we are focused on Cloud Engineering, our work integrates elements of Site Reliability Engineering (SRE) and DevOps projects as well. On the DevOps front, we oversee CI/CD infrastructure, develop smart and secure pipelines, implement self\-service secret management systems, create development environments, and establish microservices scaffolding and testing frameworks. The quality of the systems we build is paramount to the company, and we prioritize it highly. Our infrastructure must be delivered automatically, thoroughly tested, and scanned for vulnerabilities through synthetic tests.
 As a Senior Engineer, you will deliver complete solutions spanning all phases of the Software Development Lifecycle (SDLC). It involves advising management on project\-level issues, guiding junior engineers, operating with little supervision, and applying knowledge of technical best practices. You are a hands\-on contributor that teaches by example and mentors other engineers and product owners on how to improve their development, using our systems, by driving best practices. We have a lot of independence in our decisions, but we are kept accountable for the results.
 Our technical stack: AWS, EKS, Docker, GitHub Enterprise, Terraform, GitHub Actions, DataDog, Bash, Python, Go.
**What You’ll Do**
* Act as a hands\-on contributor, while leading by example
* Mentor junior engineers
* Enjoy a high degree of independence in decision\-making while being accountable for results of yourself and your team
* Be part of a team dedicated to driving the scalability and reliability of Venmo’s AWS cloud infrastructure
* Contribute to initiatives: internal teams rarely have dedicated project managers. You will define the design, identify stakeholders, navigate risks and changes, coordinate colleagues' work, implement solutions, and be accountable for timely and quality project delivery.
* Troubleshoot incidents, identify root causes, fix and document problems, and implement preventive measures.
* Leading by example, making meaningful contributions to the improvement of engineering teams’ production operations.
* Develop and improve tools and automation to manage infrastructure and application configuration as code.
* Enhance the quality, reliability, and stability of our infrastructure and operations.
**What We’re Looking For**
* Bachelor's in computer science or related field of study
* 5\+ years' experience in software development or a related field
* 3\+ years' experience operating distributed applications 24x7x365, as part of a Cloud Engineering, DevOps, and/or SRE team.
* Extensive hands\-on experience with designing, implementing and supporting infrastructure (AWS experience preferred) to support global\-scale services
* Deep hands\-on experience with IaaS and PaaS solutions from AWS (or similar cloud provider)
* Hands\-on programming and scripting (Python, Java, Bash, Go)
* Hands\-on experience with containers \&amp; container orchestration: Docker, Kubernetes
* Strong communication skills with the ability to understand and explain technical issues to a non\-technical audience
 The base pay for this role will depend on where you work and the relevant experience and expertise you bring. The expected range of pay for this role by location is:
**Primary Location : Pay Range:**
 San Jose, California : ($143,500\.00 \- $212,850\.00 Annually)
**Additional Location(s) : Pay Range:**
 Austin, Texas : ($130,500\.00 \- $193,600\.00 Annually)
 Scottsdale, Arizona : ($123,500\.00 \- $183,700\.00 Annually)
 Additional compensation for this role may include an annual performance bonus, equity, or other incentive compensation, as applicable.
 PayPal does not charge candidates any fees for courses, applications, resume reviews, interviews, background checks, or onboarding. Any such request is a red flag and likely part of a scam. To learn more about how to identify and avoid recruitment fraud please visit https://careers.pypl.com/contact\-us.
 For the majority of employees, PayPal's balanced hybrid work model offers 3 days in the office for effective in\-person collaboration and 2 days at your choice of either the PayPal office or your home workspace, ensuring that you equally have the benefits and conveniences of both locations.
**Our Benefits:**
 At PayPal, we’re committed to building an equitable and inclusive global economy. And we can’t do this without our most important asset\-you. That’s why we offer benefits to help you thrive in every stage of life. We champion your financial, physical, and mental health by offering valuable benefits and resources to help you care for the whole you.
 We have great benefits including a flexible work environment, employee shares options, health and life insurance and more. To learn more about our benefits please visit https://www.paypalbenefits.com
**Who We Are:**
 To learn more about our culture and community visit https://about.pypl.com/who\-we\-are/default.aspx
**Commitment to Diversity and Inclusion**
 PayPal provides equal employment opportunity (EEO) to all persons regardless of age, color, national origin, citizenship status, physical or mental disability, race, religion, creed, gender, sex, pregnancy, sexual orientation, gender identity and/or expression, genetic information, marital status, status with regard to public assistance, veteran status, or any other characteristic protected by federal, state, or local law. In addition, PayPal will provide reasonable accommodations for qualified individuals with disabilities. If you are unable to submit an application because of incompatible assistive technology or a disability, please contact us at paypalglobaltalentacquisition@paypal.com.
**Belonging at PayPal:**
 Our employees are central to advancing our mission, and we strive to create an environment where everyone can do their best work with a sense of purpose and belonging. Belonging at PayPal means creating a workplace with a sense of acceptance and security where all employees feel included and valued. We are proud to have a diverse workforce reflective of the merchants, consumers, and communities that we serve, and we continue to take tangible actions to cultivate inclusivity and belonging at PayPal.
 Any general requests for consideration of your skills, please Join our Talent Community.
 We know the confidence gap and imposter syndrome can get in the way of meeting spectacular candidates. Please don’t hesitate to apply.
 REQ ID R0134054</t>
        </is>
      </c>
    </row>
    <row r="31">
      <c r="A31" t="inlineStr">
        <is>
          <t>li-4369361300</t>
        </is>
      </c>
      <c r="B31" t="inlineStr">
        <is>
          <t>Founding Software Engineer</t>
        </is>
      </c>
      <c r="C31" t="inlineStr">
        <is>
          <t>Reval</t>
        </is>
      </c>
      <c r="D31" t="inlineStr">
        <is>
          <t>linkedin</t>
        </is>
      </c>
      <c r="E31">
        <f>HYPERLINK("https://www.linkedin.com/jobs/view/4369361300", "https://www.linkedin.com/jobs/view/4369361300")</f>
        <v/>
      </c>
      <c r="F31" t="inlineStr"/>
      <c r="G31" t="inlineStr"/>
      <c r="H31" t="inlineStr"/>
      <c r="I31" t="inlineStr">
        <is>
          <t>**This is a role posted by Reval Recruiting on behalf of a client** 
**Founding Software Engineer** 
**Location** 
 : San Francisco, CA, US (In\-Person)
**This role is posted on behalf of the following client** 
 : A fast\-growing, venture\-backed startup building next\-generation software for internal audit teams. The company is developing AI\-powered systems that automate complex, real\-world workflows and is led by experienced operators who have previously built and scaled products at early\-stage, high\-growth companies.
**Role Overview** 
 This is an early, high\-ownership engineering role focused on building the core agentic engine of a production AI platform. The Founding Software Engineer will work directly with the founders and CTO to design, implement, and ship reliable AI\-driven workflows that perform end\-to\-end audit work for real customers. This role emphasizes practical engineering, system design, and product impact rather than research or model tuning.
**What You'll Do** 
* Design and build production\-grade AI agent workflows that plan, execute, and verify complex real\-world tasks.
* Collaborate closely with founders to shape core product architecture and define best practices for agentic software systems.
* Ship features end to end, working directly with users and iterating quickly based on real customer feedback.
**Who You Are** 
* 3\+ years of professional software engineering experience, with strong backend fundamentals.
* Comfortable working in ambiguous, early\-stage environments with high ownership and responsibility.
* Experienced with Python and relational databases (PostgreSQL or similar), and interested in building applied AI systems.
**Compensation** 
* Salary: $120,000 – $200,000
* Equity: 0\.50% – 2\.00%</t>
        </is>
      </c>
    </row>
    <row r="32">
      <c r="A32" t="inlineStr">
        <is>
          <t>li-4360538827</t>
        </is>
      </c>
      <c r="B32" t="inlineStr">
        <is>
          <t>Backend Engineer, RCM Core</t>
        </is>
      </c>
      <c r="C32" t="inlineStr">
        <is>
          <t>Athelas</t>
        </is>
      </c>
      <c r="D32" t="inlineStr">
        <is>
          <t>linkedin</t>
        </is>
      </c>
      <c r="E32">
        <f>HYPERLINK("https://www.linkedin.com/jobs/view/4360538827", "https://www.linkedin.com/jobs/view/4360538827")</f>
        <v/>
      </c>
      <c r="F32">
        <f>HYPERLINK("https://jobs.ashbyhq.com/Commure/4f90cc05-3978-40c7-8f39-80aab6d134c2/application?utm_source=PendwzoYyV&amp;urlHash=LMnO", "https://jobs.ashbyhq.com/Commure/4f90cc05-3978-40c7-8f39-80aab6d134c2/application?utm_source=PendwzoYyV&amp;urlHash=LMnO")</f>
        <v/>
      </c>
      <c r="G32" t="inlineStr">
        <is>
          <t>Mountain View, CA</t>
        </is>
      </c>
      <c r="H32" t="inlineStr"/>
      <c r="I32" t="inlineStr">
        <is>
          <t>At Commure, our mission is to simplify healthcare. We have bold ambitions to reimagine the healthcare experience, setting a new standard for how care is delivered and experienced across the industry. Our growing suite of AI solutions spans ambient AI clinical documentation, provider copilots, autonomous coding, revenue cycle management and more — all designed for providers \&amp; administrators to focus on what matters most: providing care.
 Healthcare is a $4\.5 trillion industry with more than $500 billion spent annually on administrative costs, and Commure is at the heart of transforming it. We power over 500,000 clinicians across hundreds of care sites nationwide – more than $10 billion flows through our systems and we support over 100 million patient interactions. With new product launches on the horizon, expansion into additional care segments, and a bold vision to tackle healthcare's most pressing challenges, our ambition is to move from upstart innovator to the industry standard over the next few years.
 Commure was recently named to Fortune’s Future 50 list for 2025 and is backed by world\-class investors including General Catalyst, Sequoia, Y Combinator, Lux, Human Capital, 8VC, Greenoaks Capital, Elad Gil, and more. Commure has achieved over 300% year\-over\-year growth for the past two years and this is only the beginning. Healthcare's moment for AI\-powered transformation is here, and we're building the technology to power it. Come join us in shaping the future of healthcare.
**About The Role**
 At Commure, our Revenue Cycle Management (RCM) team is at the forefront of revolutionizing healthcare technology by building innovative digital systems that empower healthcare providers with accurate, efficient, and real\-time access to patient data. We're looking for talented Backend Engineers to help us build our health\-tech products. If you love working on important, exciting problems in healthcare and love shipping quickly, come join us!
**This full\-time position requires working 3\-5 days a week in our Mountain View or San Francisco, CA office.**
**What You’ll Do**
* Contribute to the most advanced billing platform in the country
* Build end\-to\-end products to revolutionize revenue cycle management for providers and administrators
* Be a part of a tremendously fast\-paced team that celebrates fast execution and decisions
* Work across the entire software stack
* Work with a stack that includes Python, Flask, Django, FastAPIs and other frameworks
* Work directly with customers to solve their issues daily
**What You Have**
* Bachelor’s or Master’s degree in Computer Science, Engineering, or a related field, or equivalent extensive experience
* 3\+ years of full time professional software development industry experience
* \[Preferred] Strong Backend Programming Skills (Must be comfortable with Python)
* \[Preferred] Experience in environments where you have to ship quickly. We move fast.
* General Understanding of Containers and Cloud (Docker, Kubernetes)
* Excitement to work in a high impact field with a builder attitude!
* Experience building production environments
+ Alerting and reporting
+ Metrics tracking
+ Software reliability engineering
+ Great product sense
* Attention to detail around user experience and customer needs
* Extremely motivated to grow
* Strong leadership skills
 Commure is committed to creating and fostering a diverse team. We are open to all backgrounds and levels of experience, and believe that great people can always find a place. We are committed to providing reasonable accommodations to all applicants throughout the application process.
 Please be aware that all official communication from us will come exclusively from email addresses ending in
 **@** 
**getathelas.com** 
 ,
 **@** 
**commure.com** 
 or
 **@** 
**augmedix.com** 
 . Any emails from other domains are not affiliated with our organization.
 Employees will act in accordance with the organization’s information security policies, to include but not limited to protecting assets from unauthorized access, disclosure, modification, destruction or interference nor execute particular security processes or activities. Employees will report to the information security office any confirmed or potential events or other risks to the organization. Employees will be required to attest to these requirements upon hire and on an annual basis.
 Compensation Range: $115K \- $175K</t>
        </is>
      </c>
    </row>
    <row r="33">
      <c r="A33" t="inlineStr">
        <is>
          <t>li-4360538830</t>
        </is>
      </c>
      <c r="B33" t="inlineStr">
        <is>
          <t>Senior Backend Engineer</t>
        </is>
      </c>
      <c r="C33" t="inlineStr">
        <is>
          <t>August</t>
        </is>
      </c>
      <c r="D33" t="inlineStr">
        <is>
          <t>linkedin</t>
        </is>
      </c>
      <c r="E33">
        <f>HYPERLINK("https://www.linkedin.com/jobs/view/4360538830", "https://www.linkedin.com/jobs/view/4360538830")</f>
        <v/>
      </c>
      <c r="F33">
        <f>HYPERLINK("https://jobs.ashbyhq.com/august/adb2cc58-4efb-49af-9441-ea2cc16239c6/application?utm_source=A7N21OwEVm&amp;urlHash=yJgn", "https://jobs.ashbyhq.com/august/adb2cc58-4efb-49af-9441-ea2cc16239c6/application?utm_source=A7N21OwEVm&amp;urlHash=yJgn")</f>
        <v/>
      </c>
      <c r="G33" t="inlineStr">
        <is>
          <t>New York, NY</t>
        </is>
      </c>
      <c r="H33" t="inlineStr"/>
      <c r="I33" t="inlineStr">
        <is>
          <t>At
 **August** 
 , we’re building AI designed for one thing: helping law firms practice better. Unlike tools built for the AmLaw 100, our focus is on midsized firms — where efficiency, client service, and competitive advantage matter most.
 Our platform helps lawyers draft, review, and analyze documents at scale, turning what used to take hours into minutes. We’re trusted by forward\-thinking firms across the U.S., Australia, and Asia, and backed by leading investors (NEA, Pear VC, Stanford Law) to grow globally.
 We move quickly, learn directly from clients, and believe that AI is transforming the practice of law.
**The Opportunity**
 August is building AGI for law. Our agents mimic a lawyers’ reasoning, research, and drafting, and our workflows already outperform lawyers in third\-party evaluations. We’re targeting mid\-market law firms, automating their legal work and allowing them to provide our tools directly to their clients. Join August at an early stage as we scale our agents to process thousands of documents simultaneously and create outputs exceeding human\-level accuracy.
 As a
 **Senior Backend Engineer** 
 at August, you will design and scale production\-grade agents that perform legal tasks with expert\-level reasoning. You’ll work closely with the founders, legal experts, and product team to deploy AI systems in high\-stakes workflows used by real lawyers across the globe.
**What You'll Do**
* Build and deploy agentic systems using Python to automate, evaluate, and scale end\-to\-end legal workflows
* Zero\-to\-one product development: rapidly prototype, evaluate, integrate, and test new product features in close partnership with our customers and legal team.
* Develop new AI native workflows: implement streaming, long\-running tasks, procedural UX, etc. for new AI tasks, finding the balance between state\-of\-the\-art and pragmatism.
**About You**
* 5\+ years of experience building products, either in grad school or in production environments; strong Python skills
* Demonstrated ability to ship quickly especially in early\-stage environments while building scalable enterprise software
* Grit \- experience working at early\-stage startups is a plus.
**Why Join August**
* Founding Impact: Shape not just your role but the company.
* Uncapped Upside: Competitive base \+ commission, early equity ownership.
* Top\-tier Team: Work alongside people who move fast, think clearly, and care deeply.
* Category\-Defining Work: Help build the first true AI agents for the legal profession.
* Fast Growth: Scale your career as we scale the company.
* Exceptional Early Traction: \&gt;4x revenue growth in the past four months.
* Global Reach: Our clients span 4 continents and use August in multiple languages and jurisdictions
* Frontier of Applied AI: August has access to proprietary data inaccessible to foundation model providers. We build agents to automate all challenging knowledge work.
* Strategic investors: Backed by NEA and exceptional seed investors Pear VC and Afore Capital, August has the capital to execute
 Compensation Range: $190K \- $315K</t>
        </is>
      </c>
    </row>
    <row r="34">
      <c r="A34" t="inlineStr">
        <is>
          <t>li-4353512162</t>
        </is>
      </c>
      <c r="B34" t="inlineStr">
        <is>
          <t>Sr Software Engineer</t>
        </is>
      </c>
      <c r="C34" t="inlineStr">
        <is>
          <t>Venmo</t>
        </is>
      </c>
      <c r="D34" t="inlineStr">
        <is>
          <t>linkedin</t>
        </is>
      </c>
      <c r="E34">
        <f>HYPERLINK("https://www.linkedin.com/jobs/view/4353512162", "https://www.linkedin.com/jobs/view/4353512162")</f>
        <v/>
      </c>
      <c r="F34" t="inlineStr"/>
      <c r="G34" t="inlineStr">
        <is>
          <t>Austin, TX</t>
        </is>
      </c>
      <c r="H34" t="inlineStr"/>
      <c r="I34" t="inlineStr">
        <is>
          <t>**The Company**
 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
 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
 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
 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
**Job Description Summary:**
 This job delivers complete solutions spanning all phases of the Software Development Lifecycle (SDLC). It involves advising management on project\-level issues, guiding junior engineers, operating with little supervision, and applying knowledge of technical best practices.
**Job Description:**
**Essential Responsibilities:**
* Delivers complete solutions spanning all phases of the Software Development Lifecycle (SDLC) (design, implementation, testing, delivery and operations), based on definitions from more senior roles.
* Advises immediate management on project\-level issues
* Guides junior engineers
* Operates with little day\-to\-day supervision, making technical decisions based on knowledge of internal conventions and industry best practices
* Applies knowledge of technical best practices in making decisions
**Expected Qualifications:**
* 3\+ years relevant experience and a Bachelor’s degree OR Any equivalent combination of education and experience.
**Additional Responsibilities And Preferred Qualifications**
**Engineering at Venmo**
 At Venmo, we are creating a product that people love. We strive to create a delightful user experience while connecting the world and empowering people through payments. We are looking for intellectually curious people who want to be inspired and inspire others to change the world.
 Engineering is a craft, and at Venmo we want the internals of our software to be as elegant as the end user experience we are designing. We spend our days scaling our infrastructure and building new features to meet and exceed our users’ needs and wants. We work with a product team that is data\-driven and human\-centered in its design principles. We teach and learn from one another and push each other to be at our creative and analytical bests.
**Job Description: Cloud/DevOps Engineer**
 Our team is dedicated to ensuring the seamless operation of all user\-facing services, as well as production and development systems. We manage Venmo’s infrastructure comprehensively, encompassing operations, automation, security, compliance, and release engineering. While we are focused on Cloud Engineering, our work integrates elements of Site Reliability Engineering (SRE) and DevOps projects as well. On the DevOps front, we oversee CI/CD infrastructure, develop smart and secure pipelines, implement self\-service secret management systems, create development environments, and establish microservices scaffolding and testing frameworks. The quality of the systems we build is paramount to the company, and we prioritize it highly. Our infrastructure must be delivered automatically, thoroughly tested, and scanned for vulnerabilities through synthetic tests.
 As a Senior Engineer, you will deliver complete solutions spanning all phases of the Software Development Lifecycle (SDLC). It involves advising management on project\-level issues, guiding junior engineers, operating with little supervision, and applying knowledge of technical best practices. You are a hands\-on contributor that teaches by example and mentors other engineers and product owners on how to improve their development, using our systems, by driving best practices. We have a lot of independence in our decisions, but we are kept accountable for the results.
 Our technical stack: AWS, EKS, Docker, GitHub Enterprise, Terraform, GitHub Actions, DataDog, Bash, Python, Go.
**What You’ll Do**
* Act as a hands\-on contributor, while leading by example
* Mentor junior engineers
* Enjoy a high degree of independence in decision\-making while being accountable for results of yourself and your team
* Be part of a team dedicated to driving the scalability and reliability of Venmo’s AWS cloud infrastructure
* Contribute to initiatives: internal teams rarely have dedicated project managers. You will define the design, identify stakeholders, navigate risks and changes, coordinate colleagues' work, implement solutions, and be accountable for timely and quality project delivery.
* Troubleshoot incidents, identify root causes, fix and document problems, and implement preventive measures.
* Leading by example, making meaningful contributions to the improvement of engineering teams’ production operations.
* Develop and improve tools and automation to manage infrastructure and application configuration as code.
* Enhance the quality, reliability, and stability of our infrastructure and operations.
**What We’re Looking For**
* Bachelor's in computer science or related field of study
* 5\+ years' experience in software development or a related field
* 3\+ years' experience operating distributed applications 24x7x365, as part of a Cloud Engineering, DevOps, and/or SRE team.
* Extensive hands\-on experience with designing, implementing and supporting infrastructure (AWS experience preferred) to support global\-scale services
* Deep hands\-on experience with IaaS and PaaS solutions from AWS (or similar cloud provider)
* Hands\-on programming and scripting (Python, Java, Bash, Go)
* Hands\-on experience with containers \&amp; container orchestration: Docker, Kubernetes
* Strong communication skills with the ability to understand and explain technical issues to a non\-technical audience
 The base pay for this role will depend on where you work and the relevant experience and expertise you bring. The expected range of pay for this role by location is:
**Primary Location : Pay Range:**
 San Jose, California : ($143,500\.00 \- $212,850\.00 Annually)
**Additional Location(s) : Pay Range:**
 Austin, Texas : ($130,500\.00 \- $193,600\.00 Annually)
 Scottsdale, Arizona : ($123,500\.00 \- $183,700\.00 Annually)
 Additional compensation for this role may include an annual performance bonus, equity, or other incentive compensation, as applicable.
 PayPal does not charge candidates any fees for courses, applications, resume reviews, interviews, background checks, or onboarding. Any such request is a red flag and likely part of a scam. To learn more about how to identify and avoid recruitment fraud please visit https://careers.pypl.com/contact\-us.
 For the majority of employees, PayPal's balanced hybrid work model offers 3 days in the office for effective in\-person collaboration and 2 days at your choice of either the PayPal office or your home workspace, ensuring that you equally have the benefits and conveniences of both locations.
**Our Benefits:**
 At PayPal, we’re committed to building an equitable and inclusive global economy. And we can’t do this without our most important asset\-you. That’s why we offer benefits to help you thrive in every stage of life. We champion your financial, physical, and mental health by offering valuable benefits and resources to help you care for the whole you.
 We have great benefits including a flexible work environment, employee shares options, health and life insurance and more. To learn more about our benefits please visit https://www.paypalbenefits.com
**Who We Are:**
 To learn more about our culture and community visit https://about.pypl.com/who\-we\-are/default.aspx
**Commitment to Diversity and Inclusion**
 PayPal provides equal employment opportunity (EEO) to all persons regardless of age, color, national origin, citizenship status, physical or mental disability, race, religion, creed, gender, sex, pregnancy, sexual orientation, gender identity and/or expression, genetic information, marital status, status with regard to public assistance, veteran status, or any other characteristic protected by federal, state, or local law. In addition, PayPal will provide reasonable accommodations for qualified individuals with disabilities. If you are unable to submit an application because of incompatible assistive technology or a disability, please contact us at paypalglobaltalentacquisition@paypal.com.
**Belonging at PayPal:**
 Our employees are central to advancing our mission, and we strive to create an environment where everyone can do their best work with a sense of purpose and belonging. Belonging at PayPal means creating a workplace with a sense of acceptance and security where all employees feel included and valued. We are proud to have a diverse workforce reflective of the merchants, consumers, and communities that we serve, and we continue to take tangible actions to cultivate inclusivity and belonging at PayPal.
 Any general requests for consideration of your skills, please Join our Talent Community.
 We know the confidence gap and imposter syndrome can get in the way of meeting spectacular candidates. Please don’t hesitate to apply.
 REQ ID R0134054</t>
        </is>
      </c>
    </row>
    <row r="35">
      <c r="A35" t="inlineStr">
        <is>
          <t>li-4363541483</t>
        </is>
      </c>
      <c r="B35" t="inlineStr">
        <is>
          <t>Senior Software Engineer (C# .Net)</t>
        </is>
      </c>
      <c r="C35" t="inlineStr">
        <is>
          <t>LPL Financial</t>
        </is>
      </c>
      <c r="D35" t="inlineStr">
        <is>
          <t>linkedin</t>
        </is>
      </c>
      <c r="E35">
        <f>HYPERLINK("https://www.linkedin.com/jobs/view/4363541483", "https://www.linkedin.com/jobs/view/4363541483")</f>
        <v/>
      </c>
      <c r="F35" t="inlineStr"/>
      <c r="G35" t="inlineStr">
        <is>
          <t>Austin, TX</t>
        </is>
      </c>
      <c r="H35" t="inlineStr"/>
      <c r="I35" t="inlineStr">
        <is>
          <t>**What if you could** 
 build a career where ambition meets innovation? At LPL Financial, we empower professionals to shape their success while helping clients pursue their financial goals with confidence.
 **What if you could** 
 have access to cutting\-edge resources, a collaborative environment, and the freedom to make an impact? If you're ready to take the next step, discover what’s possible with LPL Financial.
**Job Overview:**
 We are looking to hire a Senior Full Stack Developer in the Trading Technology organization responsible for building solutions that improve the scale and resiliency of our trading applications and improve the trading experience. This position will help solution business requirements and technology direction to support Product Roadmaps and LPL vision. This position will involve collaboration with business partners, Architects, Quality Assurance, Release Management, and the Change Control board to plan, design, develop and implement solutions for these needs. A successful candidate will have demonstrated experience delivering cloud\-based web applications and APIs utilizing modern AWS Cloud and microservice patterns.
**Responsibilities:**
* Design and develop scalable enterprise applications with expertise in full stack development in a cloud or on\-prem environment and in accordance with enterprise standards
* Participate in all phases of the software engineering life cycle, including architecture and code reviews
* Provide technical troubleshooting and advanced debugging support
* Evaluate new design proposals, investigate and recommend solutions and process improvements that deliver applications with high scalability and performance
* Assist with conceptual design and rough order of magnitude (ROM) level of effort estimations
* Ensure the necessary platform technical documentation is maintained in an appropriate manner
* Communicate with technical and non\-technical groups on a regular basis as part of agile ceremonies and product support
**What are we looking for?**
 We want strong collaborators who can deliver a world\-class client experience. We are looking for people who thrive in a fast\-paced environment, are client\-focused, team oriented, and are able to execute in a way that encourages creativity and continuous improvement.
**Requirements:**
* 6\+ years of hands\-on experience in full\-stack application development utilizing C\# .NET, Angular/JavaScript, REST APIs, and relational databases, with a strong emphasis on a test\-driven development (TDD) approach to ensure high\-quality software delivery.
* 6\+ years of experience with enterprise software development processes, including the ability to document software design through sequence diagrams, activity diagrams, and other visual aids, while effectively presenting findings in architecture board reviews.
* 6\+ years of experience in developing microservices and implementing API\-first design principles, along with a solid understanding of cloud patterns to enhance scalability and performance.
* 5\+ Years SQL server, PostgreSQL, DynamoDB, DocumentDB, etc.
* 5\+ years of experience with AWS technologies, showcasing hands\-on development expertise with AWS Lambda and Step Functions to build robust cloud\-based solutions (CloudFront, S3, API Gateway, Lambda, Fargate/EKS, DynamoDB)
**Core Competencies:**
* Excellent analytical and problem\-solving skills
* Knowledge in designing, refactoring, and unit testing
* Experience with Waterfall and Agile development process
* Excellent Communication and Coaching skills with demonstrated capacity to build consensus and empower developers to achieve independently.
**Preferences:**
* Trading and Finance domain experience
* Familiarity with API Management: Experience using SwaggerHub for effective API design and documentation, enhancing collaboration and integration across development teams.
* Cloud Transformation Expertise: Knowledge of cloud transformation strategies across major platforms, including AWS, Azure, and GCP, to drive scalable and efficient solutions.
* Understanding of DevSecOps Practices: Solid grasp of DevSecOps methodologies and best practices, ensuring security is integrated throughout the development lifecycle.
* Proficiency in Source Control and CI/CD: Familiarity with code source control systems, build processes, and continuous delivery practices to streamline development workflows and enhance software quality.
**Pay Range:**
 $106,125\-$176,875/year
 Actual base salary varies based on factors, including but not limited to, relevant skill, prior experience, education, base salary of internal peers, demonstrated performance, and geographic location. Additionally, LPL Total Rewards package is highly competitive, designed to support your success at work, at home, and at play – such as 401K matching, health benefits, employee stock options, paid time off, volunteer time off, and more. Your recruiter will be happy to discuss all that LPL has to offer!
**Company Overview:**
 LPL Financial Holdings Inc. (Nasdaq: LPLA) is among the fastest growing wealth management firms in the U.S. As a leader in the financial advisor\-mediated marketplace(6\) , LPL supports over 32,000 financial advisors and the wealth management practices of approximately 1,100 financial institutions, servicing and custodying approximately $2\.3 trillion in brokerage and advisory assets on behalf of approximately 8 million Americans. The firm provides a wide range of advisor affiliation models, investment solutions, fintech tools and practice management services, ensuring that advisors and institutions have the flexibility to choose the business model, services, and technology resources they need to run thriving businesses. For further information about LPL, please visit www.lpl.com.
 At LPL, independence means that advisors and institution leaders have the freedom they deserve to choose the business model, services, and technology resources that allow them to run a thriving business. They have the flexibility to do business their way. And they have the freedom to manage their client relationships, because they know their clients best. Simply put, we take care of our advisors and institutions, so they can take care of their clients.
 For further information about LPL, please visit www.lpl.com.
**Join LPL Financial: Where Your Potential Meets Opportunity**
 At LPL Financial, we believe that everyone deserves objective financial guidance. As the nation’s leading independent broker\-dealer, we offer an integrated platform of cutting\-edge technology, brokerage, and investment advisor services.
**Why LPL?**
* Innovative Environment: We foster creativity and growth, providing a supportive and responsive leadership team. Learn more about our leadership team here!
* Limitless Career Potential: Your career at LPL has no limits, only amazing potential. Learn more about our careers here!
* Unified Mission: We are one team on one mission—taking care of our advisors so they can take care of their clients. Learn more about our mission and values here!
* Impactful Work: Our size is just right for you to make a real impact. Learn more here!
* Commitment to Equality: We support workplace equality and embrace diverse perspectives and backgrounds. Learn more here!
* Community Focus: We care for our communities and encourage our employees to do the same. Learn more here!
* Benefits and Total Rewards: Our Total Rewards package goes beyond just compensation and insurance. It includes a mix of traditional and unique benefits, perks, and resources designed to enhance your life both at work and at home. Learn more here!
 Join the LPL team and help us make a difference by turning life’s aspirations into financial realities. Please log in or create an account to apply to this position. Principals only. EOE.
**Information on Interviews:**
 LPL will only communicate with a job applicant directly from an
 **@lplfinancial.com** 
 email address and will never conduct an interview online or in a chatroom forum. During an interview, LPL will not request any form of payment from the applicant, or information regarding an applicant’s bank or credit card. Should you have any questions regarding the application process, please contact LPL’s Human Resources Solutions Center at (855\) 575\-6947\.
 EAC12\.9\.25</t>
        </is>
      </c>
    </row>
    <row r="36">
      <c r="A36" t="inlineStr">
        <is>
          <t>li-4363631238</t>
        </is>
      </c>
      <c r="B36" t="inlineStr">
        <is>
          <t>Senior Software Engineer (C# .Net)</t>
        </is>
      </c>
      <c r="C36" t="inlineStr">
        <is>
          <t>LPL Financial</t>
        </is>
      </c>
      <c r="D36" t="inlineStr">
        <is>
          <t>linkedin</t>
        </is>
      </c>
      <c r="E36">
        <f>HYPERLINK("https://www.linkedin.com/jobs/view/4363631238", "https://www.linkedin.com/jobs/view/4363631238")</f>
        <v/>
      </c>
      <c r="F36">
        <f>HYPERLINK("https://lplfinancial.wd1.myworkdayjobs.com/External/job/Fort-MillCharlotte/Senior-Software-Engineer\u002d\u002dC\u002d\u002dNet-_R-048332-1?source=rd_linkedin_jobposting&amp;utm_source=linkedin.com&amp;utm_medium=job_posting&amp;utm_campaign=Annual_Media&amp;utm_content=social_media&amp;utm_term=331367885&amp;ss=paid&amp;urlHash=wjhB", "https://lplfinancial.wd1.myworkdayjobs.com/External/job/Fort-MillCharlotte/Senior-Software-Engineer\u002d\u002dC\u002d\u002dNet-_R-048332-1?source=rd_linkedin_jobposting&amp;utm_source=linkedin.com&amp;utm_medium=job_posting&amp;utm_campaign=Annual_Media&amp;utm_content=social_media&amp;utm_term=331367885&amp;ss=paid&amp;urlHash=wjhB")</f>
        <v/>
      </c>
      <c r="G36" t="inlineStr">
        <is>
          <t>Fort Mill, SC</t>
        </is>
      </c>
      <c r="H36" t="inlineStr"/>
      <c r="I36" t="inlineStr">
        <is>
          <t>**What if you could** 
 build a career where ambition meets innovation? At LPL Financial, we empower professionals to shape their success while helping clients pursue their financial goals with confidence.
 **What if you could** 
 have access to cutting\-edge resources, a collaborative environment, and the freedom to make an impact? If you're ready to take the next step, discover what’s possible with LPL Financial.
**Job Overview:**
 We are looking to hire a Senior Full Stack Developer in the Trading Technology organization responsible for building solutions that improve the scale and resiliency of our trading applications and improve the trading experience. This position will help solution business requirements and technology direction to support Product Roadmaps and LPL vision. This position will involve collaboration with business partners, Architects, Quality Assurance, Release Management, and the Change Control board to plan, design, develop and implement solutions for these needs. A successful candidate will have demonstrated experience delivering cloud\-based web applications and APIs utilizing modern AWS Cloud and microservice patterns.
**Responsibilities:**
* Design and develop scalable enterprise applications with expertise in full stack development in a cloud or on\-prem environment and in accordance with enterprise standards
* Participate in all phases of the software engineering life cycle, including architecture and code reviews
* Provide technical troubleshooting and advanced debugging support
* Evaluate new design proposals, investigate and recommend solutions and process improvements that deliver applications with high scalability and performance
* Assist with conceptual design and rough order of magnitude (ROM) level of effort estimations
* Ensure the necessary platform technical documentation is maintained in an appropriate manner
* Communicate with technical and non\-technical groups on a regular basis as part of agile ceremonies and product support
**What are we looking for?**
 We want strong collaborators who can deliver a world\-class client experience. We are looking for people who thrive in a fast\-paced environment, are client\-focused, team oriented, and are able to execute in a way that encourages creativity and continuous improvement.
**Requirements:**
* 6\+ years of hands\-on experience in full\-stack application development utilizing C\# .NET, Angular/JavaScript, REST APIs, and relational databases, with a strong emphasis on a test\-driven development (TDD) approach to ensure high\-quality software delivery.
* 6\+ years of experience with enterprise software development processes, including the ability to document software design through sequence diagrams, activity diagrams, and other visual aids, while effectively presenting findings in architecture board reviews.
* 6\+ years of experience in developing microservices and implementing API\-first design principles, along with a solid understanding of cloud patterns to enhance scalability and performance.
* 5\+ Years SQL server, PostgreSQL, DynamoDB, DocumentDB, etc.
* 5\+ years of experience with AWS technologies, showcasing hands\-on development expertise with AWS Lambda and Step Functions to build robust cloud\-based solutions (CloudFront, S3, API Gateway, Lambda, Fargate/EKS, DynamoDB)
**Core Competencies:**
* Excellent analytical and problem\-solving skills
* Knowledge in designing, refactoring, and unit testing
* Experience with Waterfall and Agile development process
* Excellent Communication and Coaching skills with demonstrated capacity to build consensus and empower developers to achieve independently.
**Preferences:**
* Trading and Finance domain experience
* Familiarity with API Management: Experience using SwaggerHub for effective API design and documentation, enhancing collaboration and integration across development teams.
* Cloud Transformation Expertise: Knowledge of cloud transformation strategies across major platforms, including AWS, Azure, and GCP, to drive scalable and efficient solutions.
* Understanding of DevSecOps Practices: Solid grasp of DevSecOps methodologies and best practices, ensuring security is integrated throughout the development lifecycle.
* Proficiency in Source Control and CI/CD: Familiarity with code source control systems, build processes, and continuous delivery practices to streamline development workflows and enhance software quality.
**Pay Range:**
 $106,125\-$176,875/year
 Actual base salary varies based on factors, including but not limited to, relevant skill, prior experience, education, base salary of internal peers, demonstrated performance, and geographic location. Additionally, LPL Total Rewards package is highly competitive, designed to support your success at work, at home, and at play – such as 401K matching, health benefits, employee stock options, paid time off, volunteer time off, and more. Your recruiter will be happy to discuss all that LPL has to offer!
**Company Overview:**
 LPL Financial Holdings Inc. (Nasdaq: LPLA) is among the fastest growing wealth management firms in the U.S. As a leader in the financial advisor\-mediated marketplace(6\) , LPL supports over 32,000 financial advisors and the wealth management practices of approximately 1,100 financial institutions, servicing and custodying approximately $2\.3 trillion in brokerage and advisory assets on behalf of approximately 8 million Americans. The firm provides a wide range of advisor affiliation models, investment solutions, fintech tools and practice management services, ensuring that advisors and institutions have the flexibility to choose the business model, services, and technology resources they need to run thriving businesses. For further information about LPL, please visit www.lpl.com.
 At LPL, independence means that advisors and institution leaders have the freedom they deserve to choose the business model, services, and technology resources that allow them to run a thriving business. They have the flexibility to do business their way. And they have the freedom to manage their client relationships, because they know their clients best. Simply put, we take care of our advisors and institutions, so they can take care of their clients.
 For further information about LPL, please visit www.lpl.com.
**Join LPL Financial: Where Your Potential Meets Opportunity**
 At LPL Financial, we believe that everyone deserves objective financial guidance. As the nation’s leading independent broker\-dealer, we offer an integrated platform of cutting\-edge technology, brokerage, and investment advisor services.
**Why LPL?**
* Innovative Environment: We foster creativity and growth, providing a supportive and responsive leadership team. Learn more about our leadership team here!
* Limitless Career Potential: Your career at LPL has no limits, only amazing potential. Learn more about our careers here!
* Unified Mission: We are one team on one mission—taking care of our advisors so they can take care of their clients. Learn more about our mission and values here!
* Impactful Work: Our size is just right for you to make a real impact. Learn more here!
* Commitment to Equality: We support workplace equality and embrace diverse perspectives and backgrounds. Learn more here!
* Community Focus: We care for our communities and encourage our employees to do the same. Learn more here!
* Benefits and Total Rewards: Our Total Rewards package goes beyond just compensation and insurance. It includes a mix of traditional and unique benefits, perks, and resources designed to enhance your life both at work and at home. Learn more here!
 Join the LPL team and help us make a difference by turning life’s aspirations into financial realities. Please log in or create an account to apply to this position. Principals only. EOE.
**Information on Interviews:**
 LPL will only communicate with a job applicant directly from an
 **@lplfinancial.com** 
 email address and will never conduct an interview online or in a chatroom forum. During an interview, LPL will not request any form of payment from the applicant, or information regarding an applicant’s bank or credit card. Should you have any questions regarding the application process, please contact LPL’s Human Resources Solutions Center at (855\) 575\-6947\.
 EAC12\.9\.25</t>
        </is>
      </c>
    </row>
    <row r="37">
      <c r="A37" t="inlineStr">
        <is>
          <t>li-4359588886</t>
        </is>
      </c>
      <c r="B37" t="inlineStr">
        <is>
          <t>Senior Software Engineer</t>
        </is>
      </c>
      <c r="C37" t="inlineStr">
        <is>
          <t>Uber</t>
        </is>
      </c>
      <c r="D37" t="inlineStr">
        <is>
          <t>linkedin</t>
        </is>
      </c>
      <c r="E37">
        <f>HYPERLINK("https://www.linkedin.com/jobs/view/4359588886", "https://www.linkedin.com/jobs/view/4359588886")</f>
        <v/>
      </c>
      <c r="F37" t="inlineStr"/>
      <c r="G37" t="inlineStr">
        <is>
          <t>San Francisco, CA</t>
        </is>
      </c>
      <c r="H37" t="inlineStr"/>
      <c r="I37" t="inlineStr">
        <is>
          <t>**About The Role**
**Offer Experience**
 Are you passionate about creating and enhancing impactful online experiences for earners and helping them maximize their earning potential? Join our team at Uber, where we focus on developing innovative solutions that support earners in their daily operations and enable them to make a living more efficiently. Our mission is to build reliable, scalable, and earner\-friendly offer experiences, providing personalized earning opportunities, incentives, and promotions that align with each earner's preferences and driving habits. From crafting seamless interfaces to implementing robust backend systems, we work on a variety of projects that drive real\-world impact. If you're excited about making a difference, driving meaningful progress, and working with cutting\-edge technology, we'd love to have you on our team. Together, let's positively impact the lives of millions of earners around the world!
**What The Candidate Will Do**
* Lead Development: Design, develop, and deploy scalable backend systems for the Online Experience team.
* Enhance Offer Experience: Implement robust solutions to optimize earners' opportunities and maximize their potential.
* Cross\-Team Collaboration: Work with data scientists, product managers, and other engineers to deliver seamless end\-to\-end products.
* Drive Improvement: Continuously improve system performance, scalability, and maintainability.
* Stay Current: Keep up with industry trends and integrate new tools and methodologies as needed.
* Mentor: Guide and mentor junior engineers, fostering a collaborative and high\-quality engineering culture.
* Ownership: Take full responsibility for projects, ensuring timely delivery and impactful outcomes.
**Basic Qualifications**
* Bachelor's or Master's degree in Computer Science or a related technical field, or equivalent practical experience.
* Proven experience in software development, with a strong understanding of programming languages such as Java, Go, Python, or C\+\+.
* Strong experience with backend development and microservices architecture.
* Experience with data analytics and experimental design in an engineering context.
* Excellent problem\-solving skills and a passion for innovation.
* Excellent communication and teamwork abilities.
* 6\+ years of experience as a Backend Engineer.
**Preferred Qualifications**
* Highly efficient coding in Golang, Java or any similar languages.
* Comfortable dealing with system complexity
* Strong background in data analytics tools such as Hive, or similar.
* Familiarity with CI/CD pipelines and testing frameworks.
* Demonstrated leadership skills, with experience in mentoring and guiding junior engineers.
* Proven experience of shipping high\-quality product features on schedule and with high velocity
* Great sense of ownership
* Ability to work effectively in a fast\-paced, team\-oriented environment.
* Strong communication skills, both written and verbal, to articulate complex ideas to various stakeholders.
 For San Francisco, CA\-based roles: The base salary range for this role is USD$202,000 per year \- USD$224,000 per year. For Sunnyvale, CA\-based roles: The base salary range for this role is USD$202,000 per year \- USD$224,000 per year. For all US locations, you will be eligible to participate in Uber's bonus program, and may be offered an equity award \&amp; other types of comp. All full\-time employees are eligible to participate in a 401(k) plan. You will also be eligible for various benefits. More details can be found at the following link https://jobs.uber.com/en/benefits.</t>
        </is>
      </c>
    </row>
    <row r="38">
      <c r="A38" t="inlineStr">
        <is>
          <t>li-4360596469</t>
        </is>
      </c>
      <c r="B38" t="inlineStr">
        <is>
          <t>Software Engineer</t>
        </is>
      </c>
      <c r="C38" t="inlineStr">
        <is>
          <t>Liberate</t>
        </is>
      </c>
      <c r="D38" t="inlineStr">
        <is>
          <t>linkedin</t>
        </is>
      </c>
      <c r="E38">
        <f>HYPERLINK("https://www.linkedin.com/jobs/view/4360596469", "https://www.linkedin.com/jobs/view/4360596469")</f>
        <v/>
      </c>
      <c r="F38" t="inlineStr"/>
      <c r="G38" t="inlineStr">
        <is>
          <t>Boston, MA</t>
        </is>
      </c>
      <c r="H38" t="inlineStr"/>
      <c r="I38" t="inlineStr">
        <is>
          <t>**About Us**
***Liberate builds AI agents to automate manual tasks for the $2\.7T insurance industry. We started with voice — the hardest and most valuable channel in insurance — and are now expanding into full workflow automation across sales, servicing, and claims. Our long\-term vision is to build reasoning agents capable of handling the entire spectrum of insurance carrier and broker operations. We've raised $72M to date, including a $50M Series B in October 2025, backed by top\-tier venture firms.***
**About The Role**
 We are looking for a skilled Senior Software Engineer to join our development team and help build scalable, reliable, and innovative AI\-driven applications.
 You will join an amazing team of talented and motivated engineers with diverse backgrounds and experience who value collaboration, learning and improvement, trust and respect, and technical excellence. We believe in creating an environment where teammates enjoy working together, celebrate successes, and have fun solving interesting problems.
**Key Responsibilities**
* Design, develop, and maintain software applications that leverage foundational LLMs and are built with high performance and scalability in mind.
* Collaborate with cross\-functional teams including data scientists, product managers, and other engineers to translate business requirements into technical specifications.
* Write clean, efficient, and well\-documented software.
* Participate in code reviews and provide constructive feedback to maintain the highest standard of code quality.
* Contribute to the architectural design and decisions that shape the future of our AI platform.
* Advance technical progress, gaining buy\-in across the organization and ensuring alignment on strategic initiatives.
* Troubleshoot, debug, and resolve issues across the entire stack, and contribute to the on\-call rotation to ensure system reliability.
**Required Qualifications**
* 3\+ years experience writing high\-quality production software in Python.
* Extensive experience writing asynchronous, high throughput software.
* Extensive experience with FastAPI, Django, asyncio.
* Experience with NodeJS, React, Typescript and or Express.
* Proficiency in SQL and have experience working with real\-time distributed data processing systems like RabbitMQ, SNS, SQS.
* Passionate about exploring emerging technology, and apply your curiosity to your work.
* Experience with cloud platforms such as AWS, Google Cloud, or Azure, and familiarity with DevOps practices.
* Comfortability in navigating ambiguity, making trade\-offs to deliver features today without compromising long\-term quality, and driving innovation.
* Thrive in a collaborative, fully remote, distributed team environment and have experience working asynchronously.
* Learn from mistakes, adapt quickly, and maintain a forward\-focused mindset.
**Preferred Qualifications**
* Experience working with foundational LLMs and understand the various approaches to maximizing their efficiency.
* Experience in regulated industries.
* Previously worked in high\-growth, fast paced environments.
* Hybrid role requiring 2 days per week in Berkeley or Boston. Candidates should be based in Boston or the San Francisco Bay Area, or willing to relocate.
***Salary Range: $160,000 to 180,000***
**Benefits**
* Competitive salary with equity options
* Flexible PTO
* 401(k) plan
* Comprehensive health, dental, and vision insurance coverage
* Collaborative and innovative company culture</t>
        </is>
      </c>
    </row>
    <row r="39">
      <c r="A39" t="inlineStr">
        <is>
          <t>li-4369355498</t>
        </is>
      </c>
      <c r="B39" t="inlineStr">
        <is>
          <t>Software Engineer 2, Developer Infrastructure</t>
        </is>
      </c>
      <c r="C39" t="inlineStr">
        <is>
          <t>Jobgether</t>
        </is>
      </c>
      <c r="D39" t="inlineStr">
        <is>
          <t>linkedin</t>
        </is>
      </c>
      <c r="E39">
        <f>HYPERLINK("https://www.linkedin.com/jobs/view/4369355498", "https://www.linkedin.com/jobs/view/4369355498")</f>
        <v/>
      </c>
      <c r="F39" t="inlineStr"/>
      <c r="G39" t="inlineStr"/>
      <c r="H39" t="inlineStr"/>
      <c r="I39" t="inlineStr">
        <is>
          <t>**This position is posted by Jobgether on behalf of a partner company. We are currently looking for a Software Engineer 2, Developer Infrastructure in the United States.**
 This role is pivotal for enhancing the productivity, security, and reliability of engineering teams by building and maintaining the underlying infrastructure that powers software development. The Software Engineer will focus on CI/CD systems, local development environments, and tools that streamline workflows while ensuring high\-quality, secure software delivery. Working in a collaborative, fast\-paced environment, you will tackle complex technical challenges and directly impact the efficiency and effectiveness of engineering teams across the organization. This position offers the chance to influence the developer experience at scale, contribute to mission\-critical security projects, and drive improvements across the full software lifecycle.
**Accountabilities**
* Design, build, and maintain CI/CD infrastructure and development tools to enhance engineering productivity.
* Set up and improve local development environments for engineers to streamline workflow and reduce friction.
* Collaborate with internal engineering teams to identify needs and implement solutions that improve reliability and efficiency.
* Contribute to planning, code reviews, standups, and other software development lifecycle activities.
* Deliver complex infrastructure projects end\-to\-end, ensuring quality, security, and alignment with organizational goals.
* Provide guidance and support to engineers on infrastructure best practices and workflow optimization.
* Actively participate in internal initiatives to improve developer experience and support cybersecurity objectives.
**Requirements**
* 7\+ years of professional experience as a hands\-on engineer building backend systems or platform infrastructure.
* 2\+ years of experience with Python.
* Proven experience in roles focused on Engineering Effectiveness, Developer Productivity, or Development Infrastructure.
* Strong problem\-solving skills and ability to deliver complex projects from conception to production.
* Customer\-focused mindset with experience gathering requirements and feedback from internal engineering teams.
* Excellent collaboration and communication skills in fast\-paced, cross\-functional environments.
* Experience with CI/CD systems, development tooling, and automated workflows is highly desirable.
* Nice\-to\-have: experience with Bazel, Go, and security\-focused systems.
**Benefits**
* Competitive base salary range: $148,800 – $175,000 USD.
* Eligibility for bonus and restricted stock units (RSUs).
* Comprehensive benefits including medical, dental, and vision coverage.
* Flexible and collaborative work environment with opportunities for professional growth.
* Paid time off and company\-recognized holidays.
* Opportunities to work on impactful projects in cybersecurity and infrastructure at scale.
**Why Apply Through Jobgether?**
 We use an
 **AI\-powered matching process** 
 to ensure your application is reviewed quickly, objectively, and fairly against the role's core requirements. Our system identifies the top\-fitting candidates, and this shortlist is then shared directly with the hiring company. The final decision and next steps (interviews, assessments) are managed by their internal team.
 We appreciate your interest and wish you the best!
 Why Apply Through Jobgether?
**Data Privacy Notice:** 
 By submitting your application, you acknowledge that Jobgether will process your personal data to evaluate your candidacy and share relevant information with the hiring employer. This processing is based on legitimate interest and pre\-contractual measures under applicable data protection laws (including GDPR). You may exercise your rights (access, rectification, erasure, objection) at any time.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40">
      <c r="A40" t="inlineStr">
        <is>
          <t>li-4353572257</t>
        </is>
      </c>
      <c r="B40" t="inlineStr">
        <is>
          <t>Sr Software Engineer</t>
        </is>
      </c>
      <c r="C40" t="inlineStr">
        <is>
          <t>Venmo</t>
        </is>
      </c>
      <c r="D40" t="inlineStr">
        <is>
          <t>linkedin</t>
        </is>
      </c>
      <c r="E40">
        <f>HYPERLINK("https://www.linkedin.com/jobs/view/4353572257", "https://www.linkedin.com/jobs/view/4353572257")</f>
        <v/>
      </c>
      <c r="F40">
        <f>HYPERLINK("https://paypal.eightfold.ai/careers?domain=paypal.com&amp;sort_by=relevance&amp;query=R0134054&amp;Codes=W-LINKEDIN&amp;urlHash=35jz", "https://paypal.eightfold.ai/careers?domain=paypal.com&amp;sort_by=relevance&amp;query=R0134054&amp;Codes=W-LINKEDIN&amp;urlHash=35jz")</f>
        <v/>
      </c>
      <c r="G40" t="inlineStr">
        <is>
          <t>Scottsdale, AZ</t>
        </is>
      </c>
      <c r="H40" t="inlineStr"/>
      <c r="I40" t="inlineStr">
        <is>
          <t>**The Company**
 PayPal has been revolutionizing commerce globally for more than 25 years. Creating innovative experiences that make moving money, selling, and shopping simple, personalized, and secure, PayPal empowers consumers and businesses in approximately 200 markets to join and thrive in the global economy.
 We operate a global, two\-sided network at scale that connects hundreds of millions of merchants and consumers. We help merchants and consumers connect, transact, and complete payments, whether they are online or in person. PayPal is more than a connection to third\-party payment networks. We provide proprietary payment solutions accepted by merchants that enable the completion of payments on our platform on behalf of our customers.
 We offer our customers the flexibility to use their accounts to purchase and receive payments for goods and services, as well as the ability to transfer and withdraw funds. We enable consumers to exchange funds more safely with merchants using a variety of funding sources, which may include a bank account, a PayPal or Venmo account balance, PayPal and Venmo branded credit products, a credit card, a debit card, certain cryptocurrencies, or other stored value products such as gift cards, and eligible credit card rewards. Our PayPal, Venmo, and Xoom products also make it safer and simpler for friends and family to transfer funds to each other. We offer merchants an end\-to\-end payments solution that provides authorization and settlement capabilities, as well as instant access to funds and payouts. We also help merchants connect with their customers, process exchanges and returns, and manage risk. We enable consumers to engage in cross\-border shopping and merchants to extend their global reach while reducing the complexity and friction involved in enabling cross\-border trade.
 Our beliefs are the foundation for how we conduct business every day. We live each day guided by our core values of Inclusion, Innovation, Collaboration, and Wellness. Together, our values ensure that we work together as one global team with our customers at the center of everything we do – and they push us to ensure we take care of ourselves, each other, and our communities.
**Job Description Summary:**
 This job delivers complete solutions spanning all phases of the Software Development Lifecycle (SDLC). It involves advising management on project\-level issues, guiding junior engineers, operating with little supervision, and applying knowledge of technical best practices.
**Job Description:**
**Essential Responsibilities:**
* Delivers complete solutions spanning all phases of the Software Development Lifecycle (SDLC) (design, implementation, testing, delivery and operations), based on definitions from more senior roles.
* Advises immediate management on project\-level issues
* Guides junior engineers
* Operates with little day\-to\-day supervision, making technical decisions based on knowledge of internal conventions and industry best practices
* Applies knowledge of technical best practices in making decisions
**Expected Qualifications:**
* 3\+ years relevant experience and a Bachelor’s degree OR Any equivalent combination of education and experience.
**Additional Responsibilities And Preferred Qualifications**
**Engineering at Venmo**
 At Venmo, we are creating a product that people love. We strive to create a delightful user experience while connecting the world and empowering people through payments. We are looking for intellectually curious people who want to be inspired and inspire others to change the world.
 Engineering is a craft, and at Venmo we want the internals of our software to be as elegant as the end user experience we are designing. We spend our days scaling our infrastructure and building new features to meet and exceed our users’ needs and wants. We work with a product team that is data\-driven and human\-centered in its design principles. We teach and learn from one another and push each other to be at our creative and analytical bests.
**Job Description: Cloud/DevOps Engineer**
 Our team is dedicated to ensuring the seamless operation of all user\-facing services, as well as production and development systems. We manage Venmo’s infrastructure comprehensively, encompassing operations, automation, security, compliance, and release engineering. While we are focused on Cloud Engineering, our work integrates elements of Site Reliability Engineering (SRE) and DevOps projects as well. On the DevOps front, we oversee CI/CD infrastructure, develop smart and secure pipelines, implement self\-service secret management systems, create development environments, and establish microservices scaffolding and testing frameworks. The quality of the systems we build is paramount to the company, and we prioritize it highly. Our infrastructure must be delivered automatically, thoroughly tested, and scanned for vulnerabilities through synthetic tests.
 As a Senior Engineer, you will deliver complete solutions spanning all phases of the Software Development Lifecycle (SDLC). It involves advising management on project\-level issues, guiding junior engineers, operating with little supervision, and applying knowledge of technical best practices. You are a hands\-on contributor that teaches by example and mentors other engineers and product owners on how to improve their development, using our systems, by driving best practices. We have a lot of independence in our decisions, but we are kept accountable for the results.
 Our technical stack: AWS, EKS, Docker, GitHub Enterprise, Terraform, GitHub Actions, DataDog, Bash, Python, Go.
**What You’ll Do**
* Act as a hands\-on contributor, while leading by example
* Mentor junior engineers
* Enjoy a high degree of independence in decision\-making while being accountable for results of yourself and your team
* Be part of a team dedicated to driving the scalability and reliability of Venmo’s AWS cloud infrastructure
* Contribute to initiatives: internal teams rarely have dedicated project managers. You will define the design, identify stakeholders, navigate risks and changes, coordinate colleagues' work, implement solutions, and be accountable for timely and quality project delivery.
* Troubleshoot incidents, identify root causes, fix and document problems, and implement preventive measures.
* Leading by example, making meaningful contributions to the improvement of engineering teams’ production operations.
* Develop and improve tools and automation to manage infrastructure and application configuration as code.
* Enhance the quality, reliability, and stability of our infrastructure and operations.
**What We’re Looking For**
* Bachelor's in computer science or related field of study
* 5\+ years' experience in software development or a related field
* 3\+ years' experience operating distributed applications 24x7x365, as part of a Cloud Engineering, DevOps, and/or SRE team.
* Extensive hands\-on experience with designing, implementing and supporting infrastructure (AWS experience preferred) to support global\-scale services
* Deep hands\-on experience with IaaS and PaaS solutions from AWS (or similar cloud provider)
* Hands\-on programming and scripting (Python, Java, Bash, Go)
* Hands\-on experience with containers \&amp; container orchestration: Docker, Kubernetes
* Strong communication skills with the ability to understand and explain technical issues to a non\-technical audience
 The base pay for this role will depend on where you work and the relevant experience and expertise you bring. The expected range of pay for this role by location is:
**Primary Location : Pay Range:**
 San Jose, California : ($143,500\.00 \- $212,850\.00 Annually)
**Additional Location(s) : Pay Range:**
 Austin, Texas : ($130,500\.00 \- $193,600\.00 Annually)
 Scottsdale, Arizona : ($123,500\.00 \- $183,700\.00 Annually)
 Additional compensation for this role may include an annual performance bonus, equity, or other incentive compensation, as applicable.
 PayPal does not charge candidates any fees for courses, applications, resume reviews, interviews, background checks, or onboarding. Any such request is a red flag and likely part of a scam. To learn more about how to identify and avoid recruitment fraud please visit https://careers.pypl.com/contact\-us.
 For the majority of employees, PayPal's balanced hybrid work model offers 3 days in the office for effective in\-person collaboration and 2 days at your choice of either the PayPal office or your home workspace, ensuring that you equally have the benefits and conveniences of both locations.
**Our Benefits:**
 At PayPal, we’re committed to building an equitable and inclusive global economy. And we can’t do this without our most important asset\-you. That’s why we offer benefits to help you thrive in every stage of life. We champion your financial, physical, and mental health by offering valuable benefits and resources to help you care for the whole you.
 We have great benefits including a flexible work environment, employee shares options, health and life insurance and more. To learn more about our benefits please visit https://www.paypalbenefits.com
**Who We Are:**
 To learn more about our culture and community visit https://about.pypl.com/who\-we\-are/default.aspx
**Commitment to Diversity and Inclusion**
 PayPal provides equal employment opportunity (EEO) to all persons regardless of age, color, national origin, citizenship status, physical or mental disability, race, religion, creed, gender, sex, pregnancy, sexual orientation, gender identity and/or expression, genetic information, marital status, status with regard to public assistance, veteran status, or any other characteristic protected by federal, state, or local law. In addition, PayPal will provide reasonable accommodations for qualified individuals with disabilities. If you are unable to submit an application because of incompatible assistive technology or a disability, please contact us at paypalglobaltalentacquisition@paypal.com.
**Belonging at PayPal:**
 Our employees are central to advancing our mission, and we strive to create an environment where everyone can do their best work with a sense of purpose and belonging. Belonging at PayPal means creating a workplace with a sense of acceptance and security where all employees feel included and valued. We are proud to have a diverse workforce reflective of the merchants, consumers, and communities that we serve, and we continue to take tangible actions to cultivate inclusivity and belonging at PayPal.
 Any general requests for consideration of your skills, please Join our Talent Community.
 We know the confidence gap and imposter syndrome can get in the way of meeting spectacular candidates. Please don’t hesitate to apply.
 REQ ID R0134054</t>
        </is>
      </c>
    </row>
    <row r="41">
      <c r="A41" t="inlineStr">
        <is>
          <t>li-4362424085</t>
        </is>
      </c>
      <c r="B41" t="inlineStr">
        <is>
          <t>Software Engineer II, Teams AI</t>
        </is>
      </c>
      <c r="C41" t="inlineStr">
        <is>
          <t>Microsoft</t>
        </is>
      </c>
      <c r="D41" t="inlineStr">
        <is>
          <t>linkedin</t>
        </is>
      </c>
      <c r="E41">
        <f>HYPERLINK("https://www.linkedin.com/jobs/view/4362424085", "https://www.linkedin.com/jobs/view/4362424085")</f>
        <v/>
      </c>
      <c r="F41">
        <f>HYPERLINK("https://apply.careers.microsoft.com/careers/job/1970393556621241?utm_source=linkedin&amp;domain=microsoft.com&amp;src=LinkedIn&amp;urlHash=rlhE", "https://apply.careers.microsoft.com/careers/job/1970393556621241?utm_source=linkedin&amp;domain=microsoft.com&amp;src=LinkedIn&amp;urlHash=rlhE")</f>
        <v/>
      </c>
      <c r="G41" t="inlineStr">
        <is>
          <t>Mountain View, CA</t>
        </is>
      </c>
      <c r="H41" t="inlineStr"/>
      <c r="I41" t="inlineStr">
        <is>
          <t>**Overview**
 Microsoft Teams is the new chat\-based application in Office 365\. It's a hub for teamwork, giving teams instant access to everything they need right in Office 365\. Microsoft Teams is the canvas that keeps all your content, tools, people, and conversations together in one place. It is the hottest product at Microsoft and we’re on course to disrupt the team collaboration space. You will also have the opportunity to work on generative AI, LLM, and world class AI stack that power Team’s Copilot and other Team’s AI product. You will be part of a team that is at the forefront of AI innovation and research, and that leverages the latest advances in deep learning, natural language processing, and conversational AI.
 In the Teams AI services team, we are continuously evolving our micro\-services to support new messaging features while maintaining a high performance, scalable, and cost\-effective eco\-system. We are hiring for a
 **Software Engineer II** 
 who can help us build revolutionary, robust, and scalable back\-end services. This is a unique opportunity to hone your system design skills and will give you exposure to cutting edge technology stack (.NET Core, Typescript, Service Fabric, Redis, Azure Cosmos DB) as well as cross\-org collaboration opportunities. You will have E2E ownership and make a huge impact in this critical area.
 As a team we’re proud of what we build and how we build it. We run lean, obsess about customers and use an evidence\-based approach to decision making. We have live\-site first, metrics\-driven culture that prevents us from accumulating debt and necessity to put out fires on daily basis. You will be in a position that carries a ton of responsibility and provides opportunities to impact customers’ satisfaction and grow the business exponentially.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As part of the AI Services engineering team, you will be designing, developing and maintaining high\-scale services that form the backbone of Microsoft Teams.
* Apply state\-of\-the\-art techniques in deep learning, natural language processing, and conversational AI to build and improve the AI capabilities of Microsoft Teams.
* Experiment, prototype, and evaluate new ideas and approaches for AI\-powered messaging features.
* Work closely with other AI teams across Microsoft to leverage and share best practices and resources.
* You are expected to dive deep into Azure technologies and distributed database systems. You will collaborate with partners, internal and external to Microsoft Teams organization, in order to design and build features that drive growth in our user base. We have numerous partners and thus, solid collaboration skills are required.
* As you develop said features to delight our customers, you are expected to always keep availability, reliability, performance and scalability in mind. We never compromise on these fundamentals.
* Build reusable libraries of services best practices for other teams to leverage.
**Qualifications**
* Bachelor's Degree in Computer Science or related technical field AND 2\+ years technical engineering experience with coding in languages including, but not limited to, C, C\+\+, C\#, Java, JavaScript, or Python.
+ OR equivalent experience.
* Experienced delivering large\-scale services, coding and development skills with experience in at least one of the following languages: Typescript, C\#, .Net Core, Java.
* Experience solving challenging problems and cross team organization and collaboration skills.
**Preferred Qualifications**
- Master's Degree in Computer Science or related technical field AND 3\+ years technical engineering experience with coding in languages including, but not limited to, C, C\+\+, C\#, Java, JavaScript, or Python
* OR Bachelor's Degree in Computer Science or related technical field AND 5\+ years technical engineering experience with coding in languages including, but not limited to, C, C\+\+, C\#, Java, JavaScript, or Python OR equivalent experience.
* Experience in DevOps to maintain live services and/or application frameworks.
* Experience with unit\-test, continuous integration, and test\-driven development is a plus.
* Experience in optimizing highly scalable systems is a plus.
* Experience working with Service Fabric or Kubernetes as a plus.
 \#Microsoft \#MicrosoftAI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42">
      <c r="A42" t="inlineStr">
        <is>
          <t>li-4363632022</t>
        </is>
      </c>
      <c r="B42" t="inlineStr">
        <is>
          <t>Software Developer</t>
        </is>
      </c>
      <c r="C42" t="inlineStr">
        <is>
          <t>Lockton</t>
        </is>
      </c>
      <c r="D42" t="inlineStr">
        <is>
          <t>linkedin</t>
        </is>
      </c>
      <c r="E42">
        <f>HYPERLINK("https://www.linkedin.com/jobs/view/4363632022", "https://www.linkedin.com/jobs/view/4363632022")</f>
        <v/>
      </c>
      <c r="F42" t="inlineStr"/>
      <c r="G42" t="inlineStr">
        <is>
          <t>Overland Park, KS</t>
        </is>
      </c>
      <c r="H42" t="inlineStr"/>
      <c r="I42" t="inlineStr">
        <is>
          <t>**Your Responsibilities**
 As a Developer at Lockton Affinity, you will play a key role in building and maintaining our cloud\-based insurance platform. You’ll collaborate with cross\-functional teams to deliver high\-quality, scalable solutions that support our business objectives. This role emphasizes technical execution, continuous learning, and active participation in agile processes, with opportunities to contribute ideas for process improvement and technology adoption in a collaborative, growth\-oriented environment.
**Essential Duties And Responsibilites**
* Collaborate with team members and stakeholders to deliver technical solutions aligned with business goals.
* Participate in agile ceremonies (sprint planning, daily stand\-ups, retrospectives) and contribute to sprint execution.
* Participate in requirements analysis, technical design, and work estimation for new features and enhancements.
* Design, code, and test program modules, following coding standards and best practices.
* Maintain, tune, and repair applications to ensure optimal performance, reliability, and security, following secure coding practices.
* Document software and processes to support maintainability and operational continuity.
* Work withing our DevOps processes, including source control (GIT), CI/CD pipelines, and automation tools (e.g., Azure DevOps).
* Participate in code reviews, provide constructive feedback, and support team knowledge sharing.
* Troubleshoot and resolve software issues, escalating complex problems as needed.
* Proactively learn and stay up to date with emerging technologies, tools, and industry trends, and contribute to process improvement initiatives and adoption of new tools or practices.
**Qualifications**
 Required
* Bachelor’s degree in a related field or equivalent combination of education and experience. 3–5 years of professional software development experience, with a strong background in .NET (C\#), object\-oriented principles, and Visual
* Studio (.NET 6\+ preferred).
* Experience with modern JavaScript frameworks or libraries (e.g., React or Angular).
* Experience working with Object Relational Mapping (ORM) libraries, such as Entity Framework.
* Demonstrated ability to create and modify unit tests relevant to developed solutions.
* Hands\-on experience building and integrating RESTful web services using Web API.
* Familiarity with application architectural patterns and design best practices.
* Experience with source code management, CI/CD pipelines, and automation tools (e.g., Azure DevOps).
* Understanding of secure coding practices, including authentication and authorization (OAuth preferred).
* Experience with SQL Server database design and implementation, including T\-SQL, Views, and Stored Procedures.
* Strong communication, collaboration, and problem\-solving skills, with knowledge of Agile methodologies and a commitment to continuous learning and professional development.
**Preferred**
* Familiarity with cloud\-first architecture and Microsoft Azure technologies.
* Experience with service\-oriented architecture.
* Exposure to production release processes and operational support.
 The preceding job description has been designed to indicate the general nature and level of work performed by Associates within this classification. It is not designed to contain or be interpreted as a comprehensive inventory of all duties, responsibilities, and qualifications required of Associates assigned to this job.
 \#Affinity</t>
        </is>
      </c>
    </row>
    <row r="43">
      <c r="A43" t="inlineStr">
        <is>
          <t>li-4362733811</t>
        </is>
      </c>
      <c r="B43" t="inlineStr">
        <is>
          <t>Software Engineering - Apple Platforms</t>
        </is>
      </c>
      <c r="C43" t="inlineStr">
        <is>
          <t>Microsoft</t>
        </is>
      </c>
      <c r="D43" t="inlineStr">
        <is>
          <t>linkedin</t>
        </is>
      </c>
      <c r="E43">
        <f>HYPERLINK("https://www.linkedin.com/jobs/view/4362733811", "https://www.linkedin.com/jobs/view/4362733811")</f>
        <v/>
      </c>
      <c r="F43">
        <f>HYPERLINK("https://apply.careers.microsoft.com/careers/job/1970393556631304?utm_source=linkedin&amp;domain=microsoft.com&amp;src=LinkedIn&amp;urlHash=0hy2", "https://apply.careers.microsoft.com/careers/job/1970393556631304?utm_source=linkedin&amp;domain=microsoft.com&amp;src=LinkedIn&amp;urlHash=0hy2")</f>
        <v/>
      </c>
      <c r="G43" t="inlineStr">
        <is>
          <t>Redmond, WA</t>
        </is>
      </c>
      <c r="H43" t="inlineStr"/>
      <c r="I43" t="inlineStr">
        <is>
          <t>**Overview**
 The Office Growth and Experiences team (OGX) builds and maintains end\-to\-end ownership of Office across all platforms, desktop and mobile. Empowering developers with opportunities for ownership, autonomy, and professional growth as we tackle complex problems across Windows, Mac, iOS, and Android. OGX is responsible for a wide breadth of areas including user experience, collaboration, business\-critical fundamentals, and driving user engagement for millions of users across our multiple ecosystems.
 Within OGX, our team focuses on the foundational components, enterprise features, and the fundamentals of Office applications on the Apple platforms, such as performance and reliability that serve as the fundamental building blocks that power Copilot experiences and beyond. As a
 **Software Engineer II \- Apple Platforms** 
 you will collaborate with teams across Office to improve the performance and reliability of Office application boot, file I/O, real\-time collaboration, authentication, mobile application management, link open experiences, and copilot handoff as we continue to elevate Office’s capabilities on the Apple platforms.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Executes and drives end\-to\-end efforts to improve performance and reliability of Office iOS apps, including design, coding, and extensive instrumentation. Analyzes heat map, identify hotspots, design solutions, and drive these improvements into production.
* Collaborates across disciplines (e.g., Product Management, Design, Test) and geographies, ensuring we deliver end\-to\-end solutions efficiently that satisfy our customers.
* Advocates for the needs of mobile devices—network constraints, battery life, memory usage, and platform\-specific capabilities—helping shape product direction and user experience on iOS.
* Relies on telemetry and analytics to identify top performance and reliability issues. Continuously measures success by gathering and interpreting key metrics, using the data to inform ongoing improvements and future designs.
* Contributes to designing robust test coverage for performance scenarios. Ensures that new and existing features maintain and improve user experience without regressions.
* Responds quickly to customer feedback and escalations and be proactive in identifying customer pain points and addressing them.
 Embody our culture and values.
**Qualifications**
**Required Qualifications:**
* Bachelor's Degree in Computer Science or related technical field AND 2\+ years technical engineering experience with coding in languages including, but not limited to, C, C\+\+, C\#, Java, JavaScript, or Python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Master's Degree in Computer Science or related technical field AND 3\+ years technical engineering experience with coding in languages including, but not limited to, C, C\+\+, C\#, Java, JavaScript, or Python
+ OR Bachelor's Degree in Computer Science or related technical field AND 5\+ years technical engineering experience with coding in languages including, but not limited to, C, C\+\+, C\#, Java, JavaScript, or Python
+ OR equivalent experience.
* Effective communication skills, with the ability to influence cross\-functional stakeholders and articulate complex technical concepts.
* 2\+ years of industrial/production software design and coding experience in at least one variant of C (C, C\+\+, Objective\-C, Swift).
* 2\+ years experience in performance profiling, optimization techniques and concurrency models, as well as experience in debugging and memory management.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44">
      <c r="A44" t="inlineStr">
        <is>
          <t>li-4369351084</t>
        </is>
      </c>
      <c r="B44" t="inlineStr">
        <is>
          <t>Staff Software Engineer</t>
        </is>
      </c>
      <c r="C44" t="inlineStr">
        <is>
          <t>Revalia Bio</t>
        </is>
      </c>
      <c r="D44" t="inlineStr">
        <is>
          <t>linkedin</t>
        </is>
      </c>
      <c r="E44">
        <f>HYPERLINK("https://www.linkedin.com/jobs/view/4369351084", "https://www.linkedin.com/jobs/view/4369351084")</f>
        <v/>
      </c>
      <c r="F44" t="inlineStr"/>
      <c r="G44" t="inlineStr">
        <is>
          <t>New Haven, CT</t>
        </is>
      </c>
      <c r="H44" t="inlineStr"/>
      <c r="I44" t="inlineStr">
        <is>
          <t>**About Revalia**
 Revalia is pioneering Human Data Trials — a new paradigm for accelerating translational medicine by linking donated human organs to cutting\-edge research. Our platform provides biotech, pharma, and medtech innovators with unparalleled access to human biology at scale, reducing reliance on animal models and speeding the path to patients.
**About The Role**
 We are seeking a highly skilled backend/full\-stack engineer who doesn't just write code—you architect elegant solutions. You have immense hands\-on experience with Python and FastAPI, and you understand how to build systems that scale. You're proficient with modern AI coding tools and use them strategically to enhance your productivity while maintaining high standards for code quality and security. You take pride in crafting performant, reliable backend services and collaborating effectively with cross\-functional teams. You're curious, adaptable, and excited about staying at the forefront of backend innovation while maintaining strong fundamentals in distributed systems and cloud architecture.
 As a Staff Engineer, you will be responsible for architecting and implementing backend systems and full\-stack features that power our web applications. You'll collaborate closely with product managers, designers, and frontend engineers to deliver reliable, performant services that scale with our business. Your technical expertise in Python/FastAPI and AWS infrastructure, combined with proficiency in AI coding tools, will enable you to write efficient, maintainable code at scale while staying at the forefront of backend development practices.
****Location****
 This position is fully remote with the expectation to travel quarterly to our office in New Haven, CT. We do not provide work visa sponsorship. This position is only open to candidates who are legally eligible to work in the United States without sponsorship.
**Culture Requirements**
* Role model the Revalia Bio’s Company Values of world class collaboration, cultivating deep trust, relentless adaptability, and to persevere with uncommon grit.
* Display high levels of personal integrity and be able to express opinions or concerns directly and without triangulation, demonstrating honesty, openness, and a positive outlook at all times.
* Seek to promote collaboration and be curious (and not judgmental) about opposing opinions.
* Ability to adapt to changing business needs or to personal development opportunities. Able to fully embrace feedback and training to continuously improve performance and relationships.
* Display determination and perseverance to problem solve, create, innovate, and develop.
* Demonstrate commitment to own personal growth and development. Be “all \-in” when participating in Company activities and programs related to personal and professional development and training.
* Commitment to the growth and development of their team including participation in 360 reviews where requested.
**Soft Skill Requirements**
* Excellent communication and collaboration abilities, with a proven track record of working effectively in team environments
* Strong problem\-solving skills with the ability to break down complex requirements into manageable, testable solutions
* Attention to detail and commitment to code quality and system reliability
* Self\-motivated with an intrinsic drive to learn and adapt to emerging technologies
* Proactive in identifying and addressing technical debt and suggesting architectural improvements
* Strong time management and ability to balance multiple priorities in a fast\-paced environment
* Professional work experience in DevOps, security, and cloud infrastructure – We use GitHub Actions, Docker, and AWS CDK extensively
**Technical Skill Requirements**
* Advanced proficiency in Python, including modern Python practices, async programming, and framework expertise
* Strong expertise in FastAPI or similar Python web frameworks (Django, Flask), including dependency injection, middleware, and OpenAPI/Swagger integration
* Deep experience with PostgreSQL, including schema design, query optimization, indexing strategies, and migrations
* Solid understanding of AWS services, particularly RDS, Lambda, S3, SQS/SNS, and related infrastructure
* Hands\-on experience with AI coding tools and AI\-assisted development workflows (mandatory)
* Proficiency with TypeScript/JavaScript for full\-stack development contributions
* Strong knowledge of RESTful API design principles, versioning strategies, and documentation standards
* Solid knowledge of version control systems, specifically Git and GitHub, with collaborative workflows
* Experience with containerization using Docker and container orchestration concepts
* Familiarity with CI/CD pipelines, particularly GitHub Actions
* Knowledge of testing frameworks (pytest, unittest) and testing strategies (unit, integration, end\-to\-end)
* Understanding of security best practices for web applications, including authentication, authorization, and data protection
**Bonus Skills**
* Experience with AWS CDK or other infrastructure\-as\-code tools (Terraform, Pulumi)
* Familiarity with event\-driven architectures and microservices patterns
* Experience with GraphQL API development
* Knowledge of caching strategies using Redis or similar technologies
* Experience with data pipelines and ETL processes
* Familiarity with observability tools (DataDog, CloudWatch, Sentry, etc.)
* Contribution to open\-source projects related to backend development
* Experience with message queues and distributed systems patterns
* Background or exposure to medical systems/processes
* Experience with Next.js or React for full\-stack contributions
**Responsibilities**
* Design and implement scalable backend services using Python and FastAPI, ensuring high performance, reliability, and maintainability
* Architect database solutions with PostgreSQL (RDS), including schema design, query optimization, and data modeling best practices
* Build and maintain RESTful APIs that integrate seamlessly with frontend applications and external services
* Develop serverless solutions using AWS Lambda for event\-driven architectures and background processing
* Implement messaging and event systems using AWS SQS/SNS for asynchronous workflows and service decoupling
* Contribute to infrastructure as code using AWS CDK, supporting deployment pipelines and cloud architecture
* Write clean, scalable, and maintainable code following best practices, design patterns, and established coding standards
* Collaborate effectively with cross\-functional teams including designers, product managers, and frontend engineers to refine requirements and deliver high\-quality solutions
* Conduct and participate in code reviews to ensure code quality, knowledge sharing, and adherence to team standards
* Debug and troubleshoot backend issues, utilizing monitoring tools, logging, and AI\-assisted debugging techniques
* Stay current with industry trends, emerging technologies, and best practices in backend and full\-stack development
* Use AI coding tools (e.g., Cursor, GitHub Copilot, ChatGPT) to enhance productivity, validate generated code, and accelerate development cycles
**Qualifications**
* 5\+ years of professional experience in backend or full\-stack development with a proven track record of shipping production\-quality code
**Compensation, Benefits, And Diversity Commitment**
 Our compensation structure includes a base and semi\-annual bonus. Revalia Bio operates a growth culture focused on High Performance Teams and individual personal development. Along with monthly coaching, we provide extensive opportunities for professional development, training and mentoring.
 Revalia Bio provides comprehensive benefits including Health, Dental, Vision, Retirement, Disability, and a wellness program available on day one of employment. Full\-time employees are eligible for up to 5 paid sick days and 23 PTO days per calendar year, excluding national holidays.
 Revalia Bio acknowledges and celebrates the diversity of our workforce, is dedicated to creating an equitable workplace, is committed to fostering an inclusive environment, and aims to create a workplace culture where every individual feels a sense of belonging. We are an equal opportunity employer and do not discriminate on the basis of race, religion, color, national origin, sex, sexual orientation, gender, gender identity or expression, age, disability, or genetic makeup. For individuals with disabilities who would like to request accommodations, please email culture@revaliabio.com.</t>
        </is>
      </c>
    </row>
    <row r="45">
      <c r="A45" t="inlineStr">
        <is>
          <t>li-4325440613</t>
        </is>
      </c>
      <c r="B45" t="inlineStr">
        <is>
          <t>Senior Software Engineer</t>
        </is>
      </c>
      <c r="C45" t="inlineStr">
        <is>
          <t>Electric Hydrogen</t>
        </is>
      </c>
      <c r="D45" t="inlineStr">
        <is>
          <t>linkedin</t>
        </is>
      </c>
      <c r="E45">
        <f>HYPERLINK("https://www.linkedin.com/jobs/view/4325440613", "https://www.linkedin.com/jobs/view/4325440613")</f>
        <v/>
      </c>
      <c r="F45" t="inlineStr"/>
      <c r="G45" t="inlineStr">
        <is>
          <t>San Jose, CA</t>
        </is>
      </c>
      <c r="H45" t="inlineStr"/>
      <c r="I45" t="inlineStr">
        <is>
          <t>**Electric Hydrogen** 
 ’s mission is to make molecules to decarbonize our world! Our outstanding people are our most important asset and will allow us to deliver hydrogen from renewable electrolysis for heavy industry, at prices below fossil fuels.
 We're looking for a Software Engineer to join our team. You will design and build software systems that power our factory and commercial electrolysis plants through real\-time and historical data applications.. You will work Onsite/Hybrid at our San Jose CA office, reporting into the Director of Software Engineering.
**Primary Responsibilities**
* Design and build scalable software systems and data pipelines that support real\-time and historical analysis of electrolysis system and manufacturing data
* Develop backend services using Node.js, Express, and GraphQL to serve industrial and manufacturing applications
* Build data pipelines to ingest and process IoT and time\-series data using Python, SQL, and tools such as Kinesis, Glue, ECS, and Iceberg
* Develop and maintain Infrastructure as Code (IaC) for cloud deployments using AWS CDK
* Build intuitive, data\-rich frontend interfaces in React and TypeScript to support engineering, factory, and operations workflows
* Monitor, troubleshoot, and improve system performance, data accuracy, and reliability across production environments
**Qualifications**
* Bachelor's degree in Computer Science, Software Engineering, or a related field
* 8\+ years of professional experience building backend or full\-stack software systems
* Proficient in JavaScript/TypeScript with hands\-on experience using Node.js, Express, React, and SQL (especially PostgreSQL)
* Strong experience working with cloud services and data pipelines using AWS (e.g., Lambda, S3, Kinesis, Glue, ECS, RDS)
* Familiarity with Python and working with scientific or industrial datasets (e.g., time\-series, sensor data), especially in applications that interface with real\-world hardware
* Ability to collaborate closely with engineers, scientists, and manufacturing teams working with physical systems and technical data
**Compensation and Benefits \| P4**
 HYBRID
 San Carlos Zone
 $182,000—$214,000 USD
 Actual base salary offered to the hired applicant will be determined based on their work location, level, qualifications, job\-related skills, as well as relevant education or training and experience.
 Base salary is just one part of Electric Hydrogen’s total rewards package. We feel strongly that our team should not have to worry about having quality healthcare. In addition to the base salary offered, the hired applicant may receive:
* an equity grant
* time off programs
* a $75/month cell phone allowance
* a 4% employer 401(k) match
* 100% fully paid premiums for employees and their families: medical, dental, vision, life insurance, short\-term \&amp; long\-term disability coverage
* a discretionary bonus
 Electric Hydrogen’s benefits programs are subject to eligibility requirements.
**About Electric Hydrogen**
 Electric Hydrogen is a team of the world's experts in scaling technologies for the post\-carbon world, with a proven record in transforming the grid and transportation sectors. Backed by some of the world's top venture capital firms, we design and manufacture electrolytic hydrogen systems matched to renewable power sources to create green hydrogen by splitting water. We are building a cost\-effective and transformative path between renewable energy and multiple large industrial sectors. Abundant and low\-cost renewable energy sources will power the world, and Electric Hydrogen technology will use this energy to decarbonize industry through sustainable materials. We were founded in 2020 and are based in California and Massachusetts.
 Electric Hydrogen is proud to be an equal opportunity employer. We are dedicated to building a diverse, inclusive, and authentic workplace for all to belong. We are aware that people from historically underrepresented groups are less likely to apply if they don't meet 100% of the job requirements. We are actively working on efforts to change this social norm. If you are excited about this role,
 **we encourage you to apply** 
 !</t>
        </is>
      </c>
    </row>
    <row r="46">
      <c r="A46" t="inlineStr">
        <is>
          <t>li-4369361291</t>
        </is>
      </c>
      <c r="B46" t="inlineStr">
        <is>
          <t>Software Engineer II - Fullstack</t>
        </is>
      </c>
      <c r="C46" t="inlineStr">
        <is>
          <t>Hinge Health</t>
        </is>
      </c>
      <c r="D46" t="inlineStr">
        <is>
          <t>linkedin</t>
        </is>
      </c>
      <c r="E46">
        <f>HYPERLINK("https://www.linkedin.com/jobs/view/4369361291", "https://www.linkedin.com/jobs/view/4369361291")</f>
        <v/>
      </c>
      <c r="F46">
        <f>HYPERLINK("https://careers.hingehealth.com/jobs/2388?lang=en-us&amp;iis=LinkedIn&amp;iisn=LinkedIn&amp;mode=apply&amp;urlHash=qdYP", "https://careers.hingehealth.com/jobs/2388?lang=en-us&amp;iis=LinkedIn&amp;iisn=LinkedIn&amp;mode=apply&amp;urlHash=qdYP")</f>
        <v/>
      </c>
      <c r="G46" t="inlineStr">
        <is>
          <t>San Francisco, CA</t>
        </is>
      </c>
      <c r="H46" t="inlineStr"/>
      <c r="I46" t="inlineStr">
        <is>
          <t>**About The Role**
 Hinge Health software engineers work on small interdisciplinary teams focused on different parts of the user journey. As a Fullstack Engineer, you will contribute to your team’s success by building and extending secure, scalable services and exposing clear, well\-tested APIs that power beautiful client applications. You will design and implement end\-to\-end solutions, profile systems to stay ahead of scaling bottlenecks, and help maintain a high bar with thoughtful and constructive code reviews. In addition to contributing to valuable new features, you will pay down tech debt, spike on novel solutions, and share responsibility for healthy live site operation.
 We enjoy a continuous deployment DevOps culture, and take owner\-operator pride in supporting our code in production with an on\-call rotation. Rotations vary by team. Our production systems rely on Node.js, TypeScript, NestJS, React Native, React, Redux, GraphQL, Apollo, Rails, Docker, AWS, Postgres, and Redis. Our security/compliance posture is at the highest standards of healthcare, including HIPAA, HITRUST, SOC 2, and CCPA.
**What You’ll Accomplish**
* Every sprint, you’ll build, test, and deploy complete, meaningful features using a trunk\-based CI/CD workflow.
* Every month, you’ll level up skills on a professional development plan detailed with your manager.
* Every quarter, you’ll help define the objectives and key results (OKRs) that shape your team’s roadmap.
* Technical Craft: Tackle problems with a multitude of possible states and execution paths, ensuring steady and predictable delivery while identifying root causes of incidents.
* Operational Excellence: Proactively improve the maintainability, availability, and performance of features while contributing to overall architecture and developer tooling.
**Hinge Health Hybrid Model**
 We believe that remote work and in\-person work have their own advantages and disadvantages, and we want to be able to leverage the best of both worlds. Employees in hybrid roles are required to be in the office 3 days per week, for the full 8 hours of a typical business day. The San Francisco office has a dog\-friendly workplace program.
**Basic Qualifications**
* Bachelor’s Degree in Computer Science or a related technical field.
* 2\+ years of non\-internship full\-time professional software development experience.
* 2\+ years of experience with TypeScript/JavaScript, Node.js, React.js, and SQL/NoSQL databases.
* Experience across the full software development life cycle (SDLC).
* Experience with cloud\-based architectures (e.g., AWS, serverless technology).
**Preferred Qualifications**
* Familiarity with mobile UI development in React Native.
* Experience with test\-driven development (TDD) and event\-driven architecture.
* Experience working on a development team of 5\+ engineers.
* Expertise in low\-latency, highly resilient client\-server architecture.
**Compensation**
 Hinge Health is committed to delivering a competitive and equitable compensation package. The expected base salary for this role will vary depending on factors including geography, experience, and skill set. In addition to base salary, this role is eligible for equity (RSUs) and a comprehensive benefits package including medical, dental, vision, and 401(k) matching. The annual salary range for this position is $129,600 \- $194,400\.
**About Hinge Health**
 At Hinge Health, we’re using technology to scale and automate the delivery of healthcare – starting with musculoskeletal (MSK) conditions, which affect over 1\.7 billion people worldwide. With an AI\-powered human\-centered care model, Hinge Health leverages cutting\-edge technology to improve outcomes, experiences and costs to help people move beyond their pain. The platform addresses a broad spectrum of MSK care – from acute injury, to chronic pain, to post\-surgical rehabilitation – through personalized, evidence\-based care.
 As the preferred partner to 50\+ health plans, PBMs and other ecosystem partners, Hinge Health is available to over 20 million people across more than 2,550 employers. The company is headquartered in San Francisco with additional offices in Montreal and Bangalore. Learn more at http://www.hingehealth.com
**What You'll Love About Us**
* Inclusive healthcare and benefits: In addition to comprehensive medical, dental, and vision coverage, we provide employees and their family members with Group Medical Coverage (GMC), Group Term Life Insurance (GTL), and Group Personal Accident Insurance (GPA).
* We also offer a lifestyle stipend to support your overall well\-being, along with learning and development opportunities to help you grow both personally and professionally.
* Grow with us through discounted company stock through our ESPP with easy payroll deductions.
**Culture \&amp; Engagement**
 Hinge Health is an equal opportunity employer and prohibits discrimination and harassment of any kind. We make employment decisions without regards to race, color, religion, sex, sexual orientation, gender identity, national origin, age, veteran status, disability status, pregnancy, or any other basis protected by federal, state or local law.
 By submitting your application you are acknowledging we are using your personal data as outlined in the personnel and candidate privacy policy.
 Workday ID
 JR1884</t>
        </is>
      </c>
    </row>
    <row r="47">
      <c r="A47" t="inlineStr">
        <is>
          <t>li-4363601280</t>
        </is>
      </c>
      <c r="B47" t="inlineStr">
        <is>
          <t>Sr Engineer, Software Developer</t>
        </is>
      </c>
      <c r="C47" t="inlineStr">
        <is>
          <t>LPL Financial</t>
        </is>
      </c>
      <c r="D47" t="inlineStr">
        <is>
          <t>linkedin</t>
        </is>
      </c>
      <c r="E47">
        <f>HYPERLINK("https://www.linkedin.com/jobs/view/4363601280", "https://www.linkedin.com/jobs/view/4363601280")</f>
        <v/>
      </c>
      <c r="F47" t="inlineStr"/>
      <c r="G47" t="inlineStr">
        <is>
          <t>San Diego, CA</t>
        </is>
      </c>
      <c r="H47" t="inlineStr"/>
      <c r="I47" t="inlineStr">
        <is>
          <t>**What if you could** 
 build a career where ambition meets innovation? At LPL Financial, we empower professionals to shape their success while helping clients pursue their financial goals with confidence.
 **What if you could** 
 have access to cutting\-edge resources, a collaborative environment, and the freedom to make an impact? If you're ready to take the next step, discover what’s possible with LPL Financial.
**Job Overview:**
 We are looking for an inspired innovative Senior Developer Lead for our cloud transformation journey, with background in development of high throughput mission critical business applications, leveraging AWS technologies with .Net, SQL Server and PostgreSQL. The individual will need to be well versed in financial, trading and advisory technologies. As a trusted engineer lead, you will be working cross\-functional teams to ensure development, deliver quality and meet deadlines. This is a Techno functional hands\-on, technical lead role in the trading organization that will design, architect and develop cloud\-native and on\-prem services to support LPL’s overall cloud strategy and transformation.
**Responsibilities:**
* Lead a tech team to design, develop, test and implement technical solutions based on business requirements and strategic direction utilizing AWS cloud native technologies (EC2, S3, ECS, EKS, ELB, RDS, R53, Lambda, API Gateway, RDS).
* Deep understanding and seasoned on cloud migration strategies with AWS and e2e SDLC.
* Build strong relationships with key stakeholders, including architecture, data, product, and business partners, and strategies to scale and modernize existing trading platforms.
* Work collaboratively with quality assurance engineering teams, DevOps and PMO to ensure all SDLC processes and Agile best practices are followed.
* Code and implement guardrails to enable self\-service and frictionless delivery allowing teams to build and own end\-to\-end applications and services in the cloud.
* Formulating workable solutions to complex challenges, logically deliberating on courses of action by examining and challenging assumptions, discerning hidden value, objectively evaluating evidence, and assessing conclusions.
* Measure success by say/do, velocity, defect remediation, and clear value to the trading platforms.
* Provide technical leadership to teammates through technical design and implementation of industry best practices adhering to LPL’s modernization practices, cloud practices, SDLC and release management processes.
* Provide production support, maintain, troubleshoot, optimize and enhance trading platforms/applications.
* Ensure service level agreements and contingency activities are covered related to system/application availability ensuring zero Advisor experience disruption.
**What are we looking for?**
 We’re looking for strong collaborators who deliver exceptional client experiences and thrive in fast\-paced, team\-oriented environments. Our ideal candidates
 **pursue greatness** 
 ,
 **act with integrity** 
 , and are
 **driven to help our clients succeed** 
 . We value those who embrace creativity, continuous improvement, and contribute to a culture where we
 **win together** 
 and
 **create and share joy** 
 in our work.
**Requirements:**
* 6\+ years of hands\-on experience in full\-stack application development utilizing C\# .NET, Angular/JavaScript, REST APIs, and relational databases, with a strong emphasis on a test\-driven development (TDD) approach to ensure high\-quality software delivery.
* 6\+ years of experience in enterprise software development, including documenting designs through sequence and activity diagrams, presenting in architecture board reviews, and developing microservices using API‑first principles with strong knowledge of cloud patterns for scalable, high‑performance solutions.
* 6\+ Years SQL server, PostgreSQL, DynamoDB, DocumentDB, etc.
* 6\+ years of hands on experience with Kafka and event driven architectures/patterns.
* 6\+ years of experience with AWS technologies, showcasing hands\-on development expertise with AWS Lambda and Step Functions to build robust cloud\-based solutions (CloudFront, S3, API Gateway, Lambda, Fargate/EKS, DynamoDB).
**Preferences:**
* Experience working in trading domain with knowledge of backend trading and order execution workflows.
* Experience with on\-prem to cloud migration/transformation.
* Experience working with global delivery teams.
* BS in Computer Science or equivalent experience.
 \- Hybrid
**Pay Range:**
 $106,125\-$176,875/year
 Actual base salary varies based on factors, including but not limited to, relevant skill, prior experience, education, base salary of internal peers, demonstrated performance, and geographic location. Additionally, LPL Total Rewards package is highly competitive, designed to support your success at work, at home, and at play – such as 401K matching, health benefits, employee stock options, paid time off, volunteer time off, and more. Your recruiter will be happy to discuss all that LPL has to offer!
**Company Overview:**
 LPL Financial Holdings Inc. (Nasdaq: LPLA) is among the fastest growing wealth management firms in the U.S. As a leader in the financial advisor\-mediated marketplace(6\) , LPL supports over 32,000 financial advisors and the wealth management practices of approximately 1,100 financial institutions, servicing and custodying approximately $2\.3 trillion in brokerage and advisory assets on behalf of approximately 8 million Americans. The firm provides a wide range of advisor affiliation models, investment solutions, fintech tools and practice management services, ensuring that advisors and institutions have the flexibility to choose the business model, services, and technology resources they need to run thriving businesses. For further information about LPL, please visit www.lpl.com.
 At LPL, independence means that advisors and institution leaders have the freedom they deserve to choose the business model, services, and technology resources that allow them to run a thriving business. They have the flexibility to do business their way. And they have the freedom to manage their client relationships, because they know their clients best. Simply put, we take care of our advisors and institutions, so they can take care of their clients.
 For further information about LPL, please visit www.lpl.com.
**Join LPL Financial: Where Your Potential Meets Opportunity**
 At LPL Financial, we believe that everyone deserves objective financial guidance. As the nation’s leading independent broker\-dealer, we offer an integrated platform of cutting\-edge technology, brokerage, and investment advisor services.
**Why LPL?**
* Innovative Environment: We foster creativity and growth, providing a supportive and responsive leadership team. Learn more about our leadership team here!
* Limitless Career Potential: Your career at LPL has no limits, only amazing potential. Learn more about our careers here!
* Unified Mission: We are one team on one mission—taking care of our advisors so they can take care of their clients. Learn more about our mission and values here!
* Impactful Work: Our size is just right for you to make a real impact. Learn more here!
* Commitment to Equality: We support workplace equality and embrace diverse perspectives and backgrounds. Learn more here!
* Community Focus: We care for our communities and encourage our employees to do the same. Learn more here!
* Benefits and Total Rewards: Our Total Rewards package goes beyond just compensation and insurance. It includes a mix of traditional and unique benefits, perks, and resources designed to enhance your life both at work and at home. Learn more here!
 Join the LPL team and help us make a difference by turning life’s aspirations into financial realities. Please log in or create an account to apply to this position. Principals only. EOE.
**Information on Interviews:**
 LPL will only communicate with a job applicant directly from an
 **@lplfinancial.com** 
 email address and will never conduct an interview online or in a chatroom forum. During an interview, LPL will not request any form of payment from the applicant, or information regarding an applicant’s bank or credit card. Should you have any questions regarding the application process, please contact LPL’s Human Resources Solutions Center at (855\) 575\-6947\.
 EAC12\.9\.25</t>
        </is>
      </c>
    </row>
    <row r="48">
      <c r="A48" t="inlineStr">
        <is>
          <t>li-4341295059</t>
        </is>
      </c>
      <c r="B48" t="inlineStr">
        <is>
          <t>Senior Software Engineer</t>
        </is>
      </c>
      <c r="C48" t="inlineStr">
        <is>
          <t>Microsoft</t>
        </is>
      </c>
      <c r="D48" t="inlineStr">
        <is>
          <t>linkedin</t>
        </is>
      </c>
      <c r="E48">
        <f>HYPERLINK("https://www.linkedin.com/jobs/view/4341295059", "https://www.linkedin.com/jobs/view/4341295059")</f>
        <v/>
      </c>
      <c r="F48">
        <f>HYPERLINK("https://apply.careers.microsoft.com/careers/job/1970393556629456?utm_source=linkedin&amp;domain=microsoft.com&amp;src=LinkedIn&amp;urlHash=uBOa", "https://apply.careers.microsoft.com/careers/job/1970393556629456?utm_source=linkedin&amp;domain=microsoft.com&amp;src=LinkedIn&amp;urlHash=uBOa")</f>
        <v/>
      </c>
      <c r="G48" t="inlineStr"/>
      <c r="H48" t="inlineStr"/>
      <c r="I48" t="inlineStr">
        <is>
          <t>**Overview**
 Microsoft Azure Storage is a highly distributed, massively scalable, and ubiquitously accessible cloud storage platform. Azure storage already runs at Exascale (storing Exabytes of data) and we will scale our designs over the next decade to support Zettascale (storing Zettabytes of data). Within Azure Storage, the Ultra Disk team (The Ultra Disk Team) provides next\-generation block storage platform for the most demanding cloud storage workloads. If delivering the fastest block storage platform in the cloud using cutting edge technology sounds interesting, we may have the job for you!
 As a Senior Software Engineer \- Azure Storage, you will be designing and implementing protocols and features for data durability, availability, scalability, and performance of backend distributed block storage. This opportunity will enable you to innovate with a fast paced highly talented team and have high impact on cloud storage industry.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Collaborates with appropriate stakeholders to determine user requirements for a set of scenarios.
* Leads identification of dependencies and the development of design documents for a product, application, service, or platform.
* Creates, implements, optimizes, debugs, refactors, and reuses code to establish and improve performance and maintainability, effectiveness, and return on investment (ROI).
* Leverages subject\-matter expertise of cross\-product features with appropriate stakeholders (e.g., project managers) to drive a workgroup's project plans, release plans, and work items.
* Acts as a Designated Responsible Individual (DRI) and guides other engineers by developing and following the playbook, working on call to monitor system/product/service for degradation, downtime, or interruptions, alerting stakeholders about status and initiates actions to restore system/product/service for simple and complex problems when appropriate.
* Proactively seeks new knowledge and adapts to new trends, technical solutions, and patterns that will improve the availability, reliability, efficiency, observability, and performance of products while also driving consistency in monitoring and operations at scale and shares knowledge with other engineers.
* Embody our culture and values
**Qualifications**
 Required Qualifications:
* Bachelor's Degree in Computer Science, or related technical discipline AND 4\+ years technical engineering experience with coding in languages including, but not limited to, C or C\+\+
+ OR equivalent experience.
* 4\+ years of experience in data structures and algorithms with experience in testing, debugging, and analytical skills.
* 2\+ years of experience with multi\-threaded programming.
**Other Requirements**
* Ability to meet Microsoft, customer and/or government security screening requirements are required for this role. These requirements include, but are not limited to the following specialized security screenings: Microsoft Cloud Background Check: This position will be required to pass the Microsoft Cloud Background Check upon hire/transfer and every two years thereafter.
**Preferred Qualifications**
* Bachelor's Degree in Computer Science or related technical field AND 8\+ years technical engineering experience with coding in languages including, but not limited to, C or C\+\+
+ OR Master's Degree in Computer Science or related technical field AND 6\+ years technical engineering experience with coding in languages including, but not limited to, C or C\+\+
+ OR equivalent experience.
* Experience in designing and building large scale distributed systems with experiences in cloud backend development and operations, including performance, reliability, resiliency, and scale\-out.
 \#azurecorejobs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49">
      <c r="A49" t="inlineStr">
        <is>
          <t>li-4369325509</t>
        </is>
      </c>
      <c r="B49" t="inlineStr">
        <is>
          <t>Senior Software Engineer (Full Stack)</t>
        </is>
      </c>
      <c r="C49" t="inlineStr">
        <is>
          <t>Counsel Health</t>
        </is>
      </c>
      <c r="D49" t="inlineStr">
        <is>
          <t>linkedin</t>
        </is>
      </c>
      <c r="E49">
        <f>HYPERLINK("https://www.linkedin.com/jobs/view/4369325509", "https://www.linkedin.com/jobs/view/4369325509")</f>
        <v/>
      </c>
      <c r="F49">
        <f>HYPERLINK("https://jobs.ashbyhq.com/counsel/8b3e3f72-da1b-46b1-9730-325ca0c2384b?source=LinkedIn&amp;urlHash=ahNN", "https://jobs.ashbyhq.com/counsel/8b3e3f72-da1b-46b1-9730-325ca0c2384b?source=LinkedIn&amp;urlHash=ahNN")</f>
        <v/>
      </c>
      <c r="G49" t="inlineStr">
        <is>
          <t>New York, NY</t>
        </is>
      </c>
      <c r="H49" t="inlineStr"/>
      <c r="I49" t="inlineStr">
        <is>
          <t>**About Counsel** 
**Counsel Health is an AI\-enabled, physician\-supervised virtual care company on a mission to multiply the world’s clinical capacity.** 
 We believe in a future where every person has a perfect doctor in their pocket, always available, infinitely knowledgeable, and deeply personalized.
 To achieve this, we’re building the first fully vertical, AI\-enabled medical group from the ground up, redesigning the entire clinical stack with custom AI tools that make our in\-house physicians faster and smarter without compromising security or patient safety.
 Since our founding in 2023, Counsel has partnered with leading employers, health plans, health systems, and channel partners, serving 100K\+ members and on track to reach 1M\+ more over the next 12 months. We have raised over $35M from a16z, GV, and other top\-tier investors, and are on pace to 5x revenue this year.
 Our founding team includes senior physicians and technology leaders from Harvard Medical School, Massachusetts General Hospital, UCSF, the MIT Media Lab, and Mount Sinai. Our broader team, coming from Stripe, NVIDIA, and Google DeepMind, is growing quickly, and we’re looking for exceptional people to join us at this inflection point.
**About The Role** 
 We are seeking a talented, driven, and experienced
 **Senior** 
**Software Engineer** 
 to join us in defining the future of AI \+ human healthcare. This role can be remote, but will be hybrid for those located in NY/Boston or able to move to our in\-person office.
 You will have significant responsibility and ownership over our product, along with the opportunity to shape the future of our engineering organization. You will work cross\-functionally with product, clinical, and commercial teams while interfacing with prominent healthcare organizations nationwide as we lead the future of AI in clinical care.
 Our engineering work spans a range of disciplines, including full\-stack web development, data infrastructure, mobile development, and AI/MLOps. Our culture is fast\-paced and ambitious, and we aim for every team member to be exceptional.
**What You’ll Be Working On** 
* Leading initiatives with our Product and Design teams to ship and iterate on unique product experiences in AI\-enabled care that improve patient engagement and outcomes
* Working closely with our ML research team to bring cutting\-edge AI/LLM techniques into clinical care and implement these features into our agentic framework
* Improving our physician\-facing care platform and integrating AI tooling to increase physician efficiency and clinical capabilities
* Architecting scalable backend systems, such as health data ingestion pipelines and enterprise client integrations
**Requirements** 
* 5\+ years of building production software, ideally with 2\+ years at startups or growth companies
* Proficiency in our tech stack: React, NextJs, Node.js (Typescript), React Native, Postgres, AWS, Terraform, Redis
* Experience building at scale, serving hundreds of thousands of end\-users and large enterprise clients
* Opinionated about up\-leveling your own engineering skills and the team around you
* Familiarity with AI/ML concepts and recent AI developments.
**You are a great fit if** 
* You are a self\-motivated, creative doer who takes ownership of broad initiatives and drives them to completion, navigating ambiguity with ease
* You have hands\-on experience building consumer\-facing products from the ground up in a high\-growth, startup environment
* You thrive on working alongside exceptional teammates and derive energy from fast\-moving collaborative environments
* You are familiar with AI/ML concepts and excited to work on the frontier of AI applications
**What We Offer** 
* Impact: Be at the forefront of AI\-augmented care delivery, tackling some of the most ambitious challenges in healthcare.
* Growth: Professional development and leadership opportunities within a rapidly expanding tech\-enabled care delivery organization.
* Exposure: Gain hands\-on experience in scaling a fast\-growing healthcare technology company and directly interface with executives at the world’s leading healthcare organizations.
* Compensation: Competitive salary and equity options.
* Benefits: Competitive healthcare, vision, and dental, snacks and free lunch at the office.
***Recruitment Fraud Notice***
*Counsel Health only communicates with candidates using official @counselhealth.com email addresses. We will never ask for payment or financial information during the interview process. If you receive suspicious outreach claiming to be from Counsel Health, please contact us at careers@counselhealth.com.*</t>
        </is>
      </c>
    </row>
    <row r="50">
      <c r="A50" t="inlineStr">
        <is>
          <t>li-4360586340</t>
        </is>
      </c>
      <c r="B50" t="inlineStr">
        <is>
          <t>Embedded Software Engineer, Level 3</t>
        </is>
      </c>
      <c r="C50" t="inlineStr">
        <is>
          <t>Snap Inc.</t>
        </is>
      </c>
      <c r="D50" t="inlineStr">
        <is>
          <t>linkedin</t>
        </is>
      </c>
      <c r="E50">
        <f>HYPERLINK("https://www.linkedin.com/jobs/view/4360586340", "https://www.linkedin.com/jobs/view/4360586340")</f>
        <v/>
      </c>
      <c r="F50" t="inlineStr"/>
      <c r="G50" t="inlineStr">
        <is>
          <t>San Diego, CA</t>
        </is>
      </c>
      <c r="H50" t="inlineStr"/>
      <c r="I50" t="inlineStr">
        <is>
          <t>Snap Inc is a technology company. We believe the camera presents the greatest opportunity to improve the way people live and communicate. Snap contributes to human progress by empowering people to express themselves, live in the moment, learn about the world, and have fun together. The Company’s three core products are Snapchat, a visual messaging app that enhances your relationships with friends, family, and the world; Lens Studio, an augmented reality platform that powers AR across Snapchat and other services; and its AR glasses, Spectacles.
 The Spectacles team is pushing the boundaries of technology to bring people closer together in the real world. Our fifth\-generation Spectacles, powered by Snap OS, showcase how standalone, see\-through AR glasses make playing, learning, and working better together.
 Snapchat is a camera and messaging app that connects people to their friends and the world. Every day around the globe, millions of people use Snapchat to communicate with friends, build relationships, play, and learn. No matter where you are or how you express yourself, it’s always the fastest way to share a moment!
 We’re looking for a Software Engineer (Wireless Connectivity) to join the Operating Systems team at Snap Inc!
 What you’ll do:
* You will design, develop, test, deploy, maintain, and enhance software solutions for devices
* Develop modem software and verify modem feature functionalities and performance to improve user experience including call, voice quality, data, thermal/power, connectivity
* Identify modem software performance gaps by analyzing system requirements, design, software implementation, issue analysis, and simulation of real world scenarios
* Debug, analyze, and fix modem issues from factory, certification field, and end users
 Knowledge, Skills \&amp; Abilities:
* Strong Software Engineering skills including design, programming (C or C\+\+), debugging and testing is required
* Experience with Cellular SW (Radio Interface Layer) or WLAN or Bluetooth preferred
* Understanding of network protocols such as (TCP/UDP/IP)
* Having experience in SW development to support cellular carrier certification is a plus
* Good understanding of OS concepts (heap/stack/threads/mutex/memory/scheduling) is a plus
 Minimum Qualifications:
* Bachelor’s degree in Computer Science/Engineering or equivalent
* \+0 years of experience with software development in one or more languages, and data structures / algorithms.
 Preferred Qualifications:
* Understanding of Cellular, WLAN, BT protocols.
 If you have a disability or special need that requires accommodation, please don’t be shy and provide us some information.
 "Default Together" Policy at Snap: At Snap Inc. we believe that being together in person helps us build our culture faster, reinforce our values, and serve our community, customers and partners better through dynamic collaboration. To reflect this, we practice a “default together” approach and expect our team members to work in an office 4\+ days per week.
 At Snap, we believe that having a team of diverse backgrounds and voices working together will enable us to create innovative products that improve the way people live and communicate. Snap is proud to be an equal opportunity employer, and committed to providing employment opportunities regardless of race, religious creed, color, national origin, ancestry, physical disability, mental disability, medical condition, genetic information, marital status, sex, gender, gender identity, gender expression, pregnancy, childbirth and breastfeeding, age, sexual orientation, military or veteran status, or any other protected classification, in accordance with applicable federal, state, and local laws. EOE, including disability/vets.
 We are an Equal Opportunity Employer and will consider qualified applicants with criminal histories in a manner consistent with applicable law (by example, the requirements of the San Francisco Fair Chance Ordinance and the Los Angeles Fair Chance Initiative for Hiring, where applicable).
 Our Benefits: Snap Inc. is its own community, so we’ve got your back! We do our best to make sure you and your loved ones have everything you need to be happy and healthy, on your own terms. Our benefits are built around your needs and include paid parental leave, comprehensive medical coverage, emotional and mental health support programs, and compensation packages that let you share in Snap’s long\-term success!
**Compensation**
 In the United States, work locations are assigned a pay zone which determines the salary range for the position. The successful candidate’s starting pay will be determined based on job\-related skills, experience, qualifications, work location, and market conditions. The starting pay may be negotiable within the salary range for the position. These pay zones may be modified in the future.
 Zone A (CA, WA, NYC):
 The base salary range for this position is $118,000\-$176,000 annually.
 Zone B:
 The base salary range for this position is $112,000\-$167,000 annually.
 Zone C:
 The base salary range for this position is $100,000\-$150,000 annually.
 This position is eligible for equity in the form of RSUs.</t>
        </is>
      </c>
    </row>
    <row r="51">
      <c r="A51" t="inlineStr">
        <is>
          <t>li-4361080424</t>
        </is>
      </c>
      <c r="B51" t="inlineStr">
        <is>
          <t>Software Engineer II</t>
        </is>
      </c>
      <c r="C51" t="inlineStr">
        <is>
          <t>GAMA-1 Technologies</t>
        </is>
      </c>
      <c r="D51" t="inlineStr">
        <is>
          <t>linkedin</t>
        </is>
      </c>
      <c r="E51">
        <f>HYPERLINK("https://www.linkedin.com/jobs/view/4361080424", "https://www.linkedin.com/jobs/view/4361080424")</f>
        <v/>
      </c>
      <c r="F51">
        <f>HYPERLINK("https://ars2.equest.com/?response_id=92d64996d5c6319abafd21f6bf3791ef&amp;urlHash=XDzn", "https://ars2.equest.com/?response_id=92d64996d5c6319abafd21f6bf3791ef&amp;urlHash=XDzn")</f>
        <v/>
      </c>
      <c r="G51" t="inlineStr">
        <is>
          <t>Greenbelt, MD</t>
        </is>
      </c>
      <c r="H51" t="inlineStr"/>
      <c r="I51" t="inlineStr">
        <is>
          <t>**Description**
 We are seeking a remote Software Engineer II with experience in the research, design, and development of computer and network software or specialized utility programs. The Software Engineer II will analyze user needs, develop software solutions, update software, or enhance existing software capabilities. The Software Engineer II will be part of a mission\-critical team advancing technology for our federal client's next generation of environmental data. Work is normally performed in a remote work arrangement.</t>
        </is>
      </c>
    </row>
    <row r="52">
      <c r="A52" t="inlineStr">
        <is>
          <t>li-4360051381</t>
        </is>
      </c>
      <c r="B52" t="inlineStr">
        <is>
          <t>senior software engineer, iOS (Seattle, WA - U.S.)</t>
        </is>
      </c>
      <c r="C52" t="inlineStr">
        <is>
          <t>Starbucks</t>
        </is>
      </c>
      <c r="D52" t="inlineStr">
        <is>
          <t>linkedin</t>
        </is>
      </c>
      <c r="E52">
        <f>HYPERLINK("https://www.linkedin.com/jobs/view/4360051381", "https://www.linkedin.com/jobs/view/4360051381")</f>
        <v/>
      </c>
      <c r="F52" t="inlineStr"/>
      <c r="G52" t="inlineStr">
        <is>
          <t>Seattle, WA</t>
        </is>
      </c>
      <c r="H52" t="inlineStr"/>
      <c r="I52" t="inlineStr">
        <is>
          <t>Now Brewing – iOS Engineers! \#tobeapartner
 From the beginning, Starbucks set out to be a different kind of company. One that not only celebrated coffee and the rich tradition, but that also brought a feeling of connection. We are known for developing extraordinary leaders who share this passion and are guided by their service to others.
 The Starbucks iOS application is used by more than 25 million users every month and the iOS engineering team is growing and innovating quickly to deliver the best possible and inclusive experience to our users. Come join the Starbucks iOS engineering team and help evolve mobile engineering at one of the world's most successful digital rewards and loyalty platforms. If you are driven by innovation, purpose\-driven work, technical challenges and want to be a part of some amazing, industry\-leading work come join us.
 As a senior engineer on the team, you will be responsible for driving successful delivery of your work, utilizing your passion and in\-depth knowledge of iOS accessibility to improve client components, identifying then subsequently helping to drive efforts to mature team practices and improve the native digital platform. This role requires an effective technical collaborator who has core iOS development expertise and has built and deployed apps to the Apple App Store.
 As a senior engineer, you will participate in assessing new projects and features for feasibility, writing code for the latest features and important bug fixes, championing accessibility, and working to test and release those features to the public.
 As a Senior Software Engineer, you will…
* Build, iterate, and enhance the Starbucks iOS application
* Champion accessibility
* Contribute to the ongoing improvement of architecture and code reviews
* Optimize existing code for maintainability and testability
* Improve app quality with the development of unit and automated UI tests
* Mature and evolve team testing practice and philosophy
* Participate in vision and strategy exercises for the team
**About You**
* You approach challenges and problems with a positive solution\-oriented mindset.
* You can react swiftly to changing requirements and develop and explore alternative solutions
* You have a proven ability to learn new technologies relatively quickly and apply the gained knowledge to address customer and business problems
* You have a passion for iOS and you are up to speed on the latest Swift and iOS trends and developments
* A strong passion for learning and adapting to new technologies
**We’d Love To Hear From People With**
* Bachelor’s degree in Computer Science or related field
* Extensive software engineering experience with the iOS platform
* 4\+ years of professional experience developing consumer\-facing iOS mobile applications
* 4\+ years of software development experience
* Strong experience in integrating RESTful APIs, GraphQL, push notifications and multi\-threaded applications
* Attention to detail, particularly around software engineering fundamentals, testing methodologies, and quality.
* Advanced proficiency with one or more common modern mobile architectural patterns (VIPER, MVVM, MVP) and reactive programming
* Strong experience in Swift with some proficiency in Objective\-C
* Knowledge of accessibility standards: WCAG, Section 508\. Knowledge of International laws is a plus
* Familiarity using Apple’s accessibility features (Voiceover, Switch Control) is a plus
* Experience with Core Location services is a plus
* Experience writing integration and unit tests
* Strong Git experience
* Experience with XCode profiling tools to identify and improve app performance is a plus
* Desired: Interest in creating accessible (a11y) products that everyone can use. A CPACC or WAS certification is preferred, but not required
 As a Starbucks partner, you (and your family) will have access to medical, dental, vision, basic and supplemental life insurance, and other voluntary insurance benefits. Partners have access to short\-term and long\-term disability, paid parental leave, family expansion reimbursement, paid vacation from date of hire\*, sick time (accrued at 1 hour for every 25 hours worked), eight paid holidays, and two personal days per year. Starbucks also offers eligible partners participation in a 401(k) retirement plan with employer match, a discounted company stock program (S.I.P.), Starbucks equity program (Bean Stock), incentivized emergency savings, and financial well\-being tools. Additionally, Starbucks offers 100% upfront tuition coverage for a first\-time bachelor’s degree through Arizona State University’s online program via the Starbucks College Achievement Plan, student loan management resources, and access to other educational opportunities. You will also have access to backup care and DACA reimbursement. Starbucks will comply with any applicable state and local laws regarding employee leave benefits, including, but not limited to providing time off pursuant to the Colorado Healthy Families and Workplaces Act, and in accordance with its plans and policies. This list is subject to change depending on collective bargaining in locations where partners have a certified bargaining representative. For additional information regarding partner perks and more detailed information about benefits, go to starbucksbenefits.com.
* If you are working in CA, CO, IL, LA, ME, MA, NE, ND or RI, you will accrue vacation up to a maximum of 120 hours (190 in CA) for roles below director and 200 hours (316 in CA) for roles at director or above. For roles in other states, you will be granted vacation time starting at 120 hours annually for roles below director and 200 hours annually for roles director and above.
 The actual base pay offered to the successful candidate will be based on multiple factors, including but not limited to job\-related knowledge/skills, experience, geographical location, and internal equity. At Starbucks, it is not typical for an individual to be hired at the high end of the range for their role, and compensation decisions are dependent upon the facts and circumstances of each position and candidate.
 Join us and inspire with every cup. Apply today! Starbucks Coffee Company is an equal opportunity employer. All qualified applicants will receive consideration for employment without regard to race, color, religion, sex, sexual orientation, gender identity, age, national origin, disability, or protected veteran status, or any other characteristic protected by law.
 Qualified applicants with criminal histories will be considered for employment in a manner consistent with all federal, state and local ordinances. Starbucks Coffee Company is committed to offering reasonable accommodations to job applicants with disabilities. If you need assistance or an accommodation due to a disability, please contact us at applicantaccommodation or 1(888\) 611\-2258\.</t>
        </is>
      </c>
    </row>
    <row r="53">
      <c r="A53" t="inlineStr">
        <is>
          <t>li-4341746358</t>
        </is>
      </c>
      <c r="B53" t="inlineStr">
        <is>
          <t>Software Developer / C</t>
        </is>
      </c>
      <c r="C53" t="inlineStr">
        <is>
          <t>SAS</t>
        </is>
      </c>
      <c r="D53" t="inlineStr">
        <is>
          <t>linkedin</t>
        </is>
      </c>
      <c r="E53">
        <f>HYPERLINK("https://www.linkedin.com/jobs/view/4341746358", "https://www.linkedin.com/jobs/view/4341746358")</f>
        <v/>
      </c>
      <c r="F53" t="inlineStr"/>
      <c r="G53" t="inlineStr">
        <is>
          <t>Cary, NC</t>
        </is>
      </c>
      <c r="H53" t="inlineStr"/>
      <c r="I53" t="inlineStr">
        <is>
          <t>**Software Developer / C \- Hybrid, Cary, North Carolina**
 We’re a leader in data and AI. Through our software and services, we inspire customers around the world to transform data into intelligence – and questions into answers.
 If you’re looking for a dynamic, fulfilling career with flexibility and a world\-class employee experience, you’ll find it here. We’re recognized around the world for our inclusive, meaningful culture and innovative technologies by organizations like Fast Company, Forbes, Newsweek and more.
**About The Job**
 The Viya 3\.5 Security team is looking for a Software Developer to be a key contributor to securing SAS’ Viya 3\.5 customer offerings. Successful candidates will partner within SAS helping to solve complex technical problems anywhere in the Software Development Lifecycle (SDLC) from architecture and design to deployment and operations. This role will require technical breadth with a strong background in C to address concerns across SAS’ entire product portfolio.
**As a Software Developer, You Will**
* Participate in architecture and implementation discussions and actively engage in agile rituals including sprint planning, stand\-ups, and retrospectives
* Work collaboratively with cross\-functional teams including product management, QA, DevOps, and fellow developers to deliver secure, high\-quality software solutions for SAS’ entire product portfolio
* Design and develop security features and enhancements for the Viya 3\.5 platform, ensuring robust protection of customer data and systems
* Participate in project scoping and tracking using the Agile methodology in a continuous delivery environment
* Provide guidance to junior team members on technical challenges and best practices
* Ensure all applicable security policies and processes are followed to support the organization’s secure software development goals.
* Embrace curiosity, passion, authenticity and accountability. These are our values and influence everything we do.
**Required Qualifications**
* Bachelor’s degree in Computer Science or a related field
* 5\+ years of professional software development experience
* Strong proficiency in C and high performance, multi\-threaded, event\-driven systems
* Demonstrated knowledge of secure software development practices including threat modeling, secure coding standards, and vulnerability remediation
* Strong understanding of software development tools, methodologies (Agile/Scrum), and design principles
* Equivalent combination of related education, training and experience may be considered in place of the above qualifications.
**Additional Competencies, Knowledge And Skills**
* Communication: Excellent communication skills with ability to explain complex technical concepts to both technical and non\-technical audiences
* Technology Savvy: Stay current with emerging security threats, vulnerabilities, and industry best practices, applying this knowledge to strengthen our platforms
* Collaboration: Ability to work independently as part of a team while mentoring younger team members
* Experience building and maintaining CI/CD pipelines using tools such as Jenkins, GitHub Actions, and scripting languages like Python
* Experience with security scanning tools (e.g., Snyk, Prisma, Klocwork, ZAP)
* Understanding of cybersecurity principles including FIPS compliance, TLS/SSL protocols, certificate and private key infrastructure, and cryptographic ciphers
* Familiarity with Java
* Experience with unit testing, integration testing, and test\-driven development
**World\-class Benefits**
 Highlights include...
* Comprehensive medical, prescription, dental and vision plans.
* Medical plan options include:
+ PPO with low annual deductible and copays.
+ HDHP combined with a health savings account with a contribution from SAS (no access to on\-site health care center).
* Onsite Health Care Center (HQ) that’s free to employees and family members enrolled in the PPO plan. There's a pharmacy too! Not local to HQ? The pharmacy will ship prescriptions for no additional charge!
* An industry\-leading 401k plan.
* Tuition Assistance Program and programs and resources to support your development
* Generous time away including vacation time, a variety of paid holidays, and our much\-loved U.S. Winter Wellness Break between December 25 and January 1\.
* Volunteer Time Off, parental leave and unlimited paid sick days.
* Generous childcare benefits for all full\-time employees.
**You are welcome here.**
 At SAS, it’s not about fitting into our culture – it’s about adding to it. We believe our people make the difference. Our inclusive workforce brings together unique talents and inspires teams to create amazing software that reflects the diversity of our users and customers.
**Additional Information**
 To qualify, applicants must be legally authorized to work in the United States, and should not require, now or in the future, sponsorship for employment visa status. SAS is an equal opportunity employer. All qualified applicants are considered for employment without regard to any characteristic protected by law. Read more: Know Your Rights .
 Resumes may be considered in the order they are received. SAS employees performing certain job functions may require access to technology or software subject to export or import regulations. To comply with these regulations, SAS may obtain nationality or citizenship information from applicants for employment. SAS collects this information solely for trade law compliance purposes and does not use it to discriminate unfairly in the hiring process.
 SAS only sends emails from verified “sas.com” email addresses and never asks for sensitive, personal information or money. If you have any doubts about the authenticity of any type of communication from, or on behalf of SAS, please contact Recruitingsupport@sas.com.
 Let's stay in touch! Join our Talent Community to stay up to date on company news, job updates and more.
 CDev25
 \#SAS</t>
        </is>
      </c>
    </row>
    <row r="54">
      <c r="A54" t="inlineStr">
        <is>
          <t>li-4359887711</t>
        </is>
      </c>
      <c r="B54" t="inlineStr">
        <is>
          <t>Sr. Software Engineer, Fundraising</t>
        </is>
      </c>
      <c r="C54" t="inlineStr">
        <is>
          <t>Bloomerang</t>
        </is>
      </c>
      <c r="D54" t="inlineStr">
        <is>
          <t>linkedin</t>
        </is>
      </c>
      <c r="E54">
        <f>HYPERLINK("https://www.linkedin.com/jobs/view/4359887711", "https://www.linkedin.com/jobs/view/4359887711")</f>
        <v/>
      </c>
      <c r="F54">
        <f>HYPERLINK("https://grnh.se/gi6y6sxe5us&amp;urlHash=jLRz", "https://grnh.se/gi6y6sxe5us&amp;urlHash=jLRz")</f>
        <v/>
      </c>
      <c r="G54" t="inlineStr">
        <is>
          <t>Indianapolis, IN</t>
        </is>
      </c>
      <c r="H54" t="inlineStr"/>
      <c r="I54" t="inlineStr">
        <is>
          <t>At Bloomerang, we believe change happens on purpose. We champion the power and potential of nonprofits, igniting next\-level impact with the team and technology built for purpose. Our powerful giving platform and stellar support enable tens of thousands of nonprofits to raise more, recruit more, and retain more, fueling maximum impact and raising the bar on what's possible for the nonprofit sector. That's why, even as the nonprofit sector sees declines in giving, Bloomerang customers raise more year over year.
 We're also in the business of creating thriving employees. Join a mission\-driven culture built on our core values of Simplify, Care and Act. We know our people are the key to our success, and we're proud to be home to some of the most innovative and skilled individuals in the workforce today. Come feel invigorated and unstoppable with us!
**The Role**
 As a Sr. Software Engineer at Bloomerang you will function as the technical lead, and act as a driving force behind our mission to empower nonprofits. You don't just write code; you shape the technical direction of our platform, working at the intersection of Product, QA, and Engineering to deliver high\-impact SaaS solutions. You are a leader who thrives in an agile environment, embraces the future of AI\-driven development, and enjoys mentoring a high performing team of Software Engineers.
**What You Will Do**
* Own the technical vision and direction for your domain, ensuring the team builds solutions that are scalable, maintainable, and aligned with enterprise architectural guidance.
* Diagnose and resolve complex technical bottlenecks, leveraging deep knowledge of debugging tools to maintain the performance of our SaaS applications.
* Champion Agile ceremonies and workflows, ensuring iterative delivery, high velocity, and continuous improvement within the sprint cycle.
* Conduct rigorous code reviews in adherence to coding standards, to catch potential bugs and provide constructive feedback to elevate the team's standards.
* Embed AI responsibly into your team's workflow by using AI tools to enhance development productivity, code analysis, and technical problem\-solving.
* Mentor and coach junior and mid\-level engineers, helping them develop deeper technical skills, architectural thinking, and ownership mindset
**What You Need to Succeed**
* A deep mastery of PHP and CSS: You have strong proficiency in our core backend technologies and are comfortable working extensively with SQL.
* Modern Frontend experience: You bring hands\-on experience with JavaScript, and we'll be especially excited if you have React or TypeScript in your toolkit.
* A commitment to excellence: You model high standards of technical execution and continuous learning, inspiring your team to grow alongside you.
* A sense of accountability: You take full ownership of code quality outcomes, ensuring that every product shipped meets the highest standards of reliability.
* Scalable systems thinking: You have experience establishing and evolving code review processes and automation that can adapt to a growing team and increasing complexity.
* Strategic partnership: You excel at working alongside Product teams to design robust solutions that balance feature delivery with long\-term stability and proactive technical debt management.
* Technological versatility: You bring proficiency in a diverse range of frameworks, languages, and databases, with a specific focus on advancing CRM or Fundraising functionalities.
* An AI\-forward mindset: You possess the curiosity and responsibility to explore and integrate AI tools into your daily workflow, driving efficiency to further the Bloomerang mission.
**Benefits**
**Health \+ Wellness**
 You'll have access to generous health, vision, and dental insurance options as well as HealthiestYou, a healthcare service that offers convenient, confidential access to quality doctors 24/7, anytime, anywhere.
**Time Off**
 You'll get a competitive PTO package that includes 20 PTO days, 3 flex days, 4 optional volunteer days, 12 paid holidays, as well as paid parental leave. More is more!
**401k**
 You'll receive a 401k match to help invest in your future.
**Equipment**
 Everything you need to be successful, shipped right to your door. You got this. We got you.
**Compensation**
 The salary range for this position is $110,000 \- $155,000\. You may also be eligible for a discretionary bonus. Actual compensation within the range will be dependent on your skills, experience, qualifications, and location, as well as applicable employment laws
**Location**
 This is a permanent, full\-time, fully remote position (within the U.S. and select Canadian Provinces only). Employees living in Indianapolis, IN are welcome to work from our company headquarters. We do not offer Visa sponsorship or relocation assistance at this time.
**Accommodations**
 Applicants who require accommodations may contact careers@bloomerang.com to request an accommodation in completing an application.
*Bloomerang is an Equal Opportunity Employer. Individuals seeking employment at Bloomerang are considered without regard to race, color, religion, national origin, age, sex, marital status, ancestry, physical or mental disability, veteran status, gender identity, or sexual orientation.*</t>
        </is>
      </c>
    </row>
    <row r="55">
      <c r="A55" t="inlineStr">
        <is>
          <t>li-4359101235</t>
        </is>
      </c>
      <c r="B55" t="inlineStr">
        <is>
          <t>Full-Stack Product Software Engineer, Search Platform</t>
        </is>
      </c>
      <c r="C55" t="inlineStr">
        <is>
          <t>Dropbox</t>
        </is>
      </c>
      <c r="D55" t="inlineStr">
        <is>
          <t>linkedin</t>
        </is>
      </c>
      <c r="E55">
        <f>HYPERLINK("https://www.linkedin.com/jobs/view/4359101235", "https://www.linkedin.com/jobs/view/4359101235")</f>
        <v/>
      </c>
      <c r="F55" t="inlineStr"/>
      <c r="G55" t="inlineStr"/>
      <c r="H55" t="inlineStr"/>
      <c r="I55" t="inlineStr">
        <is>
          <t>**PLEASE READ: Zones are based on your zip code. If you’re within 100 miles of a listed metro area (straight\-line radius), you’re included in that Zone. For this role, we are hiring in Zones 2 and 3\. Check your Zone here before applying.**
**Company Description**
 Dropbox isn’t just a workplace—it’s a living lab for more enlightened ways of working. We're a global community of bold visionaries and resourceful doers who are shaping the future of Dropbox—and with it the future of work. Our Virtual First model combines the autonomy of a distributed workplace with the power of human connection, making space for both meaningful work and meaningful relationships. With our start\-up mindset and enterprise\-level opportunities, you can be who you are and grow into who you’re meant to be. Here, you can own your impact to make work more intuitive, joyful, and human—for you as a Dropboxer and for hundreds of millions of people worldwide. If you're ready to push boundaries—and yourself— Dropbox is ready for you.
**Team Description**
 The Dropbox Engineering Team builds the technology that creates more enlightened ways of working for hundreds of millions of people. Every day, our platforms—including Dropbox Dash, Dropbox Sign, and our core sync engine—handle over a billion files for users worldwide, creating engineering challenges as great as the opportunity for impact. Our software engineering team uses a range of technologies to solve interesting problems, including Python, React, Node.js, JavaScript, MongoDB, PostgreSQL, and Android development. We think like a startup but build for an enterprise, exploring new possibilities that transform how people work. If you're excited about turning complex technical challenges into intuitive solutions at scale, join our Engineering team. Areas of work include Machine Learning Engineers, Infrastructure Engineer, Product SWE Frontend and Backend, Mobile Software Engineers (iOS and Android), Engineering Manager, Data Engineer, Software Development Engineer in Test, Security Engineering, Site Reliability Engineer, Technical Program Managers, Network Engineer, Datacenter Engineer, Technical Supply Chain Manager and more.
**Role Description**
 Dropbox, we believe in simplifying the way people work together. We provide a range of innovative cloud\-based solutions to empower individuals and businesses to share, access, and collaborate on their files seamlessly. Staff Engineers are pivotal in shaping our mission of building a more enlightened way of working where everyone can unleash their creative potential without constraints.
 This team owns the Sharing experience across all our File Sync and Share surfaces
 **.** 
 C will drive engineering planning, tech design and execution for multiple sharing initiatives, to make it easy for Dropbox users to share content that will boost sender and receiver experience, and long\-term engagement across platforms. Opportunity for large impact on the business simplifying the sender and receiver sharing experience to drive down churn and grow revenue.
 Our Engineering Career Framework is viewable by anyone outside the company and describes what’s expected for our engineers at each of our career levels. Check out our blog post on this topic and more here.
**Responsibilities**
* Designing and building scalable software to reach millions of daily users.
* Collaborating closely with product managers, designers, and analysts to understand user needs and develop products that meet those needs.
* Developing and executing short and long\-term roadmaps, balancing business impact, user experience, and technical quality.
* Actively contributing to our team and company culture through mentorship, participation in interviews, and involvement in new initiatives.
* Supporting fellow engineers through feedback, code reviews, and improvement of internal tools and processes.
* Ensure continuous service operation by participating in the team's on\-call rotation, including outside core collaboration hours on a periodic basis.
**Requirements**
* 5\+ Years of Experience
* BS, MS, or PhD in Computer Science or a related technical field involving coding (e.g., physics or mathematics) or equivalent technical experience
* Demonstrated success in developing and deploying large\-scale web applications with a user\-focused approach.
* Proficiency in building user\-facing software and supporting web/desktop systems and libraries.
* Ability to handle full\-stack projects and deliver minimum viable products efficiently.
**Preferred Qualifications**
* Contributions to open source projects or technical communities
* Full\-Stack Development
* Technologies: MySQL, Python, Go, React, Typescript
**Compensation**
 US Zone 1
 This role is not available in Zone 1
 US Zone 2
 $183,600—$248,400 USD
 US Zone 3
 $163,200—$220,800 USD
 The range(s) listed above is the expected annual salary/OTE (On\-Target Earnings) for this role, subject to change.
 Please note, OTE are for sales roles only.
 Salary/OTE is just one component of Dropbox’s total rewards package. All regular employees are also eligible for the corporate bonus program or a sales incentive (target included in OTE) as well as stock in the form of Restricted Stock Units (RSUs).
 Dropbox takes a number of factors into account when determining individual starting pay, including job and level they are hired into, location/metropolitan area, skillset, and peer compensation. We target most new hire offers between the minimum up to the middle of the range.
 Dropbox uses the zip code of an employee’s remote work location to determine which metropolitan pay range we use. Current US Zone locations are as follows:
* US Zone 1: San Francisco metro, New York City metro, or Seattle metro
* US Zone 2: California (outside SF metro), Colorado, Connecticut (outside NYC metro), Delaware, Illinois (Chicago metro), Indiana (Chicago metro), Maryland, Massachusetts, Michigan (Chicago metro), New Hampshire, New Jersey (outside NYC metro), New York (outside NYC metro), Oregon, Pennsylvania (D.C. metro), Pennsylvania (outside NYC or DC metro), Texas (Austin metro) Virginia (DC metro), Washington (outside Seattle metro), Washington DC metro, West Virginia (DC metro), Wisconsin (Chicago metro)
* US Zone 3: All other US locations
**Benefits**
 Dropbox is committed to investing in the holistic health and wellbeing of all Dropboxers and their families. Our benefits and perks programs include, but are not limited to:
* Competitive medical, dental, and vision coverage
* 401(k) plan with a generous company match and immediate vesting
* Flexible PTO/Paid Time Off, paid holidays, Volunteer Time Off, and more, allowing you time to unplug, unwind, and refresh
* Income Protection Plans: Life and disability insurance
* Business Travel Protection: Travel medical and accident insurance
* Perks Allowance to be used on what matters most to you, whether that’s wellness, learning and development, food and groceries, and much more
* Parental benefits including: Parental Leave, Child and Adult Care, Day Care FSA, Fertility Benefits, Adoption and Surrogacy Support, and Lactation Support
* Access to over 10,000 global co\-working spaces through Gable.tomaking it easy to book flexible workspaces for collaboration or individual work
* Quarterly Cell phone and internet allowance
* Mental health and wellness benefits
* Disability and neurodivergence support benefits
 Additional benefit details are available upon request.
 Dropbox supports responsible use of AI for preparation, but misrepresentation of skills or experience is not permitted. See our AI philosophy.
 Dropbox is an equal opportunity employer. We are a welcoming place for everyone, and we do our best to make sure all people feel supported and connected at work. A big part of that effort is our support for members and allies of internal groups like Asians at Dropbox, BlackDropboxers, enABLE, TODOS (Latinx), Pridebox (LGBTQ), Vets at Dropbox, and Women at Dropbox.</t>
        </is>
      </c>
    </row>
    <row r="56">
      <c r="A56" t="inlineStr">
        <is>
          <t>li-4329263562</t>
        </is>
      </c>
      <c r="B56" t="inlineStr">
        <is>
          <t>Software Engineer II - CTJ - Poly</t>
        </is>
      </c>
      <c r="C56" t="inlineStr">
        <is>
          <t>Microsoft</t>
        </is>
      </c>
      <c r="D56" t="inlineStr">
        <is>
          <t>linkedin</t>
        </is>
      </c>
      <c r="E56">
        <f>HYPERLINK("https://www.linkedin.com/jobs/view/4329263562", "https://www.linkedin.com/jobs/view/4329263562")</f>
        <v/>
      </c>
      <c r="F56" t="inlineStr"/>
      <c r="G56" t="inlineStr">
        <is>
          <t>Redmond, WA</t>
        </is>
      </c>
      <c r="H56" t="inlineStr"/>
      <c r="I56" t="inlineStr">
        <is>
          <t>**Overview**
 The Sovereign Cloud Security Health team is looking for a
 **Software Engineer II** 
 to help secure Microsoft’s clouds through innovative, cloud\-native security solutions. We operate internal security services that power scanning, monitoring, alerting, and detection at scale, with a strong focus on sovereign cloud environments. In this role, you’ll solve complex security and systems challenges in a fast\-paced, agile setting. You’ll work closely with Azure Security engineering teams, product managers, and internal stakeholders to deliver resilient solutions. If you’re passionate about building scalable, distributed, and highly available services, we’d love to have you on the team.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Write clean, efficient, well\-documented code for features and services supporting Azure security solutions.
* Collaborate with senior engineers to design and implement reliable, scalable components.
* Support 24x7 service health by monitoring systems, responding to alerts, and participating in on\-call rotations.
* Assist in diagnosing issues by reviewing logs and telemetry and applying debugging tools to help resolve problems.
* Follow coding standards, testing strategies, and operational guidelines to ensure quality and maintainability.
* Contribute to team projects through code reviews, sprint planning, and collaborative problem\-solving sessions.
* Grow technical skills by exploring new tools, frameworks, and technologies while seeking feedback and learning opportunities.
**Qualifications**
**Required/Minimum Qualifications:**
* Bachelor's Degree in Computer Science or related technical field AND 2\+ years technical engineering experience with coding in languages including, but not limited to, C, C\+\+, C\#, Java, JavaScript, or Python
+ OR equivalent experience.
**Other Requirements**
**Security Clearance Requirements:** 
 Candidates must be able to meet Microsoft, customer and/or government security screening requirements are required for this role. These requirements include, but are not limited to the following specialized security screenings:
* The successful candidate must have an active U.S. Government Top Secret Clearance with access to Sensitive Compartmented Information (SCI) based on a Single Scope Background Investigation (SSBI) with Polygraph. Ability to meet Microsoft, customer and/or government security screening requirements are required for this role. Failure to maintain or obtain the appropriate U.S. Government clearance and/or customer screening requirements may result in employment action up to and including termination.
* Clearance Verification: This position requires successful verification of the stated security clearance to meet federal government customer requirements. You will be asked to provide clearance verification information prior to an offer of employment.
* Microsoft Cloud Background Check: This position will be required to pass the Microsoft Cloud background check upon hire/transfer and every two years thereafter.
* Citizenship \&amp; Citizenship Verification: This position requires verification of U.S. citizenship due to citizenship\-based legal restrictions. Specifically, this position supports United States federal, state, and/or local United States government agency customer and is subject to certain citizenship\-based restrictions where required or permitted by applicable law. To meet this legal requirement, citizenship will be verified via a valid passport, or other approved documents, or verified US government Clearance
**Preferred/Additional Qualifications**
* Master's Degree in Computer Science or related technical field
+ AND 2\+ years technical engineering experience with coding in languages including, but not limited to, C, C\+\+, C\#, Java, JavaScript, or Python
+ OR Bachelor's Degree in Computer Science or related technical field
+ AND 3\+ years technical engineering experience with coding in languages including, but not limited to, C, C\+\+, C\#, Java, JavaScript, or Python
+ OR equivalent experience.
* Experience supporting large\-scale production services, including logging, monitoring, alerting, and on\-call responsibilities.
* Hands\-on experience with DevOps systems, including source code management, CI/CD pipelines, and code review tools.
* Strong debugging skills to resolve issues across operating systems, applications, and cloud environments.
* Familiarity with cloud computing, virtual machines, and networking.
* Experience with security disciplines such as event collection, monitoring, detection engineering, and vulnerability management in cloud environments.
* Excellent communication skills and ability to collaborate with multidisciplinary teams, including Software Engineers, Program Managers, and Data Scientists.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57">
      <c r="A57" t="inlineStr">
        <is>
          <t>li-4369326651</t>
        </is>
      </c>
      <c r="B57" t="inlineStr">
        <is>
          <t>Senior Software Engineer - ServiceNow (Remote)</t>
        </is>
      </c>
      <c r="C57" t="inlineStr">
        <is>
          <t>CareFirst BlueCross BlueShield</t>
        </is>
      </c>
      <c r="D57" t="inlineStr">
        <is>
          <t>linkedin</t>
        </is>
      </c>
      <c r="E57">
        <f>HYPERLINK("https://www.linkedin.com/jobs/view/4369326651", "https://www.linkedin.com/jobs/view/4369326651")</f>
        <v/>
      </c>
      <c r="F57" t="inlineStr"/>
      <c r="G57" t="inlineStr">
        <is>
          <t>Reston, VA</t>
        </is>
      </c>
      <c r="H57" t="inlineStr"/>
      <c r="I57" t="inlineStr">
        <is>
          <t>**Resp \&amp; Qualifications**
**PURPOSE:**
 Performs in a ServiceNow Senior developer position playing a key role in maturing Customer Service Products built on the ServiceNow platform. Performs complex analysis, design, development, testing, and debugging of computer software ranging from operating system architecture integration and software design to selection of computer systems, language, and/or equipment. Designs, develops/codes, tests, and documents critical and complex application programs for computer systems. Works with appropriate stakeholders to define system scope and objectives and establish baselines. Establishes project standards and processes. Breaks down software requirements and creates highly complex systems.
**Essential Functions**
* Perform technical detail design, coding, testing of applications. Serves as subject matter expert for both customer and internal discussions related to maintaining and enhancing existing software systems. Develop and/or analyze interface design documentation. Comply with hardware and software systems standards and procedures. Deliver large systems for tens of thousands of users. Comply with code quality, migration and dev/ops standards and policies
* Performs software analysis, including requirements and uses case development and design. Implements and documents source code to design specifications. Performs software testing including developing and running automated unit tests, drafting, and executing structured automated test cases. Compile, assess, and report data results from software testing and analysis.
* Develops software solutions for enterprise environments and other technologies. Analyzes and implements functional and non\-functional (e.g. performance, availability) requirements and designs, implements, and tests software. Performs operations \&amp; maintenance (O\&amp;M) of existing systems. Identifies areas for improvement and streamlining. Demonstrated experience with front\-end and back\-end programing and integration frameworks and tools. Assist in the estimation of development of application features
* Provides direct technical support for high level, high visibility and critical trouble calls for supported applications. Works with cross functional teams to develop highly reliable software that runs at scale. Provides recommendations to infuse new technology. Extend open\-source libraries and systems as necessary to meet the needs of the team. Play a crucial role in product scoping and roadmap / architecture discussions. Continually evaluate emerging technologies to identify opportunities, trends, and best practices. Mentoring of junior software engineers.
**Supervisory Responsibility**
 Position does not have direct reports but is expected to assist in guiding and mentoring less experienced staff. May lead a team of matrixed resources.
**Qualifications**
**Education Level:** 
 Bachelor's Degree in Information Technology or Computer Science OR in lieu of a Bachelor's degree, an additional 4 years of relevant work experience is required in addition to the required work experience.
**Licenses/Certifications**
* ServiceNow Certified Application Developer
* CIS\-Customer Service Management
* ServiceNow System Administrator
* ITSM Professional
**Experience:** 
 5 years experience with software development, basic coding and compilation, software architecture/design, user requirements definition and software specification development.
**Knowledge, Skills And Abilities (KSAs)**
* Development experience with ServiceNow.
* Architect experience with ServiceNow.
* System Administration experience with ServiceNow.
* Ability to communicate technical requirements to all levels of expertise.
* Proficient in establishing and maintaining good working relationships.
* Knowledge and understanding of software development life cycle (SDLC).
* Proficient with integrating complex and/or existing systems.Knowledge of programming languages (e.g. JavaScript, C, Python, etc.).
* Excellent communication skills both written and verbal.
* Knowledge of cloud technologies (e.g. AWS, Azure).
* Knowledge of database technologies (e.g. cloud, SQL, Oracle, Mongo DB, PostgreSQL, etc.).
* Fundamental knowledge of software engineers? best practices, agile methodologies, CI/CD pipelines.
* Knowledge of test\-first practices including Test\-Driven Development (TDD) for unit tests and Behavior\-Driven Development (BDD) for automated acceptance tests.
* Strong experience with Deployment/Continuous Integration/ Continuous Testing/ Continuous Delivery processes and tools and have expertise in CI/CD tools and framework.
* Knowledge of Code quality and promotion practices.
* Must be able to meet established deadlines and handle multiple customer service demands from internal and external customers, within set expectations for service excellence. Must be able to effectively communicate and provide positive customer service to every internal and external customer, including customers who may be demanding or otherwise challenging.
**Salary Range:** 
 $96,552 \- $191,763
**Salary Range Disclaimer**
 The disclosed range estimate has not been adjusted for the applicable geographic differential associated with the location at which the work is being performed. This compensation range is specific and considers factors such as (but not limited to) the scope and responsibilities of the position, the candidate's work experience, education/training, internal peer equity, and market and business consideration. It is not typical for an individual to be hired at the top of the range, as compensation decisions depend on each case's facts and circumstances, including but not limited to experience, internal equity, and location. In addition to your compensation, CareFirst offers a comprehensive benefits package, various incentive programs/plans, and 401k contribution programs/plans (all benefits/incentives are subject to eligibility requirements).
**Department**
 Customer Service Delivery
**Equal Employment Opportunity**
 CareFirst BlueCross BlueShield is an Equal Opportunity (EEO) employer. It is the policy of the Company to provide equal employment opportunities to all qualified applicants without regard to race, color, religion, sex, sexual orientation, gender identity, national origin, age, protected veteran or disabled status, or genetic information.
**Where To Apply**
 Please visit our website to apply: www.carefirst.com/careers
**Federal Disc/Physical Demand**
 Note: The incumbent is required to immediately disclose any debarment, exclusion, or other event that makes him/her ineligible to perform work directly or indirectly on Federal health care programs.
**Physical Demands**
 The associate is primarily seated while performing the duties of the position. Occasional walking or standing is required. The hands are regularly used to write, type, key and handle or feel small controls and objects. The associate must frequently talk and hear. Weights up to 25 pounds are occasionally lifted.
**Sponsorship in US**
 Must be eligible to work in the U.S. without Sponsorship</t>
        </is>
      </c>
    </row>
    <row r="58">
      <c r="A58" t="inlineStr">
        <is>
          <t>li-4314385951</t>
        </is>
      </c>
      <c r="B58" t="inlineStr">
        <is>
          <t>Software Engineer</t>
        </is>
      </c>
      <c r="C58" t="inlineStr">
        <is>
          <t>Koch Ag &amp; Energy Solutions, LLC</t>
        </is>
      </c>
      <c r="D58" t="inlineStr">
        <is>
          <t>linkedin</t>
        </is>
      </c>
      <c r="E58">
        <f>HYPERLINK("https://www.linkedin.com/jobs/view/4314385951", "https://www.linkedin.com/jobs/view/4314385951")</f>
        <v/>
      </c>
      <c r="F58" t="inlineStr"/>
      <c r="G58" t="inlineStr">
        <is>
          <t>Wichita, KS</t>
        </is>
      </c>
      <c r="H58" t="inlineStr"/>
      <c r="I58" t="inlineStr">
        <is>
          <t>**Your Job**
 Koch Ag \&amp; Energy Solutions (KAES) is seeking qualified professionals to consider for a Software Engineer to join our team in Wichita, KS. As a Software Engineer within KAES, you will be responsible for delivering high\-quality software solutions that meet business goals and adhere to technical standards. You will collaborate cross\-functionally, leverage your domain expertise, and actively contribute to the continuous enhancement of our development processes. Our culture is defined by the Principle Based Management™ philosophy which guides everyday decision making and provides employees with opportunities to contribute and personally benefit from the value they create.
**This role is not eligible for Visa Sponsorship**
**Our Team**
 Koch Ag \&amp; Energy Solutions (KAES) is a leading innovator in value\-added solutions for the agriculture, energy, and chemical markets. We excel in supplying nitrogen fertilizer to meet global demand through state\-of\-the\-art terminals, with the capability to market. Our commitment to delivering cutting\-edge solutions has driven business success and established us as leaders in the market. We are seeking a Software Engineer to join our team in developing and maintaining software solutions that drive value and help our company stay ahead in a competitive market.
**What You Will Do**
* Build, test, and deploy software solutions while ensuring quality, security, and maintainability
* Design solutions that adhere to best practices and minimize complexity
* Identify and propose innovative ideas to drive continuous improvement
* Collaborate with analysts and technical leads to refine requirements and develop effective solutions
* Apply business knowledge to enhance and inform technical design decisions
* Support teams by documenting knowledge and providing technical guidance when needed
* Utilize Node.js and TypeScript to develop AWS serverless microservices, including—but not limited to—Lambda functions, API Gateways, Fargate services, and EventBridge consumers
* Collaborate with developers within the Back Office tower and across all KAES capability towers
* Challenge existing processes and technologies; experiment with new tools and contribute to capability\-wide initiatives
**Who You Are (Basic Qualifications)**
* Two (2\+) or more years of professional software engineering experience in any object\-oriented programming language
* One (1\+) or more years of hands\-on experience with Amazon Web Services (AWS) products and tools in a professional environment, building enterprise\-grade, scalable microservices such as Lambda, SNS, SQS, API Gateway, EventBridge, DynamoDB, and S3
* Experience designing and implementing cloud\-native applications and/or custom\-developed solutions
* Experience with automated testing (unit, integration, or e2e)
**What Will Put You Ahead**
* Experience working with JavaScript frameworks, including Node.js, React.js, or AngularJS, using TypeScript
* Experience with event\-driven architecture utilizing cloud and serverless microservices
* Experience working with Agile and DevOps methodologies, processes, and tools
* Experience programming in C\# and/or Python
* Experience learning and applying new technologies and concepts to stay competitive in the industry
*At Koch companies, we are entrepreneurs. This means we openly challenge the status quo, find new ways to create value and get rewarded for our individual contributions. Any compensation range provided for a role is an estimate determined by available market data. The actual amount may be higher or lower than the range provided considering each candidate's knowledge, skills, abilities, and geographic location. If you have questions, please speak to your recruiter about the flexibility and detail of our compensation philosophy.*
**Hiring Philosophy**
 All Koch companies value diversity of thought, perspectives, aptitudes, experiences, and backgrounds. We are Military Ready and Second Chance employers. Learn more about our hiring philosophy here.
**Who We Are**
 As a Koch company, Koch Ag \&amp; Energy Solutions (KAES) is a global provider of value\-added solutions for the agriculture, turf and ornamental, energy and chemical markets. From agriculture to energy, KAES makes things grow better with plant nutrient and biological technologies. Our team of innovators unleash their potential while developing the technologies that feed and power the world.
 At Koch, employees are empowered to do what they do best to make life better. Learn how our business philosophy helps employees unleash their potential while creating value for themselves and the company.
**Our Benefits**
 Our goal is for each employee, and their families, to live fulfilling and healthy lives. We provide essential resources and support to build and maintain physical, financial, and emotional strength \- focusing on overall wellbeing so you can focus on what matters most. Our benefits plan includes \- medical, dental, vision, flexible spending and health savings accounts, life insurance, ADD, disability, retirement, paid vacation/time off, educational assistance, and may also include infertility assistance, paid parental leave and adoption assistance. Specific eligibility criteria is set by the applicable Summary Plan Description, policy or guideline and benefits may vary by geographic region. If you have questions on what benefits apply to you, please speak to your recruiter.
 Additionally, everyone has individual work and personal needs. We seek to enable the best work environment that helps you and the business work together to produce superior results.
**Equal Opportunities**
 Equal Opportunity Employer, including disability and protected veteran status. Except where prohibited by state law, some offers of employment are conditioned upon successfully passing a drug test. This employer uses E\-Verify. Please click here for additional information. (For Illinois E\-Verify information click here, aquí, or tu).</t>
        </is>
      </c>
    </row>
    <row r="59">
      <c r="A59" t="inlineStr">
        <is>
          <t>li-4362736230</t>
        </is>
      </c>
      <c r="B59" t="inlineStr">
        <is>
          <t>Software Engineer, Infrastructure (Staff Level)</t>
        </is>
      </c>
      <c r="C59" t="inlineStr">
        <is>
          <t>Kustomer</t>
        </is>
      </c>
      <c r="D59" t="inlineStr">
        <is>
          <t>linkedin</t>
        </is>
      </c>
      <c r="E59">
        <f>HYPERLINK("https://www.linkedin.com/jobs/view/4362736230", "https://www.linkedin.com/jobs/view/4362736230")</f>
        <v/>
      </c>
      <c r="F59">
        <f>HYPERLINK("https://jobs.ashbyhq.com/Kustomer/46214212-5876-4eb6-9dbe-3c083d9061e9/application?utm_source=ok5XXkG008&amp;urlHash=Q6em", "https://jobs.ashbyhq.com/Kustomer/46214212-5876-4eb6-9dbe-3c083d9061e9/application?utm_source=ok5XXkG008&amp;urlHash=Q6em")</f>
        <v/>
      </c>
      <c r="G59" t="inlineStr">
        <is>
          <t>New York, NY</t>
        </is>
      </c>
      <c r="H59" t="inlineStr"/>
      <c r="I59" t="inlineStr">
        <is>
          <t>**About Kustomer**
 Kustomer is the industry leading conversational CRM platform perfecting every customer experience. Built with intelligent tools such as AI and Automation, no code\-configuration and a connected data platform that unifies data from multiple sources through a single timeline, Kustomer empowers businesses to operate with greater efficiency and deliver more personalized service to customers across any channel, making every interaction more meaningful and memorable. Today, Kustomer is the core platform for some of the leading customer service brands like Sweetgreen, Starz, Vuori, Resy and Cotopaxi.
 Kustomer was founded in 2015 by serial entrepreneurs Brad Birnbaum and Jeremy Suriel and has raised over $230M in funding backed by leading VCs. Meta announced its intention to acquire Kustomer in 2020 and completed the transaction in 2022\. Kustomer joined Meta’s Business Messaging Group to transform the way people and businesses communicate through modern messaging channels.
 In 2023, Kustomer spun out from Meta as a standalone company backed by original partners, Battery, Redpoint and Boldstart Ventures, who have invested $60M. In 2025, Kustomer announced a $30M Series B led by Norwest, with continued support from Battery, Redpoint, and boldstart. This milestone reflects strong conviction in our vision and fuels our next chapter of growth: expanding our AI\-native platform, accelerating product innovation, and scaling our exceptional team.
 Our Krew is made up of passionate and collaborative people who really care about what they do and the people they help. We look for people who are passionate about enhancing the customer service experience for everyone involved, as it's the core of what we do. We're growing our business with no plans of slowing down. We actively seek individuals who want to learn and be challenged every day. We have also transitioned to a remote friendly company, with Krew members located throughout the U.S. and U.K. coming together for Kamp Kustomer each year.
**About The Role**
 As an infrastructure engineer at Kustomer, you will be responsible for building systems and abstractions that will be used by teams across the company. You will join a team of experienced engineers and have ample opportunities to continue learning and growing. This role sits on our Foundation team; your responsibilities on this team will include improving the developer experience, application observability, and designing architectural changes in critical backend components including database sharding strategies, event bus performance, scaling search systems, and improving end to end latency. We believe in ownership and are looking for people driven to continuously deliver positive and impactful changes. The responsibilities of this role are divided into 50% backend systems and 50% infrastructure and varies from many factors.
**What You’ll Do:**
* Serve as a Lead and senior member of the team, leading initiatives and key projects
+ Provide guidance and mentorship to team members, fostering a culture of collaboration and technical excellence
* Analyze, design, develop, maintain and improve software infrastructure and platform to expand its capabilities
+ Measure, report and drive improvements on scalability, performance, and availability
+ Lead complex projects and efforts to improve our ability to respond to impaired production systems
+ Lead, plan, and execute large scale system changes to meet business objectives
+ Tackle ambiguous engineering problems by designing well architected solutions
* Participate in cross\-team initiatives to drive engineering best\-practices
+ Collaborate with the CTO and other technical leaders to set the vision for strategic development efforts
+ Work with various engineering teams to bridge gaps and lead initiatives across backend systems and our data platform
+ Proactively identify systemic inefficiencies, design and implement improvements
+ Become a trusted coach and mentor, actively building strong technical leaders
* Collaborate with the InfoSec team to drive compliance, observability and automation for the security of our platform
+ Work closely with the Security team to address gaps and vulnerabilities during audits to satisfy compliance requirements
+ Manage and coordinate security vulnerabilities and upgrade schedules for EOL (End of Life) software
+ Lead or assist in security investigations as needed
**Our Tech Stack:**
* Javascript (React/node.js), Go
* AWS Cloud, MongoDB, Redis, Elasticsearch
* Terraform, Kafka, Kinesis
**Your qualifications and experience:**
* Bachelor's degree in Computer Science, Computer Engineering, relevant technical field, or equivalent practical experience
* 10\+ years experience building and managing large scale, highly available, distributed web applications
* You have a Mastery of a high\-level programming language like Go, Python, JavaScript, etc.
* You have experience with NoSQL databases like MongoDB
* You own technical architecture discussions and leading decisions for an engineering organization
* You lead and mentor engineers through technical projects and initiatives
* Proficiency with Infrastructure as Code (IaC) tools, including Terraform.
* You have experience designing sharding configurations for databases
* You have experience developing internal tools for others
* You have experience creating SLAs, SLOs, SLIs
**HIPAA Compliance**
*All roles at Kustomer may involve handling sensitive personal data.*
**Benefits**
 Kustomer offers an array of benefits including competitive salaries and stock options. In the U.S. we offer 100% healthcare coverage, 401K, WiFi and Mobile reimbursement, and a generous vacation policy; in the UK we also offer pension, supplemental health insurance and other perks.
**Diversity \&amp; Inclusion at Kustomer**
 Kustomer is committed to bringing together individuals from different backgrounds and perspectives.
 We strive to create an inclusive environment where everyone can thrive, feel a sense of belonging, and do great work together.We are proud to be an equal opportunity employer open to all qualified applicants regardless of race, color, ancestry, religion, sex, national origin, sexual orientation, age, citizenship, marital status, disability, gender identity or expression, Veteran status, or any other legally protected status.
***Disclaimer:***
 Kustomer only contacts candidates from company email addresses ending in kustomer.com and does not seek funds from candidates in any circumstances.</t>
        </is>
      </c>
    </row>
    <row r="60">
      <c r="A60" t="inlineStr">
        <is>
          <t>li-4359190529</t>
        </is>
      </c>
      <c r="B60" t="inlineStr">
        <is>
          <t>Software Engineer II - Message Infrastructure</t>
        </is>
      </c>
      <c r="C60" t="inlineStr">
        <is>
          <t>Abnormal AI</t>
        </is>
      </c>
      <c r="D60" t="inlineStr">
        <is>
          <t>linkedin</t>
        </is>
      </c>
      <c r="E60">
        <f>HYPERLINK("https://www.linkedin.com/jobs/view/4359190529", "https://www.linkedin.com/jobs/view/4359190529")</f>
        <v/>
      </c>
      <c r="F60">
        <f>HYPERLINK("https://abnormal.ai/careers/jobs/7589246003?gh_jid=7589246003&amp;gh_src=ff6e8ad03us&amp;urlHash=5bhk", "https://abnormal.ai/careers/jobs/7589246003?gh_jid=7589246003&amp;gh_src=ff6e8ad03us&amp;urlHash=5bhk")</f>
        <v/>
      </c>
      <c r="G60" t="inlineStr"/>
      <c r="H60" t="inlineStr"/>
      <c r="I60" t="inlineStr">
        <is>
          <t>**About The Role**
 Abnormal AI is seeking a Software Engineer to join the Message Infrastructure team. The Message Infra team is responsible for building and maintaining stable, efficient, and hands\-off systems that power the ingestion of billions of emails per day. Our systems are the backbone of Abnormal's core Inbound Email Security product—handling everything from upstream mailbox monitoring and email notifications to downstream remediation actions on malicious messages.
 The Message Infra team develops and manages tier 0 backend services that are mission\-critical to Abnormal's success, including but not limited to Subscription Manager (which mailboxes we monitor), Notification Producer (processing new email notifications from providers), and Remediation (executing actions on malicious messages). This is a backend and systems\-heavy team, and the ideal candidate will have experience working with distributed systems at scale and a passion for operational excellence.
 What you will do
* Design \&amp; execute software projects that are critical to Abnormal's core product, working with a team of engineers through conception, design, implementation, launch, and operation
* Own and improve the stability, performance, and scalability of tier 0 backend services that process billions of emails daily
* Collaborate with teams across R\&amp;D including Detection, Products, and Infrastructure to ensure Message Infra services meet the needs of the broader organization
* Participate in oncall rotations to maintain the reliability and uptime of mission\-critical systems
* Drive continuous improvement by identifying opportunities to enhance system efficiency, reduce operational overhead, and increase reliability
* Raise the bar of engineering excellence, actively contributing to knowledge sharing within the team and participating in professional development activities
 Must Haves
* BS degree in Computer Science, Applied Sciences, Information Systems or other related engineering field
* 3\+ years of industry experience on backend software development \&amp; distributed systems, designing \&amp; building software applications
* Experience with our stack: Go and/or Python
* Experience working with distributed teams, proficient in asynchronous and written communication
* Experience building features \&amp; components from scratch and operating them, balancing feature development work with operational tasks
* Open to following pre\-established guidelines, coding practices and conventions
* You’re growth driven \&amp; looking to increase impact \&amp; responsibility over time
 Nice to Have
* Experience with our stack: AWS, K8, Django, Spark, Prometheus
* Familiarity with AWS services and deployment practices.
* Knowledge of containerization using Docker or similar technologies.
 At Abnormal AI, certain roles are eligible for a bonus, restricted stock units (RSUs), and benefits. Individual compensation packages are based on factors unique to each candidate, including their skills, experience, qualifications and other job\-related reasons.
 Base salary range:
 $148,800—$175,000 USD
 Abnormal AI is an equal opportunity employer. Qualified applicants will receive consideration for employment without regard to race, color, religion, sex, national origin, disability, protected veteran status or other characteristics protected by law. For our EEO policy statement please
 *click here* 
 . If you would like more information on your EEO rights under the law, please
 *click here* 
 .</t>
        </is>
      </c>
    </row>
    <row r="61">
      <c r="A61" t="inlineStr">
        <is>
          <t>li-4360031830</t>
        </is>
      </c>
      <c r="B61" t="inlineStr">
        <is>
          <t>Sr Software Engineer</t>
        </is>
      </c>
      <c r="C61" t="inlineStr">
        <is>
          <t>Randa Apparel &amp; Accessories</t>
        </is>
      </c>
      <c r="D61" t="inlineStr">
        <is>
          <t>linkedin</t>
        </is>
      </c>
      <c r="E61">
        <f>HYPERLINK("https://www.linkedin.com/jobs/view/4360031830", "https://www.linkedin.com/jobs/view/4360031830")</f>
        <v/>
      </c>
      <c r="F61">
        <f>HYPERLINK("https://workforcenow.adp.com/mascsr/default/mdf/recruitment/recruitment.html?cid=4583e43c-c0b5-42d9-ae01-059f09dd5450&amp;ccId=19000101_000001&amp;lang=en_US&amp;jobId=560503&amp;rb=LinkedIn&amp;urlHash=iDHh", "https://workforcenow.adp.com/mascsr/default/mdf/recruitment/recruitment.html?cid=4583e43c-c0b5-42d9-ae01-059f09dd5450&amp;ccId=19000101_000001&amp;lang=en_US&amp;jobId=560503&amp;rb=LinkedIn&amp;urlHash=iDHh")</f>
        <v/>
      </c>
      <c r="G61" t="inlineStr">
        <is>
          <t>Rosemont, IL</t>
        </is>
      </c>
      <c r="H61" t="inlineStr"/>
      <c r="I61" t="inlineStr">
        <is>
          <t>Randa Apparel \&amp; Accessories is one of the world’s leading fashion clothing and accessories companies, operating across 11 countries with a portfolio of 30\+ iconic brands, including Haggar, Levi’s, Tommy Hilfiger, Calvin Klein, Totes, Isotoner, and Columbia Sportswear. With over 100 years of industry leadership, RAA continues to produce exceptional products and services, delighting customers and empowering partners worldwide. From the \#1 dress pant brand in North America to the \#1 belt and wallet, RAA sets the standard for excellence and innovation
 We empower our associates, create growth opportunities at every level, and strive to make RAA the best place to build a career.
 Want to work at a diverse, equitable, \&amp; inclusive workspace where associates are encouraged to bring their true, authentic selves?
 Apply today and fashion your future with RAA.
**Location** 
 : Chicago, IL
**Salary** 
 : $110,000 \- $118,000
**Schedule** 
 : Hybrid (3 days in\-office / 2 days remote)
**Position Summary**
 Reporting to the Director of IT Applications, the Sr. Software Engineer will be responsible for engineering, design, development, support, and architecture of software, integrations, data, and business intelligence across all Randa companies. This individual will be responsible for building robust, scalable solutions while ensuring code quality and performance. This includes designing, coding, testing, and deploying applications, as well as collaborating with cross\-functional teams .
**Essential Job Functions**
* Utilizes sound engineering principles to build robust, secure, scalable, and appropriately tested features and solutions from end to end
* Works with technologies across the Randa development stack including front end, back end, DevOps, and cloud
* Translates business requirements into designs and code that achieve business and technical objectives
* Works collaboratively with cross cutting teams to solve complex technical challenges to meet business goals
* Builds confidence, trust, and rapport with internal and external clients as appropriate
* Perform other duties as required or assigned, which are reasonably within the scope of the activities enumerated above
**Education/License Requirements**
* Bachelor’s Degree in Computer Science or related field
**General Experience Requirements**
* 5\+ years of software engineering experience working in complex environments (or work experience equivalent)
**Minimum Qualifications**
* Strong experience with .NET Core, C\#, SQL, and API development
* Familiarity with CI/CD, automation, DevOps practices, IaC, and modern engineering methodologies
* Understanding of CRUD‑based integrations
* Strong knowledge of unit testing and source control (branching models, Git)
* Experience with SQL stored procedures and advanced query design
* Familiarity with tools such as JIRA or Azure DevOps
* Experience delivering projects using Agile or Waterfall methodologies
* Experience with cloud platforms (AWS, Azure, or GCP); AWS Lambda, SQS, SNS, S3 or equivalent preferred
* Experience with domain‑driven design or cloud‑native architectures preferred
* Exposure to UI technologies (HTML5, CSS3, React, Node.js, ES6\) a plus
* Strong communication, problem‑solving, and collaboration skills
**What We Offer**
* Competitive base salary.
* Hybrid work schedule.
* Three weeks of paid time off within the first year of employment.
* Company provided life insurance, short\-term disability, long\-term disability, and paid parental leave.
* Health, vision, and dental insurance options with low employee contributions.
* Commuter benefit plan.
* Optional supplemental life insurance, pet insurance, and accident \&amp; critical illness insurance offered at a group discount rate.
* 401(k).
* Unlimited access to our award\-winning online fitness, and wellness program.
* A great place to work, fast\-paced, with terrific career growth
 “The statements in this job description are intended to describe the general nature and level of work being performed by people assigned to this work. This is not an exhaustive list of all duties and responsibilities. Randa management reserves the right to amend and change responsibilities to meet business and organizational needs as necessary.”</t>
        </is>
      </c>
    </row>
    <row r="62">
      <c r="A62" t="inlineStr">
        <is>
          <t>li-4369349190</t>
        </is>
      </c>
      <c r="B62" t="inlineStr">
        <is>
          <t>Sr. Software Engineer</t>
        </is>
      </c>
      <c r="C62" t="inlineStr">
        <is>
          <t>Lynx</t>
        </is>
      </c>
      <c r="D62" t="inlineStr">
        <is>
          <t>linkedin</t>
        </is>
      </c>
      <c r="E62">
        <f>HYPERLINK("https://www.linkedin.com/jobs/view/4369349190", "https://www.linkedin.com/jobs/view/4369349190")</f>
        <v/>
      </c>
      <c r="F62" t="inlineStr"/>
      <c r="G62" t="inlineStr">
        <is>
          <t>Huntsville, AL</t>
        </is>
      </c>
      <c r="H62" t="inlineStr"/>
      <c r="I62" t="inlineStr">
        <is>
          <t>****Job Title:****
 Sr. Software Engineer
****Location****
 : Onsite \- Huntsville, AL
****Salary Range:****
 $125,000 to $155,000
****This position requires full time onsite in Huntsville, Alabama.****
**Company Overview**
 Founded in 2004 with locations in Atlanta, GA and Fort Worth, TX, Thompson Software Solutions LLC. team understands what is required to develop, integrate, test, and deploy software with a safety\-critical pedigree while meeting the challenges of modernization and digital transformation. As a defense\-focused software company of proven and dedicated employees, we take pride in our ability to react quickly and produce quality solutions to difficult technical challenges. We work with partners to find the right path to meet operational needs while future\-proofing systems with portability and sustainment considerations to ensure next\-generation success.
**Description**
****Thompson Software Solutions****
 is seeking a
 ****Senior SW Engineer who****
 is ready to work with a talented team to provide innovative solutions for tomorrow’s problems. This position requires a software engineer to use a wide application of technical principles, theories, and concepts in the software field to develop, integrate, and test software products. The successful candidate will be a member of a high\-performing multi\-site team and must be self\-motivated with a strong work ethic, time\-management, and interpersonal skills. In this role, you will work independently at times on projects, at other times will be in a collaborative team environment with other software engineers, as well as other program development and deployment teams.
 Selected applicants will be subjected to a government security investigation and must meet eligibility requirements for access to classified information and must maintain eligibility for continued access to classified information throughout their employment as required by the job.
**Who We Are**
****Thompson Software Solutions LLC. is a subsidiary of Lynx.****
 Lynx delivers modular, open standards\-based software solutions that redefine the economics of developing, deploying, and maintaining high assurance, mission critical edge platforms. These secure edge computing solutions are designed to drive innovation and operational excellence in today’s most demanding environments. From advancing aerospace and defense capabilities to transforming commercial and industrial systems, Lynx collaborates across a wide range of industries, including automotive, medical, and critical
 We’re a fast\-growing company driving innovation in autonomy, AI, and visualization technologies. If you're a self\-driven leader ready to shape the future of secure, high\-assurance systems, we want to hear from you
**Basic Requirements**
* Bachelor's degree in STEM discipline
* 5\+ years of C/C\+\+
* Experience with Embedded Software development
* Experience with I\&amp;T integration and test.
* Experience with Full Software Development Cycle
* Experience with (FSW) Flight software engineering
* Proficient with Linux and Windows development environments
* Ability to professionally communicate project status and collaborate on technical solutions with clients and peers
* “Clearance eligibility required”
* Ability to work onsite 100%
* Ability to travel 25%
**Preferred / Additional Skills**
* Proficient with Atlassian Tools (Confluence, JIRA, Bitbucket, etc.)
* Proficient in Python development
* Familiarity with Model\-Based System Engineering (MBSE) concepts and tools (Cameo, AADL)
* Experience with Digital Simulation Development and integration
* Experience with safety\-critical software development and practices (DO\-178C)
* Experience with Navigation, Guidance and Control Implementation
* Experience with Signal Processing Implementation
* Experience developing Embedded Flight Software
* Experience communicating and documenting complex technical designs
* Ability to work in a collaborative and team\-based environment
* Excellent written and verbal communication and presentation skills
****Sound Exciting?****
 Get in touch today! We have very robust benefits including:
* Low\-cost Medical / Dental / Vision coverage options
* 401K with generous employer match
* Responsible Paid Time Off \+ 11 Paid Holidays
* Remote work opportunities based on role
* Employee Assistance Program (EAP)
* Career growth and professional development opportunities
**All qualified applicants will receive consideration for employment without regard to race, color, religion, sex, sexual orientation, gender identity, national origin, disability, or veteran status.**</t>
        </is>
      </c>
    </row>
    <row r="63">
      <c r="A63" t="inlineStr">
        <is>
          <t>li-4362452579</t>
        </is>
      </c>
      <c r="B63" t="inlineStr">
        <is>
          <t>Senior Software Engineer - Native</t>
        </is>
      </c>
      <c r="C63" t="inlineStr">
        <is>
          <t>Microsoft</t>
        </is>
      </c>
      <c r="D63" t="inlineStr">
        <is>
          <t>linkedin</t>
        </is>
      </c>
      <c r="E63">
        <f>HYPERLINK("https://www.linkedin.com/jobs/view/4362452579", "https://www.linkedin.com/jobs/view/4362452579")</f>
        <v/>
      </c>
      <c r="F63" t="inlineStr"/>
      <c r="G63" t="inlineStr">
        <is>
          <t>Redmond, WA</t>
        </is>
      </c>
      <c r="H63" t="inlineStr"/>
      <c r="I63" t="inlineStr">
        <is>
          <t>**Overview**
 The Applied Sciences Group (ASG) is looking for a generalist
 **Senior Software Engineer** 
 \-
 **Full Stack** 
 to help us create innovative features across Windows and other Microsoft products. A highly experienced full\-stack individual contributor who will code for the majority of the time, ranging all the way from the OS to app level and service integrations.
 ASG is a unique, nimble, multidisciplinary team that turns cutting\-edge ideas into shipping products by composing research, incubation, rapid prototyping, and human\-centered development. As part of ASG, you'll directly shape experiences used by billions of people — from Windows (running on over a billion devices) to Microsoft 365 (used by 70% of Fortune 500 enterprises) and beyond.
**Some Of Our Favorite Work Includes**
* Semantic Index, a high\-performance vector store for operating systems, integral to Windows Recall and improved Windows Search.
* Voice experiences for Copilot on Windows.
* Microsoft Journal, an AI\-powered inking app designed for pen and touch.
 You'll be joining a team of highly experienced software developers working on exciting, machine learning\-powered features in Windows, Copilot, and standalone products. Our focus evolves often, so you'll need to be comfortable diving into a wide variety of projects across the tech stack.
 If you’re curious about how things work, passionate about innovation, and driven to ship magical experiences at the intersection of cutting\-edge machine learning, software engineering, and user experience — ASG is the place for you.
 In alignment with our Microsoft values, we are committed to cultivating an inclusive work environment for all employees to positively impact our culture every day.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 Write correct, efficient, and production\-grade code.
* Design and defend high quality user experiences that delight our customers.
* Be comfortable with a fast\-paced environment and a high level of ambiguity.
* Proactively seek new knowledge and adapt to new trends and technical solutions.
* Embody Microsoft and ASG Culture and Values.
**Qualifications**
**Required Qualifications:**
* Bachelor's Degree in Computer Science or related technical field AND 4\+ years technical engineering experience with coding in languages including, but not limited to, C, C\+\+, C\#, Java, JavaScript, or Python.
+ OR equivalent experience.
**Preferred Requirements**
* 4\+ years developing and debugging production\-level code.
* 4\+ years end\-to\-end project development experience.
* Experience in designing and implementing User Experiences for Windows and/or Android Apps.
* Master's Degree in Computer Science or related technical field AND 8\+ years technical engineering experience with coding in languages including, but not limited to, C, C\+\+, C\#, Java, JavaScript, or Python
+ OR Bachelor's Degree in Computer Science or related technical field AND 6\+ years technical engineering experience with coding in languages including, but not limited to, C, C\+\+, C\#, Java, JavaScript, or Python
+ OR equivalent experience.
* Experience coding in modern programming languages such as Kotlin or Rust, with a strong understanding of system\-level or mobile application development.
 \#W\+DJOBS
 \#ASG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64">
      <c r="A64" t="inlineStr">
        <is>
          <t>li-4359157456</t>
        </is>
      </c>
      <c r="B64" t="inlineStr">
        <is>
          <t>Staff Software Engineer</t>
        </is>
      </c>
      <c r="C64" t="inlineStr">
        <is>
          <t>Iterable</t>
        </is>
      </c>
      <c r="D64" t="inlineStr">
        <is>
          <t>linkedin</t>
        </is>
      </c>
      <c r="E64">
        <f>HYPERLINK("https://www.linkedin.com/jobs/view/4359157456", "https://www.linkedin.com/jobs/view/4359157456")</f>
        <v/>
      </c>
      <c r="F64" t="inlineStr"/>
      <c r="G64" t="inlineStr">
        <is>
          <t>Boston, MA</t>
        </is>
      </c>
      <c r="H64" t="inlineStr"/>
      <c r="I64" t="inlineStr">
        <is>
          <t>Iterable is the leading AI\-powered customer engagement platform that helps leading brands like Redfin, SeatGeek, Priceline, Calm, and Box create dynamic, individualized experiences at scale. Our platform empowers organizations to activate customer data, design seamless cross\-channel interactions, and optimize engagement—all with enterprise\-grade security and compliance. Today, nearly 1,200 brands across 50\+ countries rely on Iterable to drive growth, deepen customer relationships, and deliver joyful customer experiences.
 Our success is powered by extraordinary people who bring our core values—Trust, Growth Mindset, Balance, and Humility—to life. We foster a culture of innovation, collaboration, and inclusion, where ideas are valued and individuals are empowered to do their best work. That’s why we’ve been recognized as one of Inc’s Best Workplaces and Fastest Growing Companies, and were recognized on Forbes’ list of America’s Best Startup Employers in 2022\. Notably, Iterable has also been listed on Wealthfront’s Career Launching Companies List and has held a top 10 ranking on the Top 25 Companies Where Women Want to Work.
 With a global presence—including offices in San Francisco, New York, Denver, London, and Lisbon, plus remote employees worldwide—we are committed to building a diverse and inclusive workplace. We welcome candidates from all backgrounds and encourage you to apply. Learn more about our story and mission on our Culture and About Us pages. Let’s shape the future of customer engagement together!
**How you will make an impact:**
 Our
 **Data In Flight (DIF)** 
 team owns the core pipelines that ingest and route user and event data into Iterable, powering identity, segmentation, and real\-time personalization. We are building a
 **multi\-tenant data platform** 
 that application teams can build on top of, with clear contracts, SLOs, and guardrails. Our product and our
 **Elasticsearch clusters** 
 are multi\-tenant, and we run Elasticsearch on Kubernetes using Elastic Cloud on Kubernetes (ECK).
 We’re looking for a
 **Staff Software Engineer** 
 with a track record of operating
 **Elasticsearch\-backed data platforms in multi\-tenant SaaS** 
 . You’ll be a hands\-on IC who both designs distributed systems and acts as a platform “product owner” for app teams: understanding their needs, shaping the platform roadmap, and defining stable interfaces between product and data infrastructure.
**How you will make an impact:**
* Own and evolve core Data In Flight services (ingestion, user and event APIs, identity, system events) with a focus on reliability, performance, and cost.
* Lead the Elasticsearch strategy for our multi\-tenant live user and event data: index and mapping design, shard strategy, and safeguards across shared clusters.
* Design and enforce platform contracts (APIs, data models, SLAs, and usage limits) that let product teams move quickly while keeping the data platform safe and scalable.
* Work across other data and application teams on initiatives such as Elasticsearch upgrades, guardrails, resharding, and event retention.
* Provide senior technical leadership during incidents and reviews, turning operational learnings into durable platform improvements.
* Mentor engineers on distributed systems, data modeling, and pragmatic use of Elasticsearch.
**What you'll bring:**
 You likely have many of the experiences below, but not necessarily all of them:
* Hands\-on Elasticsearch expertise in production:
+ Supporting customer\-facing features or platforms backed by ES
+ Designing schemas and queries for high\-cardinality, multi\-tenant workloads
+ Operating large clusters (capacity planning, scaling, incident response)
* Multi\-tenant platform experience:
+ Building shared data services used by multiple product teams
+ Implementing rate limits, quotas, and noisy\-neighbor protections
+ Thinking in terms of contracts and SLOs, not one\-off integrations
* Strong distributed systems background:
+ JVM\-based services (Scala/Java) and event\-driven or streaming architectures
+ Comfort with modern cloud infrastructure (AWS or similar), messaging, and caches
* Staff\-level impact and collaboration:
+ Leading cross\-team projects from design through rollout
+ Translating technical decisions into clear business and product trade\-offs
+ Clear written communication (RFCs, design docs, post\-incident reviews)
**Nice To Have:**
* Experience with Scala and the Play framework or similar JVM stacks.
* Prior work on core user data platforms (identity, profile stores, event pipelines, or CDP\-like systems).
* Exposure to FinOps / infra cost optimization in data\-heavy systems.
* Experience in MarTech / AdTech or other high\-volume, low\-latency data domains.
**Perks \&amp; Benefits:**
* Competitive salaries, meaningful equity, \&amp; 401(k) plan
* Medical, dental, vision, \&amp; life insurance
* Balance Days (additional paid holidays)
* Fertility \&amp; Adoption Assistance
* Paid Sabbatical
* Flexible PTO
* Monthly Employee Wellness allowance
* Monthly Professional Development allowance
* Pre\-tax commuter benefits
* Complete laptop workstation
 The US base salary range for this position at the start of employment is $156,00 \- $242,000\. Within this range, individual pay is determined by specific US work location, as well as additional factors, including job\-related skills, experience, relevant education or training, and internal equity considerations.
 Please note that the range listed above reflects only base salary. The total compensation package includes variable pay (where applicable), equity, plus a range of benefits, including medical, dental, vision, and financial. In addition, we offer perks such as generous stipends for health \&amp; fitness and learning \&amp; development, among others.
**Recruitment Disclaimer:**
 Please be aware that Iterable, Inc. (“Iterable”) and our official professional recruiting agencies and platforms do not:
* Send job offers from free email services like Gmail, Yahoo mail, Hotmail, etc.
* Request money, fees, or payment of any kind from prospective candidates to apply to Iterable, for employment, or for the recruitment process (e.g. for home office supplies, or training, etc.).
* Request or require personal documents like bank account details, tax forms, or credit card information as part of the recruitment process prior to the candidate signing an engagement letter or an employment contract with Iterable.
 You may see all job vacancies on our official Iterable channels:
* Official Iterable website, Careers page: https://iterable.com/careers/
* Official LinkedIn Jobs page: https://www.linkedin.com/company/iterable/jobs/
 Iterable is not affiliated in any way to these impostors and we hereby confirm that such individuals/entities are not authorized, encouraged, or sponsored to act on behalf of Iterable. Such job opportunities are entirely fake and not valid. Therefore, please disregard any written or oral request for a job offer or an interview that you believe is or might be fraudulent or suspicious and immediately reach out to us via email at
 **talent\-ops@iterable.com** 
 upon receiving a suspicious job offer.
 Criminal and/or civil liabilities may arise from such actions, and Iterable expressly reserves the right to take legal action, including criminal action, against such individuals/entities whenever such phenomena occur. In any case, please note that under no circumstances shall Iterable and any of its affiliates be held liable or responsible for any claims, losses, damages, expenses or other inconvenience resulting from or in any way connected to the actions of these impostors.
 Iterable is an Equal Employment Opportunity employer that proudly pursues and hires a diverse workforce. Iterable does not make hiring or employment decisions on the basis of race, color, religion or religious belief, ethnic or national origin, nationality, sex, gender, gender\-identity, sexual orientation, disability, age, military or veteran status, or any other basis protected by applicable local, state, or federal laws or prohibited by Company policy. Iterable also strives for a healthy and safe workplace and strictly prohibits harassment of any kind. Pursuant to the San Francisco Fair Chance Ordinance and other similar state laws and local ordinances, and its internal policy, Iterable will also consider for employment qualified applicants with arrest and conviction records.</t>
        </is>
      </c>
    </row>
    <row r="65">
      <c r="A65" t="inlineStr">
        <is>
          <t>li-4369345721</t>
        </is>
      </c>
      <c r="B65" t="inlineStr">
        <is>
          <t>Software Engineer [Multiple Positions Available]</t>
        </is>
      </c>
      <c r="C65" t="inlineStr">
        <is>
          <t>hackajob</t>
        </is>
      </c>
      <c r="D65" t="inlineStr">
        <is>
          <t>linkedin</t>
        </is>
      </c>
      <c r="E65">
        <f>HYPERLINK("https://www.linkedin.com/jobs/view/4369345721", "https://www.linkedin.com/jobs/view/4369345721")</f>
        <v/>
      </c>
      <c r="F65" t="inlineStr"/>
      <c r="G65" t="inlineStr">
        <is>
          <t>Plano, TX</t>
        </is>
      </c>
      <c r="H65" t="inlineStr"/>
      <c r="I65" t="inlineStr">
        <is>
          <t>***hackajob** 
 is collaborating with
 **J.P. Morgan** 
 to connect them with exceptional tech professionals for this role.*
**Description**
**JOB DESCRIPTION**
 Duties: Execute software solutions, design, development, and technical troubleshooting with ability to think beyond routine or conventional approaches to build solutions or break down technical problems. Create secure and high\-quality production code and maintain algorithms that run synchronously with appropriate systems. Produce architecture and design artifacts for complex applications while being accountable for ensuring design constraints are met by software code development. Gather, analyze, synthesize, and develop visualizations and reporting from large, diverse data sets in service of continuous improvement of software applications and systems. Contribute to software engineering communities of practice and events that explore new and emerging technologies. Demonstrate a strong passion for technology and a commitment to supporting and mentoring fellow developers. Engage actively in the broader tech community by delivering tech talks, writing blogs, and participating on platforms such as Stack Overflow. Focus on enhancing developer relations and prioritize the developer experience in all initiatives. Collaborate with a team to influence and improve the developer experience for over 40,000 technologists within the Firm. Continuously seek opportunities for learning and professional growth to drive innovation and excellence.
**Qualifications**
 Minimum education and experience required: Master's degree in Mechanical Engineering, Computer Information Systems, Computer Science, Computer Engineering, Electrical Engineering, Electronics Engineering, or related field of study plus three (3\) years of experience in the job offered or as Software Engineer, Engineer, Software Development Engineer, Senior Engineer, or related occupation. The employer will alternatively accept a Bachelor's degree in Mechanical Engineering, Computer Information Systems, Computer Science, Computer Engineering, Electrical Engineering, Electronics Engineering, or related field of study plus five (5\) years of experience in the job offered or as Software Engineer, Engineer, Software Development Engineer, Senior Engineer, or related occupation.
 Skills Required: This position requires three (3\) years of experience with the following: applying software engineering concepts using programming languages Java or Python; writing code using the principles of Object\-Oriented Design. This position requires any amount of experience with the following: full\-stack including front\-end development; designing and architecting microservices and high\-availability distributed systems, including AWS Cloud Services and solution architecture; data processing using SQL and NoSQL databases; optimizing server systems for performance, scalability, and maintainability; creating multi\-threaded and distributed software systems, using Java and Object\-Oriented Design for diverse applications.
 Job Location: 8181 Communications Parkway, Plano, TX 75024\.
**About Us**
 JPMorganChase,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JPMorgan Chase \&amp; Co. is an Equal Opportunity Employer, including Disability/Veterans
**About The Team**
 Our professionals in our Corporate Functions cover a diverse range of areas from finance and risk to human resources and marketing. Our corporate teams are an essential part of our company, ensuring that we’re setting our businesses, clients, customers and employees up for success.</t>
        </is>
      </c>
    </row>
    <row r="66">
      <c r="A66" t="inlineStr">
        <is>
          <t>li-4342649894</t>
        </is>
      </c>
      <c r="B66" t="inlineStr">
        <is>
          <t>Software Engineering</t>
        </is>
      </c>
      <c r="C66" t="inlineStr">
        <is>
          <t>Microsoft</t>
        </is>
      </c>
      <c r="D66" t="inlineStr">
        <is>
          <t>linkedin</t>
        </is>
      </c>
      <c r="E66">
        <f>HYPERLINK("https://www.linkedin.com/jobs/view/4342649894", "https://www.linkedin.com/jobs/view/4342649894")</f>
        <v/>
      </c>
      <c r="F66">
        <f>HYPERLINK("https://apply.careers.microsoft.com/careers/job/1970393556638554?utm_source=linkedin&amp;domain=microsoft.com&amp;src=LinkedIn&amp;urlHash=Pr6z", "https://apply.careers.microsoft.com/careers/job/1970393556638554?utm_source=linkedin&amp;domain=microsoft.com&amp;src=LinkedIn&amp;urlHash=Pr6z")</f>
        <v/>
      </c>
      <c r="G66" t="inlineStr">
        <is>
          <t>Redmond, WA</t>
        </is>
      </c>
      <c r="H66" t="inlineStr"/>
      <c r="I66" t="inlineStr">
        <is>
          <t>**Overview**
 Have you ever wondered how Generative AI formulates answers leveraging the data the customer has configured? Are you interested in helping make Copilot more powerful, more accurate and faster? The Copilot Studio AI Knowledge team is looking for a senior engineer that can help us do exactly that
 Microsoft’s mission is to empower every person and every organization on the planet to achieve more. In this role you will be helping to build features that empower front line workers to do their best work efficiently.
 As a
 **Software Engineer II** 
 on Copilot Studio AI Knowledge, your role will be to help the team define the right investments to make, build the features with high quality, maintainable solutions, and mentor the teams of engineers to accelerate their career paths, and deliver on the features we have promised customers on time. You will be able to see how customers are using our Copilot Studio and help them diagnose and resolve problems with the Copilots they have built.
 As Microsoft employees we come together with a growth mindset, innovate to empower others, and collaborate to realize our shared goals. Each day we build on our values of respect, integrity, and accountability to create a culture of inclusion where everyone can thrive at work and beyond. We are looking for someone that will fit well into this culture.
**Responsibilities**
* Expand the reach of Copilot Studio by building new features, improving performance and scalability as the service grows, resolving issues that block customer flows.
* Use your enterprise experience to architect solutions that are high quality and scalable, which include internationalization and accessibility.
* Collaborate with a cross\-discipline teams across the globe here within Microsoft
* Engage with customers and help solve problems that they may have with the application and help drive improvements into the product based on feedback.
* Demonstrate technical leadership by identifying and filling gaps, defining architecture, and writing high\-quality code.
* Thoughtful estimations with clear reasoning on how the estimates were determined.
* Contribute to a team culture that embraces diversity and inclusion and makes your team an awesome place to work.
**Qualifications**
**Required Qualifications:**
* Bachelor's Degree in Computer Science or related technical field AND 2\+ years technical engineering experience with coding in languages including, but not limited to, C, C\+\+, C\#, Java, JavaScript, or Python
+ OR equivalent experience.
* Solid grasp of software engineering best practices.
* Demonstratable experience building enterprise grade web services and maintaining them.
* Demonstrable experience integrating complex software systems and cloud components.
* Demonstrable understanding of systems architecture and API architecture principles.
* Experience working through the full product cycle from initial design to final product.
* Excellent judgment, decision making skills, and prioritization skills.
* Excellent presentation skills and experience of presenting to developers up to senior management.
* Self\-motivated and comfortable dealing with high ambiguity.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 5\+ years of professional software development.
* Experience building Generative AI applications.
* Experience working with the Power Platform.
* Experience working in large teams with modern version control systems like Git.
* Agile methodology experience.
* C\# proficiency.
 \#MCSJob
 \#BICJOBS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67">
      <c r="A67" t="inlineStr">
        <is>
          <t>li-4359211462</t>
        </is>
      </c>
      <c r="B67" t="inlineStr">
        <is>
          <t>Staff Software Engineer</t>
        </is>
      </c>
      <c r="C67" t="inlineStr">
        <is>
          <t>Iterable</t>
        </is>
      </c>
      <c r="D67" t="inlineStr">
        <is>
          <t>linkedin</t>
        </is>
      </c>
      <c r="E67">
        <f>HYPERLINK("https://www.linkedin.com/jobs/view/4359211462", "https://www.linkedin.com/jobs/view/4359211462")</f>
        <v/>
      </c>
      <c r="F67" t="inlineStr"/>
      <c r="G67" t="inlineStr">
        <is>
          <t>Austin, TX</t>
        </is>
      </c>
      <c r="H67" t="inlineStr"/>
      <c r="I67" t="inlineStr">
        <is>
          <t>Iterable is the leading AI\-powered customer engagement platform that helps leading brands like Redfin, SeatGeek, Priceline, Calm, and Box create dynamic, individualized experiences at scale. Our platform empowers organizations to activate customer data, design seamless cross\-channel interactions, and optimize engagement—all with enterprise\-grade security and compliance. Today, nearly 1,200 brands across 50\+ countries rely on Iterable to drive growth, deepen customer relationships, and deliver joyful customer experiences.
 Our success is powered by extraordinary people who bring our core values—Trust, Growth Mindset, Balance, and Humility—to life. We foster a culture of innovation, collaboration, and inclusion, where ideas are valued and individuals are empowered to do their best work. That’s why we’ve been recognized as one of Inc’s Best Workplaces and Fastest Growing Companies, and were recognized on Forbes’ list of America’s Best Startup Employers in 2022\. Notably, Iterable has also been listed on Wealthfront’s Career Launching Companies List and has held a top 10 ranking on the Top 25 Companies Where Women Want to Work.
 With a global presence—including offices in San Francisco, New York, Denver, London, and Lisbon, plus remote employees worldwide—we are committed to building a diverse and inclusive workplace. We welcome candidates from all backgrounds and encourage you to apply. Learn more about our story and mission on our Culture and About Us pages. Let’s shape the future of customer engagement together!
**How you will make an impact:**
 Our
 **Data In Flight (DIF)** 
 team owns the core pipelines that ingest and route user and event data into Iterable, powering identity, segmentation, and real\-time personalization. We are building a
 **multi\-tenant data platform** 
 that application teams can build on top of, with clear contracts, SLOs, and guardrails. Our product and our
 **Elasticsearch clusters** 
 are multi\-tenant, and we run Elasticsearch on Kubernetes using Elastic Cloud on Kubernetes (ECK).
 We’re looking for a
 **Staff Software Engineer** 
 with a track record of operating
 **Elasticsearch\-backed data platforms in multi\-tenant SaaS** 
 . You’ll be a hands\-on IC who both designs distributed systems and acts as a platform “product owner” for app teams: understanding their needs, shaping the platform roadmap, and defining stable interfaces between product and data infrastructure.
**How you will make an impact:**
* Own and evolve core Data In Flight services (ingestion, user and event APIs, identity, system events) with a focus on reliability, performance, and cost.
* Lead the Elasticsearch strategy for our multi\-tenant live user and event data: index and mapping design, shard strategy, and safeguards across shared clusters.
* Design and enforce platform contracts (APIs, data models, SLAs, and usage limits) that let product teams move quickly while keeping the data platform safe and scalable.
* Work across other data and application teams on initiatives such as Elasticsearch upgrades, guardrails, resharding, and event retention.
* Provide senior technical leadership during incidents and reviews, turning operational learnings into durable platform improvements.
* Mentor engineers on distributed systems, data modeling, and pragmatic use of Elasticsearch.
**What you'll bring:**
 You likely have many of the experiences below, but not necessarily all of them:
* Hands\-on Elasticsearch expertise in production:
+ Supporting customer\-facing features or platforms backed by ES
+ Designing schemas and queries for high\-cardinality, multi\-tenant workloads
+ Operating large clusters (capacity planning, scaling, incident response)
* Multi\-tenant platform experience:
+ Building shared data services used by multiple product teams
+ Implementing rate limits, quotas, and noisy\-neighbor protections
+ Thinking in terms of contracts and SLOs, not one\-off integrations
* Strong distributed systems background:
+ JVM\-based services (Scala/Java) and event\-driven or streaming architectures
+ Comfort with modern cloud infrastructure (AWS or similar), messaging, and caches
* Staff\-level impact and collaboration:
+ Leading cross\-team projects from design through rollout
+ Translating technical decisions into clear business and product trade\-offs
+ Clear written communication (RFCs, design docs, post\-incident reviews)
**Nice To Have:**
* Experience with Scala and the Play framework or similar JVM stacks.
* Prior work on core user data platforms (identity, profile stores, event pipelines, or CDP\-like systems).
* Exposure to FinOps / infra cost optimization in data\-heavy systems.
* Experience in MarTech / AdTech or other high\-volume, low\-latency data domains.
**Perks \&amp; Benefits:**
* Competitive salaries, meaningful equity, \&amp; 401(k) plan
* Medical, dental, vision, \&amp; life insurance
* Balance Days (additional paid holidays)
* Fertility \&amp; Adoption Assistance
* Paid Sabbatical
* Flexible PTO
* Monthly Employee Wellness allowance
* Monthly Professional Development allowance
* Pre\-tax commuter benefits
* Complete laptop workstation
 The US base salary range for this position at the start of employment is $156,00 \- $242,000\. Within this range, individual pay is determined by specific US work location, as well as additional factors, including job\-related skills, experience, relevant education or training, and internal equity considerations.
 Please note that the range listed above reflects only base salary. The total compensation package includes variable pay (where applicable), equity, plus a range of benefits, including medical, dental, vision, and financial. In addition, we offer perks such as generous stipends for health \&amp; fitness and learning \&amp; development, among others.
**Recruitment Disclaimer:**
 Please be aware that Iterable, Inc. (“Iterable”) and our official professional recruiting agencies and platforms do not:
* Send job offers from free email services like Gmail, Yahoo mail, Hotmail, etc.
* Request money, fees, or payment of any kind from prospective candidates to apply to Iterable, for employment, or for the recruitment process (e.g. for home office supplies, or training, etc.).
* Request or require personal documents like bank account details, tax forms, or credit card information as part of the recruitment process prior to the candidate signing an engagement letter or an employment contract with Iterable.
 You may see all job vacancies on our official Iterable channels:
* Official Iterable website, Careers page: https://iterable.com/careers/
* Official LinkedIn Jobs page: https://www.linkedin.com/company/iterable/jobs/
 Iterable is not affiliated in any way to these impostors and we hereby confirm that such individuals/entities are not authorized, encouraged, or sponsored to act on behalf of Iterable. Such job opportunities are entirely fake and not valid. Therefore, please disregard any written or oral request for a job offer or an interview that you believe is or might be fraudulent or suspicious and immediately reach out to us via email at
 **talent\-ops@iterable.com** 
 upon receiving a suspicious job offer.
 Criminal and/or civil liabilities may arise from such actions, and Iterable expressly reserves the right to take legal action, including criminal action, against such individuals/entities whenever such phenomena occur. In any case, please note that under no circumstances shall Iterable and any of its affiliates be held liable or responsible for any claims, losses, damages, expenses or other inconvenience resulting from or in any way connected to the actions of these impostors.
 Iterable is an Equal Employment Opportunity employer that proudly pursues and hires a diverse workforce. Iterable does not make hiring or employment decisions on the basis of race, color, religion or religious belief, ethnic or national origin, nationality, sex, gender, gender\-identity, sexual orientation, disability, age, military or veteran status, or any other basis protected by applicable local, state, or federal laws or prohibited by Company policy. Iterable also strives for a healthy and safe workplace and strictly prohibits harassment of any kind. Pursuant to the San Francisco Fair Chance Ordinance and other similar state laws and local ordinances, and its internal policy, Iterable will also consider for employment qualified applicants with arrest and conviction records.</t>
        </is>
      </c>
    </row>
    <row r="68">
      <c r="A68" t="inlineStr">
        <is>
          <t>li-4341543431</t>
        </is>
      </c>
      <c r="B68" t="inlineStr">
        <is>
          <t>Senior Software Engineer, Backend (Platform - Risk)</t>
        </is>
      </c>
      <c r="C68" t="inlineStr">
        <is>
          <t>Coinbase</t>
        </is>
      </c>
      <c r="D68" t="inlineStr">
        <is>
          <t>linkedin</t>
        </is>
      </c>
      <c r="E68">
        <f>HYPERLINK("https://www.linkedin.com/jobs/view/4341543431", "https://www.linkedin.com/jobs/view/4341543431")</f>
        <v/>
      </c>
      <c r="F68" t="inlineStr"/>
      <c r="G68" t="inlineStr">
        <is>
          <t>San Francisco, CA</t>
        </is>
      </c>
      <c r="H68" t="inlineStr"/>
      <c r="I68" t="inlineStr">
        <is>
          <t>Ready to be pushed beyond what you think you’re capable of?
 At Coinbase, our mission is to increase economic freedom in the world. It’s a massive, ambitious opportunity that demands the best of us, every day, as we build the emerging onchain platform — and with it, the future global financial system.
 To achieve our mission, we’re seeking a very specific candidate. We want someone who is passionate about our mission and who believes in the power of crypto and blockchain technology to update the financial system. We want someone who is eager to leave their mark on the world, who relishes the pressure and privilege of working with high caliber colleagues, and who actively seeks feedback to keep leveling up. We want someone who will run towards, not away from, solving the company’s hardest problems.
 Our work culture is intense and isn’t for everyone. But if you want to build the future alongside others who excel in their disciplines and expect the same from you, there’s no better place to be.
 While many roles at Coinbase are remote\-first, we are not remote\-only. In\-person participation is required throughout the year. Team and company\-wide offsites are held multiple times annually to foster collaboration, connection, and alignment. Attendance is expected and fully supported.
 FinHub is at the core of Coinbase, processing and recording fund movements for our clients and our business. We are responsible for processing transactions across crypto, fiat and internal wallet, and managing the assets for our users including providing portfolio performance, user tax optimizations etc. With rapid growth of the industry and the company, our scale and complexity of operations quickly surpassed the original design of typical ledgering systems. Currently, we are taking on a challenge to unlock the next level of evolution for fund movements architecture. This is a unique opportunity to redesign foundational systems that will set Coinbase up for success in the next decade.
**What you’ll be doing (ie. job duties):** 
* Build scalable systems and components, making the right tradeoffs to account for stability and long\-term maintainability.
* Design, write, test, and release product\-facing features with stringent correctness and scalability requirements.
* Collaborate with our frontend and data teams to fine tune our REST APIs supporting millions of customers.
* Mentor junior developers on the team and lead project of large complexity.
**What we look for in you:** 
* 5\+ years of software development experience with experience writing performant, large scale distributed systems.
* Familiarity with writing highly concurrent systems and good intuition for REST API design.
* Proven experience working on large projects with long\-term impact on a single system or team.
* Strong technical grasp with excellent judgment on task prioritizations.
* Ability to solve complex engineering problems that deliver results aligned with team objectives.
* Ability to mentor junior developers and lead the team technically on new initiatives and system improvements.
**Nice to haves:** 
* You have gone through a rapid growth in your company (from startup to mid\-size).
* Experience with  growth experiments or A/B testing frameworks.
* You have experience with Blockchain technology (such as Bitcoin, Ethereum etc..)
* You have experience decomposing a large monolith into microservices.
* You’ve worked with Golang, Ruby, Docker, Rails, Postgres, MongoDB or DynamoDB.
* You’ve built financial, high reliability or security systems.
* Crypto\-forward experience, including familiarity with onchain activity such as interacting with Ethereum addresses, using ENS, and engaging with dApps or blockchain\-based services.
 Job \#: GPBE05US
 \*Answers to crypto\-related questions may be used to evaluate your onchain experience
 Pay Transparency Notice: Depending on your work location, the target annual base salary for this position can range as detailed below. Full time offers from Coinbase also include bonus eligibility \+ equity eligibility \+ benefits (including medical, dental, vision and 401(k)).
 Base salary range shown. Total compensation also includes equity and bonus eligibility and benefits:: $186,065 USD \- $218,900 USD
 Please be advised that each candidate may submit a maximum of four applications within any 30\-day period. We encourage you to carefully evaluate how your skills and interests align with Coinbase's roles before applying.
 Commitment to Equal Opportunity
 Coinbase is proud to be an Equal Opportunity Employer.  All qualified applicants will receive consideration for employment without regard to race, color, religion, creed, gender, national origin, age, disability, veteran status, sex, gender expression or identity, sexual orientation or any other basis protected by applicable law. Coinbase will also consider for employment qualified applicants with criminal histories in a manner consistent with applicable federal, state and local law.  For US applicants, you may view the Employee Rights and the Know Your Rights notices by clicking on their corresponding links. Additionally, Coinbase participates in the E\-Verify program in certain locations, as required by law. 
 Coinbase is also committed to providing reasonable accommodations to individuals with disabilities. If you need a reasonable accommodation because of a disability for any part of the employment process, please contact us at accommodations\[at]coinbase.com to let us know the nature of your request and your contact information.   For quick access to screen reading technology compatible with this site click here to download a free compatible screen reader (free step by step tutorial can be found here).
**Global Data Privacy Notice for Job Candidates and Applicants** 
 Depending on your location, the General Data Protection Regulation (GDPR) and California Consumer Privacy Act (CCPA) may regulate the way we manage the data of job applicants. Our full notice outlining how data will be processed as part of the application procedure for applicable locations is available here. By submitting your application, you are agreeing to our use and processing of your data as required.
**AI Disclosure** 
*For select roles, Coinbase is piloting an AI tool based on machine learning technologies to conduct initial screening interviews to qualified applicants. The tool simulates realistic interview scenarios and engages in dynamic conversation. A human recruiter will review your interview responses, provided in the form of a voice recording and/or transcript, to assess them against the qualifications and characteristics outlined in the job description.* 
*For select roles, Coinbase is also piloting an AI interview intelligence platform to transcribe and summarize interview notes, allowing our interviewers to fully focus on you as the candidate.* 
***The above pilots are for testing purposes and Coinbase will not use AI to make decisions impacting employment***
*. To request a reasonable accommodation due to disability, please contact accommodations\[at]coinbase.com*</t>
        </is>
      </c>
    </row>
    <row r="69">
      <c r="A69" t="inlineStr">
        <is>
          <t>li-4356655059</t>
        </is>
      </c>
      <c r="B69" t="inlineStr">
        <is>
          <t>FullStack Software Engineer (Junior / Mid / Senior)</t>
        </is>
      </c>
      <c r="C69" t="inlineStr">
        <is>
          <t>Mentor Talent Acquisition</t>
        </is>
      </c>
      <c r="D69" t="inlineStr">
        <is>
          <t>linkedin</t>
        </is>
      </c>
      <c r="E69">
        <f>HYPERLINK("https://www.linkedin.com/jobs/view/4356655059", "https://www.linkedin.com/jobs/view/4356655059")</f>
        <v/>
      </c>
      <c r="F69" t="inlineStr"/>
      <c r="G69" t="inlineStr"/>
      <c r="H69" t="inlineStr"/>
      <c r="I69" t="inlineStr">
        <is>
          <t>We are on the lookout for a Full Stack Engineer (open to Junior, Mid, and Senior levels) to join a fast\-growing, profitable technology company building LLM\-powered tools for private market investment research.
**About the Company** 
 The company develops advanced AI\-driven solutions used by several of the world’s top private equity and consulting firms, supporting investment decisions involving billions of dollars annually. It operates as a bootstrapped organization with a lean, high\-impact engineering team based in London and NYC.
**Role Description** 
 This role offers the opportunity to join as one of the first engineering hires, with significant ownership and influence. Key responsibilities include:
* Shipping features quickly in a fast\-paced environment
* Designing and building new ways of interacting with computers
* Contributing to cutting\-edge LLM\-based products
* Collaborating closely with external partners
* Participating in product direction, prioritization, and technical decisions
* Helping shape the engineering culture from an early stage
**Example Projects** 
* Building frontier AI products to ingest multiple research input formats
* Developing a low\-latency voice\-to\-voice survey tool capable of autonomously handling high\-volume research tasks
* Building a mobile application from scratch in approximately three weeks
* Creating segmented knowledge graphs from unstructured to structured data
* Developing an AI\-native CRM system deeply integrated with the knowledge graph
**The ideal candidate:** 
* Is based in NYC
* Has a product\-oriented mindset and enjoys contributing to decisions
* Possesses strong communication skills and is comfortable in a client\-facing context
* Is proficient in Next.js, TypeScript, and PostgreSQL
* Has bonus experience building or designing AI\-powered products
* Thrives in fast\-moving environments and enjoys building at speed
**Benefits** 
* Competitive compensation and equity
* Private healthcare
* Gym membership
* In\-office cook</t>
        </is>
      </c>
    </row>
    <row r="70">
      <c r="A70" t="inlineStr">
        <is>
          <t>li-4361044639</t>
        </is>
      </c>
      <c r="B70" t="inlineStr">
        <is>
          <t>Senior Backend Engineer (Java/Spring/AWS) - AskGartner</t>
        </is>
      </c>
      <c r="C70" t="inlineStr">
        <is>
          <t>Gartner</t>
        </is>
      </c>
      <c r="D70" t="inlineStr">
        <is>
          <t>linkedin</t>
        </is>
      </c>
      <c r="E70">
        <f>HYPERLINK("https://www.linkedin.com/jobs/view/4361044639", "https://www.linkedin.com/jobs/view/4361044639")</f>
        <v/>
      </c>
      <c r="F70" t="inlineStr"/>
      <c r="G70" t="inlineStr">
        <is>
          <t>Stamford, CT</t>
        </is>
      </c>
      <c r="H70" t="inlineStr"/>
      <c r="I70" t="inlineStr">
        <is>
          <t>Hiring near our US Centers of Excellence.
 Irving, TX
 Stamford, CT
 Gartner offers a flexible environment, with remote work that allows associates great flexibility to work from home, and opportunities to connect with colleagues for moments that matter on\-site. Candidates that apply should be located within a reasonable proximity to one of Gartner’s Centers of Excellence office locations.
****About Gartner IT:****
 Join a world\-class team of skilled engineers who build creative digital solutions to support our colleagues and clients. We make a broad organizational impact by delivering cutting\-edge technology solutions that power Gartner. Gartner IT values its culture of nonstop innovation, an outcome\-driven approach to success, and the notion that great ideas can come from anyone on the team.
****About this role:****
 We are seeking a Senior Software Engineer who serves as a technical anchor for the team. In this role, you will be responsible for leading medium\-sized initiatives, providing sound technical guidance, and ensuring our web services are built for scale and reliability. You are an engineer who balances hands\-on development with the ability to influence technical direction and mentor peers.
****What you’ll do:****
* Provide leadership and guidance for medium\-sized initiatives, ensuring solutions are scalable and incorporate strategic considerations.
* Contribute actively to architectural discussions and design sound, maintainable web services using Java or Python.
* Promote organizational values within the team and ensure technical decisions align with broader team goals and best practices.
* Design and implement robust ETL/ELT pipelines and ML Engineering workflows that meet performance and reliability requirements.
* Develop strong communication skills to articulate technical concepts to various stakeholders and influence technical direction at the Business Unit level.
* Actively seek opportunities to mentor junior and peer engineers, fostering a culture of continuous learning and growth
****Must have:****
* 5\+ years of professional experience in the IT industry.
* Experience and strong knowledge about REST APIs, API performance / scaling and best practices
* Strong command of Data Structures, Algorithms, and Design Patterns to build moderately complex and efficient systems.
* Significant experience developing and maintaining production\-scale, customer\-facing web services.
* Hands\-on exposure to OpenSearch or ElasticSearch and a solid understanding of different storage engines (SQL and NoSQL).
* Familiarity with AWS environments and a working knowledge of CI/CD pipelines and DevOps practices.
****Nice to have:****
* Practical experience managing the data lifecycle through ETL/ELT processes and deploying ML models into production.
* Experience with Agentic Workflows or AI\-driven automation.
* Proven track record of improving team velocity through better tooling or process improvements.
****Who you are:****
* Excellent communication skills.
* Attitude and aptitude to learn, collaborate, and work towards common goals of the team. Must be a team player.
* Able to work independently or within but interact with a team proactively collaboratively in a fast\-paced AGILE\-SCRUM environment.
* Owns success – Takes responsibility for the successful delivery
* Feels strongly about the importance of Master Data and will do your best to improve its quality and trust across the organization
* Strong desire to improve upon their skills in tools and technologies
 Don’t meet every single requirement? We encourage you to apply anyway. You might be the right candidate for this or other roles
 **.**
****What you will get:****
* Competitive compensation.
* Limitless growth and learning opportunities.
* Ongoing mentorship and apprenticeship; Leadership courses, development programs, technical courses, certification opportunities and more!
* A collaborative and positive culture \- join a diverse team of professionals that are as smart and driven as you.
* A chance to make an impact – your work will contribute directly to our strategy.
* Enjoy the flexibility of working from home and the energy of collaborating with peers in our dynamic offices.
* 20\+ PTO days plus holidays and floating holidays in your first year.
* Extensive medical, dental insurance and vision plan.
* 401K with corporate match, immediate vesting.
* Health\-and\-wellness\-related allowance programs.
* Parental leave.
* Tuition reimbursement.
* Employee Stock Purchase Plan.
* Employee Assistance Program.
* Gartner Gives Charity Match. And much more!
 \#TW1
**Who are we?**
 At Gartner, Inc. (NYSE:IT), we guide the leaders who shape the world.
 Our mission relies on expert analysis and bold ideas to deliver actionable, objective business and technology insights, helping enterprise leaders and their teams succeed with their mission\-critical priorities.
 Since our founding in 1979, we’ve grown to 21,000 associates globally who support \~14,000 client enterprises in \~90 countries and territories. We do important, interesting and substantive work that matters. That’s why we hire associates with the intellectual curiosity, energy and drive to want to make a difference. The bar is unapologetically high. So is the impact you can have here.
**What makes Gartner a great place to work?**
 Our vast, virtually untapped market potential offers limitless opportunities – opportunities that may not even exist right now – for you to grow professionally and flourish personally. How far you go is driven by your passion and performance.
 We hire remarkable people who collaborate and win as a team. Together, our singular, unifying goal is to deliver results for our clients.
 Our teams are inclusive and composed of individuals from different geographies, cultures, religions, ethnicities, races, genders, sexual orientations, abilities and generations.
 We invest in great leaders who bring out the best in you and the company, enabling us to multiply our impact and results. This is why, year after year, we are recognized worldwide as a great place to work.
**What do we offer?**
 Gartner offers world\-class benefits, highly competitive compensation and disproportionate rewards for top performers.
 In our hybrid work environment, we provide the flexibility and support for you to thrive — working virtually when it's productive to do so and getting together with colleagues in a vibrant community that is purposeful, engaging and inspiring.
 Ready to grow your career with Gartner? Join us.
 Gartner believes in fair and equitable pay. A reasonable estimate of the base salary range for this role is 100,000 USD \- 154,000 USD. Please note that actual salaries may vary within the range, or be above or below the range, based on factors including, but not limited to, education, training, experience, professional achievement, business need, and location. In addition to base salary, employees will participate in either an annual bonus plan based on company and individual performance, or a role\-based, uncapped sales incentive plan. Our talent acquisition team will provide the specific opportunity on our bonus or incentive programs to eligible candidates. We also offer market leading benefit programs including generous PTO, a 401k match up to $7,200 per year, the opportunity to purchase company stock at a discount, and more.
 The policy of Gartner is to provide equal employment opportunities to all applicants and employees without regard to race, color, creed, religion, sex, sexual orientation, gender identity, marital status, citizenship status, age, national origin, ancestry, disability, veteran status, or any other legally protected status and to seek to advance the principles of equal employment opportunity.
 Gartner is committed to being an Equal Opportunity Employer and offers opportunities to all job seekers, including job seekers with disabilities. If you are a qualified individual with a disability or a disabled veteran, you may request a reasonable accommodation if you are unable or limited in your ability to use or access the Company’s career webpage as a result of your disability. You may request reasonable accommodations by calling Human Resources at \+1 (203\) 964\-0096 or by sending an email to ApplicantAccommodations@gartner.com.
 Job Requisition ID:106849
 By submitting your information and application, you confirm that you have read and agree to the country or regional recruitment notice linked below applicable to your place of residence.
 Gartner Applicant Privacy Link: https://jobs.gartner.com/applicant\-privacy\-policy
**For efficient navigation through the application, please only use the back button within the application, not the back arrow within your browser.**</t>
        </is>
      </c>
    </row>
    <row r="71">
      <c r="A71" t="inlineStr">
        <is>
          <t>li-4362972668</t>
        </is>
      </c>
      <c r="B71" t="inlineStr">
        <is>
          <t>Software Engineer (Sustaining)</t>
        </is>
      </c>
      <c r="C71" t="inlineStr">
        <is>
          <t>Proofpoint</t>
        </is>
      </c>
      <c r="D71" t="inlineStr">
        <is>
          <t>linkedin</t>
        </is>
      </c>
      <c r="E71">
        <f>HYPERLINK("https://www.linkedin.com/jobs/view/4362972668", "https://www.linkedin.com/jobs/view/4362972668")</f>
        <v/>
      </c>
      <c r="F71" t="inlineStr"/>
      <c r="G71" t="inlineStr">
        <is>
          <t>Pittsburgh, PA</t>
        </is>
      </c>
      <c r="H71" t="inlineStr"/>
      <c r="I71" t="inlineStr">
        <is>
          <t>**About Us**
 Proofpoint is a global leader in human\- and agent\-centric cybersecurity. We protect how people, data, and AI agents connect across email, cloud, and collaboration tools. Over 80 of the Fortune 100, 10,000 large enterprises, and millions of smaller organizations trust Proofpoint to stop threats, prevent data loss, and build resilience across their people and AI workflows. Our mission is simple safeguard the digital world and empower people to work securely and confidently. Join us in our pursuit to defend data and protect people.
**How We Work**
 At Proofpoint you’ll be part of a global team that breaks barriers to redefine cybersecurity guided by our BRAVE core values
**Bold** 
 in how we dream and innovate
**Responsive** 
 to feedback, challenges and opportunities
**Accountable** 
 for results and best in class outcomes
**Visionary** 
 in future focused problem\-solving
**Exceptional** 
 in execution and impact
 We are looking for an exceptional Software Engineer (sustaining) who is responsible for maintaining and improving quality, reliability, and delivery of current product features. The engineer helps with the customer issues reported from the field by triaging and addressing them with the required changes. This role is also responsible for providing feedback to new product development teams to improve quality/reliability of future products. This is part of the core team that develops cloud software to discover, organize, analyze and secure various cloud infrastructures. There is a great opportunity to deliver, learn, and grow as this small team is rapidly growing and delivering many impactful features.
 The role is a combination of software development, quality assurance, and technical support with a primary focus on making the existing products function well for customers. These are key expectations for the role
* Support DSPM product areas and provide customer support to help resolve difficult customer issues.
* Design, develop, and deliver solutions to customers to help them resolve problems that they are facing in their deployments.
* Work on developing solutions and resolving issues within our products to help improve the overall stability of the DSPM platform.
* Be familiar and use AI tools day to day.
**Requirements**
* 4\+ years of development experience in Python or NodeJS is preferred
* Expertise in public cloud compute and networking, with hands\-on experience in at least one of the following AWS, GCP, or Azure.
* Proven experience with REST API\-driven automation using Python or JavaScript.
* Strong problem\-solving skills and the ability to learn quickly in a fast\-paced, innovative environment.
* Adaptability and a keen interest in staying current with new technologies and evolving industry trends.
* Understanding of github and experience with CI/CD pipelines, including the setup and management of automated build, test, and deployment workflows
* Prior experience in testing SaaS security products is a plus
* Experience in debugging complex products, and building monitoring dashboards is preferred
**Why Proofpoint?**
 At Proofpoint, we believe that an exceptional career experience includes a comprehensive compensation and benefits package. Here are just a few reasons you’ll love working with us
* Competitive compensation
* Comprehensive benefits
* Career success on your terms
* Flexible work environment
* Annual wellness and community outreach days
* Always on recognition for your contributions
* Global collaboration and networking opportunities
**Our Culture**
 Our culture is rooted in values that inspire belonging, empower purpose and drive success\-every day, for everyone.
 We encourage applications from individuals of all backgrounds, experiences, and perspectives. If you need accommodation during the application or interview process, please reach out to accessibility@proofpoint.com.
**How To Apply**
 Interested? Submit your application along with any supporting information\- we can’t wait to hear from you!
 Consistent with Proofpoint values and applicable law, we provide the following information to promote pay transparency and equity. Our compensation reflects the cost of labor across several U.S. geographic markets, and we pay differently based on those defined markets as set out below. Pay within these ranges varies and depends on job\-related knowledge, skills, and experience. The actual offer will be based on the individual candidate. The range provided may represent a candidate range and may not reflect the full range for an individual tenured employee. This role may be eligible for variable compensation and/or equity. We offer a competitive benefits package, including flexible time off, a comprehensive well\-being program with two paid Wellbeing Days and two paid Volunteer Days per year, plus a three\-week Work from Anywhere option.
**Base Pay Ranges**
 SF Bay Area, New York City Metro Area
 Base Pay Range 136,200\.00 \- 214,005\.00 USD
 California (excludes SF Bay Area), Colorado, Connecticut, Illinois, Washington DC Metro, Maryland, Massachusetts, New Jersey, Texas, Washington, Virginia, and Alaska
 Base Pay Range 112,700\.00 \- 177,100\.00 USD
 All other cities and states excluding those listed above
 Base Pay Range 101,600\.00 \- 159,720\.00 USD</t>
        </is>
      </c>
    </row>
    <row r="72">
      <c r="A72" t="inlineStr">
        <is>
          <t>li-4360011226</t>
        </is>
      </c>
      <c r="B72" t="inlineStr">
        <is>
          <t>Staff Software Engineer</t>
        </is>
      </c>
      <c r="C72" t="inlineStr">
        <is>
          <t>Iterable</t>
        </is>
      </c>
      <c r="D72" t="inlineStr">
        <is>
          <t>linkedin</t>
        </is>
      </c>
      <c r="E72">
        <f>HYPERLINK("https://www.linkedin.com/jobs/view/4360011226", "https://www.linkedin.com/jobs/view/4360011226")</f>
        <v/>
      </c>
      <c r="F72">
        <f>HYPERLINK("https://job-boards.greenhouse.io/iterable/jobs/7491993&amp;urlHash=CpN-", "https://job-boards.greenhouse.io/iterable/jobs/7491993&amp;urlHash=CpN-")</f>
        <v/>
      </c>
      <c r="G72" t="inlineStr">
        <is>
          <t>Chicago, IL</t>
        </is>
      </c>
      <c r="H72" t="inlineStr"/>
      <c r="I72" t="inlineStr">
        <is>
          <t>Iterable is the leading AI\-powered customer engagement platform that helps leading brands like Redfin, SeatGeek, Priceline, Calm, and Box create dynamic, individualized experiences at scale. Our platform empowers organizations to activate customer data, design seamless cross\-channel interactions, and optimize engagement—all with enterprise\-grade security and compliance. Today, nearly 1,200 brands across 50\+ countries rely on Iterable to drive growth, deepen customer relationships, and deliver joyful customer experiences.
 Our success is powered by extraordinary people who bring our core values—Trust, Growth Mindset, Balance, and Humility—to life. We foster a culture of innovation, collaboration, and inclusion, where ideas are valued and individuals are empowered to do their best work. That’s why we’ve been recognized as one of Inc’s Best Workplaces and Fastest Growing Companies, and were recognized on Forbes’ list of America’s Best Startup Employers in 2022\. Notably, Iterable has also been listed on Wealthfront’s Career Launching Companies List and has held a top 10 ranking on the Top 25 Companies Where Women Want to Work.
 With a global presence—including offices in San Francisco, New York, Denver, London, and Lisbon, plus remote employees worldwide—we are committed to building a diverse and inclusive workplace. We welcome candidates from all backgrounds and encourage you to apply. Learn more about our story and mission on our Culture and About Us pages. Let’s shape the future of customer engagement together!
**How you will make an impact:**
 Our
 **Data In Flight (DIF)** 
 team owns the core pipelines that ingest and route user and event data into Iterable, powering identity, segmentation, and real\-time personalization. We are building a
 **multi\-tenant data platform** 
 that application teams can build on top of, with clear contracts, SLOs, and guardrails. Our product and our
 **Elasticsearch clusters** 
 are multi\-tenant, and we run Elasticsearch on Kubernetes using Elastic Cloud on Kubernetes (ECK).
 We’re looking for a
 **Staff Software Engineer** 
 with a track record of operating
 **Elasticsearch\-backed data platforms in multi\-tenant SaaS** 
 . You’ll be a hands\-on IC who both designs distributed systems and acts as a platform “product owner” for app teams: understanding their needs, shaping the platform roadmap, and defining stable interfaces between product and data infrastructure.
**How you will make an impact:**
* Own and evolve core Data In Flight services (ingestion, user and event APIs, identity, system events) with a focus on reliability, performance, and cost.
* Lead the Elasticsearch strategy for our multi\-tenant live user and event data: index and mapping design, shard strategy, and safeguards across shared clusters.
* Design and enforce platform contracts (APIs, data models, SLAs, and usage limits) that let product teams move quickly while keeping the data platform safe and scalable.
* Work across other data and application teams on initiatives such as Elasticsearch upgrades, guardrails, resharding, and event retention.
* Provide senior technical leadership during incidents and reviews, turning operational learnings into durable platform improvements.
* Mentor engineers on distributed systems, data modeling, and pragmatic use of Elasticsearch.
**What you'll bring:**
 You likely have many of the experiences below, but not necessarily all of them:
* Hands\-on Elasticsearch expertise in production:
+ Supporting customer\-facing features or platforms backed by ES
+ Designing schemas and queries for high\-cardinality, multi\-tenant workloads
+ Operating large clusters (capacity planning, scaling, incident response)
* Multi\-tenant platform experience:
+ Building shared data services used by multiple product teams
+ Implementing rate limits, quotas, and noisy\-neighbor protections
+ Thinking in terms of contracts and SLOs, not one\-off integrations
* Strong distributed systems background:
+ JVM\-based services (Scala/Java) and event\-driven or streaming architectures
+ Comfort with modern cloud infrastructure (AWS or similar), messaging, and caches
* Staff\-level impact and collaboration:
+ Leading cross\-team projects from design through rollout
+ Translating technical decisions into clear business and product trade\-offs
+ Clear written communication (RFCs, design docs, post\-incident reviews)
**Nice To Have:**
* Experience with Scala and the Play framework or similar JVM stacks.
* Prior work on core user data platforms (identity, profile stores, event pipelines, or CDP\-like systems).
* Exposure to FinOps / infra cost optimization in data\-heavy systems.
* Experience in MarTech / AdTech or other high\-volume, low\-latency data domains.
**Perks \&amp; Benefits:**
* Competitive salaries, meaningful equity, \&amp; 401(k) plan
* Medical, dental, vision, \&amp; life insurance
* Balance Days (additional paid holidays)
* Fertility \&amp; Adoption Assistance
* Paid Sabbatical
* Flexible PTO
* Monthly Employee Wellness allowance
* Monthly Professional Development allowance
* Pre\-tax commuter benefits
* Complete laptop workstation
 The US base salary range for this position at the start of employment is $156,00 \- $242,000\. Within this range, individual pay is determined by specific US work location, as well as additional factors, including job\-related skills, experience, relevant education or training, and internal equity considerations.
 Please note that the range listed above reflects only base salary. The total compensation package includes variable pay (where applicable), equity, plus a range of benefits, including medical, dental, vision, and financial. In addition, we offer perks such as generous stipends for health \&amp; fitness and learning \&amp; development, among others.
**Recruitment Disclaimer:**
 Please be aware that Iterable, Inc. (“Iterable”) and our official professional recruiting agencies and platforms do not:
* Send job offers from free email services like Gmail, Yahoo mail, Hotmail, etc.
* Request money, fees, or payment of any kind from prospective candidates to apply to Iterable, for employment, or for the recruitment process (e.g. for home office supplies, or training, etc.).
* Request or require personal documents like bank account details, tax forms, or credit card information as part of the recruitment process prior to the candidate signing an engagement letter or an employment contract with Iterable.
 You may see all job vacancies on our official Iterable channels:
* Official Iterable website, Careers page: https://iterable.com/careers/
* Official LinkedIn Jobs page: https://www.linkedin.com/company/iterable/jobs/
 Iterable is not affiliated in any way to these impostors and we hereby confirm that such individuals/entities are not authorized, encouraged, or sponsored to act on behalf of Iterable. Such job opportunities are entirely fake and not valid. Therefore, please disregard any written or oral request for a job offer or an interview that you believe is or might be fraudulent or suspicious and immediately reach out to us via email at
 **talent\-ops@iterable.com** 
 upon receiving a suspicious job offer.
 Criminal and/or civil liabilities may arise from such actions, and Iterable expressly reserves the right to take legal action, including criminal action, against such individuals/entities whenever such phenomena occur. In any case, please note that under no circumstances shall Iterable and any of its affiliates be held liable or responsible for any claims, losses, damages, expenses or other inconvenience resulting from or in any way connected to the actions of these impostors.
 Iterable is an Equal Employment Opportunity employer that proudly pursues and hires a diverse workforce. Iterable does not make hiring or employment decisions on the basis of race, color, religion or religious belief, ethnic or national origin, nationality, sex, gender, gender\-identity, sexual orientation, disability, age, military or veteran status, or any other basis protected by applicable local, state, or federal laws or prohibited by Company policy. Iterable also strives for a healthy and safe workplace and strictly prohibits harassment of any kind. Pursuant to the San Francisco Fair Chance Ordinance and other similar state laws and local ordinances, and its internal policy, Iterable will also consider for employment qualified applicants with arrest and conviction records.</t>
        </is>
      </c>
    </row>
    <row r="73">
      <c r="A73" t="inlineStr">
        <is>
          <t>li-4348423075</t>
        </is>
      </c>
      <c r="B73" t="inlineStr">
        <is>
          <t>Senior Software Engineer - Salesforce</t>
        </is>
      </c>
      <c r="C73" t="inlineStr">
        <is>
          <t>Mercer Advisors</t>
        </is>
      </c>
      <c r="D73" t="inlineStr">
        <is>
          <t>linkedin</t>
        </is>
      </c>
      <c r="E73">
        <f>HYPERLINK("https://www.linkedin.com/jobs/view/4348423075", "https://www.linkedin.com/jobs/view/4348423075")</f>
        <v/>
      </c>
      <c r="F73" t="inlineStr"/>
      <c r="G73" t="inlineStr"/>
      <c r="H73" t="inlineStr"/>
      <c r="I73" t="inlineStr">
        <is>
          <t>**Why Work at Mercer Advisors?**
 For 40 years, Mercer Advisors has worked with families to help them amplify and simplify their financial lives. How? By integrating financial planning, investment management, tax, estate, insurance, and more, all managed by a single team. Today we proudly serve over 31,300 families in more than 90 cities across the U.S. Ranked the \#1 RIA Firm in the nation by Barron’s, we are an independent, national fiduciary legally obligated to always act in the best interest of our clients.\*
 Mercer Advisors offers a distinct work environment that stands out in the financial industry. Our overall employee base and client\-facing team are composed of 50% women, reflecting our commitment to diversity. We attract top talent from across the country, with no formal headquarters and flexible working arrangements, allowing us to assemble the best team possible.
 Join us and be a part of a team dedicated to making a meaningful impact on the financial lives of families across the country.
* Mercer Advisors was ranked \#1 for RIA firms with up to $70 billion in assets. The Barron’s top RIA ranking is based on a combination of metrics – including size, growth, service quality, technology, succession planning and others. No fee was paid for participation in the ranking, however, Mercer Advisors has paid a fee to Barron’s to use the ranking in marketing. Please see important information about the ranking criteria methodology here.
**Job Summary**
 As a Senior Salesforce Developer at Mercer Advisors, you will play a pivotal role in optimizing and expanding our Salesforce ecosystem. This role demands advanced technical expertise to design, develop, and implement customized Salesforce solutions that drive operational efficiency and business growth. You will work closely with cross\-functional teams to translate business needs into actionable technical requirements, ensuring seamless integration and enhancement of our Salesforce environment.
**Advanced Development**
**Essential Job Functions for Senior Salesforce Developer will include:**
* Design and build sophisticated Visualforce pages, custom controllers, and Lightning components using Apex and other Salesforce technologies.
**Integration Management**
* Lead the development of complex integrations across the Salesforce platform, ensuring seamless data flow between Salesforce and other enterprise systems.
**Customization**
* Create and maintain custom objects, code, and test methods to support various business processes and project requirements.
**Process Improvement**
* Establish and refine best practices for Salesforce technology deployments, ensuring effective project management and execution.
**Collaboration**
* Engage with business stakeholders and technical teams to understand project goals, translate business requirements into technical specifications, and deliver data\-driven solutions.
**Project Management**
* Ensure timely delivery of high\-quality solutions by managing deadlines and providing clear, consistent communication on project progress.
**Quality Assurance**
* Conduct thorough testing and validation of deliverables to ensure they meet quality standards and functional requirements.
**Mentorship**
* Provide guidance and support to junior developers and team members, fostering a collaborative and knowledge\-sharing environment.
**Required Knowledge, Skills And Abilities**
* Bachelor’s degree in Computer Science, Information Technology, or a related field, or equivalent experience.
* Minimum of 5 years of experience in Salesforce development with a proven track record of complex project execution.
* In\-depth knowledge of the Salesforce development lifecycle, including SDLC, Agile, and SCRUM methodologies.
* Strong experience with Apex, Visualforce, Lightning components, and Salesforce APIs. Proven ability to develop custom solutions and integrations within the Salesforce platform.
* Proficient in Salesforce administration, including User, Role, Profile management, Workflows, Page Layouts, Validation Rules, and Security configurations.
* Experience with Salesforce Sandbox administration and deployment management.
**Preferred Qualifications**
* Experience in the Wealth Management or Financial Services field preferred.
**Work Schedule:** 
 This professional role requires availability during standard business hours of Monday through Friday from 8AM to 5PM. At times, the role may have early or late hours to meet business tasks and deadlines for external and internal client needs.
**Working Conditions:** 
 This position may be in a professional office environment or a dedicated home office workspace which is free of interruptions. Whether position is in a dedicated office space or home office workspace, basic technology needs will be provided to satisfy position requirements. Routinely sitting and standing for periods of time. No heavy lifting over 10 lbs. Travel assumed up to 20% of the time.
 Actual base pay within this range will be based on a variety of factors, including but not limited to the applicant’s geographic location, relevant experience, education, skills and licenses/certifications. This position is also eligible to earn incentive compensation through one of Mercer Advisors’ incentive compensation programs.
 Base Pay Range
 $119,000 \- $140,000 USD
**Benefits**
 Mercer Advisors offers a competitive and robust benefit package to our employees. Our benefit programs are focused on meeting all of our employees and their eligible dependents health and welfare needs. We offer the following:
* Company Paid Basic Life \&amp; AD\&amp;D Insurance
* Company Paid Short\-Term and Long\-Term Disability Insurance
* Supplemental Life \&amp; AD\&amp;D Short\-Term Disability; Accident; Critical Illness; and Hospital Indemnity Insurance
* Three medical plans offerings including two High Deductible Health Plans and a Traditional Co\-Pay medical plan.
* Health Savings Account (HSA) with company contributions on a per pay period basis if enrolled in either HDHP medical plan.
* Two comprehensive Dental Plans
* Vision Insurance Plan
* Dependent Care Savings Account for child and dependent care.
* 14 Company Paid Holidays with a full week off at Thanksgiving.
* Generous paid time off program for vacation and sick days
* Employee Assistance Plan
* Family Medical Leave
* Paid Parental Leave (6 weeks)
* Maternity benefits utilizing company paid STD, any supplemental STD, plus Parental Leave (6 weeks) to provide time for recovery, baby bonding, and enjoying your family time.
* Adoption Assistance Reimbursement Program
* Company Paid Concierge Services for you and your loved ones for the spectrum of caring needs for your aging parents, young children, life’s challenges and more.
* 401(k) Retirement Plan with both Traditional and Roth plans with per pay period match
* Pet Insurance
**We are not accepting unsolicited resumes from agencies and/or search firms for this job posting.**
*Mercer Advisors provides equal employment opportunity to all applicants and employees without regard to age, color, disability, gender, marital status, national origin, race, religion, sexual orientation, gender identity and expression, physical or mental disability, genetic predisposition or carrier status, or any other characteristic protected by law in accordance with all applicable federal, state, and local laws. Mercer Advisors provides equal employment opportunity in all aspects of employment and employee relations, including recruitment, hiring, training and development, promotion, transfer, demotion, termination, layoff, compensation, benefits, and all other terms, conditions, and privileges of employment in accordance with applicable federal, state, and local laws.*
 If you need an accommodation seeking employment with Mercer Advisors, please email PeopleTeam@merceradvisors.com. Accommodations are made on a case\-by\-case basis. This email is for accommodation requests only. We are unable to respond to general inquiries sent to this email address.
**Applicants Have Rights Under Federal Employment Laws**
* Family and Medical Leave Act (FMLA)
* Employee Polygraph Protection Act (EPPA)
* Equal Employment Opportunity (EEO)
 U.S. Federal law requires all employers to verify the identity and employment eligibility of all persons hired to work in the United States. Mercer Advisors participate in E\-Verify to confirm work authorization.
* E\-Verify
* Right to Work
 If you are a resident of California, learn more about Mercer's California Consumer Privacy Policy here.
 CCPA Notice at Collection</t>
        </is>
      </c>
    </row>
    <row r="74">
      <c r="A74" t="inlineStr">
        <is>
          <t>li-4342010815</t>
        </is>
      </c>
      <c r="B74" t="inlineStr">
        <is>
          <t>Senior Software Engineer - AI Infrastructure (Scheduler) - CoreAI</t>
        </is>
      </c>
      <c r="C74" t="inlineStr">
        <is>
          <t>Microsoft</t>
        </is>
      </c>
      <c r="D74" t="inlineStr">
        <is>
          <t>linkedin</t>
        </is>
      </c>
      <c r="E74">
        <f>HYPERLINK("https://www.linkedin.com/jobs/view/4342010815", "https://www.linkedin.com/jobs/view/4342010815")</f>
        <v/>
      </c>
      <c r="F74">
        <f>HYPERLINK("https://apply.careers.microsoft.com/careers/job/1970393556628782?utm_source=linkedin&amp;domain=microsoft.com&amp;src=LinkedIn&amp;urlHash=qHpz", "https://apply.careers.microsoft.com/careers/job/1970393556628782?utm_source=linkedin&amp;domain=microsoft.com&amp;src=LinkedIn&amp;urlHash=qHpz")</f>
        <v/>
      </c>
      <c r="G74" t="inlineStr">
        <is>
          <t>Redmond, WA</t>
        </is>
      </c>
      <c r="H74" t="inlineStr"/>
      <c r="I74" t="inlineStr">
        <is>
          <t>**Overview**
 The AI Platform organization builds the end\-to\-end Azure AI stack, from the infrastructure layer to the PaaS and user experience offerings for AI application builders, researchers, and major partner groups across Microsoft. The platform is core to Azure’s innovation, differentiation and operational efficiency, as well as the AI\-related capabilities of all of Microsoft’s flagship products, from M365 and Teams to GitHub Copilot and Bing Copilot. We are the team building the Azure OpenAI service, AI Foundry, Azure ML Studio, Cognitive Services, and the global Azure infrastructure for managing the GPU and NPU capacity running the largest AI workloads on the planet.
 One of the major, mature offerings of AI Platform is Azure ML Services. It provides data scientists and developers a rich experience for defining, training, fine\-tuning, deploying, monitoring, and consuming machine learning models. We provide the infrastructure and workload management capabilities powering Azure ML Services, and we engage directly with some of the major internal research and applied ML groups using these services, including Microsoft Research and the Bing WebXT team.
 As part of AI Platform, the AI Infra team is looking for a Senior Software Engineer \- AI Infrastructure (Scheduler) \- CoreAI. The scheduler is the “brains” of the AI Infra control plane. It governs access to the GPU and NPU capacity of the platform according to a complex system of workload preference rules, placement constraints, optimization objectives, and dynamically interacting policies aimed to maximize hardware utilization and fulfill greatly varying needs of users and the AI Platform partner services in terms of workload types, prioritization, and capacity targeting flexibility. The scheduler’s set of capabilities is broad and ambitions. It manages quota, capacity reservations, SLA tiers, preemption, auto\-scaling, and a wide range of configurable policies. Global scheduling is a distinctive major feature that overcomes the regional segmentation of the Azure compute fleet by treating the GPU capacity as a single global virtual pool, which greatly increases capacity availability and utilization for major classes of ML workload. We have achieved this capability without allowing a major global single point of failure, based on regional instances of the scheduler service interacting via peer\-to\-peer protocols for sharing capacity inventory and coordinating handoff of jobs for scheduling. Our system manages significant amount of GPU capacity even outside Azure datacenters, through a unified model and operational process and highly generalized, flexible workload scheduling capabilities.
 To be able to manage the inherent complexity of the Scheduler subsystem and enable it to meet the stringent expectations of high service reliability, availability, and throughput, we emphasize rigorous engineering, utmost precision and quality, and ownership—from feature design to livesite. Quality mindset, attention to detail, development process rigor, and data\-driven design and problem\-solving skills are key for success in our mission\-critical control plane space.
**Responsibilities**
* Work on the design and development of the core AI Infrastructure distributed and in\-cluster services that support large scale AI training and inferencing.
* Develop, test, and maintain control plane services written in C\#, hosted on Service Fabric or Kubernetes (AKS) clusters.
* Enhance systems and applications to ensure high stability, efficiency and maintainability, low latency, tight cloud security.
* Provide operational support and DRI (on\-call) responsibilities for the service.
* Develop and foster a deep understanding of the machine learning concepts, use cases, and relevant services used by our customers.
* Collaborate closely with service engineers, product managers, and internal applied research and data science teams within Microsoft to build better solutions together.
* Provide vision, expertise, and technical leadership to other team members.
* Help to grow talent in these areas.
* Embody our culture and values
**Qualifications**
**Required Qualifications**
* Bachelor's Degree in Computer Science or related technical field AND 4\+ years technical engineering experience with coding in languages including, but not limited to, C\+\+, C\#, Java, Scala, Rust, Go, TypeScript \| OR equivalent experience.
**Other Requirements**
*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**Preferred/Additional Qualifications**
* Master's degree in Computer Science or a related technical field
* OOP proficiency and practical familiarity with common code design patterns
* 3\+ years of experience with large\-scale services in a distributed environment, including concurrency management and stateful resource management
* Hands\-on experience with public cloud services at the IaaS level
* Advanced knowledge of C\# and .Net
* Proficiency with use of complex data structures and algorithms, preferably in the setting of a resource allocator/scheduler, workflow/execution orchestration engine, database engine, or similar
* Experience with managing the evolution of a large, complex codebase
* Proficiency and thoroughness in unit testing and testability techniques
* Knowledge of AI infrastructure, major use cases, and AI workload management
* Demonstrated major design contributions and technical leadership
* Excellent technical communication skills: verbal and written; product documentation experience
* First\-hand experience with building large\-scale, multi\-tenant global services with high availability
* Experience with building and operating “stateful” and critical control plane services; handling challenges with data size and data partitioning; advanced use of a NoSQL cloud database
* Experience with mapping complex object models to relational and non\-relational datastores
* Dev\-ops experience with microservices architecture in a complex infrastructure and operational environment
* Service reliability and fundamentals engineering; instrumentation for KPIs or performance analysis; demonstrated service and code quality mindset
* Performance engineering: work on scalability, profiling; CPU, memory and I/O use optimization techniques
* Applied cryptography and compliant handling of customer data
* Network security: endpoint protection, federated authentication, RBAC
* Applied knowledge of Kubernetes: service model, workload packaging and deployment, programmatic extensibility (CRDs, operators); or equivalent knowledge of Service Fabric; experience with any service mesh
* Server\-side Windows programming and performance engineering
* Data analytics skills, in particular with Kusto
* Work in a geo\-distributed team
 \#AIPLATFORM
 \#CoreAI
 Software Engineering IC4 \- The typical base pay range for this role across the U.S. is USD $119,800 \- $234,700 per year. There is a different range applicable to specific work locations, within the San Francisco Bay area and New York City metropolitan area, and the base pay range for this role in those locations is USD $158,400 \- $258,000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75">
      <c r="A75" t="inlineStr">
        <is>
          <t>li-4321808925</t>
        </is>
      </c>
      <c r="B75" t="inlineStr">
        <is>
          <t>Software Developer III (Salesforce)</t>
        </is>
      </c>
      <c r="C75" t="inlineStr">
        <is>
          <t>Crowley</t>
        </is>
      </c>
      <c r="D75" t="inlineStr">
        <is>
          <t>linkedin</t>
        </is>
      </c>
      <c r="E75">
        <f>HYPERLINK("https://www.linkedin.com/jobs/view/4321808925", "https://www.linkedin.com/jobs/view/4321808925")</f>
        <v/>
      </c>
      <c r="F75" t="inlineStr"/>
      <c r="G75" t="inlineStr">
        <is>
          <t>Jacksonville, FL</t>
        </is>
      </c>
      <c r="H75" t="inlineStr"/>
      <c r="I75" t="inlineStr">
        <is>
          <t>**Who We Are:**
 As a privately held, U.S.\-owned and operated company, Crowley provides services to 36 nations and island territories. Our purpose is to bravely advance what's possible to elevate people and planet, with our core values of Integrity, Sustainability and Drive guiding everything we do.
 By expanding and innovating our services, we have expanded our footprint in services within the Logistics, Land Transportation, Shipping, Wind and Fuel industries. Crowley and its affiliated companies have generated more than $3\.5 billion in annual revenue through our people's focus on excellence and a culture that values everyone's voices and collaboration.
 To continue laying the groundwork and challenge what's possible for our business, we seek to partner with individuals ready to elevate their careers with us.
**Work Arrangement:**
**Hybrid**
**Why Join Crowley:**
 Contribute to meaningful projects that impact global trade, supply chains, and communities. In addition, work in a diverse, collaborative environment that values respect, integrity, and teamwork.
**What You'll Do:**
 Responsible for utilizing established procedures, guidelines, and industry knowledge and experience to identify and implement moderately complex to complex solutions to meet information technology (IT) systems needs and requirements through designing, coding, testing and analyzing new and existing software, under general to minimal direction.
**Key Responsibilities:**
* Acts as a software development subject matter expert (SME) and supports IT organizational objectives through the definition, development and execution of related methodologies, processes and tools in accordance with organizational priorities.
* Lead the design, development, and implementation of complex Salesforce solutions across multiple business units.
* Develop custom applications using Apex classes, triggers, Lightning Web Components (LWC), Visualforce, and SOQL/SOSL.
* Architect and implement integrations between Salesforce and external systems using APIs, middleware, and ETL tools.
* Conducts code and configuration audits in order to assess accuracy and performance.
* Implements actions or projects that enhance system design and/or streamline performance and productivity based on analysis.
* Develops and documents best practices based on management and end\-user feedback. Coordinates the installation of new software systems and provides ongoing technical support for moderately complex to complex systems, applications and tools.
* Creates moderately complex to complex technical documentation and software user guides that enhance the operation, maintenance and development of systems.
* Anticipates internal/external business challenges and recommends and implements system value opportunities, including process optimization, policies and procedures, and end\-user experience improvements.
* May indirectly lead other, less experienced, software developers in the implementation of medium scale projects or significant components of larger projects, including the planning and estimation of phases of the Software Development Life Cycle (SDLC).
* Establishes and maintains partnerships internal/external of the organization to maintain a unified approach to software development and assists in facilitating the resolution of software and business information system issues.
* Provides coaching and mentoring to less experienced software developers.
**Education \&amp; Credentials:**
 Bachelor’s degree in computer science or a related field; or equivalent combination of post high school education and experience equal to nine (12\) years.
**Experience:**
 8 \- 10 years of salesforce development experience.
**Technical Skills:**
* Proficient with Microsoft Office products, including Word, Outlook, PowerPoint, and Excel. (See “Variations” for additional technical proficiencies.)
* Expert\-level proficiency in Apex, LWC, JavaScript, Visualforce, and SOQL.
* Strong understanding of Salesforce architecture, governor limits, and security model.
* Proven experience with Salesforce integrations (REST/SOAP APIs, middleware tools like Mulesoft).
* Experience with Salesforce deployment tools, Git\-based version control, and DevOps practices.
* Experience working with Salesforce Sales Cloud, Service Cloud, Marketing Cloud or Experience Cloud.
**What We Offer?**
**We inspire top talent by offering a comprehensive and competitive package that supports the diverse needs of our people—on land, at sea, in offices, and remotely.**
**Our Total Rewards include:**
* Competitive pay with recognition programs
* Comprehensive benefits: medical, dental, and vision insurance, life and disability coverage, and paid vacation and holidays
* Leave and family support: parental leave and sick leave
* Learning and growth: access to training and development for continuous skill development
* Well\-being resources: Employee Assistance Program, wellness program, and gym membership discounts
**At Crowley, we invest in you—your success, your health, and your futu** 
**re.**
**Primary Location**
 US\-FL\-JACKSONVILLE
**Work Locations**
 USA\-FL\-JACKSONVILLE\-REGENCY
**Job**
 Info Tech
**Organization**
 Land Trans Technology US 9100
**Schedule**
 Full\-time
**Employee Status**
 Non\-Management
**Job Level**
 Day Job
**Job Posting**
 Nov 11, 2025, 2:36:47 PM
**Work Arrangement**
 Hybrid (Office/Remote) Employee</t>
        </is>
      </c>
    </row>
    <row r="76">
      <c r="A76" t="inlineStr">
        <is>
          <t>li-4341571242</t>
        </is>
      </c>
      <c r="B76" t="inlineStr">
        <is>
          <t>Principal Software Engineer, Exploration (CoreAI)</t>
        </is>
      </c>
      <c r="C76" t="inlineStr">
        <is>
          <t>Microsoft</t>
        </is>
      </c>
      <c r="D76" t="inlineStr">
        <is>
          <t>linkedin</t>
        </is>
      </c>
      <c r="E76">
        <f>HYPERLINK("https://www.linkedin.com/jobs/view/4341571242", "https://www.linkedin.com/jobs/view/4341571242")</f>
        <v/>
      </c>
      <c r="F76">
        <f>HYPERLINK("https://apply.careers.microsoft.com/careers/job/1970393556636937?utm_source=linkedin&amp;domain=microsoft.com&amp;src=LinkedIn&amp;urlHash=pvNK", "https://apply.careers.microsoft.com/careers/job/1970393556636937?utm_source=linkedin&amp;domain=microsoft.com&amp;src=LinkedIn&amp;urlHash=pvNK")</f>
        <v/>
      </c>
      <c r="G76" t="inlineStr">
        <is>
          <t>Redmond, WA</t>
        </is>
      </c>
      <c r="H76" t="inlineStr"/>
      <c r="I76" t="inlineStr">
        <is>
          <t>**Overview**
 The Core AI team is dedicated to empowering every developer to shape the future with AI. This involves creating tools, platforms, and workflows that redefine software development and enable dynamic, AI driven applications.
 We are an exploration team within Core AI focused on generating innovative ideas in the AI space and then applying them to developer processes and tools. We conceptualize, explore, and build new disruptive capabilities by pulling together product and research efforts across the company, the open\-source community, and academia to build great products. We work closely with contributors and leaders from relevant product and research teams to educate our point of view on issues and opportunities, collaboratively define concrete exploration plans, and bring the best ideas—whether developed internally or externally—to life as transformative products.
 We are looking for an experienced software engineer that is passionate about AI, new technology, writing code, understanding \&amp; leveraging AI foundation and distilled models, and moving ideas from wonder to results.
**Responsibilities**
 We are looking for an experienced software engineer that is passionate about Artificial Intelligence (AI), new technology, writing code, understanding \&amp; leveraging Artificial Intelligence (AI) foundation and distilled models, and moving ideas from wonder to results. This person be a great team player, and know the developer job deeply. We need a curious and excited technologist that’s able to help shape musings into solid product ideas. This person should be comfortable working on a team that has market changing ideas and wants to help transform those ideas into reality.
**Qualifications**
**Required Qualifications:**
* Bachelor's Degree in Computer Science or related technical field AND 6\+ years technical engineering experience with coding in languages including, but not limited to, C, C\+\+, C\#, Java, JavaScript or Python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Qualifications**
 Master's Degree in Computer Science or related technical field AND 8\+ years technical engineering experience with coding in languages including, but not limited to, C, C\+\+, C\#, Java, JavaScript, or Python OR Bachelor's Degree in Computer Science or related technical field AND 10\+ years technical engineering experience with coding in languages including, but not limited to, C, C\+\+, C\#, Java, JavaScript, or Python OR equivalent experience.
 Software Engineering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77">
      <c r="A77" t="inlineStr">
        <is>
          <t>li-4363660890</t>
        </is>
      </c>
      <c r="B77" t="inlineStr">
        <is>
          <t>Sr Software Engineer</t>
        </is>
      </c>
      <c r="C77" t="inlineStr">
        <is>
          <t>Rockwell Automation</t>
        </is>
      </c>
      <c r="D77" t="inlineStr">
        <is>
          <t>linkedin</t>
        </is>
      </c>
      <c r="E77">
        <f>HYPERLINK("https://www.linkedin.com/jobs/view/4363660890", "https://www.linkedin.com/jobs/view/4363660890")</f>
        <v/>
      </c>
      <c r="F77" t="inlineStr"/>
      <c r="G77" t="inlineStr">
        <is>
          <t>Milwaukee, WI</t>
        </is>
      </c>
      <c r="H77" t="inlineStr"/>
      <c r="I77" t="inlineStr">
        <is>
          <t>Rockwell Automation is a global technology leader focused on helping the world’s manufacturers be more productive, sustainable, and agile. With more than 28,000 employees who make the world better every day, we know we have something special. Behind our customers \- amazing companies that help feed the world, provide life\-saving medicine on a global scale, and focus on clean water and green mobility \- our people are energized problem solvers that take pride in how the work we do changes the world for the better.
 We welcome all makers, forward thinkers, and problem solvers who are looking for a place to do their best work. And if that’s you we would love to have you join us!
**Job Description**
 The Platform and Infrastructure team at SecureOT by Rockwell is looking for a software engineer who will help us extend our developer tooling and testing capabilities. You will report to the lead of the Secure OT Platform and Infrastructure team, and work with other SecureOT development teams to implement functionality to help their product development efforts. This is a remote role working anywhere in the United States.
**Your Responsibilities**
* Work with product development teams across the company to understand their needs and build tools and frameworks to support them
* Develop and maintain automated processes and tools for building, testing, and deploying code
* Develop an expertise in the tools, languages, and frameworks our software is built on to help support other developers
* Maintain internal documentation focused on helping developers set up and use the tools to work in their environment
**The Essentials \- You Will Have**
* Bachelors degree or equivalent years of experience
* Legal authorization to work in the U.S. We will not sponsor individuals for employment visas, now or in the future, for this job opening.
**The Preferred \- You Might Also Have**
* 5\+ years of professional software development experience
* 2\+ years working on engineering projects focused on developer tools, productivity, and/or operations
* Experience with Azure DevOps
* Familiarity with at least one of the languages and frameworks used at SecureOT and interest in learning about the others: .NET and C\#, Angular and Typescript, or Python
* Understanding of CI/CD practices and experience with build systems
* To identify build and tooling gaps and execute design/development to fill them
* Experience with different styles of test automation and their trade offs
* Experience working with containers and containerizing existing applications (e.g. Docker, Kubernetes, Mesos)
* Experience writing plugins or hooks for development tools like Jira, Azure DevOps, GitHub Actions, or Wiz
**What We Offer**
* Health Insurance including Medical, Dental and Vision
* 401k
* Paid Time off
* Parental and Caregiver Leave
* Flexible Work Schedule where you will work with your manager to enjoy a work schedule that can be flexible with your personal life.
* To learn more about our benefits package, please visit at www.raquickfind.com.
*At Rockwell Automation we are dedicated to building a diverse, inclusive and authentic workplace, so if you're excited about this role but your experience doesn't align perfectly with every qualification in the job description, we encourage you to apply anyway. You may be just the right person for this or other roles.*
 This position is part of a job family. Experience will be the determining factor for position level and compensation.
 We are an Equal Opportunity Employer including disability and veterans.
 If you are an individual with a disability and you need assistance or a reasonable accommodation during the application process, please contact our services team at \+1 (844\) 404\-7247\.</t>
        </is>
      </c>
    </row>
    <row r="78">
      <c r="A78" t="inlineStr">
        <is>
          <t>li-4359211524</t>
        </is>
      </c>
      <c r="B78" t="inlineStr">
        <is>
          <t>Senior Software Engineer - Tech Lead (AWS, Databricks, SQL)</t>
        </is>
      </c>
      <c r="C78" t="inlineStr">
        <is>
          <t>Travelers</t>
        </is>
      </c>
      <c r="D78" t="inlineStr">
        <is>
          <t>linkedin</t>
        </is>
      </c>
      <c r="E78">
        <f>HYPERLINK("https://www.linkedin.com/jobs/view/4359211524", "https://www.linkedin.com/jobs/view/4359211524")</f>
        <v/>
      </c>
      <c r="F78">
        <f>HYPERLINK("https://careers.travelers.com/job/22873718/senior-software-engineer-tech-lead-aws-databricks-sql-saint-paul-mn/?source=S0903&amp;urlHash=sLhb", "https://careers.travelers.com/job/22873718/senior-software-engineer-tech-lead-aws-databricks-sql-saint-paul-mn/?source=S0903&amp;urlHash=sLhb")</f>
        <v/>
      </c>
      <c r="G78" t="inlineStr">
        <is>
          <t>St Paul, MN</t>
        </is>
      </c>
      <c r="H78" t="inlineStr"/>
      <c r="I78" t="inlineStr">
        <is>
          <t>**Who Are We?**
 Taking care of our customers, our communities and each other. That’s the Travelers Promise. By honoring this commitment, we have maintained our reputation as one of the best property casualty insurers in the industry for over 170 years. Join us to discover a culture that is rooted in innovation and thrives on collaboration. Imagine loving what you do and where you do it.
**Compensation Overview**
 The annual base salary range provided for this position is a nationwide market range and represents a broad range of salaries for this role across the country. The actual salary for this position will be determined by a number of factors, including the scope, complexity and location of the role; the skills, education, training, credentials and experience of the candidate; and other conditions of employment. As part of our comprehensive compensation and benefits program, employees are also eligible for performance\-based cash incentive awards.
**Salary Range**
 $139,400\.00 \- $230,000\.00
**Target Openings**
 1
**What Is the Opportunity?**
 Travelers is seeking a Senior Software Engineer to join our organization as we grow and transform our Technology landscape. Individual will complete advanced software end to end engineering tasks that span many parts of a system including designing, developing, analyzing, configuring, testing, debugging, troubleshooting, documenting, health monitoring/alerting, and implementing based on user or system specifications. Individual will also consult with users to determine hardware, software or system functional specifications, manage the effective use of resources, act as subject matter expert across multiple applications, systems and technologies, leverage technical and business knowledge to drive the planning and execution of complex initiatives, participate in the design/ development process, and provide technical leadership.
**What Will You Do?**
* Build high quality, automated pipelines for applications and data transformations.
* Design API interfaces.
* Leverage AWS technologies to build resilient and high performing applications and data stores.
* Perform complex analysis, advanced level design, configuration and develop functions for impactful and high\-visibility tasks.
* Take the lead on directing and implementing solutions to moderately complex, loosely scoped problems that are aligned with team goals.
* Deliver efforts both independently and by leading other team members.
* Lead investigation and resolution efforts for critical, high impact problems, defects, and incidents.
* Act as a technology advocate, independently seeking opportunities where technology can be utilized to improve the business.
* Provide technical guidance and mentorship while fostering a team environment.
* Apply knowledge of current industry trends and techniques to formulate solutions within the context of assigned efforts.
* Seek opportunities to expand technical knowledge and capabilities.
* Perform other duties as assigned.
**What Will Our Ideal Candidate Have?**
* Seven years of programming/development experience preferred.
* Geospatial concepts or demonstrated working experience
* ETL experience, including Databricks
* Delivery \- Advanced delivery skills including the ability to determine the software design strategy and methodology to be used for efforts, use automated tests, analysis, and informed feedback loops to ensure the quality and production readiness of work before release, monitor the health of work efforts and that of adjacent systems.
* Domain Expertise \- Demonstrated track record of domain expertise including the ability to develop business partnerships and influence priorities by identifying solutions that are aligned with current business objective and closely follow industry trends relevant to domain, understanding how to apply them, and sharing knowledge with coworkers.
* Problem Solving \- Strong problem solver who utilizes data and proofs of concepts to find creative solutions to difficult problems, reflects on solutions, measuring their impact, and uses that information to ideate and optimize.
* Also adept at making decisions that involve a significant number of factors with broad implications.
* Communication \- Strong communicator who possesses the ability to describe technology concepts in ways the business can understand, document initiatives in a concise and clear manner, collaborate effectively with teammates and others regardless of role, quickly extract core issues from discussions and meetings, give and receive constructive feedback, offer help when asked, and ensure everyone has a chance to share their thoughts and are heard; an attentive and empathetic listener.
* Leadership \- Advanced leadership skills with the ability to take action even when there is no clear owner, inspire and motivate others, and be effective at influencing team members.
**What is a Must Have?**
* Bachelor’s degree in computer science, related STEM field, or its equivalent in education and/or work experience.
* 6 additional years of software engineering experience.
**What Is in It for You?**
* Health Insurance: Employees and their eligible family members – including spouses, domestic partners, and children – are eligible for coverage from the first day of employment.
* Retirement: Travelers matches your 401(k) contributions dollar\-for\-dollar up to your first 5% of eligible pay, subject to an annual maximum. If you have student loan debt, you can enroll in the Paying it Forward Savings Program. When you make a payment toward your student loan, Travelers will make an annual contribution into your 401(k) account. You are also eligible for a Pension Plan that is 100% funded by Travelers.
* Paid Time Off: Start your career at Travelers with a minimum of 20 days Paid Time Off annually, plus nine paid company Holidays.
* Wellness Program: The Travelers wellness program is comprised of tools, discounts and resources that empower you to achieve your wellness goals and caregiving needs. In addition, our mental health program provides access to free professional counseling services, health coaching and other resources to support your daily life needs.
* Volunteer Encouragement: We have a deep commitment to the communities we serve and encourage our employees to get involved. Travelers has a Matching Gift and Volunteer Rewards program that enables you to give back to the charity of your choice.
**Employment Practices**
 Travelers is an equal opportunity employer. We value the unique abilities and talents each individual brings to our organization and recognize that we benefit in numerous ways from our differences.
 In accordance with local law, candidates seeking employment in Colorado are not required to disclose dates of attendance at or graduation from educational institutions.
 If you are a candidate and have specific questions regarding the physical requirements of this role, please send us an email so we may assist you.
 Travelers reserves the right to fill this position at a level above or below the level included in this posting.
 To learn more about our comprehensive benefit programs please visit http://careers.travelers.com/life\-at\-travelers/benefits/.</t>
        </is>
      </c>
    </row>
    <row r="79">
      <c r="A79" t="inlineStr">
        <is>
          <t>li-4360538292</t>
        </is>
      </c>
      <c r="B79" t="inlineStr">
        <is>
          <t>Software Engineer</t>
        </is>
      </c>
      <c r="C79" t="inlineStr">
        <is>
          <t>Jobs via Dice</t>
        </is>
      </c>
      <c r="D79" t="inlineStr">
        <is>
          <t>linkedin</t>
        </is>
      </c>
      <c r="E79">
        <f>HYPERLINK("https://www.linkedin.com/jobs/view/4360538292", "https://www.linkedin.com/jobs/view/4360538292")</f>
        <v/>
      </c>
      <c r="F79" t="inlineStr"/>
      <c r="G79" t="inlineStr">
        <is>
          <t>Owego, NY</t>
        </is>
      </c>
      <c r="H79" t="inlineStr"/>
      <c r="I79" t="inlineStr">
        <is>
          <t>**Location:** 
 Owego, NY
**Salary:** 
 Negotiable
**Description:**
**Position: Software Engineer, Embedded Systems (C\+\+)**
**Location: Owego, NY**
**Overview**
 We are seeking an experienced
 **Software Engineer** 
 to design, develop, and maintain high\-performance embedded software solutions. In this role, you will work across the full software development lifecycle, contributing to both new application development and the maintenance of existing systems. You will collaborate closely with cross\-functional teams to deliver reliable, secure, and scalable software.
**Responsibilities**
 Design, develop, test, and maintain
 **C/C\+\+ software** 
 for embedded and secure processing applications.
 Create new software applications and enhance or refactor
 **legacy codebases** 
 used across multiple systems.
 Apply software engineering best practices, including coding standards, documentation, and version control.
 Develop, maintain, and improve
 **CI/CD pipelines** 
 to support efficient and reliable software delivery.
 Collaborate with hardware, systems, and test engineers to integrate and validate software solutions.
 Debug, troubleshoot, and resolve software defects and performance issues.
 Analyze system requirements, hardware constraints, and user inputs to develop appropriate software solutions.
 Produce and maintain technical documentation, including design specifications, operating instructions, and test artifacts.
 Ensure software meets defined
 **quality, security, and performance standards** 
 throughout the development lifecycle.
**Minimum Qualifications**
 Bachelor's degree in computer science, Software Engineering, or a related field, or equivalent practical experience.
**6\+ years of professional experience with C\+\+** 
 , preferably in embedded or systems\-level development.
 Strong experience with
 **embedded C/C\+\+ development** 
 .
 Hands\-on experience working with
 **CI/CD pipelines** 
 and modern development workflows.
 Solid understanding of software lifecycle processes, debugging techniques, and version control systems.
**Preferred Qualifications**
 Experience with
 **bare\-metal programming** 
 or low\-level firmware development.
 Background in
 **hardware driver development** 
 and close\-to\-hardware software.
 Familiarity with real\-time or resource\-constrained systems.
 Experience working in regulated or high\-reliability software environments.
**Technical Expertise**
 Programming Languages: C\+\+ (Expert, 6\+ years)
 Domains: Embedded Systems Development / Low\-level software and hardware interaction
 By providing your phone number, you consent to: (1\) receive automated text messages and calls from the Judge Group, Inc. and its affiliates (collectively "Judge") to such phone number regarding job opportunities, your job application, and for other related purposes. Message \&amp; data rates apply and message frequency may vary. Consistent with Judge's Privacy Policy, information obtained from your consent will not be shared with third parties for marketing/promotional purposes. Reply STOP to opt out of receiving telephone calls and text messages from Judge and HELP for help.
**Contact:**
**This job and many more are available through The Judge Group. Please apply with us today!**</t>
        </is>
      </c>
    </row>
    <row r="80">
      <c r="A80" t="inlineStr">
        <is>
          <t>li-4363622002</t>
        </is>
      </c>
      <c r="B80" t="inlineStr">
        <is>
          <t>Senior Staff Software Engineer, Developer Productivity Async</t>
        </is>
      </c>
      <c r="C80" t="inlineStr">
        <is>
          <t>Gusto</t>
        </is>
      </c>
      <c r="D80" t="inlineStr">
        <is>
          <t>linkedin</t>
        </is>
      </c>
      <c r="E80">
        <f>HYPERLINK("https://www.linkedin.com/jobs/view/4363622002", "https://www.linkedin.com/jobs/view/4363622002")</f>
        <v/>
      </c>
      <c r="F80" t="inlineStr"/>
      <c r="G80" t="inlineStr"/>
      <c r="H80" t="inlineStr"/>
      <c r="I80" t="inlineStr">
        <is>
          <t>**About Gusto**
 At Gusto, we're on a mission to grow the small business economy. We handle the hard stuff—like payroll, health insurance, 401(k)s, and HR—so owners can focus on their craft and customers. With teams in Denver, San Francisco, and New York, we’re proud to support more than 400,000 small businesses across the country, and we’re building a workplace that represents and celebrates the customers we serve. Learn more about our Total Rewards philosophy.
**About The Role**
 As an Senior Staff Software Engineer on the Developer Productivity \- Async team, you will work on improving developer productivity by enhancing the tools and systems used by product engineers. You will focus on asynchronous processing, ensuring that our applications are efficient, reliable, and scalable. Your work will involve maintaining and improving the infrastructure that supports background jobs and asynchronous communication between our applications using technologies such as Sidekiq and Karafka.
**About The Team**
 We strive to improve developer productivity through our work on the tools engineers use, the systems we create, and the organizational processes that drive engineering work. We hire technical experts who take a broad view of engineering focused impact and love lifting up their colleagues.
**Here’s What You’ll Do Day\-to\-day**
* Identify and solve inefficiencies in the tooling, APIs, and feedback mechanisms available to product engineers to improve developer productivity.
* Design, pitch, plan, measure, and implement solutions iteratively, utilizing AI tools to perform large scale code migrations.
* Collaborate closely with product engineering colleagues to anticipate and address upcoming changes.
* Develop and maintain services, abstractions, and architecture to support product engineering.
* Advance the use of Kafka and Sidekiq for asynchronous processing and communication for the growing number of applications at Gusto.
* Harden the async infrastructure to be resilient in the face of heavy loads across a wide variety of use cases.
**Here’s What We're Looking For**
* 12\+ years of professional software development experience with a track record of driving impact at scale.
* Systems thinker with a strong ability to communicate effectively.
* Comfortable with architectural thinking and delivering solutions through code.
* Experience with Rails and Ruby, including developer tooling for large engineering teams.
* Ability to work with colleagues as both customers and partners.
* Active working knowledge and architecture experience with Ruby.
* Experience with asynchronous processing using Sidekiq and/or Kafka.
* Proven track record of improving developer productivity through tooling and infrastructure enhancements with the assistance of AI.
 Our cash compensation amount for this role is targeted at $200,000\-$230,000 /yr in Denver \&amp; most remote locations, and $230,000\-$270,000 /yr for San Francisco, Seattle \&amp; New York. Final offer amounts are determined by multiple factors, including candidate experience and expertise, and may vary from the amounts listed above.
 Gusto has physical office spaces in Denver, San Francisco, and New York City. Employees who are based in those locations will be expected to work from the office on designated days approximately
 **2\-3 days** 
 per week (or more depending on role). The same office expectations apply to all Symmetry roles, Gusto's subsidiary, whose physical office is in Scottsdale.
 Note: The San Francisco office expectations encompass both the San Francisco and San Jose metro areas.
 When approved to work from a location other than a Gusto office, a secure, reliable, and consistent internet connection is required. This includes non\-office days for hybrid employees.
 Our customers come from all walks of life and so do we. We hire great people from a wide variety of backgrounds, not just because it's the right thing to do, but because it makes our company stronger. If you share our values and our enthusiasm for small businesses, you will find a home at Gusto.
 Gusto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Gusto considers qualified applicants with criminal histories, consistent with applicable federal, state and local law. Gusto is also committed to providing reasonable accommodations for qualified individuals with disabilities and disabled veterans in our job application procedures. We want to see our candidates perform to the best of their ability. If you require a medical or religious accommodation at any time throughout your candidate journey, please fill out this form and a member of our team will get in touch with you.
 Gusto takes security and protection of your personal information very seriously. Please review our Fraudulent Activity Disclaimer.
 Personal information collected and processed as part of your Gusto application will be subject to Gusto's Applicant Privacy Notice.</t>
        </is>
      </c>
    </row>
    <row r="81">
      <c r="A81" t="inlineStr">
        <is>
          <t>li-4359589199</t>
        </is>
      </c>
      <c r="B81" t="inlineStr">
        <is>
          <t>Software Engineer</t>
        </is>
      </c>
      <c r="C81" t="inlineStr">
        <is>
          <t>Jobs via Dice</t>
        </is>
      </c>
      <c r="D81" t="inlineStr">
        <is>
          <t>linkedin</t>
        </is>
      </c>
      <c r="E81">
        <f>HYPERLINK("https://www.linkedin.com/jobs/view/4359589199", "https://www.linkedin.com/jobs/view/4359589199")</f>
        <v/>
      </c>
      <c r="F81">
        <f>HYPERLINK("https://click.appcast.io/t/ntd8kMBTxTMbzp_O4NCSy4t_UhdI1iAKnwiIniULHJ8=&amp;urlHash=MWaC", "https://click.appcast.io/t/ntd8kMBTxTMbzp_O4NCSy4t_UhdI1iAKnwiIniULHJ8=&amp;urlHash=MWaC")</f>
        <v/>
      </c>
      <c r="G81" t="inlineStr">
        <is>
          <t>Baltimore, MD</t>
        </is>
      </c>
      <c r="H81" t="inlineStr"/>
      <c r="I81" t="inlineStr">
        <is>
          <t>Dice is the leading career destination for tech experts at every stage of their careers. Our client, Arthur Lawrence, is seeking the following. Apply via Dice today!
 Arthur Lawrence is looking for a Software Engineer one of our clients in Baltimore, MD. Please find the job description below and send us your updated resume if interested:
**Must\-Have Skills:**
* 8\+ years of core Java development with 4\+ years using Spring Boot/Spring frameworks
* 4\+ years building front\-end interfaces with React (Angular acceptable)
* Strong experience with message queuing/event streaming using RabbitMQ or similar technologies
**Nice to Have Skills:**
* Experience with Elasticsearch and cloud platforms (AWS, Azure, or Google Cloud Platform)
* Hands\-on exposure to DevOps tools, Git, and CI/CD pipelines
**About Us:**
 Arthur Lawrence is a management and technology consulting firm providing enterprise\-wide business transformation and business applications implementation services to Fortune 100 and Big 4 organizations. Our in\-depth technical knowledge and broad experience in working with world\-class companies enable organizations to leverage our capabilities in developing winning strategies and cost\-effective solutions.
 We are a UN Women Empowerment Principal Signatory and are certified by National Minority Supplier Development Council.
**Recent Associations \&amp; Acknowledgments:**
* Been recognized as a 2023 TOP WORKPLACE by the Houston Chronicle
* IAOP Award; Ranked in the top 100 internationally
* Ranked among the Inc 5000 twice \- as one of the FASTEST GROWING COMPANIES OF AMERICA
* Member of HMSDC, NMSDC and NY\&amp;NJMSDC
**Our Seven Pillars:**
 We rely on the seven core values that we believe enable us to deliver quality for our consultants and clients: Education, Integrity, Value Creation, Collaboration, Best Client, Best People, and Stewardship. Through strict adherence to these core values, we have achieved success beyond all documented forecasts and anticipation.
 \#dicejobs
 Powered by Froala Editor</t>
        </is>
      </c>
    </row>
    <row r="82">
      <c r="A82" t="inlineStr">
        <is>
          <t>li-4369334697</t>
        </is>
      </c>
      <c r="B82" t="inlineStr">
        <is>
          <t>REMOTE Staff Frontend Engineer - B2B SaaS Startup - React, TS</t>
        </is>
      </c>
      <c r="C82" t="inlineStr">
        <is>
          <t>CyberCoders</t>
        </is>
      </c>
      <c r="D82" t="inlineStr">
        <is>
          <t>linkedin</t>
        </is>
      </c>
      <c r="E82">
        <f>HYPERLINK("https://www.linkedin.com/jobs/view/4369334697", "https://www.linkedin.com/jobs/view/4369334697")</f>
        <v/>
      </c>
      <c r="F82" t="inlineStr"/>
      <c r="G82" t="inlineStr">
        <is>
          <t>San Diego, CA</t>
        </is>
      </c>
      <c r="H82" t="inlineStr"/>
      <c r="I82" t="inlineStr">
        <is>
          <t>Founded in 2022 and backed by investors behind SpaceX, Anduril, Neuralink, Palantir, and Reddit, we're a B2B SaaS Startup tackling the $80T financial advisory market that still relies on outdated processes. We're building the first wealth tech data orchestration platform to streamline workflows, boost efficiency, sync data, and transform the client experience.
 We are seeking a highly skilled and experienced Staff Frontend Engineer to join our dynamic team in a remote capacity. The ideal candidate will play a critical role in developing innovative frontend solutions for our B2B SaaS platform, helping to improve user experience and interface design. This position offers an opportunity to work in a fast\-paced startup environment where creativity and technical expertise are valued.
**Key Responsibilities** 
* Design and implement user\-friendly and responsive web applications using React and TypeScript.
* Collaborate with cross\-functional teams to define, design, and ship new features.
* Optimize applications for maximum speed and scalability.
* Ensure the technical feasibility of UI/UX designs and implement them effectively.
* Maintain code quality, organization, and automation through version control (GIT).
* Conduct code reviews and provide mentorship to junior developers.
* Work in an Agile development environment, participating in sprint planning and retrospectives.
* Develop and maintain RESTful APIs and ensure cross\-browser compatibility.
**Qualifications** 
* BSCS or related degree
* Proven experience in frontend development with expertise in TypeScript and React.
* Experience in building and scaling SaaS applications in a startup environment.
* Strong understanding of HTML, CSS, and JavaScript.
* Familiarity with User Interface (UI) Design and Responsive Design principles.
* Experience with Agile methodologies and version control systems (GIT).
* Knowledge of testing frameworks and best practices for frontend applications.
* Experience with modern tools and libraries such as MUI, React Query, Vite, Storybook, and Playwright is a plus.
**Benefits** 
* 100% Remote work
* Competitive salary and equity options
* High quality benefits package including 100% company paid insurance premiums for family coverage
* OneMedical, HealthAdvocate, TalkSpace, Teladoc memberships
* Technology stipend
* Unlimited PTO
* Paid parental leave
* Beautiful office spaces in San Francisco and New York
**Email Your Resume In Word To**
 Caroline.Veillon@CyberCoders.com
 Looking forward to receiving your resume through our website and going over the position with you. Clicking apply is the best way to apply.
 Please do NOT change the email subject line in any way. You must keep the JobID: linkedin : CV5\-1977079 \-\- in the email subject line for your application to be considered.
 Caroline Veillon \- Lead Recruiter
 For this position, you must be currently authorized to work in the United States without the need for sponsorship for a non\-immigrant visa. This is a new role.
 CyberCoders will consider for Employment in the City of Los Angeles qualified Applicants with Criminal Histories in a manner consistent with the requirements of the Los Angeles Fair Chance Initiative for Hiring (Ban the Box) Ordinance.
 This job was first posted by CyberCoders on 02/05/2026 and applications will be accepted on an ongoing basis until the position is filled or closed.
 This job was posted on 02/05/2026 and is open for 90 days
**CyberCoders is proud to be an Equal Opportunity Employer**
 All qualified applicants will receive consideration for employment without regard to race, color, religion, sex, age, sexual orientation, gender identity or expression, national origin, ancestry, citizenship, genetic information, registered domestic partner status, marital status, status as a crime victim, disability, protected veteran status, or any other characteristic protected by law. Our hiring process includes AI screening for keywords and minimum qualifications. Recruiters review all results.  CyberCoders will consider qualified applicants with criminal histories in a manner consistent with the requirements of applicable state and local law, including but not limited to the Los Angeles County Fair Chance Ordinance, the San Francisco Fair Chance Ordinance, and the California Fair Chance Act. CyberCoders is committed to working with and providing reasonable accommodation to individuals with physical and mental disabilities. Individuals needing special assistance or an accommodation while seeking employment can contact a member of our Human Resources team at Benefits@CyberCoders.com to make arrangements.
 Copyright 1999 \- 2026\. CyberCoders , Inc. All rights reserved.</t>
        </is>
      </c>
    </row>
    <row r="83">
      <c r="A83" t="inlineStr">
        <is>
          <t>li-4369189830</t>
        </is>
      </c>
      <c r="B83" t="inlineStr">
        <is>
          <t>Embedded Software Engineer 3</t>
        </is>
      </c>
      <c r="C83" t="inlineStr">
        <is>
          <t>Jobs via Dice</t>
        </is>
      </c>
      <c r="D83" t="inlineStr">
        <is>
          <t>linkedin</t>
        </is>
      </c>
      <c r="E83">
        <f>HYPERLINK("https://www.linkedin.com/jobs/view/4369189830", "https://www.linkedin.com/jobs/view/4369189830")</f>
        <v/>
      </c>
      <c r="F83">
        <f>HYPERLINK("https://click.appcast.io/t/Cf8sO_WJi8JhogUhMT1yTL7Ars7566KgMosFyLNfZmI=&amp;urlHash=UjYt", "https://click.appcast.io/t/Cf8sO_WJi8JhogUhMT1yTL7Ars7566KgMosFyLNfZmI=&amp;urlHash=UjYt")</f>
        <v/>
      </c>
      <c r="G83" t="inlineStr">
        <is>
          <t>Illinois, United States</t>
        </is>
      </c>
      <c r="H83" t="inlineStr"/>
      <c r="I83" t="inlineStr">
        <is>
          <t>job summary:
 Randstad Digital is partnering with a leading manufacturer of construction equipment to find an embedded engineer with experience in FPGA and HDL. Apply today!
 location: Chillicothe, Illinois
 job type: Contract
 salary: $44 \- 54 per hour
 work hours: 7am to 3pm
 education: Bachelors
 responsibilities:
* Research, design, develop, and test the low\-layer software, such as FPGA HDL, I/O drivers, OS integration, boot, etc., which interfaces with the client's wide variety of electronic controls hardware (i.e. ECU/ECMs).
* Apply the principles of electrical engineering and computer science to the design, development, testing, and evaluation of embedded solutions for electronic systems.
* Research, design, develop, and test ASICs, FPGA, hardware\-level software, compilers, and network distribution software for medical, industrial, military, communications, aerospace, business, scientific and general computing applications.
* Develop the FPGA design/layout and low\-layer software (such as I/O drivers, OS integration, boot, etc.) which interfaces with the client's wide variety of electronic controls hardware (i.e. ECU/ECMs).
* Conceptualize, design, test, document, and promote new software features and processes
* Perform requirements analysis and decomposition
* Evaluate new languages, development tools, or processes
* Perform product maintenance; manage the software lifecycle through version control and configuration management
* Keep up to date on new technologies or develop new technologies
* Communicate technical information to customers, team members, suppliers and other units
* Support and advise other engineers, managers, marketing personnel, customers and suppliers
 qualifications:
**Skills**
 Mastery of HDL design and strong comprehension of the synthesis from specification through to place\-and\-route.
 Proficiency with embedded software languages, development tools, and processes, through requirements gathering and functional specification authoring, to development, testing, and delivery.
 Extensive knowledge of embedded computer hardware.
 Solid programming experience in C or C\+\+.
 Knowledge of reading schematics and data sheets for components.
 Ability to troubleshoot issues and make system changes as needed to resolve issue.
 Verbal and written communication skills, problem solving skills, customer service and interpersonal skills.
 Education \&amp; Experience Required:
 Minimum BS in Computer Engineering / Electrical Engineering / similar required \&amp; 5\-7 yrs industry experience. Will accept Master's or higher relevant internship/project experience toward minimum.
**Additional Technical Skills**
 (Required)
 Real world FPGA experience is key requirement. Real world HDL and synthesis experience must be demonstrated on resume. Secondarily, experience with control software design patterns and anti\-patterns, ANSI C, and other programming languages, version management tools, and software development processes such as Agile. Experience designing embedded electronics controls, display, or telematics software, including development of FPGA HDL \&amp; synthesis, device drivers, SPI/I2C peripheral interfacing, hardware diagnostics, operating system configurations, non\-volatile memory interfacing, board initialization, and other chip\-level interfacing.
 Soft Skills
 Knowledge of reading schematics and data sheets for components. Ability to troubleshoot issues and make system changes as needed to resolve issue. Verbal and written communication skills, problem solving skills, customer service and interpersonal skills.
 Equal Opportunity Employer: Race, Color, Religion, Sex, Sexual Orientation, Gender Identity, National Origin, Age, Genetic Information, Disability, Protected Veteran Status, or any other legally protected group status.
 At Randstad Digital, we welcome people of all abilities and want to ensure that our hiring and interview process meets the needs of all applicants. If you require a reasonable accommodation to make your application or interview experience a great one, please contact
 Pay offered to a successful candidate will be based on several factors including the candidate's education, work experience, work location, specific job duties, certifications, etc. In addition, Randstad Digital offers a comprehensive benefits package, including: medical, prescription, dental, vision, AD\&amp;D, and life insurance offerings, short\-term disability, and a 401K plan (all benefits are based on eligibility).
 This posting is open for thirty (30\) days.</t>
        </is>
      </c>
    </row>
    <row r="84">
      <c r="A84" t="inlineStr">
        <is>
          <t>li-4363511434</t>
        </is>
      </c>
      <c r="B84" t="inlineStr">
        <is>
          <t>Software Engineer II (Golang)</t>
        </is>
      </c>
      <c r="C84" t="inlineStr">
        <is>
          <t>Apex Fintech Solutions</t>
        </is>
      </c>
      <c r="D84" t="inlineStr">
        <is>
          <t>linkedin</t>
        </is>
      </c>
      <c r="E84">
        <f>HYPERLINK("https://www.linkedin.com/jobs/view/4363511434", "https://www.linkedin.com/jobs/view/4363511434")</f>
        <v/>
      </c>
      <c r="F84">
        <f>HYPERLINK("https://apexfintechsolutions.ongig.com/jobs/technology/austin-texas-united-states-of-america/software-engineer-ii-golang-/JR104105?utm_source=linkedin&amp;amp&amp;utm_medium=referral&amp;utm_campaign=ongig-job-aggregators&amp;group=1961&amp;source=LinkedIn&amp;urlHash=VLv_", "https://apexfintechsolutions.ongig.com/jobs/technology/austin-texas-united-states-of-america/software-engineer-ii-golang-/JR104105?utm_source=linkedin&amp;amp&amp;utm_medium=referral&amp;utm_campaign=ongig-job-aggregators&amp;group=1961&amp;source=LinkedIn&amp;urlHash=VLv_")</f>
        <v/>
      </c>
      <c r="G84" t="inlineStr">
        <is>
          <t>Austin, TX</t>
        </is>
      </c>
      <c r="H84" t="inlineStr"/>
      <c r="I84" t="inlineStr">
        <is>
          <t>**Who We Are**
 Apex Fintech Solutions (Apex) powers innovation and the future of digital wealth management by building tech\-forward solutions that help simplify, automate, and facilitate access to financial markets for all. Our robust suite of fintech software enables us to support clients such as Stash, Betterment, SoFi, Webull, and eToro, amongst many others; collectively, Apex powers access to the stock market for over 22\+ million end customers.
 At Apex, we are changing how the securities industry operates by reinventing the status quo, which was manual, slow, and accessible only by the ultra\-wealthy. We're digitizing and democratizing systems so that everyone has an opportunity to invest.
 When you're at Apex, you drive this change. You're part of a global team with a clear vision: to be the trusted technology that powers the digital economy. Our offices in Austin, Dallas, Chicago, New York, Portland, Belfast, and Manila are home to over 1,000 employees.
 Together, we're shaping the future of financial innovation. Embrace change. Solve big. Win together. And be G.R.E.A.T. — grit, results, empathy, accountability, and teamwork — with Apex.
 We're proud to be recognized for the innovative work we do, the purpose\-driven nature of our work, and the collaborative culture we've created. Here are just a few of the many awards we've recently received:
**Best Places to Work**
 2026, 2025, 2024, 2023
 Presented by BuiltIn
**WealthTech of the Year**
 2025
 Presented by US FinTech Awards
**The World's Top 250 Fintech Companies**
 2024
 Presented by CNBC
**About This Role**
 As a
 **Software Engineer II** 
 , you will play a pivotal role in designing, building, and optimizing solutions that power this transformation. You’ll have the opportunity to work on cutting\-edge software architectures, solve challenging problems, and collaborate with diverse teams to create impactful solutions for our fast\-paced fintech environment. We’re looking for engineers who thrive when tackling complex, meaningful challenges and have a strong foundational knowledge of software development across multiple languages and frameworks. We are innovators who operate in a collaborative, entrepreneurial environment while valuing continual learning, flexibility, and adaptability. If you’re looking for a role that combines creative problem\-solving with the drive to make an immediate impact on an evolving industry, let’s change everything together.
**Duties/Responsibilities**
* Write, test, and maintain high\-quality, reusable code that adheres to development best practices.
* Collaborate with cross\-functional teams to gather requirements and implement scalable software systems and applications.
* Contribute to the design and optimization of microservices and cloud\-based system architectures.
* Prototype and implement new features to enhance our financial technology platform.
* Participate in on\-call rotations as level 1 support engineer for our data platform services.
* Employ CI/CD best practices, and agile workflows to accelerate development cycles.
* Conduct rigorous code reviews to ensure strong engineering principles and maintainable solutions.
* Debug complex problems across the software stack and propose solutions to enhance performance, stability, and maintainability.
* Ensure compliance with regulatory standards and industry protocols while adhering to the firm’s policies.
**Education And Experience**
* A Bachelor’s degree in Computer Science, Computer Engineering, or a related field (or equivalent professional experience) required
* 3\+ years of professional development experience with a multi\-person engineering team, leveraging modern practices like code reviews, CI/CD, and trunk\-based development.
* Experience in cloud ecosystems, particularly Google Cloud Platform services like BigQuery, Pub/Sub, or Cloud Functions.
**Required Skills/Abilities**
* Proficiency in software development using modern programming languages like Go, Python, Java, or similar tools.
* Strong understanding of microservices architecture and CI/CD pipelines.
* Proven expertise in relational databases and familiarity with distributed systems or data\-intensive platforms including SQL query expertise.
* Familiarity with software development best practices like testing, version control, and agile processes.
* A problem\-solving mindset, with the ability to think critically through challenging engineering scenarios.
* An innate passion for learning new technologies, frameworks, and tools to contribute to dynamic software solutions.
**Work Environment**
* This role operates in a hybrid office environment 3 days per week
 \#engineering \#associate \#full\-time \#APEX
*Please note this job description is not designed to cover or contain a comprehensive listing of activities, duties, or responsibilities required of the employee for this job. Duties, responsibilities, and activities may change at any time with or without notice.*
**Our Rewards**
 We offer a robust package of employee perks and benefits, including healthcare benefits (medical, dental and vision, EAP), competitive PTO, 401k match, parental leave, and HSA contribution match. We also provide our employees with a paid subscription to the Calm app and offer generous external learning and tuition reimbursement benefits. At AFS, we offer a hybrid work schedule for most roles that allows employees to have the flexibility of working from home and one of our primary offices.
**EEO Statement**
 Apex Fintech Solutions is an equal opportunity employer that does not discriminate on the basis of race, color, religion, sex (including pregnancy, sexual orientation, and gender identity), national origin, age, disability, veteran status, marital status, or any other protected characteristic. Our hiring practices ensure that all qualified applicants receive fair consideration without regard to these characteristics.
**Disability Statement**
 Apex Fintech Solutions is committed to creating an inclusive and accessible workplace for all candidates, including those with disabilities. We are dedicated to ensuring equal employment opportunities and providing reasonable accommodations to qualified individuals with disabilities. If you require reasonable accommodations to participate in the application or interview process, please submit your request via the Candidate Accommodation Requests Form. We will work with you to provide the necessary accommodations to ensure your full participation in our hiring process.</t>
        </is>
      </c>
    </row>
    <row r="85">
      <c r="A85" t="inlineStr">
        <is>
          <t>li-4361649272</t>
        </is>
      </c>
      <c r="B85" t="inlineStr">
        <is>
          <t>Senior Lead Software Engineer</t>
        </is>
      </c>
      <c r="C85" t="inlineStr">
        <is>
          <t>Capital One</t>
        </is>
      </c>
      <c r="D85" t="inlineStr">
        <is>
          <t>linkedin</t>
        </is>
      </c>
      <c r="E85">
        <f>HYPERLINK("https://www.linkedin.com/jobs/view/4361649272", "https://www.linkedin.com/jobs/view/4361649272")</f>
        <v/>
      </c>
      <c r="F85" t="inlineStr"/>
      <c r="G85" t="inlineStr">
        <is>
          <t>Chicago, IL</t>
        </is>
      </c>
      <c r="H85" t="inlineStr"/>
      <c r="I85" t="inlineStr">
        <is>
          <t>Do you love building and pioneering in the technology space? Do you enjoy solving complex business problems in a fast\-paced, collaborative, inclusive, and iterative delivery environment? At Capital One, you'll be part of a big group of makers, breakers, doers and disruptors, who solve real problems and meet real customer needs. We are seeking Full Stack Software Engineers who are passionate about marrying data with emerging technologies. As a Capital One Senior Lead Software Engineer, you’ll have the opportunity to be on the forefront of driving a major transformation within Capital One.
****What You’ll Do:****
* Lead a portfolio of diverse technology projects and a team of developers with deep experience in distributed microservices, and full stack systems to create solutions that help meet regulatory needs for the company
* Share your passion for staying on top of tech trends, experimenting with and learning new technologies, participating in internal \&amp; external technology communities, mentoring other members of the engineering community, and from time to time, be asked to code or evaluate code
* Collaborate with digital product managers, and deliver robust cloud\-based solutions that drive powerful experiences to help millions of Americans achieve financial empowerment
* Utilize programming languages like JavaScript, Java, HTML/CSS, TypeScript, SQL, Python, and Go, Open Source RDBMS and NoSQL databases, Container Orchestration services including Docker and Kubernetes, and a variety of AWS tools and services
****Basic Qualifications:****
* Bachelor’s Degree
* At least 6 years of experience in software engineering (Internship experience does not apply)
* At least 1 year experience with cloud computing (AWS, Microsoft Azure, Google Cloud)
****Preferred Qualifications:****
* Master’s Degree
* 9\+ years of experience in at least one of the following: JavaScript, Java, TypeScript, SQL, Python, or Go
* 4\+ years of experience with AWS, GCP, Microsoft Azure, or another cloud service
* 4\+ years of experience in open source frameworks
* 1\+ years of people management experience
* 2\+ years of experience in Agile practices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Chicago, IL: $209,000 \- $238,500 for Sr. Lead Software Engineer
 McLean, VA: $229,900 \- $262,400 for Sr. Lead Software Engineer
 Richmond, VA: $209,000 \- $238,500 for Sr. Lead Software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86">
      <c r="A86" t="inlineStr">
        <is>
          <t>li-4361639488</t>
        </is>
      </c>
      <c r="B86" t="inlineStr">
        <is>
          <t>Senior Software Engineer, Back End (Enterprise Platforms Technology)</t>
        </is>
      </c>
      <c r="C86" t="inlineStr">
        <is>
          <t>Capital One</t>
        </is>
      </c>
      <c r="D86" t="inlineStr">
        <is>
          <t>linkedin</t>
        </is>
      </c>
      <c r="E86">
        <f>HYPERLINK("https://www.linkedin.com/jobs/view/4361639488", "https://www.linkedin.com/jobs/view/4361639488")</f>
        <v/>
      </c>
      <c r="F86" t="inlineStr"/>
      <c r="G86" t="inlineStr">
        <is>
          <t>McLean, VA</t>
        </is>
      </c>
      <c r="H86" t="inlineStr"/>
      <c r="I86" t="inlineStr">
        <is>
          <t>Do you love building and pioneering in the technology space? Do you enjoy solving complex business problems in a fast\-paced, collaborative, inclusive, and iterative delivery environment? At Capital One, you'll be part of a big group of makers, breakers, doers and disruptors, who love to solve real problems and meet real customer needs. We are seeking Back End Software Engineers who are passionate about marrying data with emerging technologies. As a Capital One Software Engineer, you’ll have the opportunity to be on the forefront of driving a major transformation within Capital One.
 Enterprise Platforms Technology (EPTech) comprises many of Capital One’s most important enterprise platforms. We play an essential role in establishing practices for building technology solutions across the company, while also delivering capabilities that exemplify those practices.
****What You’ll Do:****
* Collaborate with and across Agile teams to design, develop, test, implement, and support technical solutions in full\-stack development tools and technologies
* Share your passion for staying on top of tech trends, experimenting with and learning new technologies, participating in internal \&amp; external technology communities, mentoring other members of the engineering community
* Collaborate with digital product managers, and deliver robust cloud\-based solutions that drive powerful experiences to help millions of Americans achieve financial empowerment
* Utilize programming languages like Java, Python, SQL, Node, Go, and Scala, Open Source RDBMS and NoSQL databases, Container Orchestration services including Docker and Kubernetes, and a variety of AWS tools and services
****Basic Qualifications:****
* Bachelor’s Degree
* At least 3 years of professional software engineering experience (Internship experience does not apply)
****Preferred Qualifications:****
* 5\+ years of experience in at least one of the following: Java, Scala, Python, Go, or Node.js
* 1\+ years of experience with AWS, GCP, Azure, or another cloud service
* 3\+ years of experience in open source frameworks
* 2\+ years of experience in Agile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Richmond, VA: $147,100 \- $167,900 for Senior Software Engineer
 McLean, VA: $161,800 \- $184,600 for Senior Software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87">
      <c r="A87" t="inlineStr">
        <is>
          <t>li-4362383891</t>
        </is>
      </c>
      <c r="B87" t="inlineStr">
        <is>
          <t>Senior Manager, Software Engineering, Back End (SRE/ML)</t>
        </is>
      </c>
      <c r="C87" t="inlineStr">
        <is>
          <t>Capital One</t>
        </is>
      </c>
      <c r="D87" t="inlineStr">
        <is>
          <t>linkedin</t>
        </is>
      </c>
      <c r="E87">
        <f>HYPERLINK("https://www.linkedin.com/jobs/view/4362383891", "https://www.linkedin.com/jobs/view/4362383891")</f>
        <v/>
      </c>
      <c r="F87" t="inlineStr"/>
      <c r="G87" t="inlineStr">
        <is>
          <t>San Francisco, CA</t>
        </is>
      </c>
      <c r="H87" t="inlineStr"/>
      <c r="I87" t="inlineStr">
        <is>
          <t>Do you love building and pioneering in the technology space? Do you enjoy solving complex business problems in a fast\-paced, collaborative, inclusive, and iterative delivery environment? At Capital One, you'll be part of a big group of makers, breakers, doers and disruptors, who love to solve real problems and meet real customer needs. We are seeking Back End Software Engineers who are passionate about marrying data with emerging technologies. As a Capital One Software Engineer, you’ll have the opportunity to be on the forefront of driving a major transformation within Capital One.
**Intelligent Foundations \&amp; Experiences (IFX)** 
 is a powerful collective of horizontal technology organizations that are driving Capital One’s real\-time intelligent future. Together with our partners in the Enterprise and across lines of business, we deliver broad\-reaching technical solutions and advance state\-of\-the\-art science to help every Capital One associate and our 100\+M customers succeed.
****What You’ll Do:****
* Lead a portfolio of diverse technology projects and a team of developers with deep experience in distributed microservices, and full stack systems to create solutions that help meet regulatory needs for the company
* Share your passion for staying on top of tech trends, experimenting with and learning new technologies, participating in internal \&amp; external technology communities, mentoring other members of the engineering community, and from time to time, be asked to code or evaluate code
* Collaborate with digital product managers, and deliver robust cloud\-based solutions that drive powerful experiences to help millions of Americans achieve financial empowerment
* Utilize programming languages like Java, Python, SQL, Node, Go, and Scala, Open Source RDBMS and NoSQL databases, Container Orchestration services including Docker and Kubernetes, and a variety of AWS tools and services
****Basic Qualifications:****
* Bachelor’s Degree
* At least 6 years of professional software engineering experience (Internship experience does not apply)
* At least 1 year experience with cloud computing (AWS, Microsoft Azure, Google Cloud)
* At least 4 years of people management experience
****Preferred Qualifications:****
* Master’s Degree
* 2\+ years Machine Learning experience
* 9\+ years of experience in at least one of the following: Java, Scala, Python, Go, or Node.js
* 7\+ years of people management experience
* 4\+ years of experience in open source frameworks
* 3\+ years of experience with AWS
* 2\+ years of experience in Agile practices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Sales Territory: $209,000 \- $238,500 for Sr. Mgr, Software Engineering
 McLean, VA: $229,900 \- $262,400 for Sr. Mgr, Software Engineering
 New York, NY: $250,800 \- $286,200 for Sr. Mgr, Software Engineering
 San Francisco, CA: $250,800 \- $286,200 for Sr. Mgr, Software Engineering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88">
      <c r="A88" t="inlineStr">
        <is>
          <t>li-4362423787</t>
        </is>
      </c>
      <c r="B88" t="inlineStr">
        <is>
          <t>Senior Manager, Software Engineering, Back End (SRE/ML)</t>
        </is>
      </c>
      <c r="C88" t="inlineStr">
        <is>
          <t>Capital One</t>
        </is>
      </c>
      <c r="D88" t="inlineStr">
        <is>
          <t>linkedin</t>
        </is>
      </c>
      <c r="E88">
        <f>HYPERLINK("https://www.linkedin.com/jobs/view/4362423787", "https://www.linkedin.com/jobs/view/4362423787")</f>
        <v/>
      </c>
      <c r="F88">
        <f>HYPERLINK("https://dsp.prng.co/Py5IWOb&amp;urlHash=oa4W", "https://dsp.prng.co/Py5IWOb&amp;urlHash=oa4W")</f>
        <v/>
      </c>
      <c r="G88" t="inlineStr">
        <is>
          <t>New York, NY</t>
        </is>
      </c>
      <c r="H88" t="inlineStr"/>
      <c r="I88" t="inlineStr">
        <is>
          <t>Do you love building and pioneering in the technology space? Do you enjoy solving complex business problems in a fast\-paced, collaborative, inclusive, and iterative delivery environment? At Capital One, you'll be part of a big group of makers, breakers, doers and disruptors, who love to solve real problems and meet real customer needs. We are seeking Back End Software Engineers who are passionate about marrying data with emerging technologies. As a Capital One Software Engineer, you’ll have the opportunity to be on the forefront of driving a major transformation within Capital One.
**Intelligent Foundations \&amp; Experiences (IFX)** 
 is a powerful collective of horizontal technology organizations that are driving Capital One’s real\-time intelligent future. Together with our partners in the Enterprise and across lines of business, we deliver broad\-reaching technical solutions and advance state\-of\-the\-art science to help every Capital One associate and our 100\+M customers succeed.
****What You’ll Do:****
* Lead a portfolio of diverse technology projects and a team of developers with deep experience in distributed microservices, and full stack systems to create solutions that help meet regulatory needs for the company
* Share your passion for staying on top of tech trends, experimenting with and learning new technologies, participating in internal \&amp; external technology communities, mentoring other members of the engineering community, and from time to time, be asked to code or evaluate code
* Collaborate with digital product managers, and deliver robust cloud\-based solutions that drive powerful experiences to help millions of Americans achieve financial empowerment
* Utilize programming languages like Java, Python, SQL, Node, Go, and Scala, Open Source RDBMS and NoSQL databases, Container Orchestration services including Docker and Kubernetes, and a variety of AWS tools and services
****Basic Qualifications:****
* Bachelor’s Degree
* At least 6 years of professional software engineering experience (Internship experience does not apply)
* At least 1 year experience with cloud computing (AWS, Microsoft Azure, Google Cloud)
* At least 4 years of people management experience
****Preferred Qualifications:****
* Master’s Degree
* 2\+ years Machine Learning experience
* 9\+ years of experience in at least one of the following: Java, Scala, Python, Go, or Node.js
* 7\+ years of people management experience
* 4\+ years of experience in open source frameworks
* 3\+ years of experience with AWS
* 2\+ years of experience in Agile practices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Sales Territory: $209,000 \- $238,500 for Sr. Mgr, Software Engineering
 McLean, VA: $229,900 \- $262,400 for Sr. Mgr, Software Engineering
 New York, NY: $250,800 \- $286,200 for Sr. Mgr, Software Engineering
 San Francisco, CA: $250,800 \- $286,200 for Sr. Mgr, Software Engineering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89">
      <c r="A89" t="inlineStr">
        <is>
          <t>li-4362481338</t>
        </is>
      </c>
      <c r="B89" t="inlineStr">
        <is>
          <t>Senior Software Engineer, Back End (Enterprise Platforms Technology)</t>
        </is>
      </c>
      <c r="C89" t="inlineStr">
        <is>
          <t>Capital One</t>
        </is>
      </c>
      <c r="D89" t="inlineStr">
        <is>
          <t>linkedin</t>
        </is>
      </c>
      <c r="E89">
        <f>HYPERLINK("https://www.linkedin.com/jobs/view/4362481338", "https://www.linkedin.com/jobs/view/4362481338")</f>
        <v/>
      </c>
      <c r="F89" t="inlineStr"/>
      <c r="G89" t="inlineStr">
        <is>
          <t>Richmond, VA</t>
        </is>
      </c>
      <c r="H89" t="inlineStr"/>
      <c r="I89" t="inlineStr">
        <is>
          <t>Do you love building and pioneering in the technology space? Do you enjoy solving complex business problems in a fast\-paced, collaborative, inclusive, and iterative delivery environment? At Capital One, you'll be part of a big group of makers, breakers, doers and disruptors, who love to solve real problems and meet real customer needs. We are seeking Back End Software Engineers who are passionate about marrying data with emerging technologies. As a Capital One Software Engineer, you’ll have the opportunity to be on the forefront of driving a major transformation within Capital One.
 Enterprise Platforms Technology (EPTech) comprises many of Capital One’s most important enterprise platforms. We play an essential role in establishing practices for building technology solutions across the company, while also delivering capabilities that exemplify those practices.
****What You’ll Do:****
* Collaborate with and across Agile teams to design, develop, test, implement, and support technical solutions in full\-stack development tools and technologies
* Share your passion for staying on top of tech trends, experimenting with and learning new technologies, participating in internal \&amp; external technology communities, mentoring other members of the engineering community
* Collaborate with digital product managers, and deliver robust cloud\-based solutions that drive powerful experiences to help millions of Americans achieve financial empowerment
* Utilize programming languages like Java, Python, SQL, Node, Go, and Scala, Open Source RDBMS and NoSQL databases, Container Orchestration services including Docker and Kubernetes, and a variety of AWS tools and services
****Basic Qualifications:****
* Bachelor’s Degree
* At least 3 years of professional software engineering experience (Internship experience does not apply)
****Preferred Qualifications:****
* 5\+ years of experience in at least one of the following: Java, Scala, Python, Go, or Node.js
* 1\+ years of experience with AWS, GCP, Azure, or another cloud service
* 3\+ years of experience in open source frameworks
* 2\+ years of experience in Agile practices
***At this time, Capital One will not sponsor a new applicant for employment authorization, or offer any immigration related support for this position (i.e. H1B, F\-1 OPT, F\-1 STEM OPT, F\-1 CPT, J\-1, TN, E\-2, E\-3, L\-1 and O\-1, or any EADs or other forms of work authorization that require immigration support from an employer).***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Richmond, VA: $147,100 \- $167,900 for Senior Software Engineer
 McLean, VA: $161,800 \- $184,600 for Senior Software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2026-02-06T09:08:18Z</dcterms:created>
  <dcterms:modified xsi:type="dcterms:W3CDTF">2026-02-06T09:08:18Z</dcterms:modified>
</cp:coreProperties>
</file>