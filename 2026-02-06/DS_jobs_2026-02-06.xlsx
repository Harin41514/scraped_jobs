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04"/>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in-096299a5bbd42c24</t>
        </is>
      </c>
      <c r="B2" t="inlineStr">
        <is>
          <t>Sr. Applied Scientist, Amazon Ads</t>
        </is>
      </c>
      <c r="C2" t="inlineStr">
        <is>
          <t>Amazon.com</t>
        </is>
      </c>
      <c r="D2" t="inlineStr">
        <is>
          <t>indeed</t>
        </is>
      </c>
      <c r="E2">
        <f>HYPERLINK("https://www.indeed.com/viewjob?jk=096299a5bbd42c24", "https://www.indeed.com/viewjob?jk=096299a5bbd42c24")</f>
        <v/>
      </c>
      <c r="F2">
        <f>HYPERLINK("https://www.amazon.jobs/jobs/3139328/sr-applied-scientist-amazon-ads?cmpid=DA_INAD200785B", "https://www.amazon.jobs/jobs/3139328/sr-applied-scientist-amazon-ads?cmpid=DA_INAD200785B")</f>
        <v/>
      </c>
      <c r="G2" t="inlineStr">
        <is>
          <t>Corvallis, OR, US</t>
        </is>
      </c>
      <c r="H2" s="2" t="n">
        <v>45998</v>
      </c>
      <c r="I2"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3">
      <c r="A3" t="inlineStr">
        <is>
          <t>in-95399a1d634e6007</t>
        </is>
      </c>
      <c r="B3" t="inlineStr">
        <is>
          <t>Sr. Applied Scientist, Amazon Ads</t>
        </is>
      </c>
      <c r="C3" t="inlineStr">
        <is>
          <t>Amazon.com</t>
        </is>
      </c>
      <c r="D3" t="inlineStr">
        <is>
          <t>indeed</t>
        </is>
      </c>
      <c r="E3">
        <f>HYPERLINK("https://www.indeed.com/viewjob?jk=95399a1d634e6007", "https://www.indeed.com/viewjob?jk=95399a1d634e6007")</f>
        <v/>
      </c>
      <c r="F3">
        <f>HYPERLINK("https://www.amazon.jobs/jobs/3139328/sr-applied-scientist-amazon-ads?cmpid=DA_INAD200785B", "https://www.amazon.jobs/jobs/3139328/sr-applied-scientist-amazon-ads?cmpid=DA_INAD200785B")</f>
        <v/>
      </c>
      <c r="G3" t="inlineStr">
        <is>
          <t>Palo Alto, CA, US</t>
        </is>
      </c>
      <c r="H3" s="2" t="n">
        <v>45998</v>
      </c>
      <c r="I3"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4">
      <c r="A4" t="inlineStr">
        <is>
          <t>in-b3d1cce10346b54c</t>
        </is>
      </c>
      <c r="B4" t="inlineStr">
        <is>
          <t>Sr. Applied Scientist, Amazon Ads</t>
        </is>
      </c>
      <c r="C4" t="inlineStr">
        <is>
          <t>Amazon.com</t>
        </is>
      </c>
      <c r="D4" t="inlineStr">
        <is>
          <t>indeed</t>
        </is>
      </c>
      <c r="E4">
        <f>HYPERLINK("https://www.indeed.com/viewjob?jk=b3d1cce10346b54c", "https://www.indeed.com/viewjob?jk=b3d1cce10346b54c")</f>
        <v/>
      </c>
      <c r="F4">
        <f>HYPERLINK("https://www.amazon.jobs/jobs/3139328/sr-applied-scientist-amazon-ads?cmpid=DA_INAD200785B", "https://www.amazon.jobs/jobs/3139328/sr-applied-scientist-amazon-ads?cmpid=DA_INAD200785B")</f>
        <v/>
      </c>
      <c r="G4" t="inlineStr">
        <is>
          <t>Santa Monica, CA, US</t>
        </is>
      </c>
      <c r="H4" s="2" t="n">
        <v>45998</v>
      </c>
      <c r="I4"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5">
      <c r="A5" t="inlineStr">
        <is>
          <t>in-cc5ddcfc46b61cfb</t>
        </is>
      </c>
      <c r="B5" t="inlineStr">
        <is>
          <t>Sr. Applied Scientist, Amazon Ads</t>
        </is>
      </c>
      <c r="C5" t="inlineStr">
        <is>
          <t>Amazon.com</t>
        </is>
      </c>
      <c r="D5" t="inlineStr">
        <is>
          <t>indeed</t>
        </is>
      </c>
      <c r="E5">
        <f>HYPERLINK("https://www.indeed.com/viewjob?jk=cc5ddcfc46b61cfb", "https://www.indeed.com/viewjob?jk=cc5ddcfc46b61cfb")</f>
        <v/>
      </c>
      <c r="F5">
        <f>HYPERLINK("https://www.amazon.jobs/jobs/3139328/sr-applied-scientist-amazon-ads?cmpid=DA_INAD200785B", "https://www.amazon.jobs/jobs/3139328/sr-applied-scientist-amazon-ads?cmpid=DA_INAD200785B")</f>
        <v/>
      </c>
      <c r="G5" t="inlineStr">
        <is>
          <t>Seattle, WA, US</t>
        </is>
      </c>
      <c r="H5" s="2" t="n">
        <v>45998</v>
      </c>
      <c r="I5"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
      <c r="A6" t="inlineStr">
        <is>
          <t>in-49d807bb83963414</t>
        </is>
      </c>
      <c r="B6" t="inlineStr">
        <is>
          <t>Sr. Applied Scientist, Amazon Ads</t>
        </is>
      </c>
      <c r="C6" t="inlineStr">
        <is>
          <t>Amazon.com</t>
        </is>
      </c>
      <c r="D6" t="inlineStr">
        <is>
          <t>indeed</t>
        </is>
      </c>
      <c r="E6">
        <f>HYPERLINK("https://www.indeed.com/viewjob?jk=49d807bb83963414", "https://www.indeed.com/viewjob?jk=49d807bb83963414")</f>
        <v/>
      </c>
      <c r="F6">
        <f>HYPERLINK("https://www.amazon.jobs/jobs/3139328/sr-applied-scientist-amazon-ads?cmpid=DA_INAD200785B", "https://www.amazon.jobs/jobs/3139328/sr-applied-scientist-amazon-ads?cmpid=DA_INAD200785B")</f>
        <v/>
      </c>
      <c r="G6" t="inlineStr">
        <is>
          <t>New York, NY, US</t>
        </is>
      </c>
      <c r="H6" s="2" t="n">
        <v>45998</v>
      </c>
      <c r="I6"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7">
      <c r="A7" t="inlineStr">
        <is>
          <t>in-05a8a2eb4a6a7c21</t>
        </is>
      </c>
      <c r="B7" t="inlineStr">
        <is>
          <t>Sr. Applied Scientist, Amazon Ads</t>
        </is>
      </c>
      <c r="C7" t="inlineStr">
        <is>
          <t>Amazon.com</t>
        </is>
      </c>
      <c r="D7" t="inlineStr">
        <is>
          <t>indeed</t>
        </is>
      </c>
      <c r="E7">
        <f>HYPERLINK("https://www.indeed.com/viewjob?jk=05a8a2eb4a6a7c21", "https://www.indeed.com/viewjob?jk=05a8a2eb4a6a7c21")</f>
        <v/>
      </c>
      <c r="F7">
        <f>HYPERLINK("https://www.amazon.jobs/jobs/3139328/sr-applied-scientist-amazon-ads?cmpid=DA_INAD200785B", "https://www.amazon.jobs/jobs/3139328/sr-applied-scientist-amazon-ads?cmpid=DA_INAD200785B")</f>
        <v/>
      </c>
      <c r="G7" t="inlineStr">
        <is>
          <t>Tukwila, WA, US</t>
        </is>
      </c>
      <c r="H7" s="2" t="n">
        <v>45998</v>
      </c>
      <c r="I7"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8">
      <c r="A8" t="inlineStr">
        <is>
          <t>in-e4c145ad5dd1d5f6</t>
        </is>
      </c>
      <c r="B8" t="inlineStr">
        <is>
          <t>Sr. Applied Scientist, Amazon Ads</t>
        </is>
      </c>
      <c r="C8" t="inlineStr">
        <is>
          <t>Amazon.com</t>
        </is>
      </c>
      <c r="D8" t="inlineStr">
        <is>
          <t>indeed</t>
        </is>
      </c>
      <c r="E8">
        <f>HYPERLINK("https://www.indeed.com/viewjob?jk=e4c145ad5dd1d5f6", "https://www.indeed.com/viewjob?jk=e4c145ad5dd1d5f6")</f>
        <v/>
      </c>
      <c r="F8">
        <f>HYPERLINK("https://www.amazon.jobs/jobs/3139328/sr-applied-scientist-amazon-ads?cmpid=DA_INAD200785B", "https://www.amazon.jobs/jobs/3139328/sr-applied-scientist-amazon-ads?cmpid=DA_INAD200785B")</f>
        <v/>
      </c>
      <c r="G8" t="inlineStr">
        <is>
          <t>Brooklyn, NY, US</t>
        </is>
      </c>
      <c r="H8" s="2" t="n">
        <v>45998</v>
      </c>
      <c r="I8"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9">
      <c r="A9" t="inlineStr">
        <is>
          <t>in-31ce6579035c07e5</t>
        </is>
      </c>
      <c r="B9" t="inlineStr">
        <is>
          <t>Sr. Applied Scientist, Amazon Ads</t>
        </is>
      </c>
      <c r="C9" t="inlineStr">
        <is>
          <t>Amazon.com</t>
        </is>
      </c>
      <c r="D9" t="inlineStr">
        <is>
          <t>indeed</t>
        </is>
      </c>
      <c r="E9">
        <f>HYPERLINK("https://www.indeed.com/viewjob?jk=31ce6579035c07e5", "https://www.indeed.com/viewjob?jk=31ce6579035c07e5")</f>
        <v/>
      </c>
      <c r="F9">
        <f>HYPERLINK("https://www.amazon.jobs/jobs/3139328/sr-applied-scientist-amazon-ads?cmpid=DA_INAD200785B", "https://www.amazon.jobs/jobs/3139328/sr-applied-scientist-amazon-ads?cmpid=DA_INAD200785B")</f>
        <v/>
      </c>
      <c r="G9" t="inlineStr">
        <is>
          <t>Boulder, CO, US</t>
        </is>
      </c>
      <c r="H9" s="2" t="n">
        <v>45998</v>
      </c>
      <c r="I9"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0">
      <c r="A10" t="inlineStr">
        <is>
          <t>in-3ae8869f985394ac</t>
        </is>
      </c>
      <c r="B10" t="inlineStr">
        <is>
          <t>Sr. Applied Scientist, Amazon Ads</t>
        </is>
      </c>
      <c r="C10" t="inlineStr">
        <is>
          <t>Amazon.com</t>
        </is>
      </c>
      <c r="D10" t="inlineStr">
        <is>
          <t>indeed</t>
        </is>
      </c>
      <c r="E10">
        <f>HYPERLINK("https://www.indeed.com/viewjob?jk=3ae8869f985394ac", "https://www.indeed.com/viewjob?jk=3ae8869f985394ac")</f>
        <v/>
      </c>
      <c r="F10">
        <f>HYPERLINK("https://www.amazon.jobs/jobs/3139328/sr-applied-scientist-amazon-ads?cmpid=DA_INAD200785B", "https://www.amazon.jobs/jobs/3139328/sr-applied-scientist-amazon-ads?cmpid=DA_INAD200785B")</f>
        <v/>
      </c>
      <c r="G10" t="inlineStr">
        <is>
          <t>Boston, MA, US</t>
        </is>
      </c>
      <c r="H10" s="2" t="n">
        <v>45998</v>
      </c>
      <c r="I10"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1">
      <c r="A11" t="inlineStr">
        <is>
          <t>in-3472cd8aa370adaa</t>
        </is>
      </c>
      <c r="B11" t="inlineStr">
        <is>
          <t>Sr. Applied Scientist, Amazon Ads</t>
        </is>
      </c>
      <c r="C11" t="inlineStr">
        <is>
          <t>Amazon.com</t>
        </is>
      </c>
      <c r="D11" t="inlineStr">
        <is>
          <t>indeed</t>
        </is>
      </c>
      <c r="E11">
        <f>HYPERLINK("https://www.indeed.com/viewjob?jk=3472cd8aa370adaa", "https://www.indeed.com/viewjob?jk=3472cd8aa370adaa")</f>
        <v/>
      </c>
      <c r="F11">
        <f>HYPERLINK("https://www.amazon.jobs/jobs/3139328/sr-applied-scientist-amazon-ads?cmpid=DA_INAD200785B", "https://www.amazon.jobs/jobs/3139328/sr-applied-scientist-amazon-ads?cmpid=DA_INAD200785B")</f>
        <v/>
      </c>
      <c r="G11" t="inlineStr">
        <is>
          <t>Sunnyvale, CA, US</t>
        </is>
      </c>
      <c r="H11" s="2" t="n">
        <v>45998</v>
      </c>
      <c r="I11"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2">
      <c r="A12" t="inlineStr">
        <is>
          <t>in-74f5641dd1a944a3</t>
        </is>
      </c>
      <c r="B12" t="inlineStr">
        <is>
          <t>Applied Scientist II, Prime Video - Personalization and Discovery Science, Personalization and Discovery Science</t>
        </is>
      </c>
      <c r="C12" t="inlineStr">
        <is>
          <t>Amazon.com</t>
        </is>
      </c>
      <c r="D12" t="inlineStr">
        <is>
          <t>indeed</t>
        </is>
      </c>
      <c r="E12">
        <f>HYPERLINK("https://www.indeed.com/viewjob?jk=74f5641dd1a944a3", "https://www.indeed.com/viewjob?jk=74f5641dd1a944a3")</f>
        <v/>
      </c>
      <c r="F12">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2" t="inlineStr">
        <is>
          <t>Seattle, WA, US</t>
        </is>
      </c>
      <c r="H12" s="2" t="n">
        <v>45930</v>
      </c>
      <c r="I1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3">
      <c r="A13" t="inlineStr">
        <is>
          <t>in-d958020057d1e581</t>
        </is>
      </c>
      <c r="B13" t="inlineStr">
        <is>
          <t>Applied Scientist II, Prime Video - Personalization and Discovery Science, Personalization and Discovery Science</t>
        </is>
      </c>
      <c r="C13" t="inlineStr">
        <is>
          <t>Amazon.com</t>
        </is>
      </c>
      <c r="D13" t="inlineStr">
        <is>
          <t>indeed</t>
        </is>
      </c>
      <c r="E13">
        <f>HYPERLINK("https://www.indeed.com/viewjob?jk=d958020057d1e581", "https://www.indeed.com/viewjob?jk=d958020057d1e581")</f>
        <v/>
      </c>
      <c r="F13">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3" t="inlineStr">
        <is>
          <t>Sunnyvale, CA, US</t>
        </is>
      </c>
      <c r="H13" s="2" t="n">
        <v>45930</v>
      </c>
      <c r="I1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4">
      <c r="A14" t="inlineStr">
        <is>
          <t>in-f046476a711d8f4d</t>
        </is>
      </c>
      <c r="B14" t="inlineStr">
        <is>
          <t>Applied Scientist II, Prime Video - Personalization and Discovery Science, Personalization and Discovery Science</t>
        </is>
      </c>
      <c r="C14" t="inlineStr">
        <is>
          <t>Amazon.com</t>
        </is>
      </c>
      <c r="D14" t="inlineStr">
        <is>
          <t>indeed</t>
        </is>
      </c>
      <c r="E14">
        <f>HYPERLINK("https://www.indeed.com/viewjob?jk=f046476a711d8f4d", "https://www.indeed.com/viewjob?jk=f046476a711d8f4d")</f>
        <v/>
      </c>
      <c r="F14">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4" t="inlineStr">
        <is>
          <t>New York, NY, US</t>
        </is>
      </c>
      <c r="H14" s="2" t="n">
        <v>45930</v>
      </c>
      <c r="I1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5">
      <c r="A15" t="inlineStr">
        <is>
          <t>in-f3326dc629d2295e</t>
        </is>
      </c>
      <c r="B15" t="inlineStr">
        <is>
          <t>Applied Scientist II, Prime Video - Personalization and Discovery Science</t>
        </is>
      </c>
      <c r="C15" t="inlineStr">
        <is>
          <t>Amazon.com</t>
        </is>
      </c>
      <c r="D15" t="inlineStr">
        <is>
          <t>indeed</t>
        </is>
      </c>
      <c r="E15">
        <f>HYPERLINK("https://www.indeed.com/viewjob?jk=f3326dc629d2295e", "https://www.indeed.com/viewjob?jk=f3326dc629d2295e")</f>
        <v/>
      </c>
      <c r="F15">
        <f>HYPERLINK("https://www.amazon.jobs/jobs/3059253/applied-scientist-ii-prime-video--personalization-and-discovery-science?cmpid=DA_INAD200785B", "https://www.amazon.jobs/jobs/3059253/applied-scientist-ii-prime-video--personalization-and-discovery-science?cmpid=DA_INAD200785B")</f>
        <v/>
      </c>
      <c r="G15" t="inlineStr">
        <is>
          <t>New York, NY, US</t>
        </is>
      </c>
      <c r="H15" s="2" t="n">
        <v>45881</v>
      </c>
      <c r="I1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6">
      <c r="A16" t="inlineStr">
        <is>
          <t>in-636072408bbe51b3</t>
        </is>
      </c>
      <c r="B16" t="inlineStr">
        <is>
          <t>Sr. Applied Scientist, Prime Video - Personalization and Discovery Science</t>
        </is>
      </c>
      <c r="C16" t="inlineStr">
        <is>
          <t>Amazon.com</t>
        </is>
      </c>
      <c r="D16" t="inlineStr">
        <is>
          <t>indeed</t>
        </is>
      </c>
      <c r="E16">
        <f>HYPERLINK("https://www.indeed.com/viewjob?jk=636072408bbe51b3", "https://www.indeed.com/viewjob?jk=636072408bbe51b3")</f>
        <v/>
      </c>
      <c r="F16">
        <f>HYPERLINK("https://www.amazon.jobs/jobs/3059256/sr-applied-scientist-prime-video--personalization-and-discovery-science?cmpid=DA_INAD200785B", "https://www.amazon.jobs/jobs/3059256/sr-applied-scientist-prime-video--personalization-and-discovery-science?cmpid=DA_INAD200785B")</f>
        <v/>
      </c>
      <c r="G16" t="inlineStr">
        <is>
          <t>Sunnyvale, CA, US</t>
        </is>
      </c>
      <c r="H16" s="2" t="n">
        <v>45881</v>
      </c>
      <c r="I1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7">
      <c r="A17" t="inlineStr">
        <is>
          <t>in-f6b862197e6b078d</t>
        </is>
      </c>
      <c r="B17" t="inlineStr">
        <is>
          <t>Sr. Applied Scientist, Prime Video - Personalization and Discovery Science</t>
        </is>
      </c>
      <c r="C17" t="inlineStr">
        <is>
          <t>Amazon.com</t>
        </is>
      </c>
      <c r="D17" t="inlineStr">
        <is>
          <t>indeed</t>
        </is>
      </c>
      <c r="E17">
        <f>HYPERLINK("https://www.indeed.com/viewjob?jk=f6b862197e6b078d", "https://www.indeed.com/viewjob?jk=f6b862197e6b078d")</f>
        <v/>
      </c>
      <c r="F17">
        <f>HYPERLINK("https://www.amazon.jobs/jobs/3059256/sr-applied-scientist-prime-video--personalization-and-discovery-science?cmpid=DA_INAD200785B", "https://www.amazon.jobs/jobs/3059256/sr-applied-scientist-prime-video--personalization-and-discovery-science?cmpid=DA_INAD200785B")</f>
        <v/>
      </c>
      <c r="G17" t="inlineStr">
        <is>
          <t>New York, NY, US</t>
        </is>
      </c>
      <c r="H17" s="2" t="n">
        <v>45881</v>
      </c>
      <c r="I1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8">
      <c r="A18" t="inlineStr">
        <is>
          <t>in-a4604178ab470875</t>
        </is>
      </c>
      <c r="B18" t="inlineStr">
        <is>
          <t>Sr. Applied Scientist, Prime Video - Personalization and Discovery Science</t>
        </is>
      </c>
      <c r="C18" t="inlineStr">
        <is>
          <t>Amazon.com</t>
        </is>
      </c>
      <c r="D18" t="inlineStr">
        <is>
          <t>indeed</t>
        </is>
      </c>
      <c r="E18">
        <f>HYPERLINK("https://www.indeed.com/viewjob?jk=a4604178ab470875", "https://www.indeed.com/viewjob?jk=a4604178ab470875")</f>
        <v/>
      </c>
      <c r="F18">
        <f>HYPERLINK("https://www.amazon.jobs/jobs/3059256/sr-applied-scientist-prime-video--personalization-and-discovery-science?cmpid=DA_INAD200785B", "https://www.amazon.jobs/jobs/3059256/sr-applied-scientist-prime-video--personalization-and-discovery-science?cmpid=DA_INAD200785B")</f>
        <v/>
      </c>
      <c r="G18" t="inlineStr">
        <is>
          <t>Seattle, WA, US</t>
        </is>
      </c>
      <c r="H18" s="2" t="n">
        <v>45881</v>
      </c>
      <c r="I1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9">
      <c r="A19" t="inlineStr">
        <is>
          <t>in-b0b722f0b0f4a8ed</t>
        </is>
      </c>
      <c r="B19" t="inlineStr">
        <is>
          <t>Applied Scientist II, Prime Video - Personalization and Discovery Science</t>
        </is>
      </c>
      <c r="C19" t="inlineStr">
        <is>
          <t>Amazon.com</t>
        </is>
      </c>
      <c r="D19" t="inlineStr">
        <is>
          <t>indeed</t>
        </is>
      </c>
      <c r="E19">
        <f>HYPERLINK("https://www.indeed.com/viewjob?jk=b0b722f0b0f4a8ed", "https://www.indeed.com/viewjob?jk=b0b722f0b0f4a8ed")</f>
        <v/>
      </c>
      <c r="F19">
        <f>HYPERLINK("https://www.amazon.jobs/jobs/3059253/applied-scientist-ii-prime-video--personalization-and-discovery-science?cmpid=DA_INAD200785B", "https://www.amazon.jobs/jobs/3059253/applied-scientist-ii-prime-video--personalization-and-discovery-science?cmpid=DA_INAD200785B")</f>
        <v/>
      </c>
      <c r="G19" t="inlineStr">
        <is>
          <t>Sunnyvale, CA, US</t>
        </is>
      </c>
      <c r="H19" s="2" t="n">
        <v>45881</v>
      </c>
      <c r="I1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0">
      <c r="A20" t="inlineStr">
        <is>
          <t>in-9be908e682e620dc</t>
        </is>
      </c>
      <c r="B20" t="inlineStr">
        <is>
          <t>Applied Scientist II, Prime Video - Personalization and Discovery Science</t>
        </is>
      </c>
      <c r="C20" t="inlineStr">
        <is>
          <t>Amazon.com</t>
        </is>
      </c>
      <c r="D20" t="inlineStr">
        <is>
          <t>indeed</t>
        </is>
      </c>
      <c r="E20">
        <f>HYPERLINK("https://www.indeed.com/viewjob?jk=9be908e682e620dc", "https://www.indeed.com/viewjob?jk=9be908e682e620dc")</f>
        <v/>
      </c>
      <c r="F20">
        <f>HYPERLINK("https://www.amazon.jobs/jobs/3059253/applied-scientist-ii-prime-video--personalization-and-discovery-science?cmpid=DA_INAD200785B", "https://www.amazon.jobs/jobs/3059253/applied-scientist-ii-prime-video--personalization-and-discovery-science?cmpid=DA_INAD200785B")</f>
        <v/>
      </c>
      <c r="G20" t="inlineStr">
        <is>
          <t>Seattle, WA, US</t>
        </is>
      </c>
      <c r="H20" s="2" t="n">
        <v>45881</v>
      </c>
      <c r="I2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1">
      <c r="A21" t="inlineStr">
        <is>
          <t>in-8642369e03853914</t>
        </is>
      </c>
      <c r="B21" t="inlineStr">
        <is>
          <t>Applied Scientist, Prime Video - Personalization and Discovery Science</t>
        </is>
      </c>
      <c r="C21" t="inlineStr">
        <is>
          <t>Amazon.com</t>
        </is>
      </c>
      <c r="D21" t="inlineStr">
        <is>
          <t>indeed</t>
        </is>
      </c>
      <c r="E21">
        <f>HYPERLINK("https://www.indeed.com/viewjob?jk=8642369e03853914", "https://www.indeed.com/viewjob?jk=8642369e03853914")</f>
        <v/>
      </c>
      <c r="F21">
        <f>HYPERLINK("https://www.amazon.jobs/jobs/3033050/applied-scientist-prime-video--personalization-and-discovery-science?cmpid=DA_INAD200785B", "https://www.amazon.jobs/jobs/3033050/applied-scientist-prime-video--personalization-and-discovery-science?cmpid=DA_INAD200785B")</f>
        <v/>
      </c>
      <c r="G21" t="inlineStr">
        <is>
          <t>New York, NY, US</t>
        </is>
      </c>
      <c r="H21" s="2" t="n">
        <v>45845</v>
      </c>
      <c r="I2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2">
      <c r="A22" t="inlineStr">
        <is>
          <t>in-20e9f12798bb6916</t>
        </is>
      </c>
      <c r="B22" t="inlineStr">
        <is>
          <t>Applied Scientist, Prime Video - Personalization and Discovery Science</t>
        </is>
      </c>
      <c r="C22" t="inlineStr">
        <is>
          <t>Amazon.com</t>
        </is>
      </c>
      <c r="D22" t="inlineStr">
        <is>
          <t>indeed</t>
        </is>
      </c>
      <c r="E22">
        <f>HYPERLINK("https://www.indeed.com/viewjob?jk=20e9f12798bb6916", "https://www.indeed.com/viewjob?jk=20e9f12798bb6916")</f>
        <v/>
      </c>
      <c r="F22">
        <f>HYPERLINK("https://www.amazon.jobs/jobs/3033050/applied-scientist-prime-video--personalization-and-discovery-science?cmpid=DA_INAD200785B", "https://www.amazon.jobs/jobs/3033050/applied-scientist-prime-video--personalization-and-discovery-science?cmpid=DA_INAD200785B")</f>
        <v/>
      </c>
      <c r="G22" t="inlineStr">
        <is>
          <t>Seattle, WA, US</t>
        </is>
      </c>
      <c r="H22" s="2" t="n">
        <v>45845</v>
      </c>
      <c r="I2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3">
      <c r="A23" t="inlineStr">
        <is>
          <t>in-267734535d7988cc</t>
        </is>
      </c>
      <c r="B23" t="inlineStr">
        <is>
          <t>Applied Scientist, Prime Video - Personalization and Discovery Science</t>
        </is>
      </c>
      <c r="C23" t="inlineStr">
        <is>
          <t>Amazon.com</t>
        </is>
      </c>
      <c r="D23" t="inlineStr">
        <is>
          <t>indeed</t>
        </is>
      </c>
      <c r="E23">
        <f>HYPERLINK("https://www.indeed.com/viewjob?jk=267734535d7988cc", "https://www.indeed.com/viewjob?jk=267734535d7988cc")</f>
        <v/>
      </c>
      <c r="F23">
        <f>HYPERLINK("https://www.amazon.jobs/jobs/3033050/applied-scientist-prime-video--personalization-and-discovery-science?cmpid=DA_INAD200785B", "https://www.amazon.jobs/jobs/3033050/applied-scientist-prime-video--personalization-and-discovery-science?cmpid=DA_INAD200785B")</f>
        <v/>
      </c>
      <c r="G23" t="inlineStr">
        <is>
          <t>Sunnyvale, CA, US</t>
        </is>
      </c>
      <c r="H23" s="2" t="n">
        <v>45845</v>
      </c>
      <c r="I2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4">
      <c r="A24" t="inlineStr">
        <is>
          <t>in-51bbb76d89267200</t>
        </is>
      </c>
      <c r="B24" t="inlineStr">
        <is>
          <t>AI-Enabled Data Scientist</t>
        </is>
      </c>
      <c r="C24" t="inlineStr">
        <is>
          <t>Deloitte</t>
        </is>
      </c>
      <c r="D24" t="inlineStr">
        <is>
          <t>indeed</t>
        </is>
      </c>
      <c r="E24">
        <f>HYPERLINK("https://www.indeed.com/viewjob?jk=51bbb76d89267200", "https://www.indeed.com/viewjob?jk=51bbb76d89267200")</f>
        <v/>
      </c>
      <c r="F24">
        <f>HYPERLINK("https://deloitteus.avature.net/careers/InviteToApply?jobId=323354", "https://deloitteus.avature.net/careers/InviteToApply?jobId=323354")</f>
        <v/>
      </c>
      <c r="G24" t="inlineStr">
        <is>
          <t>Arlington, VA, US</t>
        </is>
      </c>
      <c r="H24" s="2" t="n">
        <v>46057</v>
      </c>
      <c r="I24" t="inlineStr">
        <is>
          <t>Our Deloitte Cyber team understands the unique challenges and opportunities businesses face in cybersecurity. Join our team to deliver powerful solutions to help our clients navigate the ever\-changing threat landscape. Through powerful solutions and managed services that simplify complexity, we enable our clients to operate with resilience, grow with confidence, and proactively manage to secure success.  
**Work You'll Do**  
As a Data Scientist, you will drive R\&amp;D initiatives to advance the frontiers of artificial intelligence in support of internal research and governmental space clients. Your work will center on developing Proofs of Concept (POC), Minimum Viable Products (MVPs) and client deliverable solutions that leverage traditional ML, generative AI, and agentic AI. In this role, you will leverage your expertise in Python, Jupyter notebooks, pandas, and NumPy to develop and maintain data pipelines, apply advanced machine learning techniques and extract actionable insights from large, complex datasets. You will collaborate closely with mission operations teams and client stakeholders, presenting technical findings to audiences of varying technical backgrounds and responding to high\-priority analytic requests. Responsibilities will include:  
* Develop, implement, and maintain data pipelines to process and analyze large, complex datasets in support of the client mission.
* Apply advanced data science techniques\-including supervised and unsupervised machine learning, spatial analysis, and time\-series modeling\-to extract actionable insights for mission\-critical operations.
* Build, test, and optimize analytic methodologies and AI/ML solutions for integration into user\-facing technical tools, including cutting\-edge GenAI and AgenticAI methods to solve complex, real\-world problems.
* Collaborate directly with client stakeholders and mission operations teams to understand requirements, present findings, and tailor analytic solutions to evolving needs.
* Maintain and uphold data science best practices on new methodologies, technologies, industry trends, and open\-source packages.
* Document code, workflows, and analytic processes following best practices to ensure reproducibility, transparency, and knowledge sharing within the team.
* Prepare and deliver clear, concise technical briefings and presentations to audiences ranging from technical peers to senior leadership and non\-technical stakeholders.
* Respond rapidly to high\-priority analytic requests, adapting to shifting mission priorities while maintaining high standards of technical rigor and communication.
* Iterate on and/or create repeatable, reusable processes and scalable data systems that meet technical and deployment challenges.
* Work cross\-functionally with other software, hardware \&amp; data engineers, account manager, PMO team and leadership to help ensure project delivery and success.
**The Team**  
Deloitte's Government \&amp; Public Services (GPS) practice \- our people, ideas, technology and outcomes \- is designed for impact. Serving federal, state, \&amp; local government clients as well as public higher education institutions, our team of professionals brings fresh perspective to help clients anticipate disruption, reimagine the possible, and fulfill their mission promise.  
Our Cyber Defense \&amp; Resilience offering assists clients in defending against advanced threats by transforming security operations, monitoring technology, data analytics, and threat intelligence. Helps manage and protect dynamic attack surfaces and provides rapid crisis and cyber incident response, ensuring clients can be ready for, respond to, and recover from business disruptions.  
**Qualifications**  
Required**:**  
* Bachelor's degree required
* Must be able to obtain and maintain the required TS/SCI security clearance for this role
* Ability to travel 5\-30%, on average, based on the work you do and the clients and industries/sectors you serve
* 2\+ years of experience in executing data science methodologies using common programming/scripting languages
* 2 \+ years of experience in Data Analytics, Data Science, and Data Engineering.
* 3 \+ years of experience in Advanced Python coding, and modeling.
* 2 \+ years of experience working with NumPy, Panda, and Spark.
* Must be legally authorized to work in the United States without the need for employer sponsorship, now or at any time in the future
Preferred:
* Experience contributing to growth and innovation in data science and AI/ML solutions
* Experience with AI/ML solutions for integration into user\-facing technical tools, including cutting\-edge GenAI and AgenticAI methods
Information for applicants with a need for accommodation: https://www2\.deloitte.com/us/en/pages/careers/articles/join\-deloitte\-assistance\-for\-disabled\-applicants.html</t>
        </is>
      </c>
    </row>
    <row r="25">
      <c r="A25" t="inlineStr">
        <is>
          <t>in-656a9db8e36dfe5c</t>
        </is>
      </c>
      <c r="B25" t="inlineStr">
        <is>
          <t>Data Scientist Manager</t>
        </is>
      </c>
      <c r="C25" t="inlineStr">
        <is>
          <t>Ameriprise Financial</t>
        </is>
      </c>
      <c r="D25" t="inlineStr">
        <is>
          <t>indeed</t>
        </is>
      </c>
      <c r="E25">
        <f>HYPERLINK("https://www.indeed.com/viewjob?jk=656a9db8e36dfe5c", "https://www.indeed.com/viewjob?jk=656a9db8e36dfe5c")</f>
        <v/>
      </c>
      <c r="F25">
        <f>HYPERLINK("https://ameriprise.wd5.myworkdayjobs.com/Ameriprise/job/Boston-Massachusetts/Data-Scientist-Manager_R26_0421-1", "https://ameriprise.wd5.myworkdayjobs.com/Ameriprise/job/Boston-Massachusetts/Data-Scientist-Manager_R26_0421-1")</f>
        <v/>
      </c>
      <c r="G25" t="inlineStr">
        <is>
          <t>Minneapolis, MN, US</t>
        </is>
      </c>
      <c r="H25" s="2" t="n">
        <v>46057</v>
      </c>
      <c r="I25" t="inlineStr">
        <is>
          <t>Ameriprise Financial is looking to add a Data Scientist Manager to the team! The individual in this role will play an integral role in supporting modeling and data analysis, campaign execution, and database needs for assigned line of business. Manage the creation and/or usage of large data sets, providing information\-based decision logic and predictive modeling solutions, and translates modeling/analytic output into understandable/actionable business knowledge, insight and applications. Demonstrate strong technical/problem solving skills. Support multiple projects collaboratively.**Key Responsibilities**
* Identify, develop and implement complex analytical solutions leveraging tools such as predictive modeling, advanced machine learning techniques, simulation, optimization solutions, etc., with respect to credit card, lending and cash products for marketing and risk management purposes.
* Manage dataset creation including data extraction, derived and dependent variable creation, and data quality control processes for analytics, model development, and validation. May monitor execution of analytical solutions, including criteria specification, data sourcing, segmentation, analytics, selection, delivery, and back\-end data capture results.
* Consult and coordinate campaign execution for direct to client campaigns. Identify and execute targeting and optimization opportunities.
* Under direction of the Sr. Leader, collaborate with business leaders and/or analysts to provide analytical thought leadership and support for business problems. Identify and interpret business needs, define high\-level business requirements, strategy, technical risks, and scope. Develop, document, and communicate business\-driven analytic solutions and capabilities, translating modeling and analytic output into understandable and actionable business knowledge.
* Embed analytic programs and tools. Ensure continued accuracy, relevancy, and effectiveness and track process improvements once deployed.
* Ensure adherence to data and model governance standards that are set and enforced by industry standards and/or enterprise and business unit data governance polices and leaders.
* Contribute to ongoing expansion of data science expertise and credentials by keeping up with industry best practices, developing new skills, and knowledge sharing. Work cross functionally to develop standardized/automated solutions and adopt best practices.
 **Required Qualifications**
* Master's degree or equivalent Quantitative Discipline (i.e. Finance, Statistics, Computer Science, Actuarial Science, Economics, Engineering, etc.)
* 3 \- 5 years relevant experience required
* Knowledge of advanced statistical concepts and techniques; skilled in linear algebra.
* Experience conducting hands\-on analytics projects using advanced statistical methods such as generalized regression models, Bayesian methods, random forest, gradient boosting, neural networks, machine learning, clustering, or similar methodologies.
* Experience with statistical programming (SAS, R, Python, SQL etc.) \&amp; data visualization software in a data\-rich environment.
* Proven ability to present/communicate complex, technical materials in a way that facilitates decision making and drives outcomes; ability to communicate to less technical partners.
* Proven ability to apply both strategic and analytic techniques to provide business solutions and recommendations.
* Ability to work effectively in a collaborative team environment.
 **Preferred Qualifications**
* Ph.D
* 3\+ years of experience in statistical modeling and the collating processes necessary to create modeling data.
* Experience with big data technologies which may include Hadoop, Cloud Computing Environments (including container creation, management \&amp; deployment), Spark, Dataiku, Amazon SageMaker etc..
* Self\-starter with the ability to work effectively in a matrix environment while (at times) working autonomously.
* Proven flexibility and adaptability in effectively driving results in an environment of changing priorities.
* Knowledge of credit risk analytics.
* Background in banking \- lending, credit card and mortgage.
* Background in financial services.
**About Our Company**  
We’re a diversified financial services leader with more than $1\.5 trillion in assets under management, administration and advisement as of 2024\. With our team of more than 20,000 people in 20 countries, we advise, manage and protect assets and income of more than 3\.5 million individual, small business and institutional clients. We are a longstanding leader in financial planning and advice, a global asset manager and an insurer. Our unwavering focus on our clients and strong financial foundation connects each of our unique businesses \- Ameriprise Financial, Columbia Threadneedle Investments and RiverSource Insurance and Annuities. Here, we foster meaningful careers, invest in the future, and make a difference for clients, institutions and communities around the world.
**Base Pay Salary**
The estimated base salary for this role is $96,300 \- $169,200/year. We have a pay\-for\-performance compensation philosophy. Your initial total compensation may vary based on job\-related knowledge, skills, experience, and geographical work location. In addition, most of our roles are eligible for variable pay in the form of bonus, commissions, and/or long\-term incentives depending on the role. We also have a competitive and comprehensive benefits program that supports all aspects of your health and well\-being, including but not limited to vacation time, sick time, 401(k), and health, dental and life insurances.
Ameriprise Financial is an equal opportunity employer. We consider all qualified applicants without regard to race, color, religion, sex, national origin, genetic information, age, sexual orientation, citizenship, gender identity, disability, veteran status, marital status, family status or any other basis prohibited by law.
**Full\-Time/Part\-Time**
Full time**Exempt/Non\-Exempt**
Exempt**Job Family Group**
Data**Line of Business**
CSIRM Information Management</t>
        </is>
      </c>
    </row>
    <row r="26">
      <c r="A26" t="inlineStr">
        <is>
          <t>in-b006063b46b92fe5</t>
        </is>
      </c>
      <c r="B26" t="inlineStr">
        <is>
          <t>Applied Scientist, Safety ML</t>
        </is>
      </c>
      <c r="C26" t="inlineStr">
        <is>
          <t>Amazon.com</t>
        </is>
      </c>
      <c r="D26" t="inlineStr">
        <is>
          <t>indeed</t>
        </is>
      </c>
      <c r="E26">
        <f>HYPERLINK("https://www.indeed.com/viewjob?jk=b006063b46b92fe5", "https://www.indeed.com/viewjob?jk=b006063b46b92fe5")</f>
        <v/>
      </c>
      <c r="F26">
        <f>HYPERLINK("https://www.amazon.jobs/jobs/3161224/applied-scientist-safety-ml?cmpid=DA_INAD200785B", "https://www.amazon.jobs/jobs/3161224/applied-scientist-safety-ml?cmpid=DA_INAD200785B")</f>
        <v/>
      </c>
      <c r="G26" t="inlineStr">
        <is>
          <t>Seattle, WA, US</t>
        </is>
      </c>
      <c r="H26" s="2" t="n">
        <v>46037</v>
      </c>
      <c r="I2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27">
      <c r="A27" t="inlineStr">
        <is>
          <t>in-537e3a396815d631</t>
        </is>
      </c>
      <c r="B27" t="inlineStr">
        <is>
          <t>Applied Scientist, Safety ML</t>
        </is>
      </c>
      <c r="C27" t="inlineStr">
        <is>
          <t>Amazon.com</t>
        </is>
      </c>
      <c r="D27" t="inlineStr">
        <is>
          <t>indeed</t>
        </is>
      </c>
      <c r="E27">
        <f>HYPERLINK("https://www.indeed.com/viewjob?jk=537e3a396815d631", "https://www.indeed.com/viewjob?jk=537e3a396815d631")</f>
        <v/>
      </c>
      <c r="F27">
        <f>HYPERLINK("https://www.amazon.jobs/jobs/3161224/applied-scientist-safety-ml?cmpid=DA_INAD200785B", "https://www.amazon.jobs/jobs/3161224/applied-scientist-safety-ml?cmpid=DA_INAD200785B")</f>
        <v/>
      </c>
      <c r="G27" t="inlineStr">
        <is>
          <t>San Francisco, CA, US</t>
        </is>
      </c>
      <c r="H27" s="2" t="n">
        <v>46037</v>
      </c>
      <c r="I2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28">
      <c r="A28" t="inlineStr">
        <is>
          <t>in-8d95694c7573f85f</t>
        </is>
      </c>
      <c r="B28" t="inlineStr">
        <is>
          <t>Applied Scientist, LLM Code Agents, Kiro Science</t>
        </is>
      </c>
      <c r="C28" t="inlineStr">
        <is>
          <t>Amazon.com</t>
        </is>
      </c>
      <c r="D28" t="inlineStr">
        <is>
          <t>indeed</t>
        </is>
      </c>
      <c r="E28">
        <f>HYPERLINK("https://www.indeed.com/viewjob?jk=8d95694c7573f85f", "https://www.indeed.com/viewjob?jk=8d95694c7573f85f")</f>
        <v/>
      </c>
      <c r="F28">
        <f>HYPERLINK("https://www.amazon.jobs/jobs/3161363/applied-scientist-llm-code-agents-kiro-science?cmpid=DA_INAD200785B", "https://www.amazon.jobs/jobs/3161363/applied-scientist-llm-code-agents-kiro-science?cmpid=DA_INAD200785B")</f>
        <v/>
      </c>
      <c r="G28" t="inlineStr">
        <is>
          <t>Seattle, WA, US</t>
        </is>
      </c>
      <c r="H28" s="2" t="n">
        <v>46035</v>
      </c>
      <c r="I28"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29">
      <c r="A29" t="inlineStr">
        <is>
          <t>in-0f206a30f9ec25df</t>
        </is>
      </c>
      <c r="B29" t="inlineStr">
        <is>
          <t>Applied Scientist, LLM Code Agents, Kiro Science</t>
        </is>
      </c>
      <c r="C29" t="inlineStr">
        <is>
          <t>Amazon.com</t>
        </is>
      </c>
      <c r="D29" t="inlineStr">
        <is>
          <t>indeed</t>
        </is>
      </c>
      <c r="E29">
        <f>HYPERLINK("https://www.indeed.com/viewjob?jk=0f206a30f9ec25df", "https://www.indeed.com/viewjob?jk=0f206a30f9ec25df")</f>
        <v/>
      </c>
      <c r="F29">
        <f>HYPERLINK("https://www.amazon.jobs/jobs/3161363/applied-scientist-llm-code-agents-kiro-science?cmpid=DA_INAD200785B", "https://www.amazon.jobs/jobs/3161363/applied-scientist-llm-code-agents-kiro-science?cmpid=DA_INAD200785B")</f>
        <v/>
      </c>
      <c r="G29" t="inlineStr">
        <is>
          <t>Santa Clara, CA, US</t>
        </is>
      </c>
      <c r="H29" s="2" t="n">
        <v>46035</v>
      </c>
      <c r="I29"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30">
      <c r="A30" t="inlineStr">
        <is>
          <t>in-7972f17ab2423d06</t>
        </is>
      </c>
      <c r="B30" t="inlineStr">
        <is>
          <t>Senior Data Scientist, Amazon Stores Finance Science, Amazon Stores Finance Science</t>
        </is>
      </c>
      <c r="C30" t="inlineStr">
        <is>
          <t>Amazon.com</t>
        </is>
      </c>
      <c r="D30" t="inlineStr">
        <is>
          <t>indeed</t>
        </is>
      </c>
      <c r="E30">
        <f>HYPERLINK("https://www.indeed.com/viewjob?jk=7972f17ab2423d06", "https://www.indeed.com/viewjob?jk=7972f17ab2423d06")</f>
        <v/>
      </c>
      <c r="F30">
        <f>HYPERLINK("https://www.amazon.jobs/jobs/3161846/senior-data-scientist-amazon-stores-finance-science-amazon-stores-finance-science?cmpid=DA_INAD200785B", "https://www.amazon.jobs/jobs/3161846/senior-data-scientist-amazon-stores-finance-science-amazon-stores-finance-science?cmpid=DA_INAD200785B")</f>
        <v/>
      </c>
      <c r="G30" t="inlineStr">
        <is>
          <t>Bellevue, WA, US</t>
        </is>
      </c>
      <c r="H30" s="2" t="n">
        <v>46034</v>
      </c>
      <c r="I30" t="inlineStr">
        <is>
          <t>**DESCRIPTION**
---------------
WW Amazon Stores Finance Science (ASFS) works to leverage science and economics to drive improved financial results, foster data backed decisions, and embed science within Finance. ASFS is focused on developing products that empower controllership, improve business decisions and financial planning by understanding financial drivers, and innovate science capabilities for efficiency and scale.  
We are looking for a data scientist to lead high visibility initiatives for forecasting Amazon Stores' financials. You will develop new science\-based forecasting methodologies and build scalable models to improve financial decision making and planning for senior leadership up to VP and SVP level. You will build new ML and statistical models from the ground up that aim to transform financial planning for Amazon Stores.  
We prize creative problem solvers with the ability to draw on an expansive methodological toolkit to transform financial decision\-making with science. The ideal candidate combines data\-science acumen with strong business judgment. You have versatile modeling skills and are comfortable owning and extracting insights from data. You are excited to learn from and alongside seasoned scientists, engineers, and business leaders. You are an excellent communicator and effectively translate technical findings into business action.  
Key job responsibilities  
Demonstrating thorough technical knowledge, effective exploratory data analysis, and model building using industry standard ML models  
Working with technical and non\-technical stakeholders across every step of science project life cycle  
Collaborating with finance, product, data engineering, and software engineering teams to create production implementations for large\-scale ML models  
Innovating by adapting new modeling techniques and procedures  
Presenting research results to our internal research community
**BASIC QUALIFICATIONS**
------------------------
* 5\+ years of data querying languages (e.g. SQL), scripting languages (e.g. Python) or statistical/mathematical software (e.g. R, SAS, Matlab, etc.) experience
* 4\+ years of data scientist experience
* Experience with statistical models e.g. multinomial logistic regression
* Bachelor's degree in a quantitative field such as statistics, mathematics, data science, business analytics, economics, finance, engineering, or computer science
* Experience managing data pipelines
**PREFERRED QUALIFICATIONS**
----------------------------
* Experience as a leader and mentor on a data science team
* Knowledge of AWS tech stack (e.g., AWS Redshift, S3, EC2, Glue)
* Master's degree
* Experience in forecasting analyses
* Experience working with Data \&amp; AI related technologies, including, but not limited to, AI/ML, GenAI, Analytics, Database, and/or Storage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\- 183,000\.00 \- 247,600\.00 USD annually  
USA, WA, Bellevue \- 159,200\.00 \- 215,300\.00 USD annually  
USA, WA, Seattle \- 159,200\.00 \- 215,300\.00 USD annually</t>
        </is>
      </c>
    </row>
    <row r="31">
      <c r="A31" t="inlineStr">
        <is>
          <t>in-d736fcba1083b593</t>
        </is>
      </c>
      <c r="B31" t="inlineStr">
        <is>
          <t>Senior Data Scientist, Amazon Stores Finance Science, Amazon Stores Finance Science</t>
        </is>
      </c>
      <c r="C31" t="inlineStr">
        <is>
          <t>Amazon.com</t>
        </is>
      </c>
      <c r="D31" t="inlineStr">
        <is>
          <t>indeed</t>
        </is>
      </c>
      <c r="E31">
        <f>HYPERLINK("https://www.indeed.com/viewjob?jk=d736fcba1083b593", "https://www.indeed.com/viewjob?jk=d736fcba1083b593")</f>
        <v/>
      </c>
      <c r="F31">
        <f>HYPERLINK("https://www.amazon.jobs/jobs/3161846/senior-data-scientist-amazon-stores-finance-science-amazon-stores-finance-science?cmpid=DA_INAD200785B", "https://www.amazon.jobs/jobs/3161846/senior-data-scientist-amazon-stores-finance-science-amazon-stores-finance-science?cmpid=DA_INAD200785B")</f>
        <v/>
      </c>
      <c r="G31" t="inlineStr">
        <is>
          <t>Sunnyvale, CA, US</t>
        </is>
      </c>
      <c r="H31" s="2" t="n">
        <v>46034</v>
      </c>
      <c r="I31" t="inlineStr">
        <is>
          <t>**DESCRIPTION**
---------------
WW Amazon Stores Finance Science (ASFS) works to leverage science and economics to drive improved financial results, foster data backed decisions, and embed science within Finance. ASFS is focused on developing products that empower controllership, improve business decisions and financial planning by understanding financial drivers, and innovate science capabilities for efficiency and scale.  
We are looking for a data scientist to lead high visibility initiatives for forecasting Amazon Stores' financials. You will develop new science\-based forecasting methodologies and build scalable models to improve financial decision making and planning for senior leadership up to VP and SVP level. You will build new ML and statistical models from the ground up that aim to transform financial planning for Amazon Stores.  
We prize creative problem solvers with the ability to draw on an expansive methodological toolkit to transform financial decision\-making with science. The ideal candidate combines data\-science acumen with strong business judgment. You have versatile modeling skills and are comfortable owning and extracting insights from data. You are excited to learn from and alongside seasoned scientists, engineers, and business leaders. You are an excellent communicator and effectively translate technical findings into business action.  
Key job responsibilities  
Demonstrating thorough technical knowledge, effective exploratory data analysis, and model building using industry standard ML models  
Working with technical and non\-technical stakeholders across every step of science project life cycle  
Collaborating with finance, product, data engineering, and software engineering teams to create production implementations for large\-scale ML models  
Innovating by adapting new modeling techniques and procedures  
Presenting research results to our internal research community
**BASIC QUALIFICATIONS**
------------------------
* 5\+ years of data querying languages (e.g. SQL), scripting languages (e.g. Python) or statistical/mathematical software (e.g. R, SAS, Matlab, etc.) experience
* 4\+ years of data scientist experience
* Experience with statistical models e.g. multinomial logistic regression
* Bachelor's degree in a quantitative field such as statistics, mathematics, data science, business analytics, economics, finance, engineering, or computer science
* Experience managing data pipelines
**PREFERRED QUALIFICATIONS**
----------------------------
* Experience as a leader and mentor on a data science team
* Knowledge of AWS tech stack (e.g., AWS Redshift, S3, EC2, Glue)
* Master's degree
* Experience in forecasting analyses
* Experience working with Data \&amp; AI related technologies, including, but not limited to, AI/ML, GenAI, Analytics, Database, and/or Storage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\- 183,000\.00 \- 247,600\.00 USD annually  
USA, WA, Bellevue \- 159,200\.00 \- 215,300\.00 USD annually  
USA, WA, Seattle \- 159,200\.00 \- 215,300\.00 USD annually</t>
        </is>
      </c>
    </row>
    <row r="32">
      <c r="A32" t="inlineStr">
        <is>
          <t>in-a662870511030f87</t>
        </is>
      </c>
      <c r="B32" t="inlineStr">
        <is>
          <t>Senior Data Scientist, Amazon Stores Finance Science, Amazon Stores Finance Science</t>
        </is>
      </c>
      <c r="C32" t="inlineStr">
        <is>
          <t>Amazon.com</t>
        </is>
      </c>
      <c r="D32" t="inlineStr">
        <is>
          <t>indeed</t>
        </is>
      </c>
      <c r="E32">
        <f>HYPERLINK("https://www.indeed.com/viewjob?jk=a662870511030f87", "https://www.indeed.com/viewjob?jk=a662870511030f87")</f>
        <v/>
      </c>
      <c r="F32">
        <f>HYPERLINK("https://www.amazon.jobs/jobs/3161846/senior-data-scientist-amazon-stores-finance-science-amazon-stores-finance-science?cmpid=DA_INAD200785B", "https://www.amazon.jobs/jobs/3161846/senior-data-scientist-amazon-stores-finance-science-amazon-stores-finance-science?cmpid=DA_INAD200785B")</f>
        <v/>
      </c>
      <c r="G32" t="inlineStr">
        <is>
          <t>Seattle, WA, US</t>
        </is>
      </c>
      <c r="H32" s="2" t="n">
        <v>46034</v>
      </c>
      <c r="I32" t="inlineStr">
        <is>
          <t>**DESCRIPTION**
---------------
WW Amazon Stores Finance Science (ASFS) works to leverage science and economics to drive improved financial results, foster data backed decisions, and embed science within Finance. ASFS is focused on developing products that empower controllership, improve business decisions and financial planning by understanding financial drivers, and innovate science capabilities for efficiency and scale.  
We are looking for a data scientist to lead high visibility initiatives for forecasting Amazon Stores' financials. You will develop new science\-based forecasting methodologies and build scalable models to improve financial decision making and planning for senior leadership up to VP and SVP level. You will build new ML and statistical models from the ground up that aim to transform financial planning for Amazon Stores.  
We prize creative problem solvers with the ability to draw on an expansive methodological toolkit to transform financial decision\-making with science. The ideal candidate combines data\-science acumen with strong business judgment. You have versatile modeling skills and are comfortable owning and extracting insights from data. You are excited to learn from and alongside seasoned scientists, engineers, and business leaders. You are an excellent communicator and effectively translate technical findings into business action.  
Key job responsibilities  
Demonstrating thorough technical knowledge, effective exploratory data analysis, and model building using industry standard ML models  
Working with technical and non\-technical stakeholders across every step of science project life cycle  
Collaborating with finance, product, data engineering, and software engineering teams to create production implementations for large\-scale ML models  
Innovating by adapting new modeling techniques and procedures  
Presenting research results to our internal research community
**BASIC QUALIFICATIONS**
------------------------
* 5\+ years of data querying languages (e.g. SQL), scripting languages (e.g. Python) or statistical/mathematical software (e.g. R, SAS, Matlab, etc.) experience
* 4\+ years of data scientist experience
* Experience with statistical models e.g. multinomial logistic regression
* Bachelor's degree in a quantitative field such as statistics, mathematics, data science, business analytics, economics, finance, engineering, or computer science
* Experience managing data pipelines
**PREFERRED QUALIFICATIONS**
----------------------------
* Experience as a leader and mentor on a data science team
* Knowledge of AWS tech stack (e.g., AWS Redshift, S3, EC2, Glue)
* Master's degree
* Experience in forecasting analyses
* Experience working with Data \&amp; AI related technologies, including, but not limited to, AI/ML, GenAI, Analytics, Database, and/or Storage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\- 183,000\.00 \- 247,600\.00 USD annually  
USA, WA, Bellevue \- 159,200\.00 \- 215,300\.00 USD annually  
USA, WA, Seattle \- 159,200\.00 \- 215,300\.00 USD annually</t>
        </is>
      </c>
    </row>
    <row r="33">
      <c r="A33" t="inlineStr">
        <is>
          <t>in-c2ebab1c52b32952</t>
        </is>
      </c>
      <c r="B33" t="inlineStr">
        <is>
          <t>Sr Applied Scientist, AWS Proactive Security</t>
        </is>
      </c>
      <c r="C33" t="inlineStr">
        <is>
          <t>Amazon.com</t>
        </is>
      </c>
      <c r="D33" t="inlineStr">
        <is>
          <t>indeed</t>
        </is>
      </c>
      <c r="E33">
        <f>HYPERLINK("https://www.indeed.com/viewjob?jk=c2ebab1c52b32952", "https://www.indeed.com/viewjob?jk=c2ebab1c52b32952")</f>
        <v/>
      </c>
      <c r="F33">
        <f>HYPERLINK("https://www.amazon.jobs/jobs/3164664/sr-applied-scientist-aws-proactive-security?cmpid=DA_INAD200785B", "https://www.amazon.jobs/jobs/3164664/sr-applied-scientist-aws-proactive-security?cmpid=DA_INAD200785B")</f>
        <v/>
      </c>
      <c r="G33" t="inlineStr">
        <is>
          <t>Arlington, VA, US</t>
        </is>
      </c>
      <c r="H33" s="2" t="n">
        <v>46030</v>
      </c>
      <c r="I33"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34">
      <c r="A34" t="inlineStr">
        <is>
          <t>in-d421a002e70f0cd2</t>
        </is>
      </c>
      <c r="B34" t="inlineStr">
        <is>
          <t>Sr Applied Scientist, AWS Proactive Security</t>
        </is>
      </c>
      <c r="C34" t="inlineStr">
        <is>
          <t>Amazon.com</t>
        </is>
      </c>
      <c r="D34" t="inlineStr">
        <is>
          <t>indeed</t>
        </is>
      </c>
      <c r="E34">
        <f>HYPERLINK("https://www.indeed.com/viewjob?jk=d421a002e70f0cd2", "https://www.indeed.com/viewjob?jk=d421a002e70f0cd2")</f>
        <v/>
      </c>
      <c r="F34">
        <f>HYPERLINK("https://www.amazon.jobs/jobs/3164664/sr-applied-scientist-aws-proactive-security?cmpid=DA_INAD200785B", "https://www.amazon.jobs/jobs/3164664/sr-applied-scientist-aws-proactive-security?cmpid=DA_INAD200785B")</f>
        <v/>
      </c>
      <c r="G34" t="inlineStr">
        <is>
          <t>Herndon, VA, US</t>
        </is>
      </c>
      <c r="H34" s="2" t="n">
        <v>46030</v>
      </c>
      <c r="I34"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35">
      <c r="A35" t="inlineStr">
        <is>
          <t>in-6d31cb5f2fad83ab</t>
        </is>
      </c>
      <c r="B35" t="inlineStr">
        <is>
          <t>Sr Applied Scientist, AWS Proactive Security</t>
        </is>
      </c>
      <c r="C35" t="inlineStr">
        <is>
          <t>Amazon.com</t>
        </is>
      </c>
      <c r="D35" t="inlineStr">
        <is>
          <t>indeed</t>
        </is>
      </c>
      <c r="E35">
        <f>HYPERLINK("https://www.indeed.com/viewjob?jk=6d31cb5f2fad83ab", "https://www.indeed.com/viewjob?jk=6d31cb5f2fad83ab")</f>
        <v/>
      </c>
      <c r="F35">
        <f>HYPERLINK("https://www.amazon.jobs/jobs/3164664/sr-applied-scientist-aws-proactive-security?cmpid=DA_INAD200785B", "https://www.amazon.jobs/jobs/3164664/sr-applied-scientist-aws-proactive-security?cmpid=DA_INAD200785B")</f>
        <v/>
      </c>
      <c r="G35" t="inlineStr">
        <is>
          <t>Sunnyvale, CA, US</t>
        </is>
      </c>
      <c r="H35" s="2" t="n">
        <v>46030</v>
      </c>
      <c r="I35"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36">
      <c r="A36" t="inlineStr">
        <is>
          <t>in-67e2eb2a40d1bd69</t>
        </is>
      </c>
      <c r="B36" t="inlineStr">
        <is>
          <t>Applied Scientist II, Amazon Stores Finance Science</t>
        </is>
      </c>
      <c r="C36" t="inlineStr">
        <is>
          <t>Amazon.com</t>
        </is>
      </c>
      <c r="D36" t="inlineStr">
        <is>
          <t>indeed</t>
        </is>
      </c>
      <c r="E36">
        <f>HYPERLINK("https://www.indeed.com/viewjob?jk=67e2eb2a40d1bd69", "https://www.indeed.com/viewjob?jk=67e2eb2a40d1bd69")</f>
        <v/>
      </c>
      <c r="F36">
        <f>HYPERLINK("https://www.amazon.jobs/jobs/3161808/applied-scientist-ii-amazon-stores-finance-science?cmpid=DA_INAD200785B", "https://www.amazon.jobs/jobs/3161808/applied-scientist-ii-amazon-stores-finance-science?cmpid=DA_INAD200785B")</f>
        <v/>
      </c>
      <c r="G36" t="inlineStr">
        <is>
          <t>Cupertino, CA, US</t>
        </is>
      </c>
      <c r="H36" s="2" t="n">
        <v>46028</v>
      </c>
      <c r="I36" t="inlineStr">
        <is>
          <t>**DESCRIPTION**
---------------
Amazon Stores Finance Science (ASFS) is committed to integrating industry leading scientific methodologies into our financial processes. Our mission is to collaborate with finance and business partners to leverage advanced scientific and economic products to optimize insights, analysis, and decision\-making. Our primary focus lies in developing solutions for Finance's enduring challenges and opportunities, encompassing financial controllership, planning, and operational efficiency.  
We are seeking a Applied Scientist to propel Gen AI acceleration within Finance. This role will focus on leveraging large language models and agentic Ai to enhance decision\-making processes, automate complex controllership processes, and improve operational efficiency in Stores Finance.  
Key job responsibilities  
* Develop approaches to automate and enhance financial processes using state\-of\-the\-art language models
* Partner with business stakeholders to identify high\-impact opportunities for AI\-driven transformation
* Work with Software Engineering and Data Engineering to implement solutions that scale to the entire organization
A day in the life  
Are you interested in solving complex problems at the intersection of Science/Economics and Finance? And doing this while working in the Finance organization supporting one of the world's largest and most complex and dynamic businesses? This is a unique opportunity for qualified individuals to drive the entire life cycle of highly impactful, real\-world ML applications, focused on use of advanced generative AI technology. If you thrive in a fast\-paced, dynamic environment, and are passionate about driving impact, we encourage you to apply!  
About the team  
WW Amazon Stores Finance Science (ASFS) works to leverage science and economics to drive improved financial results, foster data backed decisions, and embed science within Finance. ASFS is focused on developing science/econ products that empower controllership, improve business decisions and financial planning by understanding drivers, and innovating Gen AI capabilities for efficiency and scale.**BASIC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 Experience working with Data \&amp; AI related technologies, including, but not limited to, AI/ML, GenAI, Analytics, Database, and/or Storage
**PREFERRED QUALIFICATIONS**
----------------------------
* Experience in professional software development
* Experience with LangGain, CrewAI, LangGraph or similar libraries for leveraging GenAI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\- 171,600\.00 \- 222,200\.00 USD annually  
USA, WA, Bellevue \- 142,800\.00 \- 193,200\.00 USD annually  
USA, WA, Seattle \- 142,800\.00 \- 193,200\.00 USD annually</t>
        </is>
      </c>
    </row>
    <row r="37">
      <c r="A37" t="inlineStr">
        <is>
          <t>in-97adc8eeba57840c</t>
        </is>
      </c>
      <c r="B37" t="inlineStr">
        <is>
          <t>Applied Scientist II, Amazon Stores Finance Science</t>
        </is>
      </c>
      <c r="C37" t="inlineStr">
        <is>
          <t>Amazon.com</t>
        </is>
      </c>
      <c r="D37" t="inlineStr">
        <is>
          <t>indeed</t>
        </is>
      </c>
      <c r="E37">
        <f>HYPERLINK("https://www.indeed.com/viewjob?jk=97adc8eeba57840c", "https://www.indeed.com/viewjob?jk=97adc8eeba57840c")</f>
        <v/>
      </c>
      <c r="F37">
        <f>HYPERLINK("https://www.amazon.jobs/jobs/3161808/applied-scientist-ii-amazon-stores-finance-science?cmpid=DA_INAD200785B", "https://www.amazon.jobs/jobs/3161808/applied-scientist-ii-amazon-stores-finance-science?cmpid=DA_INAD200785B")</f>
        <v/>
      </c>
      <c r="G37" t="inlineStr">
        <is>
          <t>Bellevue, WA, US</t>
        </is>
      </c>
      <c r="H37" s="2" t="n">
        <v>46028</v>
      </c>
      <c r="I37" t="inlineStr">
        <is>
          <t>**DESCRIPTION**
---------------
Amazon Stores Finance Science (ASFS) is committed to integrating industry leading scientific methodologies into our financial processes. Our mission is to collaborate with finance and business partners to leverage advanced scientific and economic products to optimize insights, analysis, and decision\-making. Our primary focus lies in developing solutions for Finance's enduring challenges and opportunities, encompassing financial controllership, planning, and operational efficiency.  
We are seeking a Applied Scientist to propel Gen AI acceleration within Finance. This role will focus on leveraging large language models and agentic Ai to enhance decision\-making processes, automate complex controllership processes, and improve operational efficiency in Stores Finance.  
Key job responsibilities  
* Develop approaches to automate and enhance financial processes using state\-of\-the\-art language models
* Partner with business stakeholders to identify high\-impact opportunities for AI\-driven transformation
* Work with Software Engineering and Data Engineering to implement solutions that scale to the entire organization
A day in the life  
Are you interested in solving complex problems at the intersection of Science/Economics and Finance? And doing this while working in the Finance organization supporting one of the world's largest and most complex and dynamic businesses? This is a unique opportunity for qualified individuals to drive the entire life cycle of highly impactful, real\-world ML applications, focused on use of advanced generative AI technology. If you thrive in a fast\-paced, dynamic environment, and are passionate about driving impact, we encourage you to apply!  
About the team  
WW Amazon Stores Finance Science (ASFS) works to leverage science and economics to drive improved financial results, foster data backed decisions, and embed science within Finance. ASFS is focused on developing science/econ products that empower controllership, improve business decisions and financial planning by understanding drivers, and innovating Gen AI capabilities for efficiency and scale.**BASIC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 Experience working with Data \&amp; AI related technologies, including, but not limited to, AI/ML, GenAI, Analytics, Database, and/or Storage
**PREFERRED QUALIFICATIONS**
----------------------------
* Experience in professional software development
* Experience with LangGain, CrewAI, LangGraph or similar libraries for leveraging GenAI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\- 171,600\.00 \- 222,200\.00 USD annually  
USA, WA, Bellevue \- 142,800\.00 \- 193,200\.00 USD annually  
USA, WA, Seattle \- 142,800\.00 \- 193,200\.00 USD annually</t>
        </is>
      </c>
    </row>
    <row r="38">
      <c r="A38" t="inlineStr">
        <is>
          <t>in-98daa8fd3336a384</t>
        </is>
      </c>
      <c r="B38" t="inlineStr">
        <is>
          <t>Applied Scientist II, Amazon Stores Finance Science</t>
        </is>
      </c>
      <c r="C38" t="inlineStr">
        <is>
          <t>Amazon.com</t>
        </is>
      </c>
      <c r="D38" t="inlineStr">
        <is>
          <t>indeed</t>
        </is>
      </c>
      <c r="E38">
        <f>HYPERLINK("https://www.indeed.com/viewjob?jk=98daa8fd3336a384", "https://www.indeed.com/viewjob?jk=98daa8fd3336a384")</f>
        <v/>
      </c>
      <c r="F38">
        <f>HYPERLINK("https://www.amazon.jobs/jobs/3161808/applied-scientist-ii-amazon-stores-finance-science?cmpid=DA_INAD200785B", "https://www.amazon.jobs/jobs/3161808/applied-scientist-ii-amazon-stores-finance-science?cmpid=DA_INAD200785B")</f>
        <v/>
      </c>
      <c r="G38" t="inlineStr">
        <is>
          <t>Seattle, WA, US</t>
        </is>
      </c>
      <c r="H38" s="2" t="n">
        <v>46028</v>
      </c>
      <c r="I38" t="inlineStr">
        <is>
          <t>**DESCRIPTION**
---------------
Amazon Stores Finance Science (ASFS) is committed to integrating industry leading scientific methodologies into our financial processes. Our mission is to collaborate with finance and business partners to leverage advanced scientific and economic products to optimize insights, analysis, and decision\-making. Our primary focus lies in developing solutions for Finance's enduring challenges and opportunities, encompassing financial controllership, planning, and operational efficiency.  
We are seeking a Applied Scientist to propel Gen AI acceleration within Finance. This role will focus on leveraging large language models and agentic Ai to enhance decision\-making processes, automate complex controllership processes, and improve operational efficiency in Stores Finance.  
Key job responsibilities  
* Develop approaches to automate and enhance financial processes using state\-of\-the\-art language models
* Partner with business stakeholders to identify high\-impact opportunities for AI\-driven transformation
* Work with Software Engineering and Data Engineering to implement solutions that scale to the entire organization
A day in the life  
Are you interested in solving complex problems at the intersection of Science/Economics and Finance? And doing this while working in the Finance organization supporting one of the world's largest and most complex and dynamic businesses? This is a unique opportunity for qualified individuals to drive the entire life cycle of highly impactful, real\-world ML applications, focused on use of advanced generative AI technology. If you thrive in a fast\-paced, dynamic environment, and are passionate about driving impact, we encourage you to apply!  
About the team  
WW Amazon Stores Finance Science (ASFS) works to leverage science and economics to drive improved financial results, foster data backed decisions, and embed science within Finance. ASFS is focused on developing science/econ products that empower controllership, improve business decisions and financial planning by understanding drivers, and innovating Gen AI capabilities for efficiency and scale.**BASIC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 Experience working with Data \&amp; AI related technologies, including, but not limited to, AI/ML, GenAI, Analytics, Database, and/or Storage
**PREFERRED QUALIFICATIONS**
----------------------------
* Experience in professional software development
* Experience with LangGain, CrewAI, LangGraph or similar libraries for leveraging GenAI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\- 171,600\.00 \- 222,200\.00 USD annually  
USA, WA, Bellevue \- 142,800\.00 \- 193,200\.00 USD annually  
USA, WA, Seattle \- 142,800\.00 \- 193,200\.00 USD annually</t>
        </is>
      </c>
    </row>
    <row r="39">
      <c r="A39" t="inlineStr">
        <is>
          <t>in-538c20dd38f52e4d</t>
        </is>
      </c>
      <c r="B39" t="inlineStr">
        <is>
          <t>Applied Scientist, Last Mile Delivery Automation</t>
        </is>
      </c>
      <c r="C39" t="inlineStr">
        <is>
          <t>Amazon.com</t>
        </is>
      </c>
      <c r="D39" t="inlineStr">
        <is>
          <t>indeed</t>
        </is>
      </c>
      <c r="E39">
        <f>HYPERLINK("https://www.indeed.com/viewjob?jk=538c20dd38f52e4d", "https://www.indeed.com/viewjob?jk=538c20dd38f52e4d")</f>
        <v/>
      </c>
      <c r="F39">
        <f>HYPERLINK("https://www.amazon.jobs/jobs/3155354/applied-scientist-last-mile-delivery-automation?cmpid=DA_INAD200785B", "https://www.amazon.jobs/jobs/3155354/applied-scientist-last-mile-delivery-automation?cmpid=DA_INAD200785B")</f>
        <v/>
      </c>
      <c r="G39" t="inlineStr">
        <is>
          <t>Bellevue, WA, US</t>
        </is>
      </c>
      <c r="H39" s="2" t="n">
        <v>46026</v>
      </c>
      <c r="I39" t="inlineStr">
        <is>
          <t>**DESCRIPTION**
---------------
As an Applied Scientist for Last Mile Delivery Automation, you will be at the forefront of developing AI and ML solutions that power our delivery solutions. This role combines deep expertise in machine learning, computer vision, and robotics to solve complex challenges in real\-world perception, navigation, and path planning. You will work closely with applied scientists, software developers, and product teams to research, design, and implement sophisticated algorithms that enable safe and efficient operations. This position requires a unique blend of theoretical knowledge and practical implementation skills, with a focus on transforming research concepts into production\-ready solutions that can operate reliably in diverse real\-world environments.  
Key job responsibilities  
* Design and develop advanced machine learning models and algorithms for perception, navigation and planning.
* Lead research initiatives in areas such as computer vision, sensor fusion, behavioral prediction, and path planning
* Transform research concepts into production\-ready solutions that meet strict safety and performance requirements
* Develop novel approaches to solve complex technical challenges in perception, navigation and planning
* Create and implement metrics and evaluation frameworks to measure model performance
* Collaborate with engineering teams to integrate ML solutions into production stack
* Publish research findings and represent Amazon at technical conferences
About the team  
The Applied Science team within Amazon's Last Mile Delivery Automation organization focuses on developing machine learning solutions for autonomous systems. We work at the intersection of computer vision, deep learning, robotics, and control systems to create robust and scalable algorithms that enable safe autonomous operation. Our team combines expertise from diverse scientific backgrounds to tackle fundamental challenges in perception, prediction, and decision\-making.
**BASIC QUALIFICATIONS**
------------------------
* 3\+ years of building models for business application experience
* PhD, or Master's degree and 4\+ years of CS, CE, ML or related field experience
* Experience in patents or publications at top\-tier peer\-reviewed conferences or journals
* Experience in building machine learning models for business application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0">
      <c r="A40" t="inlineStr">
        <is>
          <t>in-166ee1d9bcc972dc</t>
        </is>
      </c>
      <c r="B40" t="inlineStr">
        <is>
          <t>Applied Scientist, Last Mile Delivery Automation</t>
        </is>
      </c>
      <c r="C40" t="inlineStr">
        <is>
          <t>Amazon.com</t>
        </is>
      </c>
      <c r="D40" t="inlineStr">
        <is>
          <t>indeed</t>
        </is>
      </c>
      <c r="E40">
        <f>HYPERLINK("https://www.indeed.com/viewjob?jk=166ee1d9bcc972dc", "https://www.indeed.com/viewjob?jk=166ee1d9bcc972dc")</f>
        <v/>
      </c>
      <c r="F40">
        <f>HYPERLINK("https://www.amazon.jobs/jobs/3155354/applied-scientist-last-mile-delivery-automation?cmpid=DA_INAD200785B", "https://www.amazon.jobs/jobs/3155354/applied-scientist-last-mile-delivery-automation?cmpid=DA_INAD200785B")</f>
        <v/>
      </c>
      <c r="G40" t="inlineStr">
        <is>
          <t>Santa Clara, CA, US</t>
        </is>
      </c>
      <c r="H40" s="2" t="n">
        <v>46026</v>
      </c>
      <c r="I40" t="inlineStr">
        <is>
          <t>**DESCRIPTION**
---------------
As an Applied Scientist for Last Mile Delivery Automation, you will be at the forefront of developing AI and ML solutions that power our delivery solutions. This role combines deep expertise in machine learning, computer vision, and robotics to solve complex challenges in real\-world perception, navigation, and path planning. You will work closely with applied scientists, software developers, and product teams to research, design, and implement sophisticated algorithms that enable safe and efficient operations. This position requires a unique blend of theoretical knowledge and practical implementation skills, with a focus on transforming research concepts into production\-ready solutions that can operate reliably in diverse real\-world environments.  
Key job responsibilities  
* Design and develop advanced machine learning models and algorithms for perception, navigation and planning.
* Lead research initiatives in areas such as computer vision, sensor fusion, behavioral prediction, and path planning
* Transform research concepts into production\-ready solutions that meet strict safety and performance requirements
* Develop novel approaches to solve complex technical challenges in perception, navigation and planning
* Create and implement metrics and evaluation frameworks to measure model performance
* Collaborate with engineering teams to integrate ML solutions into production stack
* Publish research findings and represent Amazon at technical conferences
About the team  
The Applied Science team within Amazon's Last Mile Delivery Automation organization focuses on developing machine learning solutions for autonomous systems. We work at the intersection of computer vision, deep learning, robotics, and control systems to create robust and scalable algorithms that enable safe autonomous operation. Our team combines expertise from diverse scientific backgrounds to tackle fundamental challenges in perception, prediction, and decision\-making.
**BASIC QUALIFICATIONS**
------------------------
* 3\+ years of building models for business application experience
* PhD, or Master's degree and 4\+ years of CS, CE, ML or related field experience
* Experience in patents or publications at top\-tier peer\-reviewed conferences or journals
* Experience in building machine learning models for business application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1">
      <c r="A41" t="inlineStr">
        <is>
          <t>in-88b8874fe7151fe8</t>
        </is>
      </c>
      <c r="B41" t="inlineStr">
        <is>
          <t>Senior Applied Scientist, Distributed SQL</t>
        </is>
      </c>
      <c r="C41" t="inlineStr">
        <is>
          <t>Amazon Web Services</t>
        </is>
      </c>
      <c r="D41" t="inlineStr">
        <is>
          <t>indeed</t>
        </is>
      </c>
      <c r="E41">
        <f>HYPERLINK("https://www.indeed.com/viewjob?jk=88b8874fe7151fe8", "https://www.indeed.com/viewjob?jk=88b8874fe7151fe8")</f>
        <v/>
      </c>
      <c r="F41">
        <f>HYPERLINK("https://www.amazon.jobs/jobs/3148444/senior-applied-scientist-distributed-sql?cmpid=DA_INAD200785B", "https://www.amazon.jobs/jobs/3148444/senior-applied-scientist-distributed-sql?cmpid=DA_INAD200785B")</f>
        <v/>
      </c>
      <c r="G41" t="inlineStr">
        <is>
          <t>Seattle, WA, US</t>
        </is>
      </c>
      <c r="H41" s="2" t="n">
        <v>46012</v>
      </c>
      <c r="I41"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42">
      <c r="A42" t="inlineStr">
        <is>
          <t>in-ef66e515fc0524e8</t>
        </is>
      </c>
      <c r="B42" t="inlineStr">
        <is>
          <t>Senior Applied Scientist, Distributed SQL</t>
        </is>
      </c>
      <c r="C42" t="inlineStr">
        <is>
          <t>Amazon Web Services</t>
        </is>
      </c>
      <c r="D42" t="inlineStr">
        <is>
          <t>indeed</t>
        </is>
      </c>
      <c r="E42">
        <f>HYPERLINK("https://www.indeed.com/viewjob?jk=ef66e515fc0524e8", "https://www.indeed.com/viewjob?jk=ef66e515fc0524e8")</f>
        <v/>
      </c>
      <c r="F42">
        <f>HYPERLINK("https://www.amazon.jobs/jobs/3148444/senior-applied-scientist-distributed-sql?cmpid=DA_INAD200785B", "https://www.amazon.jobs/jobs/3148444/senior-applied-scientist-distributed-sql?cmpid=DA_INAD200785B")</f>
        <v/>
      </c>
      <c r="G42" t="inlineStr">
        <is>
          <t>East Palo Alto, CA, US</t>
        </is>
      </c>
      <c r="H42" s="2" t="n">
        <v>46012</v>
      </c>
      <c r="I42"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43">
      <c r="A43" t="inlineStr">
        <is>
          <t>in-8c0b03a9e8a40dde</t>
        </is>
      </c>
      <c r="B43" t="inlineStr">
        <is>
          <t>Applied Scientist, GenAI Evaluation Media</t>
        </is>
      </c>
      <c r="C43" t="inlineStr">
        <is>
          <t>Amazon.com</t>
        </is>
      </c>
      <c r="D43" t="inlineStr">
        <is>
          <t>indeed</t>
        </is>
      </c>
      <c r="E43">
        <f>HYPERLINK("https://www.indeed.com/viewjob?jk=8c0b03a9e8a40dde", "https://www.indeed.com/viewjob?jk=8c0b03a9e8a40dde")</f>
        <v/>
      </c>
      <c r="F43">
        <f>HYPERLINK("https://www.amazon.jobs/jobs/3159215/applied-scientist-genai-evaluation-media?cmpid=DA_INAD200785B", "https://www.amazon.jobs/jobs/3159215/applied-scientist-genai-evaluation-media?cmpid=DA_INAD200785B")</f>
        <v/>
      </c>
      <c r="G43" t="inlineStr">
        <is>
          <t>Seattle, WA, US</t>
        </is>
      </c>
      <c r="H43" s="2" t="n">
        <v>46006</v>
      </c>
      <c r="I43" t="inlineStr">
        <is>
          <t>**DESCRIPTION**
---------------
We are seeking an Applied Scientist to join our Generate AI Visual Media \- Core Experiences Science team. This organization drives significant business value by revolutionizing how customers interact with product imagery and videos across Amazon. Working at the intersection of Computer Vision and Generative AI, you will help customers make confident purchase decisions through optimized visual content. Our goal is to transform shopping into a personalized journey of inspiration, discovery, and evaluation by helping customers evaluate how products will fit and flatter their unique self before they ship. In this role, you will be responsible for building scalable computer vision and machine learning (CVML) models, and automating their application and expansion to power customer\-facing features.  
We are seeking domain expertise specifically in 3D Generative AI and Inverse Rendering. Relevant topics include Neural Fields, Implicit 3D Representations, NeRFs, Differentiable Rendering/Simulation, and Physically Based Rendering (PBR) Materials. We expect strong expertise at the intersection of Computer Graphics, Computer Vision, and Deep Learning. An inclination towards Generative AI, such as GANs, VQ\-VAE/GAN, and Diffusion Models, is essential. Additionally, experience in application\-specific domains such as Neural Avatars, Parametric Body Models, and Differentiable Rendering/Simulation will be highly advantageous.  
Key job responsibilities  
* Explore, collect, and process data
* Frame and transform ambiguous business challenges into science hypotheses. Design and implement offline and online experiments to evaluate them
* Develop prototypes to test new concepts/proposals for models and algorithms
* Design and build automated, scalable pipelines to train and deploy ML models
**BASIC QUALIFICATIONS**
------------------------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developing and implementing deep learning algorithms, particularly with respect to computer vision algorithms
* Experience in patents or publications at top\-tier peer\-reviewed conferences or journals
* Experience with popular deep learning frameworks such as Tensor Flow and PyTorch.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4">
      <c r="A44" t="inlineStr">
        <is>
          <t>in-d26b738348a1abaf</t>
        </is>
      </c>
      <c r="B44" t="inlineStr">
        <is>
          <t>Applied Scientist, GenAI Evaluation Media</t>
        </is>
      </c>
      <c r="C44" t="inlineStr">
        <is>
          <t>Amazon.com</t>
        </is>
      </c>
      <c r="D44" t="inlineStr">
        <is>
          <t>indeed</t>
        </is>
      </c>
      <c r="E44">
        <f>HYPERLINK("https://www.indeed.com/viewjob?jk=d26b738348a1abaf", "https://www.indeed.com/viewjob?jk=d26b738348a1abaf")</f>
        <v/>
      </c>
      <c r="F44">
        <f>HYPERLINK("https://www.amazon.jobs/jobs/3159215/applied-scientist-genai-evaluation-media?cmpid=DA_INAD200785B", "https://www.amazon.jobs/jobs/3159215/applied-scientist-genai-evaluation-media?cmpid=DA_INAD200785B")</f>
        <v/>
      </c>
      <c r="G44" t="inlineStr">
        <is>
          <t>New York, NY, US</t>
        </is>
      </c>
      <c r="H44" s="2" t="n">
        <v>46006</v>
      </c>
      <c r="I44" t="inlineStr">
        <is>
          <t>**DESCRIPTION**
---------------
We are seeking an Applied Scientist to join our Generate AI Visual Media \- Core Experiences Science team. This organization drives significant business value by revolutionizing how customers interact with product imagery and videos across Amazon. Working at the intersection of Computer Vision and Generative AI, you will help customers make confident purchase decisions through optimized visual content. Our goal is to transform shopping into a personalized journey of inspiration, discovery, and evaluation by helping customers evaluate how products will fit and flatter their unique self before they ship. In this role, you will be responsible for building scalable computer vision and machine learning (CVML) models, and automating their application and expansion to power customer\-facing features.  
We are seeking domain expertise specifically in 3D Generative AI and Inverse Rendering. Relevant topics include Neural Fields, Implicit 3D Representations, NeRFs, Differentiable Rendering/Simulation, and Physically Based Rendering (PBR) Materials. We expect strong expertise at the intersection of Computer Graphics, Computer Vision, and Deep Learning. An inclination towards Generative AI, such as GANs, VQ\-VAE/GAN, and Diffusion Models, is essential. Additionally, experience in application\-specific domains such as Neural Avatars, Parametric Body Models, and Differentiable Rendering/Simulation will be highly advantageous.  
Key job responsibilities  
* Explore, collect, and process data
* Frame and transform ambiguous business challenges into science hypotheses. Design and implement offline and online experiments to evaluate them
* Develop prototypes to test new concepts/proposals for models and algorithms
* Design and build automated, scalable pipelines to train and deploy ML models
**BASIC QUALIFICATIONS**
------------------------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developing and implementing deep learning algorithms, particularly with respect to computer vision algorithms
* Experience in patents or publications at top\-tier peer\-reviewed conferences or journals
* Experience with popular deep learning frameworks such as Tensor Flow and PyTorch.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5">
      <c r="A45" t="inlineStr">
        <is>
          <t>in-f1bf00a5cf5a0cd6</t>
        </is>
      </c>
      <c r="B45" t="inlineStr">
        <is>
          <t>Applied Scientist, GenAI Evaluation Media</t>
        </is>
      </c>
      <c r="C45" t="inlineStr">
        <is>
          <t>Amazon.com</t>
        </is>
      </c>
      <c r="D45" t="inlineStr">
        <is>
          <t>indeed</t>
        </is>
      </c>
      <c r="E45">
        <f>HYPERLINK("https://www.indeed.com/viewjob?jk=f1bf00a5cf5a0cd6", "https://www.indeed.com/viewjob?jk=f1bf00a5cf5a0cd6")</f>
        <v/>
      </c>
      <c r="F45">
        <f>HYPERLINK("https://www.amazon.jobs/jobs/3159215/applied-scientist-genai-evaluation-media?cmpid=DA_INAD200785B", "https://www.amazon.jobs/jobs/3159215/applied-scientist-genai-evaluation-media?cmpid=DA_INAD200785B")</f>
        <v/>
      </c>
      <c r="G45" t="inlineStr">
        <is>
          <t>Sunnyvale, CA, US</t>
        </is>
      </c>
      <c r="H45" s="2" t="n">
        <v>46006</v>
      </c>
      <c r="I45" t="inlineStr">
        <is>
          <t>**DESCRIPTION**
---------------
We are seeking an Applied Scientist to join our Generate AI Visual Media \- Core Experiences Science team. This organization drives significant business value by revolutionizing how customers interact with product imagery and videos across Amazon. Working at the intersection of Computer Vision and Generative AI, you will help customers make confident purchase decisions through optimized visual content. Our goal is to transform shopping into a personalized journey of inspiration, discovery, and evaluation by helping customers evaluate how products will fit and flatter their unique self before they ship. In this role, you will be responsible for building scalable computer vision and machine learning (CVML) models, and automating their application and expansion to power customer\-facing features.  
We are seeking domain expertise specifically in 3D Generative AI and Inverse Rendering. Relevant topics include Neural Fields, Implicit 3D Representations, NeRFs, Differentiable Rendering/Simulation, and Physically Based Rendering (PBR) Materials. We expect strong expertise at the intersection of Computer Graphics, Computer Vision, and Deep Learning. An inclination towards Generative AI, such as GANs, VQ\-VAE/GAN, and Diffusion Models, is essential. Additionally, experience in application\-specific domains such as Neural Avatars, Parametric Body Models, and Differentiable Rendering/Simulation will be highly advantageous.  
Key job responsibilities  
* Explore, collect, and process data
* Frame and transform ambiguous business challenges into science hypotheses. Design and implement offline and online experiments to evaluate them
* Develop prototypes to test new concepts/proposals for models and algorithms
* Design and build automated, scalable pipelines to train and deploy ML models
**BASIC QUALIFICATIONS**
------------------------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developing and implementing deep learning algorithms, particularly with respect to computer vision algorithms
* Experience in patents or publications at top\-tier peer\-reviewed conferences or journals
* Experience with popular deep learning frameworks such as Tensor Flow and PyTorch.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6">
      <c r="A46" t="inlineStr">
        <is>
          <t>in-ccdb2421d56def82</t>
        </is>
      </c>
      <c r="B46" t="inlineStr">
        <is>
          <t>Principal Applied Scientist, Kiro Science</t>
        </is>
      </c>
      <c r="C46" t="inlineStr">
        <is>
          <t>Amazon Web Services</t>
        </is>
      </c>
      <c r="D46" t="inlineStr">
        <is>
          <t>indeed</t>
        </is>
      </c>
      <c r="E46">
        <f>HYPERLINK("https://www.indeed.com/viewjob?jk=ccdb2421d56def82", "https://www.indeed.com/viewjob?jk=ccdb2421d56def82")</f>
        <v/>
      </c>
      <c r="F46">
        <f>HYPERLINK("https://www.amazon.jobs/jobs/3161064/principal-applied-scientist-kiro-science?cmpid=DA_INAD200785B", "https://www.amazon.jobs/jobs/3161064/principal-applied-scientist-kiro-science?cmpid=DA_INAD200785B")</f>
        <v/>
      </c>
      <c r="G46" t="inlineStr">
        <is>
          <t>Santa Clara, CA, US</t>
        </is>
      </c>
      <c r="H46" s="2" t="n">
        <v>45999</v>
      </c>
      <c r="I46"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47">
      <c r="A47" t="inlineStr">
        <is>
          <t>in-08879fe68012cf5c</t>
        </is>
      </c>
      <c r="B47" t="inlineStr">
        <is>
          <t>Principal Applied Scientist, Kiro Science</t>
        </is>
      </c>
      <c r="C47" t="inlineStr">
        <is>
          <t>Amazon Web Services</t>
        </is>
      </c>
      <c r="D47" t="inlineStr">
        <is>
          <t>indeed</t>
        </is>
      </c>
      <c r="E47">
        <f>HYPERLINK("https://www.indeed.com/viewjob?jk=08879fe68012cf5c", "https://www.indeed.com/viewjob?jk=08879fe68012cf5c")</f>
        <v/>
      </c>
      <c r="F47">
        <f>HYPERLINK("https://www.amazon.jobs/jobs/3161064/principal-applied-scientist-kiro-science?cmpid=DA_INAD200785B", "https://www.amazon.jobs/jobs/3161064/principal-applied-scientist-kiro-science?cmpid=DA_INAD200785B")</f>
        <v/>
      </c>
      <c r="G47" t="inlineStr">
        <is>
          <t>New York, NY, US</t>
        </is>
      </c>
      <c r="H47" s="2" t="n">
        <v>45999</v>
      </c>
      <c r="I47"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48">
      <c r="A48" t="inlineStr">
        <is>
          <t>in-3a477a52836c7dab</t>
        </is>
      </c>
      <c r="B48" t="inlineStr">
        <is>
          <t>Principal Applied Scientist, Sponsored Products and Brands</t>
        </is>
      </c>
      <c r="C48" t="inlineStr">
        <is>
          <t>Amazon.com</t>
        </is>
      </c>
      <c r="D48" t="inlineStr">
        <is>
          <t>indeed</t>
        </is>
      </c>
      <c r="E48">
        <f>HYPERLINK("https://www.indeed.com/viewjob?jk=3a477a52836c7dab", "https://www.indeed.com/viewjob?jk=3a477a52836c7dab")</f>
        <v/>
      </c>
      <c r="F48">
        <f>HYPERLINK("https://www.amazon.jobs/jobs/3130855/principal-applied-scientist-sponsored-products-and-brands?cmpid=DA_INAD200785B", "https://www.amazon.jobs/jobs/3130855/principal-applied-scientist-sponsored-products-and-brands?cmpid=DA_INAD200785B")</f>
        <v/>
      </c>
      <c r="G48" t="inlineStr">
        <is>
          <t>New York, NY, US</t>
        </is>
      </c>
      <c r="H48" s="2" t="n">
        <v>45979</v>
      </c>
      <c r="I48"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9">
      <c r="A49" t="inlineStr">
        <is>
          <t>in-a2ca789a44048159</t>
        </is>
      </c>
      <c r="B49" t="inlineStr">
        <is>
          <t>Principal Applied Scientist, Sponsored Products and Brands</t>
        </is>
      </c>
      <c r="C49" t="inlineStr">
        <is>
          <t>Amazon.com</t>
        </is>
      </c>
      <c r="D49" t="inlineStr">
        <is>
          <t>indeed</t>
        </is>
      </c>
      <c r="E49">
        <f>HYPERLINK("https://www.indeed.com/viewjob?jk=a2ca789a44048159", "https://www.indeed.com/viewjob?jk=a2ca789a44048159")</f>
        <v/>
      </c>
      <c r="F49">
        <f>HYPERLINK("https://www.amazon.jobs/jobs/3130855/principal-applied-scientist-sponsored-products-and-brands?cmpid=DA_INAD200785B", "https://www.amazon.jobs/jobs/3130855/principal-applied-scientist-sponsored-products-and-brands?cmpid=DA_INAD200785B")</f>
        <v/>
      </c>
      <c r="G49" t="inlineStr">
        <is>
          <t>Seattle, WA, US</t>
        </is>
      </c>
      <c r="H49" s="2" t="n">
        <v>45979</v>
      </c>
      <c r="I49"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0">
      <c r="A50" t="inlineStr">
        <is>
          <t>in-537a16d244522356</t>
        </is>
      </c>
      <c r="B50" t="inlineStr">
        <is>
          <t>Applied Scientist, Personalization, DTx Science</t>
        </is>
      </c>
      <c r="C50" t="inlineStr">
        <is>
          <t>Amazon.com</t>
        </is>
      </c>
      <c r="D50" t="inlineStr">
        <is>
          <t>indeed</t>
        </is>
      </c>
      <c r="E50">
        <f>HYPERLINK("https://www.indeed.com/viewjob?jk=537a16d244522356", "https://www.indeed.com/viewjob?jk=537a16d244522356")</f>
        <v/>
      </c>
      <c r="F50">
        <f>HYPERLINK("https://www.amazon.jobs/jobs/3136853/applied-scientist-personalization-dtx-science?cmpid=DA_INAD200785B", "https://www.amazon.jobs/jobs/3136853/applied-scientist-personalization-dtx-science?cmpid=DA_INAD200785B")</f>
        <v/>
      </c>
      <c r="G50" t="inlineStr">
        <is>
          <t>New York, NY, US</t>
        </is>
      </c>
      <c r="H50" s="2" t="n">
        <v>45979</v>
      </c>
      <c r="I50" t="inlineStr">
        <is>
          <t>**DESCRIPTION**
---------------
Amazon Advertising is one of Amazon's fastest growing and most profitable businesses, responsible for defining and delivering a collection of advertising products that drive discovery and sales. Our products and solutions are strategically important to enable our Retail and Marketplace businesses to drive long\-term growth. We deliver billions of ad impressions and millions of clicks and break fresh ground in product and technical innovations every day!  
Our team owns personalization, guidance and experimentation science and is placed centrally in the organization which owns the Amazon Advertising Console from UX design to components and services. We leverage a breadth of state\-of\-the\-art techniques such as deep learning, reinforcement learning, LLMs, long term causal modeling as well as sophisticated A/B testing to develop personalized experiences with directly quantifiable business and advertiser success outcomes. We are looking for an accomplished machine learning expert to lead the Applied Science strategy for our recommendation creation and recommendation personalziation program.
In this role, you will work closely with business leaders, stakeholders and cross\-functional teams to drive program success through ML\-driven solutions. You will shape the applied science roadmap, promote a culture of data\-driven decision\-making, and deliver significant business impact for millions of advertisers worldwide and the company using advanced data techniques and applied science methodologies.  
Key job responsibilities  
As an Applied Scientist on this team, you will  
* Serve as the technical leader in Machine Learning, driving collaboration between scientists and engineers, guiding efforts within the team and collaborating with other teams.
* Conduct hands\-on analysis and modeling of large\-scale data to generate insights that boost ads revenue while maintaining a positive advertiser and shopper experience.
* Lead end\-to\-end Machine Learning projects that involve high levels of ambiguity, scale, and complexity.
* Build, experiment, optimize, and deploy machine learning models, collaborating with software engineers to bring your models into production.
* Run A/B experiments, gather data, and perform statistical analysis to validate your models.
* Develop scalable and automated processes for large\-scale data analysis, model development, validation, and serving.
* Explore and research innovative machine learning approaches to push the boundaries of what’s possible.
**BASIC QUALIFICATIONS**
------------------------
* 3\+ years of building models for business application experience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1">
      <c r="A51" t="inlineStr">
        <is>
          <t>in-1c2aebfeb3526076</t>
        </is>
      </c>
      <c r="B51" t="inlineStr">
        <is>
          <t>Applied Scientist, Personalization, DTx Science</t>
        </is>
      </c>
      <c r="C51" t="inlineStr">
        <is>
          <t>Amazon.com</t>
        </is>
      </c>
      <c r="D51" t="inlineStr">
        <is>
          <t>indeed</t>
        </is>
      </c>
      <c r="E51">
        <f>HYPERLINK("https://www.indeed.com/viewjob?jk=1c2aebfeb3526076", "https://www.indeed.com/viewjob?jk=1c2aebfeb3526076")</f>
        <v/>
      </c>
      <c r="F51">
        <f>HYPERLINK("https://www.amazon.jobs/jobs/3136853/applied-scientist-personalization-dtx-science?cmpid=DA_INAD200785B", "https://www.amazon.jobs/jobs/3136853/applied-scientist-personalization-dtx-science?cmpid=DA_INAD200785B")</f>
        <v/>
      </c>
      <c r="G51" t="inlineStr">
        <is>
          <t>Seattle, WA, US</t>
        </is>
      </c>
      <c r="H51" s="2" t="n">
        <v>45979</v>
      </c>
      <c r="I51" t="inlineStr">
        <is>
          <t>**DESCRIPTION**
---------------
Amazon Advertising is one of Amazon's fastest growing and most profitable businesses, responsible for defining and delivering a collection of advertising products that drive discovery and sales. Our products and solutions are strategically important to enable our Retail and Marketplace businesses to drive long\-term growth. We deliver billions of ad impressions and millions of clicks and break fresh ground in product and technical innovations every day!  
Our team owns personalization, guidance and experimentation science and is placed centrally in the organization which owns the Amazon Advertising Console from UX design to components and services. We leverage a breadth of state\-of\-the\-art techniques such as deep learning, reinforcement learning, LLMs, long term causal modeling as well as sophisticated A/B testing to develop personalized experiences with directly quantifiable business and advertiser success outcomes. We are looking for an accomplished machine learning expert to lead the Applied Science strategy for our recommendation creation and recommendation personalziation program.
In this role, you will work closely with business leaders, stakeholders and cross\-functional teams to drive program success through ML\-driven solutions. You will shape the applied science roadmap, promote a culture of data\-driven decision\-making, and deliver significant business impact for millions of advertisers worldwide and the company using advanced data techniques and applied science methodologies.  
Key job responsibilities  
As an Applied Scientist on this team, you will  
* Serve as the technical leader in Machine Learning, driving collaboration between scientists and engineers, guiding efforts within the team and collaborating with other teams.
* Conduct hands\-on analysis and modeling of large\-scale data to generate insights that boost ads revenue while maintaining a positive advertiser and shopper experience.
* Lead end\-to\-end Machine Learning projects that involve high levels of ambiguity, scale, and complexity.
* Build, experiment, optimize, and deploy machine learning models, collaborating with software engineers to bring your models into production.
* Run A/B experiments, gather data, and perform statistical analysis to validate your models.
* Develop scalable and automated processes for large\-scale data analysis, model development, validation, and serving.
* Explore and research innovative machine learning approaches to push the boundaries of what’s possible.
**BASIC QUALIFICATIONS**
------------------------
* 3\+ years of building models for business application experience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2">
      <c r="A52" t="inlineStr">
        <is>
          <t>in-396270c1a9b067d4</t>
        </is>
      </c>
      <c r="B52" t="inlineStr">
        <is>
          <t>Senior Applied Scientist, Sponsored Products and Brands</t>
        </is>
      </c>
      <c r="C52" t="inlineStr">
        <is>
          <t>Amazon.com</t>
        </is>
      </c>
      <c r="D52" t="inlineStr">
        <is>
          <t>indeed</t>
        </is>
      </c>
      <c r="E52">
        <f>HYPERLINK("https://www.indeed.com/viewjob?jk=396270c1a9b067d4", "https://www.indeed.com/viewjob?jk=396270c1a9b067d4")</f>
        <v/>
      </c>
      <c r="F52">
        <f>HYPERLINK("https://www.amazon.jobs/jobs/3130062/senior-applied-scientist-sponsored-products-and-brands?cmpid=DA_INAD200785B", "https://www.amazon.jobs/jobs/3130062/senior-applied-scientist-sponsored-products-and-brands?cmpid=DA_INAD200785B")</f>
        <v/>
      </c>
      <c r="G52" t="inlineStr">
        <is>
          <t>Seattle, WA, US</t>
        </is>
      </c>
      <c r="H52" s="2" t="n">
        <v>45979</v>
      </c>
      <c r="I52"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53">
      <c r="A53" t="inlineStr">
        <is>
          <t>in-0164f06ba1e6ea87</t>
        </is>
      </c>
      <c r="B53" t="inlineStr">
        <is>
          <t>Senior Applied Scientist, Sponsored Products and Brands</t>
        </is>
      </c>
      <c r="C53" t="inlineStr">
        <is>
          <t>Amazon.com</t>
        </is>
      </c>
      <c r="D53" t="inlineStr">
        <is>
          <t>indeed</t>
        </is>
      </c>
      <c r="E53">
        <f>HYPERLINK("https://www.indeed.com/viewjob?jk=0164f06ba1e6ea87", "https://www.indeed.com/viewjob?jk=0164f06ba1e6ea87")</f>
        <v/>
      </c>
      <c r="F53">
        <f>HYPERLINK("https://www.amazon.jobs/jobs/3130062/senior-applied-scientist-sponsored-products-and-brands?cmpid=DA_INAD200785B", "https://www.amazon.jobs/jobs/3130062/senior-applied-scientist-sponsored-products-and-brands?cmpid=DA_INAD200785B")</f>
        <v/>
      </c>
      <c r="G53" t="inlineStr">
        <is>
          <t>New York, NY, US</t>
        </is>
      </c>
      <c r="H53" s="2" t="n">
        <v>45979</v>
      </c>
      <c r="I53"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54">
      <c r="A54" t="inlineStr">
        <is>
          <t>in-04b565d72dcd4e4e</t>
        </is>
      </c>
      <c r="B54" t="inlineStr">
        <is>
          <t>Principal Applied Scientist, Amazon AGI</t>
        </is>
      </c>
      <c r="C54" t="inlineStr">
        <is>
          <t>Amazon.com</t>
        </is>
      </c>
      <c r="D54" t="inlineStr">
        <is>
          <t>indeed</t>
        </is>
      </c>
      <c r="E54">
        <f>HYPERLINK("https://www.indeed.com/viewjob?jk=04b565d72dcd4e4e", "https://www.indeed.com/viewjob?jk=04b565d72dcd4e4e")</f>
        <v/>
      </c>
      <c r="F54">
        <f>HYPERLINK("https://www.amazon.jobs/jobs/3128808/principal-applied-scientist-amazon-agi?cmpid=DA_INAD200785B", "https://www.amazon.jobs/jobs/3128808/principal-applied-scientist-amazon-agi?cmpid=DA_INAD200785B")</f>
        <v/>
      </c>
      <c r="G54" t="inlineStr">
        <is>
          <t>San Francisco, CA, US</t>
        </is>
      </c>
      <c r="H54" s="2" t="n">
        <v>45964</v>
      </c>
      <c r="I54" t="inlineStr">
        <is>
          <t>**DESCRIPTION**
---------------
The Artificial General Intelligence (AGI) team is looking for a passionate, talented, and inventive Principal Applied Scientist with a strong deep learning and generative AI background, to focus on the development of software development skills of Nova foundational models.  
As a Principal Applied Scientist, you are a trusted part of the technical leadership. You bring business and industry context to science and technology decisions. You set the standard for scientific excellence and make decisions that affect the way we build and integrate algorithms. You solicit differing views across the organization and are willing to change your mind as you learn more. Your artifacts are exemplary and often used as reference across organization.  
You are a hands\-on scientific leader. Your solutions are exemplary in terms of algorithm design, clarity, model structure, efficiency, and extensibility. You tackle intrinsically hard problems, acquiring expertise as needed. You decompose complex problems into straightforward solutions.  
You amplify your impact by leading scientific reviews within your organization or at your location. You scrutinize and review experimental design, modeling, verification and other research procedures. You probe assumptions, illuminate pitfalls, and foster shared understanding. You align teams toward coherent strategies. You educate, keeping the scientific community up to date on advanced techniques, state of the art approaches, the latest technologies, and trends. You help managers guide the career growth of other scientists by mentoring and play a significant role in hiring and developing scientists and leads.  
Key job responsibilities  
You will be responsible for defining key research directions, adopting or inventing new machine learning techniques, conducting rigorous experiments, publishing results, and ensuring that research is translated into practice. You will develop long\-term strategies, persuade teams to adopt those strategies, propose goals and deliver on them. You will also participate in organizational planning, hiring, mentorship and leadership development. You will be technically strong and with a passion for building scalable science and engineering solutions. You will serve as a key scientific resource in full\-cycle development (conception, design, implementation, testing to documentation, delivery, and maintenance).
**BASIC QUALIFICATIONS**
------------------------
* 5\+ years of hands\-on work in predictive modeling and analysis experience
* PhD in Electrical Engineering, Computer Science, Mathematics, or a related technical field
* Experience working in predictive modeling and analysis
* Experience distilling informal customer requirements into problem definitions, dealing with ambiguity and competing objectives
* Experience programming in Java, C\+\+, Python or related language
* Experience with leading experienced scientists as well as having a record of developing junior members from academia or industry to a career track in a business environment
**PREFERRED QUALIFICATIONS**
----------------------------
* 10\+ years of relevant work in industry or academia experience
* Knowledge of problem solving, algorithm design and complexity analysis
* Experience creating novel algorithms and advancing the state of the art
* Have peer\-reviewed scientific contributions in premier journals and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5">
      <c r="A55" t="inlineStr">
        <is>
          <t>in-1a8cf04b32051abf</t>
        </is>
      </c>
      <c r="B55" t="inlineStr">
        <is>
          <t>Principal Applied Scientist, Amazon AGI</t>
        </is>
      </c>
      <c r="C55" t="inlineStr">
        <is>
          <t>Amazon.com</t>
        </is>
      </c>
      <c r="D55" t="inlineStr">
        <is>
          <t>indeed</t>
        </is>
      </c>
      <c r="E55">
        <f>HYPERLINK("https://www.indeed.com/viewjob?jk=1a8cf04b32051abf", "https://www.indeed.com/viewjob?jk=1a8cf04b32051abf")</f>
        <v/>
      </c>
      <c r="F55">
        <f>HYPERLINK("https://www.amazon.jobs/jobs/3128808/principal-applied-scientist-amazon-agi?cmpid=DA_INAD200785B", "https://www.amazon.jobs/jobs/3128808/principal-applied-scientist-amazon-agi?cmpid=DA_INAD200785B")</f>
        <v/>
      </c>
      <c r="G55" t="inlineStr">
        <is>
          <t>Boston, MA, US</t>
        </is>
      </c>
      <c r="H55" s="2" t="n">
        <v>45964</v>
      </c>
      <c r="I55" t="inlineStr">
        <is>
          <t>**DESCRIPTION**
---------------
The Artificial General Intelligence (AGI) team is looking for a passionate, talented, and inventive Principal Applied Scientist with a strong deep learning and generative AI background, to focus on the development of software development skills of Nova foundational models.  
As a Principal Applied Scientist, you are a trusted part of the technical leadership. You bring business and industry context to science and technology decisions. You set the standard for scientific excellence and make decisions that affect the way we build and integrate algorithms. You solicit differing views across the organization and are willing to change your mind as you learn more. Your artifacts are exemplary and often used as reference across organization.  
You are a hands\-on scientific leader. Your solutions are exemplary in terms of algorithm design, clarity, model structure, efficiency, and extensibility. You tackle intrinsically hard problems, acquiring expertise as needed. You decompose complex problems into straightforward solutions.  
You amplify your impact by leading scientific reviews within your organization or at your location. You scrutinize and review experimental design, modeling, verification and other research procedures. You probe assumptions, illuminate pitfalls, and foster shared understanding. You align teams toward coherent strategies. You educate, keeping the scientific community up to date on advanced techniques, state of the art approaches, the latest technologies, and trends. You help managers guide the career growth of other scientists by mentoring and play a significant role in hiring and developing scientists and leads.  
Key job responsibilities  
You will be responsible for defining key research directions, adopting or inventing new machine learning techniques, conducting rigorous experiments, publishing results, and ensuring that research is translated into practice. You will develop long\-term strategies, persuade teams to adopt those strategies, propose goals and deliver on them. You will also participate in organizational planning, hiring, mentorship and leadership development. You will be technically strong and with a passion for building scalable science and engineering solutions. You will serve as a key scientific resource in full\-cycle development (conception, design, implementation, testing to documentation, delivery, and maintenance).
**BASIC QUALIFICATIONS**
------------------------
* 5\+ years of hands\-on work in predictive modeling and analysis experience
* PhD in Electrical Engineering, Computer Science, Mathematics, or a related technical field
* Experience working in predictive modeling and analysis
* Experience distilling informal customer requirements into problem definitions, dealing with ambiguity and competing objectives
* Experience programming in Java, C\+\+, Python or related language
* Experience with leading experienced scientists as well as having a record of developing junior members from academia or industry to a career track in a business environment
**PREFERRED QUALIFICATIONS**
----------------------------
* 10\+ years of relevant work in industry or academia experience
* Knowledge of problem solving, algorithm design and complexity analysis
* Experience creating novel algorithms and advancing the state of the art
* Have peer\-reviewed scientific contributions in premier journals and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6">
      <c r="A56" t="inlineStr">
        <is>
          <t>in-430802ebfcc08d68</t>
        </is>
      </c>
      <c r="B56" t="inlineStr">
        <is>
          <t>Applied Scientist, AWS Agentic AI</t>
        </is>
      </c>
      <c r="C56" t="inlineStr">
        <is>
          <t>Amazon Web Services</t>
        </is>
      </c>
      <c r="D56" t="inlineStr">
        <is>
          <t>indeed</t>
        </is>
      </c>
      <c r="E56">
        <f>HYPERLINK("https://www.indeed.com/viewjob?jk=430802ebfcc08d68", "https://www.indeed.com/viewjob?jk=430802ebfcc08d68")</f>
        <v/>
      </c>
      <c r="F56">
        <f>HYPERLINK("https://www.amazon.jobs/jobs/3141517/applied-scientist-aws-agentic-ai-?cmpid=DA_INAD200785B", "https://www.amazon.jobs/jobs/3141517/applied-scientist-aws-agentic-ai-?cmpid=DA_INAD200785B")</f>
        <v/>
      </c>
      <c r="G56" t="inlineStr">
        <is>
          <t>New York, NY, US</t>
        </is>
      </c>
      <c r="H56" s="2" t="n">
        <v>45962</v>
      </c>
      <c r="I56"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7">
      <c r="A57" t="inlineStr">
        <is>
          <t>in-076c7942821c4731</t>
        </is>
      </c>
      <c r="B57" t="inlineStr">
        <is>
          <t>Applied Scientist, AWS Agentic AI</t>
        </is>
      </c>
      <c r="C57" t="inlineStr">
        <is>
          <t>Amazon Web Services</t>
        </is>
      </c>
      <c r="D57" t="inlineStr">
        <is>
          <t>indeed</t>
        </is>
      </c>
      <c r="E57">
        <f>HYPERLINK("https://www.indeed.com/viewjob?jk=076c7942821c4731", "https://www.indeed.com/viewjob?jk=076c7942821c4731")</f>
        <v/>
      </c>
      <c r="F57">
        <f>HYPERLINK("https://www.amazon.jobs/jobs/3141517/applied-scientist-aws-agentic-ai-?cmpid=DA_INAD200785B", "https://www.amazon.jobs/jobs/3141517/applied-scientist-aws-agentic-ai-?cmpid=DA_INAD200785B")</f>
        <v/>
      </c>
      <c r="G57" t="inlineStr">
        <is>
          <t>Seattle, WA, US</t>
        </is>
      </c>
      <c r="H57" s="2" t="n">
        <v>45962</v>
      </c>
      <c r="I57"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8">
      <c r="A58" t="inlineStr">
        <is>
          <t>in-59b2767653af3178</t>
        </is>
      </c>
      <c r="B58" t="inlineStr">
        <is>
          <t>Applied Scientist, AWS Agentic AI</t>
        </is>
      </c>
      <c r="C58" t="inlineStr">
        <is>
          <t>Amazon Web Services</t>
        </is>
      </c>
      <c r="D58" t="inlineStr">
        <is>
          <t>indeed</t>
        </is>
      </c>
      <c r="E58">
        <f>HYPERLINK("https://www.indeed.com/viewjob?jk=59b2767653af3178", "https://www.indeed.com/viewjob?jk=59b2767653af3178")</f>
        <v/>
      </c>
      <c r="F58">
        <f>HYPERLINK("https://www.amazon.jobs/jobs/3141517/applied-scientist-aws-agentic-ai-?cmpid=DA_INAD200785B", "https://www.amazon.jobs/jobs/3141517/applied-scientist-aws-agentic-ai-?cmpid=DA_INAD200785B")</f>
        <v/>
      </c>
      <c r="G58" t="inlineStr">
        <is>
          <t>Santa Clara, CA, US</t>
        </is>
      </c>
      <c r="H58" s="2" t="n">
        <v>45962</v>
      </c>
      <c r="I58"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9">
      <c r="A59" t="inlineStr">
        <is>
          <t>in-37fe8a24580707c3</t>
        </is>
      </c>
      <c r="B59" t="inlineStr">
        <is>
          <t>Applied Scientist, Prime Video - Content Understanding, Localization &amp; Enrichment Team</t>
        </is>
      </c>
      <c r="C59" t="inlineStr">
        <is>
          <t>Amazon.com</t>
        </is>
      </c>
      <c r="D59" t="inlineStr">
        <is>
          <t>indeed</t>
        </is>
      </c>
      <c r="E59">
        <f>HYPERLINK("https://www.indeed.com/viewjob?jk=37fe8a24580707c3", "https://www.indeed.com/viewjob?jk=37fe8a24580707c3")</f>
        <v/>
      </c>
      <c r="F59">
        <f>HYPERLINK("https://www.amazon.jobs/jobs/3111928/applied-scientist-prime-video--content-understanding-localization--enrichment-team?cmpid=DA_INAD200785B", "https://www.amazon.jobs/jobs/3111928/applied-scientist-prime-video--content-understanding-localization--enrichment-team?cmpid=DA_INAD200785B")</f>
        <v/>
      </c>
      <c r="G59" t="inlineStr">
        <is>
          <t>San Francisco, CA, US</t>
        </is>
      </c>
      <c r="H59" s="2" t="n">
        <v>45943</v>
      </c>
      <c r="I5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60">
      <c r="A60" t="inlineStr">
        <is>
          <t>in-4033cfcdc91852b1</t>
        </is>
      </c>
      <c r="B60" t="inlineStr">
        <is>
          <t>Applied Scientist, Prime Video - Content Understanding, Localization &amp; Enrichment Team</t>
        </is>
      </c>
      <c r="C60" t="inlineStr">
        <is>
          <t>Amazon.com</t>
        </is>
      </c>
      <c r="D60" t="inlineStr">
        <is>
          <t>indeed</t>
        </is>
      </c>
      <c r="E60">
        <f>HYPERLINK("https://www.indeed.com/viewjob?jk=4033cfcdc91852b1", "https://www.indeed.com/viewjob?jk=4033cfcdc91852b1")</f>
        <v/>
      </c>
      <c r="F60">
        <f>HYPERLINK("https://www.amazon.jobs/jobs/3111928/applied-scientist-prime-video--content-understanding-localization--enrichment-team?cmpid=DA_INAD200785B", "https://www.amazon.jobs/jobs/3111928/applied-scientist-prime-video--content-understanding-localization--enrichment-team?cmpid=DA_INAD200785B")</f>
        <v/>
      </c>
      <c r="G60" t="inlineStr">
        <is>
          <t>Seattle, WA, US</t>
        </is>
      </c>
      <c r="H60" s="2" t="n">
        <v>45943</v>
      </c>
      <c r="I6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61">
      <c r="A61" t="inlineStr">
        <is>
          <t>in-a9e8e697def3d5bf</t>
        </is>
      </c>
      <c r="B61" t="inlineStr">
        <is>
          <t>Principal Applied Scientist, Advertiser Growth, Amazon Sponsored Products &amp; Brands</t>
        </is>
      </c>
      <c r="C61" t="inlineStr">
        <is>
          <t>Amazon.com</t>
        </is>
      </c>
      <c r="D61" t="inlineStr">
        <is>
          <t>indeed</t>
        </is>
      </c>
      <c r="E61">
        <f>HYPERLINK("https://www.indeed.com/viewjob?jk=a9e8e697def3d5bf", "https://www.indeed.com/viewjob?jk=a9e8e697def3d5bf")</f>
        <v/>
      </c>
      <c r="F61">
        <f>HYPERLINK("https://www.amazon.jobs/jobs/3115279/principal-applied-scientist-advertiser-growth-amazon-sponsored-products--brands?cmpid=DA_INAD200785B", "https://www.amazon.jobs/jobs/3115279/principal-applied-scientist-advertiser-growth-amazon-sponsored-products--brands?cmpid=DA_INAD200785B")</f>
        <v/>
      </c>
      <c r="G61" t="inlineStr">
        <is>
          <t>New York, NY, US</t>
        </is>
      </c>
      <c r="H61" s="2" t="n">
        <v>45942</v>
      </c>
      <c r="I61"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2">
      <c r="A62" t="inlineStr">
        <is>
          <t>in-960d135b65bd6fe0</t>
        </is>
      </c>
      <c r="B62" t="inlineStr">
        <is>
          <t>Principal Applied Scientist, Advertiser Growth, Amazon Sponsored Products &amp; Brands</t>
        </is>
      </c>
      <c r="C62" t="inlineStr">
        <is>
          <t>Amazon.com</t>
        </is>
      </c>
      <c r="D62" t="inlineStr">
        <is>
          <t>indeed</t>
        </is>
      </c>
      <c r="E62">
        <f>HYPERLINK("https://www.indeed.com/viewjob?jk=960d135b65bd6fe0", "https://www.indeed.com/viewjob?jk=960d135b65bd6fe0")</f>
        <v/>
      </c>
      <c r="F62">
        <f>HYPERLINK("https://www.amazon.jobs/jobs/3115279/principal-applied-scientist-advertiser-growth-amazon-sponsored-products--brands?cmpid=DA_INAD200785B", "https://www.amazon.jobs/jobs/3115279/principal-applied-scientist-advertiser-growth-amazon-sponsored-products--brands?cmpid=DA_INAD200785B")</f>
        <v/>
      </c>
      <c r="G62" t="inlineStr">
        <is>
          <t>Seattle, WA, US</t>
        </is>
      </c>
      <c r="H62" s="2" t="n">
        <v>45942</v>
      </c>
      <c r="I62"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3">
      <c r="A63" t="inlineStr">
        <is>
          <t>in-879fbb32a28baaea</t>
        </is>
      </c>
      <c r="B63" t="inlineStr">
        <is>
          <t>Principal Applied Scientist, Advertiser Growth, Amazon Sponsored Products &amp; Brands</t>
        </is>
      </c>
      <c r="C63" t="inlineStr">
        <is>
          <t>Amazon.com</t>
        </is>
      </c>
      <c r="D63" t="inlineStr">
        <is>
          <t>indeed</t>
        </is>
      </c>
      <c r="E63">
        <f>HYPERLINK("https://www.indeed.com/viewjob?jk=879fbb32a28baaea", "https://www.indeed.com/viewjob?jk=879fbb32a28baaea")</f>
        <v/>
      </c>
      <c r="F63">
        <f>HYPERLINK("https://www.amazon.jobs/jobs/3115279/principal-applied-scientist-advertiser-growth-amazon-sponsored-products--brands?cmpid=DA_INAD200785B", "https://www.amazon.jobs/jobs/3115279/principal-applied-scientist-advertiser-growth-amazon-sponsored-products--brands?cmpid=DA_INAD200785B")</f>
        <v/>
      </c>
      <c r="G63" t="inlineStr">
        <is>
          <t>Palo Alto, CA, US</t>
        </is>
      </c>
      <c r="H63" s="2" t="n">
        <v>45942</v>
      </c>
      <c r="I63"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4">
      <c r="A64" t="inlineStr">
        <is>
          <t>in-5b92cb1ce681f085</t>
        </is>
      </c>
      <c r="B64" t="inlineStr">
        <is>
          <t>Applied Scientist</t>
        </is>
      </c>
      <c r="C64" t="inlineStr">
        <is>
          <t>Amazon.com</t>
        </is>
      </c>
      <c r="D64" t="inlineStr">
        <is>
          <t>indeed</t>
        </is>
      </c>
      <c r="E64">
        <f>HYPERLINK("https://www.indeed.com/viewjob?jk=5b92cb1ce681f085", "https://www.indeed.com/viewjob?jk=5b92cb1ce681f085")</f>
        <v/>
      </c>
      <c r="F64">
        <f>HYPERLINK("https://www.amazon.jobs/jobs/3106501/applied-scientist?cmpid=DA_INAD200785B", "https://www.amazon.jobs/jobs/3106501/applied-scientist?cmpid=DA_INAD200785B")</f>
        <v/>
      </c>
      <c r="G64" t="inlineStr">
        <is>
          <t>Seattle, WA, US</t>
        </is>
      </c>
      <c r="H64" s="2" t="n">
        <v>45939</v>
      </c>
      <c r="I64"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5">
      <c r="A65" t="inlineStr">
        <is>
          <t>in-833be4d6dcee028d</t>
        </is>
      </c>
      <c r="B65" t="inlineStr">
        <is>
          <t>Sr. Applied Scientist, SPB Advertiser Guidance</t>
        </is>
      </c>
      <c r="C65" t="inlineStr">
        <is>
          <t>Amazon.com</t>
        </is>
      </c>
      <c r="D65" t="inlineStr">
        <is>
          <t>indeed</t>
        </is>
      </c>
      <c r="E65">
        <f>HYPERLINK("https://www.indeed.com/viewjob?jk=833be4d6dcee028d", "https://www.indeed.com/viewjob?jk=833be4d6dcee028d")</f>
        <v/>
      </c>
      <c r="F65">
        <f>HYPERLINK("https://www.amazon.jobs/jobs/3106497/sr-applied-scientist-spb-advertiser-guidance?cmpid=DA_INAD200785B", "https://www.amazon.jobs/jobs/3106497/sr-applied-scientist-spb-advertiser-guidance?cmpid=DA_INAD200785B")</f>
        <v/>
      </c>
      <c r="G65" t="inlineStr">
        <is>
          <t>New York, NY, US</t>
        </is>
      </c>
      <c r="H65" s="2" t="n">
        <v>45939</v>
      </c>
      <c r="I65"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6">
      <c r="A66" t="inlineStr">
        <is>
          <t>in-11f7c729fa7d5325</t>
        </is>
      </c>
      <c r="B66" t="inlineStr">
        <is>
          <t>Applied Scientist</t>
        </is>
      </c>
      <c r="C66" t="inlineStr">
        <is>
          <t>Amazon.com</t>
        </is>
      </c>
      <c r="D66" t="inlineStr">
        <is>
          <t>indeed</t>
        </is>
      </c>
      <c r="E66">
        <f>HYPERLINK("https://www.indeed.com/viewjob?jk=11f7c729fa7d5325", "https://www.indeed.com/viewjob?jk=11f7c729fa7d5325")</f>
        <v/>
      </c>
      <c r="F66">
        <f>HYPERLINK("https://www.amazon.jobs/jobs/3106501/applied-scientist?cmpid=DA_INAD200785B", "https://www.amazon.jobs/jobs/3106501/applied-scientist?cmpid=DA_INAD200785B")</f>
        <v/>
      </c>
      <c r="G66" t="inlineStr">
        <is>
          <t>New York, NY, US</t>
        </is>
      </c>
      <c r="H66" s="2" t="n">
        <v>45939</v>
      </c>
      <c r="I66"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7">
      <c r="A67" t="inlineStr">
        <is>
          <t>in-ca42b010a0eb9630</t>
        </is>
      </c>
      <c r="B67" t="inlineStr">
        <is>
          <t>Sr. Applied Scientist, SPB Advertiser Guidance</t>
        </is>
      </c>
      <c r="C67" t="inlineStr">
        <is>
          <t>Amazon.com</t>
        </is>
      </c>
      <c r="D67" t="inlineStr">
        <is>
          <t>indeed</t>
        </is>
      </c>
      <c r="E67">
        <f>HYPERLINK("https://www.indeed.com/viewjob?jk=ca42b010a0eb9630", "https://www.indeed.com/viewjob?jk=ca42b010a0eb9630")</f>
        <v/>
      </c>
      <c r="F67">
        <f>HYPERLINK("https://www.amazon.jobs/jobs/3106497/sr-applied-scientist-spb-advertiser-guidance?cmpid=DA_INAD200785B", "https://www.amazon.jobs/jobs/3106497/sr-applied-scientist-spb-advertiser-guidance?cmpid=DA_INAD200785B")</f>
        <v/>
      </c>
      <c r="G67" t="inlineStr">
        <is>
          <t>Palo Alto, CA, US</t>
        </is>
      </c>
      <c r="H67" s="2" t="n">
        <v>45939</v>
      </c>
      <c r="I67"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8">
      <c r="A68" t="inlineStr">
        <is>
          <t>in-94881f94eca1065f</t>
        </is>
      </c>
      <c r="B68" t="inlineStr">
        <is>
          <t>Sr. Applied Scientist, SPB Advertiser Guidance</t>
        </is>
      </c>
      <c r="C68" t="inlineStr">
        <is>
          <t>Amazon.com</t>
        </is>
      </c>
      <c r="D68" t="inlineStr">
        <is>
          <t>indeed</t>
        </is>
      </c>
      <c r="E68">
        <f>HYPERLINK("https://www.indeed.com/viewjob?jk=94881f94eca1065f", "https://www.indeed.com/viewjob?jk=94881f94eca1065f")</f>
        <v/>
      </c>
      <c r="F68">
        <f>HYPERLINK("https://www.amazon.jobs/jobs/3106497/sr-applied-scientist-spb-advertiser-guidance?cmpid=DA_INAD200785B", "https://www.amazon.jobs/jobs/3106497/sr-applied-scientist-spb-advertiser-guidance?cmpid=DA_INAD200785B")</f>
        <v/>
      </c>
      <c r="G68" t="inlineStr">
        <is>
          <t>Seattle, WA, US</t>
        </is>
      </c>
      <c r="H68" s="2" t="n">
        <v>45939</v>
      </c>
      <c r="I68"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9">
      <c r="A69" t="inlineStr">
        <is>
          <t>in-c0998d59781081f1</t>
        </is>
      </c>
      <c r="B69" t="inlineStr">
        <is>
          <t>Applied Scientist</t>
        </is>
      </c>
      <c r="C69" t="inlineStr">
        <is>
          <t>Amazon.com</t>
        </is>
      </c>
      <c r="D69" t="inlineStr">
        <is>
          <t>indeed</t>
        </is>
      </c>
      <c r="E69">
        <f>HYPERLINK("https://www.indeed.com/viewjob?jk=c0998d59781081f1", "https://www.indeed.com/viewjob?jk=c0998d59781081f1")</f>
        <v/>
      </c>
      <c r="F69">
        <f>HYPERLINK("https://www.amazon.jobs/jobs/3106501/applied-scientist?cmpid=DA_INAD200785B", "https://www.amazon.jobs/jobs/3106501/applied-scientist?cmpid=DA_INAD200785B")</f>
        <v/>
      </c>
      <c r="G69" t="inlineStr">
        <is>
          <t>Palo Alto, CA, US</t>
        </is>
      </c>
      <c r="H69" s="2" t="n">
        <v>45939</v>
      </c>
      <c r="I69"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0">
      <c r="A70" t="inlineStr">
        <is>
          <t>in-ab1bdeaa65950282</t>
        </is>
      </c>
      <c r="B70" t="inlineStr">
        <is>
          <t>Applied Scientist, Workplace Health &amp; Safety</t>
        </is>
      </c>
      <c r="C70" t="inlineStr">
        <is>
          <t>Amazon.com</t>
        </is>
      </c>
      <c r="D70" t="inlineStr">
        <is>
          <t>indeed</t>
        </is>
      </c>
      <c r="E70">
        <f>HYPERLINK("https://www.indeed.com/viewjob?jk=ab1bdeaa65950282", "https://www.indeed.com/viewjob?jk=ab1bdeaa65950282")</f>
        <v/>
      </c>
      <c r="F70">
        <f>HYPERLINK("https://www.amazon.jobs/jobs/3144886/applied-scientist-workplace-health--safety-?cmpid=DA_INAD200785B", "https://www.amazon.jobs/jobs/3144886/applied-scientist-workplace-health--safety-?cmpid=DA_INAD200785B")</f>
        <v/>
      </c>
      <c r="G70" t="inlineStr">
        <is>
          <t>Bellevue, WA, US</t>
        </is>
      </c>
      <c r="H70" s="2" t="n">
        <v>45917</v>
      </c>
      <c r="I70"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1">
      <c r="A71" t="inlineStr">
        <is>
          <t>in-d61d3203bfe80609</t>
        </is>
      </c>
      <c r="B71" t="inlineStr">
        <is>
          <t>Applied Scientist, Workplace Health &amp; Safety</t>
        </is>
      </c>
      <c r="C71" t="inlineStr">
        <is>
          <t>Amazon.com</t>
        </is>
      </c>
      <c r="D71" t="inlineStr">
        <is>
          <t>indeed</t>
        </is>
      </c>
      <c r="E71">
        <f>HYPERLINK("https://www.indeed.com/viewjob?jk=d61d3203bfe80609", "https://www.indeed.com/viewjob?jk=d61d3203bfe80609")</f>
        <v/>
      </c>
      <c r="F71">
        <f>HYPERLINK("https://www.amazon.jobs/jobs/3144886/applied-scientist-workplace-health--safety-?cmpid=DA_INAD200785B", "https://www.amazon.jobs/jobs/3144886/applied-scientist-workplace-health--safety-?cmpid=DA_INAD200785B")</f>
        <v/>
      </c>
      <c r="G71" t="inlineStr">
        <is>
          <t>Nashville, TN, US</t>
        </is>
      </c>
      <c r="H71" s="2" t="n">
        <v>45917</v>
      </c>
      <c r="I71"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2">
      <c r="A72" t="inlineStr">
        <is>
          <t>in-40fc55b923f4c7e2</t>
        </is>
      </c>
      <c r="B72" t="inlineStr">
        <is>
          <t>Applied Scientist II, Creative X - RAPID</t>
        </is>
      </c>
      <c r="C72" t="inlineStr">
        <is>
          <t>Amazon.com</t>
        </is>
      </c>
      <c r="D72" t="inlineStr">
        <is>
          <t>indeed</t>
        </is>
      </c>
      <c r="E72">
        <f>HYPERLINK("https://www.indeed.com/viewjob?jk=40fc55b923f4c7e2", "https://www.indeed.com/viewjob?jk=40fc55b923f4c7e2")</f>
        <v/>
      </c>
      <c r="F72">
        <f>HYPERLINK("https://www.amazon.jobs/jobs/3083576/applied-scientist-ii-creative-x--rapid?cmpid=DA_INAD200785B", "https://www.amazon.jobs/jobs/3083576/applied-scientist-ii-creative-x--rapid?cmpid=DA_INAD200785B")</f>
        <v/>
      </c>
      <c r="G72" t="inlineStr">
        <is>
          <t>Seattle, WA, US</t>
        </is>
      </c>
      <c r="H72" s="2" t="n">
        <v>45908</v>
      </c>
      <c r="I72" t="inlineStr">
        <is>
          <t>**DESCRIPTION**
---------------
About Amazon Advertising:  
Amazon Advertising operates at the intersection of eCommerce and advertising, offering a rich array of digital display advertising solutions with the goal of helping our customers find and discover anything they want to buy. We help advertisers of all types to reach Amazon customers on Amazon.com, across our other owned and operated sites, on other high quality sites across the web, and on millions of mobile devices. We start with the customer and work backwards in everything we do, including advertising. If you’re interested in joining a rapidly growing team working to build a unique, world\-class advertising group with a relentless focus on the customer, you’ve come to the right place.  
About our team:  
Our team, CreativeX optimizations, is responsible for tailoring the visual experience of ads to each context in real time. To accomplish this, we are investing in latent\-diffusion models, large language models (LLM), reinforced learning (RL), Computer Vision, and related methods.  
Key job responsibilities  
We are looking for talented Applied Scientists who are adept at a variety of skills, especially with reinforcement learning and recommendations, and familiarity with LLMs, latent diffusion, or related foundational models that will accelerate our plans to dynamically optimize ad creatives on behalf of advertisers. Every member of the team is expected to build customer (advertiser) facing features, contribute to the collaborative spirit within the team, publish, patent, and bring state\-of\-the\-art research to raise the bar within the team.
**BASIC QUALIFICATIONS**
------------------------
* PhD, or Master's degree and 3\+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73">
      <c r="A73" t="inlineStr">
        <is>
          <t>in-e76358e8f2e8e231</t>
        </is>
      </c>
      <c r="B73" t="inlineStr">
        <is>
          <t>Applied Scientist II, Creative X - RAPID</t>
        </is>
      </c>
      <c r="C73" t="inlineStr">
        <is>
          <t>Amazon.com</t>
        </is>
      </c>
      <c r="D73" t="inlineStr">
        <is>
          <t>indeed</t>
        </is>
      </c>
      <c r="E73">
        <f>HYPERLINK("https://www.indeed.com/viewjob?jk=e76358e8f2e8e231", "https://www.indeed.com/viewjob?jk=e76358e8f2e8e231")</f>
        <v/>
      </c>
      <c r="F73">
        <f>HYPERLINK("https://www.amazon.jobs/jobs/3083576/applied-scientist-ii-creative-x--rapid?cmpid=DA_INAD200785B", "https://www.amazon.jobs/jobs/3083576/applied-scientist-ii-creative-x--rapid?cmpid=DA_INAD200785B")</f>
        <v/>
      </c>
      <c r="G73" t="inlineStr">
        <is>
          <t>New York, NY, US</t>
        </is>
      </c>
      <c r="H73" s="2" t="n">
        <v>45908</v>
      </c>
      <c r="I73" t="inlineStr">
        <is>
          <t>**DESCRIPTION**
---------------
About Amazon Advertising:  
Amazon Advertising operates at the intersection of eCommerce and advertising, offering a rich array of digital display advertising solutions with the goal of helping our customers find and discover anything they want to buy. We help advertisers of all types to reach Amazon customers on Amazon.com, across our other owned and operated sites, on other high quality sites across the web, and on millions of mobile devices. We start with the customer and work backwards in everything we do, including advertising. If you’re interested in joining a rapidly growing team working to build a unique, world\-class advertising group with a relentless focus on the customer, you’ve come to the right place.  
About our team:  
Our team, CreativeX optimizations, is responsible for tailoring the visual experience of ads to each context in real time. To accomplish this, we are investing in latent\-diffusion models, large language models (LLM), reinforced learning (RL), Computer Vision, and related methods.  
Key job responsibilities  
We are looking for talented Applied Scientists who are adept at a variety of skills, especially with reinforcement learning and recommendations, and familiarity with LLMs, latent diffusion, or related foundational models that will accelerate our plans to dynamically optimize ad creatives on behalf of advertisers. Every member of the team is expected to build customer (advertiser) facing features, contribute to the collaborative spirit within the team, publish, patent, and bring state\-of\-the\-art research to raise the bar within the team.
**BASIC QUALIFICATIONS**
------------------------
* PhD, or Master's degree and 3\+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74">
      <c r="A74" t="inlineStr">
        <is>
          <t>in-32eec509df81d3e2</t>
        </is>
      </c>
      <c r="B74" t="inlineStr">
        <is>
          <t>Applied Scientist III, StoreGen</t>
        </is>
      </c>
      <c r="C74" t="inlineStr">
        <is>
          <t>Amazon.com</t>
        </is>
      </c>
      <c r="D74" t="inlineStr">
        <is>
          <t>indeed</t>
        </is>
      </c>
      <c r="E74">
        <f>HYPERLINK("https://www.indeed.com/viewjob?jk=32eec509df81d3e2", "https://www.indeed.com/viewjob?jk=32eec509df81d3e2")</f>
        <v/>
      </c>
      <c r="F74">
        <f>HYPERLINK("https://www.amazon.jobs/jobs/3065534/applied-scientist-iii-storegen?cmpid=DA_INAD200785B", "https://www.amazon.jobs/jobs/3065534/applied-scientist-iii-storegen?cmpid=DA_INAD200785B")</f>
        <v/>
      </c>
      <c r="G74" t="inlineStr">
        <is>
          <t>Sunnyvale, CA, US</t>
        </is>
      </c>
      <c r="H74" s="2" t="n">
        <v>45868</v>
      </c>
      <c r="I74" t="inlineStr">
        <is>
          <t>**DESCRIPTION**
---------------
Join our Generative AI focus team to innovate Software Development at Amazon  
Are you ready to be part of a team that's redefining the future of software engineering? Our team is Amazon's ambitious initiative to pioneer AI development practices that will fundamentally transform how we build software at scale.  
Our Mission  
We’re building the next generation of development tools — uncovering how LLMs can originate new ways of thinking, building, and collaborating.  
What Makes Us Different  
* Ground\-floor opportunity to shape the future of software development
* Direct impact on Amazon's global engineering practices
* Working with the latest technologies and large language models
* Culture of experimentation and innovative thinking
What We’re Looking For  
You’ll lead the research, design, and development of AI technologies that challenge conventional software practices and uncover new ways for engineers to build and collaborate.  
You’re comfortable working in ambiguous spaces, exploring emergent behaviors, and collaborating with designers, prototypers, and engineers to test hypotheses in live, evolving systems.  
You explore where LLMs behave in unexpected yet promising ways, especially in tasks like context retention, code reasoning, or agent behavior , and use those moments to uncover new AI\-native workflows.  
We’re looking for applied scientists with experience in areas like:  
\+ Information retrieval  
\+ Context and memory modeling  
\+ Agent behavior and autonomy  
\+ Code understanding and generation  
\+ Human\-AI interaction  
What You'll Do  
* Prototype new ways of working with LLMs in engineering workflows
* Help shape and evaluate scientific approaches behind agentic systems and engineering tools
* Move fast with engineers and prototypers to guide design decisions and model choices
* Make sense of unexpected model behavior and guide what to try next
Impact  
Your work will surface where LLMs can meaningfully change how Amazon engineers build.  
You’ll help the team uncover which surprises are worth pursuing and where to push beyond what’s already known.  
Always find a way ️**BASIC QUALIFICATIONS**
------------------------
* 3\+ years of building machine learning models for business application experience
* PhD, or Master's degree and 6\+ years of applied research experience
* Experience in patents or publications at top\-tier peer\-reviewed conferences or journals
* Strong analytical, mathematical, and coding skills (e.g., Python, C\+\+, or Java)
* Previous work on agents or LLMs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5">
      <c r="A75" t="inlineStr">
        <is>
          <t>in-4cb5544244319a2b</t>
        </is>
      </c>
      <c r="B75" t="inlineStr">
        <is>
          <t>Applied Scientist III, StoreGen</t>
        </is>
      </c>
      <c r="C75" t="inlineStr">
        <is>
          <t>Amazon.com</t>
        </is>
      </c>
      <c r="D75" t="inlineStr">
        <is>
          <t>indeed</t>
        </is>
      </c>
      <c r="E75">
        <f>HYPERLINK("https://www.indeed.com/viewjob?jk=4cb5544244319a2b", "https://www.indeed.com/viewjob?jk=4cb5544244319a2b")</f>
        <v/>
      </c>
      <c r="F75">
        <f>HYPERLINK("https://www.amazon.jobs/jobs/3065534/applied-scientist-iii-storegen?cmpid=DA_INAD200785B", "https://www.amazon.jobs/jobs/3065534/applied-scientist-iii-storegen?cmpid=DA_INAD200785B")</f>
        <v/>
      </c>
      <c r="G75" t="inlineStr">
        <is>
          <t>Seattle, WA, US</t>
        </is>
      </c>
      <c r="H75" s="2" t="n">
        <v>45868</v>
      </c>
      <c r="I75" t="inlineStr">
        <is>
          <t>**DESCRIPTION**
---------------
Join our Generative AI focus team to innovate Software Development at Amazon  
Are you ready to be part of a team that's redefining the future of software engineering? Our team is Amazon's ambitious initiative to pioneer AI development practices that will fundamentally transform how we build software at scale.  
Our Mission  
We’re building the next generation of development tools — uncovering how LLMs can originate new ways of thinking, building, and collaborating.  
What Makes Us Different  
* Ground\-floor opportunity to shape the future of software development
* Direct impact on Amazon's global engineering practices
* Working with the latest technologies and large language models
* Culture of experimentation and innovative thinking
What We’re Looking For  
You’ll lead the research, design, and development of AI technologies that challenge conventional software practices and uncover new ways for engineers to build and collaborate.  
You’re comfortable working in ambiguous spaces, exploring emergent behaviors, and collaborating with designers, prototypers, and engineers to test hypotheses in live, evolving systems.  
You explore where LLMs behave in unexpected yet promising ways, especially in tasks like context retention, code reasoning, or agent behavior , and use those moments to uncover new AI\-native workflows.  
We’re looking for applied scientists with experience in areas like:  
\+ Information retrieval  
\+ Context and memory modeling  
\+ Agent behavior and autonomy  
\+ Code understanding and generation  
\+ Human\-AI interaction  
What You'll Do  
* Prototype new ways of working with LLMs in engineering workflows
* Help shape and evaluate scientific approaches behind agentic systems and engineering tools
* Move fast with engineers and prototypers to guide design decisions and model choices
* Make sense of unexpected model behavior and guide what to try next
Impact  
Your work will surface where LLMs can meaningfully change how Amazon engineers build.  
You’ll help the team uncover which surprises are worth pursuing and where to push beyond what’s already known.  
Always find a way ️**BASIC QUALIFICATIONS**
------------------------
* 3\+ years of building machine learning models for business application experience
* PhD, or Master's degree and 6\+ years of applied research experience
* Experience in patents or publications at top\-tier peer\-reviewed conferences or journals
* Strong analytical, mathematical, and coding skills (e.g., Python, C\+\+, or Java)
* Previous work on agents or LLMs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6">
      <c r="A76" t="inlineStr">
        <is>
          <t>in-af4dd854b9e2e811</t>
        </is>
      </c>
      <c r="B76" t="inlineStr">
        <is>
          <t>Sr. Applied Scientist, Amazon Advertising</t>
        </is>
      </c>
      <c r="C76" t="inlineStr">
        <is>
          <t>Amazon.com</t>
        </is>
      </c>
      <c r="D76" t="inlineStr">
        <is>
          <t>indeed</t>
        </is>
      </c>
      <c r="E76">
        <f>HYPERLINK("https://www.indeed.com/viewjob?jk=af4dd854b9e2e811", "https://www.indeed.com/viewjob?jk=af4dd854b9e2e811")</f>
        <v/>
      </c>
      <c r="F76">
        <f>HYPERLINK("https://www.amazon.jobs/jobs/3035686/sr-applied-scientist-amazon-advertising?cmpid=DA_INAD200785B", "https://www.amazon.jobs/jobs/3035686/sr-applied-scientist-amazon-advertising?cmpid=DA_INAD200785B")</f>
        <v/>
      </c>
      <c r="G76" t="inlineStr">
        <is>
          <t>Los Angeles, CA, US</t>
        </is>
      </c>
      <c r="H76" s="2" t="n">
        <v>45851</v>
      </c>
      <c r="I76"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7">
      <c r="A77" t="inlineStr">
        <is>
          <t>in-ad679fa7236bf9aa</t>
        </is>
      </c>
      <c r="B77" t="inlineStr">
        <is>
          <t>Sr. Applied Scientist, Amazon Advertising</t>
        </is>
      </c>
      <c r="C77" t="inlineStr">
        <is>
          <t>Amazon.com</t>
        </is>
      </c>
      <c r="D77" t="inlineStr">
        <is>
          <t>indeed</t>
        </is>
      </c>
      <c r="E77">
        <f>HYPERLINK("https://www.indeed.com/viewjob?jk=ad679fa7236bf9aa", "https://www.indeed.com/viewjob?jk=ad679fa7236bf9aa")</f>
        <v/>
      </c>
      <c r="F77">
        <f>HYPERLINK("https://www.amazon.jobs/jobs/3035686/sr-applied-scientist-amazon-advertising?cmpid=DA_INAD200785B", "https://www.amazon.jobs/jobs/3035686/sr-applied-scientist-amazon-advertising?cmpid=DA_INAD200785B")</f>
        <v/>
      </c>
      <c r="G77" t="inlineStr">
        <is>
          <t>Palo Alto, CA, US</t>
        </is>
      </c>
      <c r="H77" s="2" t="n">
        <v>45851</v>
      </c>
      <c r="I77"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8">
      <c r="A78" t="inlineStr">
        <is>
          <t>in-9f990f35464f3be2</t>
        </is>
      </c>
      <c r="B78" t="inlineStr">
        <is>
          <t>Sr. Applied Scientist, Amazon Advertising</t>
        </is>
      </c>
      <c r="C78" t="inlineStr">
        <is>
          <t>Amazon.com</t>
        </is>
      </c>
      <c r="D78" t="inlineStr">
        <is>
          <t>indeed</t>
        </is>
      </c>
      <c r="E78">
        <f>HYPERLINK("https://www.indeed.com/viewjob?jk=9f990f35464f3be2", "https://www.indeed.com/viewjob?jk=9f990f35464f3be2")</f>
        <v/>
      </c>
      <c r="F78">
        <f>HYPERLINK("https://www.amazon.jobs/jobs/3035686/sr-applied-scientist-amazon-advertising?cmpid=DA_INAD200785B", "https://www.amazon.jobs/jobs/3035686/sr-applied-scientist-amazon-advertising?cmpid=DA_INAD200785B")</f>
        <v/>
      </c>
      <c r="G78" t="inlineStr">
        <is>
          <t>Simi Valley, CA, US</t>
        </is>
      </c>
      <c r="H78" s="2" t="n">
        <v>45851</v>
      </c>
      <c r="I78"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9">
      <c r="A79" t="inlineStr">
        <is>
          <t>in-e12e9654859ed6d9</t>
        </is>
      </c>
      <c r="B79" t="inlineStr">
        <is>
          <t>Sr. Applied Scientist, Amazon Advertising</t>
        </is>
      </c>
      <c r="C79" t="inlineStr">
        <is>
          <t>Amazon.com</t>
        </is>
      </c>
      <c r="D79" t="inlineStr">
        <is>
          <t>indeed</t>
        </is>
      </c>
      <c r="E79">
        <f>HYPERLINK("https://www.indeed.com/viewjob?jk=e12e9654859ed6d9", "https://www.indeed.com/viewjob?jk=e12e9654859ed6d9")</f>
        <v/>
      </c>
      <c r="F79">
        <f>HYPERLINK("https://www.amazon.jobs/jobs/3035686/sr-applied-scientist-amazon-advertising?cmpid=DA_INAD200785B", "https://www.amazon.jobs/jobs/3035686/sr-applied-scientist-amazon-advertising?cmpid=DA_INAD200785B")</f>
        <v/>
      </c>
      <c r="G79" t="inlineStr">
        <is>
          <t>Arlington, VA, US</t>
        </is>
      </c>
      <c r="H79" s="2" t="n">
        <v>45851</v>
      </c>
      <c r="I79"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0">
      <c r="A80" t="inlineStr">
        <is>
          <t>in-95f1e769fe75abcb</t>
        </is>
      </c>
      <c r="B80" t="inlineStr">
        <is>
          <t>Sr. Applied Scientist, Amazon Advertising</t>
        </is>
      </c>
      <c r="C80" t="inlineStr">
        <is>
          <t>Amazon.com</t>
        </is>
      </c>
      <c r="D80" t="inlineStr">
        <is>
          <t>indeed</t>
        </is>
      </c>
      <c r="E80">
        <f>HYPERLINK("https://www.indeed.com/viewjob?jk=95f1e769fe75abcb", "https://www.indeed.com/viewjob?jk=95f1e769fe75abcb")</f>
        <v/>
      </c>
      <c r="F80">
        <f>HYPERLINK("https://www.amazon.jobs/jobs/3035686/sr-applied-scientist-amazon-advertising?cmpid=DA_INAD200785B", "https://www.amazon.jobs/jobs/3035686/sr-applied-scientist-amazon-advertising?cmpid=DA_INAD200785B")</f>
        <v/>
      </c>
      <c r="G80" t="inlineStr">
        <is>
          <t>Austin, TX, US</t>
        </is>
      </c>
      <c r="H80" s="2" t="n">
        <v>45851</v>
      </c>
      <c r="I80"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1">
      <c r="A81" t="inlineStr">
        <is>
          <t>in-522dd25596c064f7</t>
        </is>
      </c>
      <c r="B81" t="inlineStr">
        <is>
          <t>Sr. Applied Scientist, Amazon Advertising</t>
        </is>
      </c>
      <c r="C81" t="inlineStr">
        <is>
          <t>Amazon.com</t>
        </is>
      </c>
      <c r="D81" t="inlineStr">
        <is>
          <t>indeed</t>
        </is>
      </c>
      <c r="E81">
        <f>HYPERLINK("https://www.indeed.com/viewjob?jk=522dd25596c064f7", "https://www.indeed.com/viewjob?jk=522dd25596c064f7")</f>
        <v/>
      </c>
      <c r="F81">
        <f>HYPERLINK("https://www.amazon.jobs/jobs/3035686/sr-applied-scientist-amazon-advertising?cmpid=DA_INAD200785B", "https://www.amazon.jobs/jobs/3035686/sr-applied-scientist-amazon-advertising?cmpid=DA_INAD200785B")</f>
        <v/>
      </c>
      <c r="G81" t="inlineStr">
        <is>
          <t>New York, NY, US</t>
        </is>
      </c>
      <c r="H81" s="2" t="n">
        <v>45851</v>
      </c>
      <c r="I81"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2">
      <c r="A82" t="inlineStr">
        <is>
          <t>in-0366e427c11c1d8a</t>
        </is>
      </c>
      <c r="B82" t="inlineStr">
        <is>
          <t>Sr. Applied Scientist, Amazon Advertising</t>
        </is>
      </c>
      <c r="C82" t="inlineStr">
        <is>
          <t>Amazon.com</t>
        </is>
      </c>
      <c r="D82" t="inlineStr">
        <is>
          <t>indeed</t>
        </is>
      </c>
      <c r="E82">
        <f>HYPERLINK("https://www.indeed.com/viewjob?jk=0366e427c11c1d8a", "https://www.indeed.com/viewjob?jk=0366e427c11c1d8a")</f>
        <v/>
      </c>
      <c r="F82">
        <f>HYPERLINK("https://www.amazon.jobs/jobs/3035686/sr-applied-scientist-amazon-advertising?cmpid=DA_INAD200785B", "https://www.amazon.jobs/jobs/3035686/sr-applied-scientist-amazon-advertising?cmpid=DA_INAD200785B")</f>
        <v/>
      </c>
      <c r="G82" t="inlineStr">
        <is>
          <t>Seattle, WA, US</t>
        </is>
      </c>
      <c r="H82" s="2" t="n">
        <v>45851</v>
      </c>
      <c r="I82"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3">
      <c r="A83" t="inlineStr">
        <is>
          <t>in-708b2828fe1c3c0d</t>
        </is>
      </c>
      <c r="B83" t="inlineStr">
        <is>
          <t>Sr. Applied Scientist, Amazon Advertising</t>
        </is>
      </c>
      <c r="C83" t="inlineStr">
        <is>
          <t>Amazon.com</t>
        </is>
      </c>
      <c r="D83" t="inlineStr">
        <is>
          <t>indeed</t>
        </is>
      </c>
      <c r="E83">
        <f>HYPERLINK("https://www.indeed.com/viewjob?jk=708b2828fe1c3c0d", "https://www.indeed.com/viewjob?jk=708b2828fe1c3c0d")</f>
        <v/>
      </c>
      <c r="F83">
        <f>HYPERLINK("https://www.amazon.jobs/jobs/3035686/sr-applied-scientist-amazon-advertising?cmpid=DA_INAD200785B", "https://www.amazon.jobs/jobs/3035686/sr-applied-scientist-amazon-advertising?cmpid=DA_INAD200785B")</f>
        <v/>
      </c>
      <c r="G83" t="inlineStr">
        <is>
          <t>West Hollywood, CA, US</t>
        </is>
      </c>
      <c r="H83" s="2" t="n">
        <v>45851</v>
      </c>
      <c r="I83"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4">
      <c r="A84" t="inlineStr">
        <is>
          <t>in-e75c17dccf58ecde</t>
        </is>
      </c>
      <c r="B84" t="inlineStr">
        <is>
          <t>Sr. Applied Scientist, Sales AI</t>
        </is>
      </c>
      <c r="C84" t="inlineStr">
        <is>
          <t>Amazon.com</t>
        </is>
      </c>
      <c r="D84" t="inlineStr">
        <is>
          <t>indeed</t>
        </is>
      </c>
      <c r="E84">
        <f>HYPERLINK("https://www.indeed.com/viewjob?jk=e75c17dccf58ecde", "https://www.indeed.com/viewjob?jk=e75c17dccf58ecde")</f>
        <v/>
      </c>
      <c r="F84">
        <f>HYPERLINK("https://www.amazon.jobs/jobs/3020528/sr-applied-scientist-sales-ai?cmpid=DA_INAD200785B", "https://www.amazon.jobs/jobs/3020528/sr-applied-scientist-sales-ai?cmpid=DA_INAD200785B")</f>
        <v/>
      </c>
      <c r="G84" t="inlineStr">
        <is>
          <t>Seattle, WA, US</t>
        </is>
      </c>
      <c r="H84" s="2" t="n">
        <v>45830</v>
      </c>
      <c r="I84"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5">
      <c r="A85" t="inlineStr">
        <is>
          <t>in-67bf39771291d575</t>
        </is>
      </c>
      <c r="B85" t="inlineStr">
        <is>
          <t>Sr. Applied Scientist, Sales AI</t>
        </is>
      </c>
      <c r="C85" t="inlineStr">
        <is>
          <t>Amazon.com</t>
        </is>
      </c>
      <c r="D85" t="inlineStr">
        <is>
          <t>indeed</t>
        </is>
      </c>
      <c r="E85">
        <f>HYPERLINK("https://www.indeed.com/viewjob?jk=67bf39771291d575", "https://www.indeed.com/viewjob?jk=67bf39771291d575")</f>
        <v/>
      </c>
      <c r="F85">
        <f>HYPERLINK("https://www.amazon.jobs/jobs/3020528/sr-applied-scientist-sales-ai?cmpid=DA_INAD200785B", "https://www.amazon.jobs/jobs/3020528/sr-applied-scientist-sales-ai?cmpid=DA_INAD200785B")</f>
        <v/>
      </c>
      <c r="G85" t="inlineStr">
        <is>
          <t>New York, NY, US</t>
        </is>
      </c>
      <c r="H85" s="2" t="n">
        <v>45830</v>
      </c>
      <c r="I85"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6">
      <c r="A86" t="inlineStr">
        <is>
          <t>in-4fb1ebd1f0ab1a8a</t>
        </is>
      </c>
      <c r="B86" t="inlineStr">
        <is>
          <t>Sr. Applied Scientist, Sales AI</t>
        </is>
      </c>
      <c r="C86" t="inlineStr">
        <is>
          <t>Amazon.com</t>
        </is>
      </c>
      <c r="D86" t="inlineStr">
        <is>
          <t>indeed</t>
        </is>
      </c>
      <c r="E86">
        <f>HYPERLINK("https://www.indeed.com/viewjob?jk=4fb1ebd1f0ab1a8a", "https://www.indeed.com/viewjob?jk=4fb1ebd1f0ab1a8a")</f>
        <v/>
      </c>
      <c r="F86">
        <f>HYPERLINK("https://www.amazon.jobs/jobs/3020528/sr-applied-scientist-sales-ai?cmpid=DA_INAD200785B", "https://www.amazon.jobs/jobs/3020528/sr-applied-scientist-sales-ai?cmpid=DA_INAD200785B")</f>
        <v/>
      </c>
      <c r="G86" t="inlineStr">
        <is>
          <t>Sunnyvale, CA, US</t>
        </is>
      </c>
      <c r="H86" s="2" t="n">
        <v>45830</v>
      </c>
      <c r="I86"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7">
      <c r="A87" t="inlineStr">
        <is>
          <t>in-3974a42b2453adf2</t>
        </is>
      </c>
      <c r="B87" t="inlineStr">
        <is>
          <t>Principal Applied Scientist, Delivery Foundation Model</t>
        </is>
      </c>
      <c r="C87" t="inlineStr">
        <is>
          <t>Amazon.com</t>
        </is>
      </c>
      <c r="D87" t="inlineStr">
        <is>
          <t>indeed</t>
        </is>
      </c>
      <c r="E87">
        <f>HYPERLINK("https://www.indeed.com/viewjob?jk=3974a42b2453adf2", "https://www.indeed.com/viewjob?jk=3974a42b2453adf2")</f>
        <v/>
      </c>
      <c r="F87">
        <f>HYPERLINK("https://www.amazon.jobs/jobs/3006938/principal-applied-scientist-delivery-foundation-model-?cmpid=DA_INAD200785B", "https://www.amazon.jobs/jobs/3006938/principal-applied-scientist-delivery-foundation-model-?cmpid=DA_INAD200785B")</f>
        <v/>
      </c>
      <c r="G87" t="inlineStr">
        <is>
          <t>Bellevue, WA, US</t>
        </is>
      </c>
      <c r="H87" s="2" t="n">
        <v>45810</v>
      </c>
      <c r="I87"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8">
      <c r="A88" t="inlineStr">
        <is>
          <t>in-1952eb28999e4ecb</t>
        </is>
      </c>
      <c r="B88" t="inlineStr">
        <is>
          <t>Principal Applied Scientist, Delivery Foundation Model</t>
        </is>
      </c>
      <c r="C88" t="inlineStr">
        <is>
          <t>Amazon.com</t>
        </is>
      </c>
      <c r="D88" t="inlineStr">
        <is>
          <t>indeed</t>
        </is>
      </c>
      <c r="E88">
        <f>HYPERLINK("https://www.indeed.com/viewjob?jk=1952eb28999e4ecb", "https://www.indeed.com/viewjob?jk=1952eb28999e4ecb")</f>
        <v/>
      </c>
      <c r="F88">
        <f>HYPERLINK("https://www.amazon.jobs/jobs/3006938/principal-applied-scientist-delivery-foundation-model-?cmpid=DA_INAD200785B", "https://www.amazon.jobs/jobs/3006938/principal-applied-scientist-delivery-foundation-model-?cmpid=DA_INAD200785B")</f>
        <v/>
      </c>
      <c r="G88" t="inlineStr">
        <is>
          <t>New York, NY, US</t>
        </is>
      </c>
      <c r="H88" s="2" t="n">
        <v>45810</v>
      </c>
      <c r="I88"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9">
      <c r="A89" t="inlineStr">
        <is>
          <t>in-5a507dea7a00c090</t>
        </is>
      </c>
      <c r="B89" t="inlineStr">
        <is>
          <t>Principal Applied Scientist, Delivery Foundation Model</t>
        </is>
      </c>
      <c r="C89" t="inlineStr">
        <is>
          <t>Amazon.com</t>
        </is>
      </c>
      <c r="D89" t="inlineStr">
        <is>
          <t>indeed</t>
        </is>
      </c>
      <c r="E89">
        <f>HYPERLINK("https://www.indeed.com/viewjob?jk=5a507dea7a00c090", "https://www.indeed.com/viewjob?jk=5a507dea7a00c090")</f>
        <v/>
      </c>
      <c r="F89">
        <f>HYPERLINK("https://www.amazon.jobs/jobs/3006938/principal-applied-scientist-delivery-foundation-model-?cmpid=DA_INAD200785B", "https://www.amazon.jobs/jobs/3006938/principal-applied-scientist-delivery-foundation-model-?cmpid=DA_INAD200785B")</f>
        <v/>
      </c>
      <c r="G89" t="inlineStr">
        <is>
          <t>Santa Clara, CA, US</t>
        </is>
      </c>
      <c r="H89" s="2" t="n">
        <v>45810</v>
      </c>
      <c r="I89"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0">
      <c r="A90" t="inlineStr">
        <is>
          <t>in-8a8fe27477c4a156</t>
        </is>
      </c>
      <c r="B90" t="inlineStr">
        <is>
          <t>Principal Applied Scientist, Delivery Foundation Model</t>
        </is>
      </c>
      <c r="C90" t="inlineStr">
        <is>
          <t>Amazon.com</t>
        </is>
      </c>
      <c r="D90" t="inlineStr">
        <is>
          <t>indeed</t>
        </is>
      </c>
      <c r="E90">
        <f>HYPERLINK("https://www.indeed.com/viewjob?jk=8a8fe27477c4a156", "https://www.indeed.com/viewjob?jk=8a8fe27477c4a156")</f>
        <v/>
      </c>
      <c r="F90">
        <f>HYPERLINK("https://www.amazon.jobs/jobs/3006938/principal-applied-scientist-delivery-foundation-model-?cmpid=DA_INAD200785B", "https://www.amazon.jobs/jobs/3006938/principal-applied-scientist-delivery-foundation-model-?cmpid=DA_INAD200785B")</f>
        <v/>
      </c>
      <c r="G90" t="inlineStr">
        <is>
          <t>Austin, TX, US</t>
        </is>
      </c>
      <c r="H90" s="2" t="n">
        <v>45810</v>
      </c>
      <c r="I90"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1">
      <c r="A91" t="inlineStr">
        <is>
          <t>in-a7ec9f8aff03aa90</t>
        </is>
      </c>
      <c r="B91" t="inlineStr">
        <is>
          <t>Senior Applied Scientist, Delivery Foundation Model</t>
        </is>
      </c>
      <c r="C91" t="inlineStr">
        <is>
          <t>Amazon.com</t>
        </is>
      </c>
      <c r="D91" t="inlineStr">
        <is>
          <t>indeed</t>
        </is>
      </c>
      <c r="E91">
        <f>HYPERLINK("https://www.indeed.com/viewjob?jk=a7ec9f8aff03aa90", "https://www.indeed.com/viewjob?jk=a7ec9f8aff03aa90")</f>
        <v/>
      </c>
      <c r="F91">
        <f>HYPERLINK("https://www.amazon.jobs/jobs/2998435/senior-applied-scientist-delivery-foundation-model-?cmpid=DA_INAD200785B", "https://www.amazon.jobs/jobs/2998435/senior-applied-scientist-delivery-foundation-model-?cmpid=DA_INAD200785B")</f>
        <v/>
      </c>
      <c r="G91" t="inlineStr">
        <is>
          <t>New York, NY, US</t>
        </is>
      </c>
      <c r="H91" s="2" t="n">
        <v>45806</v>
      </c>
      <c r="I91"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2">
      <c r="A92" t="inlineStr">
        <is>
          <t>in-0ec006f7e779a98a</t>
        </is>
      </c>
      <c r="B92" t="inlineStr">
        <is>
          <t>Senior Applied Scientist, Delivery Foundation Model</t>
        </is>
      </c>
      <c r="C92" t="inlineStr">
        <is>
          <t>Amazon.com</t>
        </is>
      </c>
      <c r="D92" t="inlineStr">
        <is>
          <t>indeed</t>
        </is>
      </c>
      <c r="E92">
        <f>HYPERLINK("https://www.indeed.com/viewjob?jk=0ec006f7e779a98a", "https://www.indeed.com/viewjob?jk=0ec006f7e779a98a")</f>
        <v/>
      </c>
      <c r="F92">
        <f>HYPERLINK("https://www.amazon.jobs/jobs/2998435/senior-applied-scientist-delivery-foundation-model-?cmpid=DA_INAD200785B", "https://www.amazon.jobs/jobs/2998435/senior-applied-scientist-delivery-foundation-model-?cmpid=DA_INAD200785B")</f>
        <v/>
      </c>
      <c r="G92" t="inlineStr">
        <is>
          <t>Santa Clara, CA, US</t>
        </is>
      </c>
      <c r="H92" s="2" t="n">
        <v>45806</v>
      </c>
      <c r="I92"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3">
      <c r="A93" t="inlineStr">
        <is>
          <t>in-587a7ab9200994cb</t>
        </is>
      </c>
      <c r="B93" t="inlineStr">
        <is>
          <t>Senior Applied Scientist, Delivery Foundation Model</t>
        </is>
      </c>
      <c r="C93" t="inlineStr">
        <is>
          <t>Amazon.com</t>
        </is>
      </c>
      <c r="D93" t="inlineStr">
        <is>
          <t>indeed</t>
        </is>
      </c>
      <c r="E93">
        <f>HYPERLINK("https://www.indeed.com/viewjob?jk=587a7ab9200994cb", "https://www.indeed.com/viewjob?jk=587a7ab9200994cb")</f>
        <v/>
      </c>
      <c r="F93">
        <f>HYPERLINK("https://www.amazon.jobs/jobs/2998435/senior-applied-scientist-delivery-foundation-model-?cmpid=DA_INAD200785B", "https://www.amazon.jobs/jobs/2998435/senior-applied-scientist-delivery-foundation-model-?cmpid=DA_INAD200785B")</f>
        <v/>
      </c>
      <c r="G93" t="inlineStr">
        <is>
          <t>Bellevue, WA, US</t>
        </is>
      </c>
      <c r="H93" s="2" t="n">
        <v>45806</v>
      </c>
      <c r="I93"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4">
      <c r="A94" t="inlineStr">
        <is>
          <t>in-ffd5ff913d518082</t>
        </is>
      </c>
      <c r="B94" t="inlineStr">
        <is>
          <t>Principal Applied Scientist, Delivery Foundation Model</t>
        </is>
      </c>
      <c r="C94" t="inlineStr">
        <is>
          <t>Amazon.com</t>
        </is>
      </c>
      <c r="D94" t="inlineStr">
        <is>
          <t>indeed</t>
        </is>
      </c>
      <c r="E94">
        <f>HYPERLINK("https://www.indeed.com/viewjob?jk=ffd5ff913d518082", "https://www.indeed.com/viewjob?jk=ffd5ff913d518082")</f>
        <v/>
      </c>
      <c r="F94">
        <f>HYPERLINK("https://www.amazon.jobs/jobs/2998635/principal-applied-scientist-delivery-foundation-model-?cmpid=DA_INAD200785B", "https://www.amazon.jobs/jobs/2998635/principal-applied-scientist-delivery-foundation-model-?cmpid=DA_INAD200785B")</f>
        <v/>
      </c>
      <c r="G94" t="inlineStr">
        <is>
          <t>New York, NY, US</t>
        </is>
      </c>
      <c r="H94" s="2" t="n">
        <v>45757</v>
      </c>
      <c r="I94"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5">
      <c r="A95" t="inlineStr">
        <is>
          <t>in-4e798006b80d81ab</t>
        </is>
      </c>
      <c r="B95" t="inlineStr">
        <is>
          <t>Principal Applied Scientist, Delivery Foundation Model</t>
        </is>
      </c>
      <c r="C95" t="inlineStr">
        <is>
          <t>Amazon.com</t>
        </is>
      </c>
      <c r="D95" t="inlineStr">
        <is>
          <t>indeed</t>
        </is>
      </c>
      <c r="E95">
        <f>HYPERLINK("https://www.indeed.com/viewjob?jk=4e798006b80d81ab", "https://www.indeed.com/viewjob?jk=4e798006b80d81ab")</f>
        <v/>
      </c>
      <c r="F95">
        <f>HYPERLINK("https://www.amazon.jobs/jobs/2998635/principal-applied-scientist-delivery-foundation-model-?cmpid=DA_INAD200785B", "https://www.amazon.jobs/jobs/2998635/principal-applied-scientist-delivery-foundation-model-?cmpid=DA_INAD200785B")</f>
        <v/>
      </c>
      <c r="G95" t="inlineStr">
        <is>
          <t>Santa Clara, CA, US</t>
        </is>
      </c>
      <c r="H95" s="2" t="n">
        <v>45757</v>
      </c>
      <c r="I95"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6">
      <c r="A96" t="inlineStr">
        <is>
          <t>in-2e8f9d2e9c680443</t>
        </is>
      </c>
      <c r="B96" t="inlineStr">
        <is>
          <t>Principal Applied Scientist, Delivery Foundation Model</t>
        </is>
      </c>
      <c r="C96" t="inlineStr">
        <is>
          <t>Amazon.com</t>
        </is>
      </c>
      <c r="D96" t="inlineStr">
        <is>
          <t>indeed</t>
        </is>
      </c>
      <c r="E96">
        <f>HYPERLINK("https://www.indeed.com/viewjob?jk=2e8f9d2e9c680443", "https://www.indeed.com/viewjob?jk=2e8f9d2e9c680443")</f>
        <v/>
      </c>
      <c r="F96">
        <f>HYPERLINK("https://www.amazon.jobs/jobs/2998635/principal-applied-scientist-delivery-foundation-model-?cmpid=DA_INAD200785B", "https://www.amazon.jobs/jobs/2998635/principal-applied-scientist-delivery-foundation-model-?cmpid=DA_INAD200785B")</f>
        <v/>
      </c>
      <c r="G96" t="inlineStr">
        <is>
          <t>Bellevue, WA, US</t>
        </is>
      </c>
      <c r="H96" s="2" t="n">
        <v>45757</v>
      </c>
      <c r="I96"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7">
      <c r="A97" t="inlineStr">
        <is>
          <t>in-4dbb4c925cd28cc4</t>
        </is>
      </c>
      <c r="B97" t="inlineStr">
        <is>
          <t>Principal Applied Scientist, FAR (Frontier AI &amp; Robotics)</t>
        </is>
      </c>
      <c r="C97" t="inlineStr">
        <is>
          <t>Amazon.com</t>
        </is>
      </c>
      <c r="D97" t="inlineStr">
        <is>
          <t>indeed</t>
        </is>
      </c>
      <c r="E97">
        <f>HYPERLINK("https://www.indeed.com/viewjob?jk=4dbb4c925cd28cc4", "https://www.indeed.com/viewjob?jk=4dbb4c925cd28cc4")</f>
        <v/>
      </c>
      <c r="F97">
        <f>HYPERLINK("https://www.amazon.jobs/jobs/2938625/principal-applied-scientist-far-frontier-ai--robotics?cmpid=DA_INAD200785B", "https://www.amazon.jobs/jobs/2938625/principal-applied-scientist-far-frontier-ai--robotics?cmpid=DA_INAD200785B")</f>
        <v/>
      </c>
      <c r="G97" t="inlineStr">
        <is>
          <t>Seattle, WA, US</t>
        </is>
      </c>
      <c r="H97" s="2" t="n">
        <v>45740</v>
      </c>
      <c r="I97" t="inlineStr">
        <is>
          <t>**DESCRIPTION**
---------------
Join the next revolution in robotics at Amazon's Frontier AI \&amp; Robotics team, where you'll work alongside world\-renowned AI pioneers to lead key initiatives in robotic intelligence. As a Principal Applied Scientist, you'll spearhead the development of breakthrough foundation models that enable robots to perceive, understand, and interact with the world in unprecedented ways. You'll drive technical excellence in areas such as perception, manipulation, science understanding, sim2real transfer, multi\-modal foundation models, and multi\-task learning, designing novel algorithms that bridge the gap between state\-of\-the\-art research and real\-world deployment at Amazon scale.  
In this role, you'll combine hands\-on technical work with scientific leadership, ensuring your team delivers robust solutions for dynamic real\-world environments. You'll leverage Amazon's vast computational resources to tackle ambitious problems in areas like very large multi\-modal robotic foundation models and efficient, promptable model architectures that can scale across diverse robotic applications.  
Key job responsibilities  
* Lead technical initiatives in robotics foundation models, driving breakthrough approaches through hands\-on research and development in areas like open\-vocabulary panoptic scene understanding, scaling up multi\-modal LLMs, sim2real/real2sim techniques, end\-to\-end vision\-language\-action models, efficient model inference, video tokenization
* Design and implement novel deep learning architectures that push the boundaries of what robots can understand and accomplish
* Guide technical direction for specific research initiatives, ensuring robust performance in production environments
* Mentor and support fellow scientists while maintaining strong individual technical contributions
* Collaborate with engineering teams to optimize and scale models for real\-world applications
* Influence technical decisions and implementation strategies within your area of focus
A day in the life  
* Develop and implement novel foundation model architectures, working hands\-on with our extensive compute infrastructure
* Guide and support fellow scientists in solving complex technical challenges, from sim2real transfer to efficient multi\-task learning
* Lead focused technical initiatives from conception through deployment, ensuring successful integration with production systems
* Drive technical discussions within your team and with key stakeholders
* Conduct experiments and prototype new ideas using our massive compute cluster
* Mentor team members while maintaining significant hands\-on contribution to technical solutions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At Frontier AI \&amp; Robotics, we're not just advancing robotics – we're reimagining it from the ground up. Our team is building the future of intelligent robotics through ground breaking foundation models and end\-to\-end learned systems. We tackle some of the most challenging problems in AI and robotics, from developing sophisticated perception systems to creating adaptive manipulation strategies that work in complex, real\-world scenarios.  
What sets us apart is our unique combination of ambitious research vision and practical impact. We leverage Amazon's massive computational infrastructure and rich real\-world datasets to train and deploy state\-of\-the\-art foundation models. Our work spans the full spectrum of robotics intelligence – from multimodal perception using images, videos, and sensor data, to sophisticated manipulation strategies that can handle diverse real\-world scenarios. We're building systems that don't just work in the lab, but scale to meet the demands of Amazon's global operations.  
Join us if you're excited about pushing the boundaries of what's possible in robotics, working with world\-class researchers, and seeing your innovations deployed at unprecedented scale.**BASIC QUALIFICATIONS**
------------------------
* PhD, or Master's degree and 6\+ years of applied research experience
* 5\+ years of industry or academic research experience
* Experience programming in Java, C\+\+, Python or related language
* 5\+ years of building machine learning models or developing algorithms for business application experience
* Experience in patents or publication at top\-tier conferences (NeurIPS, ICML, ICLR, CVPR, ICCV, RSS, CoRL).
* Extensive track record of leading technical projects.
* Experience mentoring junior scientists / engineers.
* Demonstrated expertise in deep learning and model development.
**PREFERRED QUALIFICATIONS**
----------------------------
* Experience as first\-author publications at major conferences
* Experience leading research initiatives in robotics or foundation models
* Track record of successful production ML deployments
* Experience with large\-scale distributed systems
* Experience in technical leadership and team mentorship
* Experience bridging research with practical engineering implementation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8">
      <c r="A98" t="inlineStr">
        <is>
          <t>in-51787ae150e78afe</t>
        </is>
      </c>
      <c r="B98" t="inlineStr">
        <is>
          <t>Principal Applied Scientist, FAR (Frontier AI &amp; Robotics)</t>
        </is>
      </c>
      <c r="C98" t="inlineStr">
        <is>
          <t>Amazon.com</t>
        </is>
      </c>
      <c r="D98" t="inlineStr">
        <is>
          <t>indeed</t>
        </is>
      </c>
      <c r="E98">
        <f>HYPERLINK("https://www.indeed.com/viewjob?jk=51787ae150e78afe", "https://www.indeed.com/viewjob?jk=51787ae150e78afe")</f>
        <v/>
      </c>
      <c r="F98">
        <f>HYPERLINK("https://www.amazon.jobs/jobs/2938625/principal-applied-scientist-far-frontier-ai--robotics?cmpid=DA_INAD200785B", "https://www.amazon.jobs/jobs/2938625/principal-applied-scientist-far-frontier-ai--robotics?cmpid=DA_INAD200785B")</f>
        <v/>
      </c>
      <c r="G98" t="inlineStr">
        <is>
          <t>San Francisco, CA, US</t>
        </is>
      </c>
      <c r="H98" s="2" t="n">
        <v>45740</v>
      </c>
      <c r="I98" t="inlineStr">
        <is>
          <t>**DESCRIPTION**
---------------
Join the next revolution in robotics at Amazon's Frontier AI \&amp; Robotics team, where you'll work alongside world\-renowned AI pioneers to lead key initiatives in robotic intelligence. As a Principal Applied Scientist, you'll spearhead the development of breakthrough foundation models that enable robots to perceive, understand, and interact with the world in unprecedented ways. You'll drive technical excellence in areas such as perception, manipulation, science understanding, sim2real transfer, multi\-modal foundation models, and multi\-task learning, designing novel algorithms that bridge the gap between state\-of\-the\-art research and real\-world deployment at Amazon scale.  
In this role, you'll combine hands\-on technical work with scientific leadership, ensuring your team delivers robust solutions for dynamic real\-world environments. You'll leverage Amazon's vast computational resources to tackle ambitious problems in areas like very large multi\-modal robotic foundation models and efficient, promptable model architectures that can scale across diverse robotic applications.  
Key job responsibilities  
* Lead technical initiatives in robotics foundation models, driving breakthrough approaches through hands\-on research and development in areas like open\-vocabulary panoptic scene understanding, scaling up multi\-modal LLMs, sim2real/real2sim techniques, end\-to\-end vision\-language\-action models, efficient model inference, video tokenization
* Design and implement novel deep learning architectures that push the boundaries of what robots can understand and accomplish
* Guide technical direction for specific research initiatives, ensuring robust performance in production environments
* Mentor and support fellow scientists while maintaining strong individual technical contributions
* Collaborate with engineering teams to optimize and scale models for real\-world applications
* Influence technical decisions and implementation strategies within your area of focus
A day in the life  
* Develop and implement novel foundation model architectures, working hands\-on with our extensive compute infrastructure
* Guide and support fellow scientists in solving complex technical challenges, from sim2real transfer to efficient multi\-task learning
* Lead focused technical initiatives from conception through deployment, ensuring successful integration with production systems
* Drive technical discussions within your team and with key stakeholders
* Conduct experiments and prototype new ideas using our massive compute cluster
* Mentor team members while maintaining significant hands\-on contribution to technical solutions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At Frontier AI \&amp; Robotics, we're not just advancing robotics – we're reimagining it from the ground up. Our team is building the future of intelligent robotics through ground breaking foundation models and end\-to\-end learned systems. We tackle some of the most challenging problems in AI and robotics, from developing sophisticated perception systems to creating adaptive manipulation strategies that work in complex, real\-world scenarios.  
What sets us apart is our unique combination of ambitious research vision and practical impact. We leverage Amazon's massive computational infrastructure and rich real\-world datasets to train and deploy state\-of\-the\-art foundation models. Our work spans the full spectrum of robotics intelligence – from multimodal perception using images, videos, and sensor data, to sophisticated manipulation strategies that can handle diverse real\-world scenarios. We're building systems that don't just work in the lab, but scale to meet the demands of Amazon's global operations.  
Join us if you're excited about pushing the boundaries of what's possible in robotics, working with world\-class researchers, and seeing your innovations deployed at unprecedented scale.**BASIC QUALIFICATIONS**
------------------------
* PhD, or Master's degree and 6\+ years of applied research experience
* 5\+ years of industry or academic research experience
* Experience programming in Java, C\+\+, Python or related language
* 5\+ years of building machine learning models or developing algorithms for business application experience
* Experience in patents or publication at top\-tier conferences (NeurIPS, ICML, ICLR, CVPR, ICCV, RSS, CoRL).
* Extensive track record of leading technical projects.
* Experience mentoring junior scientists / engineers.
* Demonstrated expertise in deep learning and model development.
**PREFERRED QUALIFICATIONS**
----------------------------
* Experience as first\-author publications at major conferences
* Experience leading research initiatives in robotics or foundation models
* Track record of successful production ML deployments
* Experience with large\-scale distributed systems
* Experience in technical leadership and team mentorship
* Experience bridging research with practical engineering implementation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9">
      <c r="A99" t="inlineStr">
        <is>
          <t>in-2f888456f1d274fe</t>
        </is>
      </c>
      <c r="B99" t="inlineStr">
        <is>
          <t>Data Scientist - Computer Vision, Data &amp; Machine Learning (DML)</t>
        </is>
      </c>
      <c r="C99" t="inlineStr">
        <is>
          <t>Amazon Web Services</t>
        </is>
      </c>
      <c r="D99" t="inlineStr">
        <is>
          <t>indeed</t>
        </is>
      </c>
      <c r="E99">
        <f>HYPERLINK("https://www.indeed.com/viewjob?jk=2f888456f1d274fe", "https://www.indeed.com/viewjob?jk=2f888456f1d274fe")</f>
        <v/>
      </c>
      <c r="F99">
        <f>HYPERLINK("https://www.amazon.jobs/jobs/3171977/data-scientist--computer-vision-data--machine-learning-dml?cmpid=DA_INAD200785B", "https://www.amazon.jobs/jobs/3171977/data-scientist--computer-vision-data--machine-learning-dml?cmpid=DA_INAD200785B")</f>
        <v/>
      </c>
      <c r="G99" t="inlineStr">
        <is>
          <t>Arlington, VA, US</t>
        </is>
      </c>
      <c r="H99" s="2" t="n">
        <v>46051</v>
      </c>
      <c r="I99"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 Exploring the data and brainstorming and prioritizing ideas for model development
* Implementing new features in our sizable code base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Three to four days a week, you would travel to the customer site in Northern Virginia to perform tasking as described below. Weekdays when you do not travel to the customer site, you would work from your local Amazon office.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Apache AirFlow,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 Run data conversion pipelines to transform customer data into the structure needed by models for training
* Perform EDA on the customer data
* Train deep neural network models on overhead imagery
* Develop and implement hyper\-parameter optimization strategies
* Test and Evaluate models and analyze results
* Package and deliver models to the customer
* Incorporate model R\&amp;D from low\-side researchers
* Implement new features to the model development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Experience with AWS services including S3, Redshift, Sagemaker, EMR, Kinesis, Lambda, and EC2
* Current, active US Government Security Clearance of Top Secret or above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effectively communicating complex concepts through written and verbal communication
* Experience in Linux, PyTorch, and Git workflows for MLOps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0">
      <c r="A100" t="inlineStr">
        <is>
          <t>in-2ce12556f5f22aeb</t>
        </is>
      </c>
      <c r="B100" t="inlineStr">
        <is>
          <t>Data Scientist - Computer Vision, Data &amp; Machine Learning (DML)</t>
        </is>
      </c>
      <c r="C100" t="inlineStr">
        <is>
          <t>Amazon Web Services</t>
        </is>
      </c>
      <c r="D100" t="inlineStr">
        <is>
          <t>indeed</t>
        </is>
      </c>
      <c r="E100">
        <f>HYPERLINK("https://www.indeed.com/viewjob?jk=2ce12556f5f22aeb", "https://www.indeed.com/viewjob?jk=2ce12556f5f22aeb")</f>
        <v/>
      </c>
      <c r="F100">
        <f>HYPERLINK("https://www.amazon.jobs/jobs/3171977/data-scientist--computer-vision-data--machine-learning-dml?cmpid=DA_INAD200785B", "https://www.amazon.jobs/jobs/3171977/data-scientist--computer-vision-data--machine-learning-dml?cmpid=DA_INAD200785B")</f>
        <v/>
      </c>
      <c r="G100" t="inlineStr">
        <is>
          <t>Herndon, VA, US</t>
        </is>
      </c>
      <c r="H100" s="2" t="n">
        <v>46051</v>
      </c>
      <c r="I100" t="inlineStr">
        <is>
          <t>**DESCRIPTION**
---------------
This position requires that the candidate selected be a US Citizen and currently possess and maintain an active Top Secret security clearance.  
Join a sizeable team of data scientists, research scientists, and machine learning engineers that develop computer vision models on overhead imagery for a high\-impact government customer. We own the entire machine learning development life cycle, developing models on customer data:
* Exploring the data and brainstorming and prioritizing ideas for model development
* Implementing new features in our sizable code base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Three to four days a week, you would travel to the customer site in Northern Virginia to perform tasking as described below. Weekdays when you do not travel to the customer site, you would work from your local Amazon office. You would work collaboratively with teammates to use and contribute to a well\-maintained code base that the team has developed over the last several years, almost entirely in python. You would have great opportunities to learn from team members and technical leads, while also having opportunities for ownership of important project workflows. You would work with Jupyter Notebooks, the Linux command line, Apache AirFlow, GitLab, and Visual Studio Code. We are a very collaborative team, and regularly teach and learn from each other, so, if you are familiar with some of these technologies, but unfamiliar with others, we encourage you to apply \- especially if you are someone who likes to learn. We are always learning on the job ourselves.  
Key job responsibilities  
With support from technical leads, carry out tasking across the entire machine learning development lifecycle to develop computer vision models on overhead imagery:
* Run data conversion pipelines to transform customer data into the structure needed by models for training
* Perform EDA on the customer data
* Train deep neural network models on overhead imagery
* Develop and implement hyper\-parameter optimization strategies
* Test and Evaluate models and analyze results
* Package and deliver models to the customer
* Incorporate model R\&amp;D from low\-side researchers
* Implement new features to the model development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Experience with AWS services including S3, Redshift, Sagemaker, EMR, Kinesis, Lambda, and EC2
* Current, active US Government Security Clearance of Top Secret or above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effectively communicating complex concepts through written and verbal communication
* Experience in Linux, PyTorch, and Git workflows for MLOps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1">
      <c r="A101" t="inlineStr">
        <is>
          <t>in-c4107f4c20c8254d</t>
        </is>
      </c>
      <c r="B101" t="inlineStr">
        <is>
          <t>Data Scientist- Vision Language Model Researcher, Data &amp; Machine Learning (DML)</t>
        </is>
      </c>
      <c r="C101" t="inlineStr">
        <is>
          <t>Amazon Web Services</t>
        </is>
      </c>
      <c r="D101" t="inlineStr">
        <is>
          <t>indeed</t>
        </is>
      </c>
      <c r="E101">
        <f>HYPERLINK("https://www.indeed.com/viewjob?jk=c4107f4c20c8254d", "https://www.indeed.com/viewjob?jk=c4107f4c20c8254d")</f>
        <v/>
      </c>
      <c r="F101">
        <f>HYPERLINK("https://www.amazon.jobs/jobs/3172308/data-scientist-vision-language-model-researcher-data--machine-learning-dml?cmpid=DA_INAD200785B", "https://www.amazon.jobs/jobs/3172308/data-scientist-vision-language-model-researcher-data--machine-learning-dml?cmpid=DA_INAD200785B")</f>
        <v/>
      </c>
      <c r="G101" t="inlineStr">
        <is>
          <t>Arlington, VA, US</t>
        </is>
      </c>
      <c r="H101" s="2" t="n">
        <v>46051</v>
      </c>
      <c r="I101" t="inlineStr">
        <is>
          <t>**DESCRIPTION**
---------------
This position requires that the candidate selected be a US Citizen and currently possess and maintain an active Top Secret security clearance.  
Join a sizeable team of data scientists, research scientists, and machine learning engineers that develop vision language models (VLMs) on overhead imagery for a high\-impact government customer. We own the entire machine learning development life cycle, developing models on customer data:
* Exploring the data and brainstorming and prioritizing ideas for model development
* Implementing new features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You would work collaboratively with teammates to develop and use a python codebase for fine\-tuning VLMs.
You would have great opportunities to learn from team members and technical leads, while also having opportunities for ownership of important project workflows. You would work with Jupyter Notebooks, the Linux command line, GitLab, and Visual Studio Code.
Key job responsibilities  
With support from technical leads, carry out tasking across the entire machine learning development lifecycle to fine\-tune VLMs on overhead imagery:
* Run data conversion pipelines to transform customer data into the structure needed by models for training
* Perform EDA on the customer data
* Train VLMs on overhead imagery
* Develop and implement hyper\-parameter optimization strategies
* Test and Evaluate models and analyze results
* Package and deliver models to the customer
* Implement new features to the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Current, active US government Security Clearance of TS/SCI
* Familiarity with internals of LLMs, VLMs, and traditional Computer Vision object detection models
* Ability to implement and modify deep neural networks in PyTorch
* Familiarity with techniques and libraries such as Deepspeed/ZeRO, LoRA/QLoRA, or SFT for LLMs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with AWS services including S3, Redshift, Sagemaker, EMR, Kinesis, Lambda, and EC2
* Experience in Linux, Git workflows, and use of satellite imagery for computer vision requirements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2">
      <c r="A102" t="inlineStr">
        <is>
          <t>in-5b663766ff082d33</t>
        </is>
      </c>
      <c r="B102" t="inlineStr">
        <is>
          <t>Data Scientist- Vision Language Model Researcher, Data &amp; Machine Learning (DML)</t>
        </is>
      </c>
      <c r="C102" t="inlineStr">
        <is>
          <t>Amazon Web Services</t>
        </is>
      </c>
      <c r="D102" t="inlineStr">
        <is>
          <t>indeed</t>
        </is>
      </c>
      <c r="E102">
        <f>HYPERLINK("https://www.indeed.com/viewjob?jk=5b663766ff082d33", "https://www.indeed.com/viewjob?jk=5b663766ff082d33")</f>
        <v/>
      </c>
      <c r="F102">
        <f>HYPERLINK("https://www.amazon.jobs/jobs/3172308/data-scientist-vision-language-model-researcher-data--machine-learning-dml?cmpid=DA_INAD200785B", "https://www.amazon.jobs/jobs/3172308/data-scientist-vision-language-model-researcher-data--machine-learning-dml?cmpid=DA_INAD200785B")</f>
        <v/>
      </c>
      <c r="G102" t="inlineStr">
        <is>
          <t>Herndon, VA, US</t>
        </is>
      </c>
      <c r="H102" s="2" t="n">
        <v>46051</v>
      </c>
      <c r="I102" t="inlineStr">
        <is>
          <t>**DESCRIPTION**
---------------
This position requires that the candidate selected be a US Citizen and currently possess and maintain an active Top Secret security clearance.  
Join a sizeable team of data scientists, research scientists, and machine learning engineers that develop vision language models (VLMs) on overhead imagery for a high\-impact government customer. We own the entire machine learning development life cycle, developing models on customer data:
* Exploring the data and brainstorming and prioritizing ideas for model development
* Implementing new features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You would work collaboratively with teammates to develop and use a python codebase for fine\-tuning VLMs.
You would have great opportunities to learn from team members and technical leads, while also having opportunities for ownership of important project workflows. You would work with Jupyter Notebooks, the Linux command line, GitLab, and Visual Studio Code.
Key job responsibilities  
With support from technical leads, carry out tasking across the entire machine learning development lifecycle to fine\-tune VLMs on overhead imagery:
* Run data conversion pipelines to transform customer data into the structure needed by models for training
* Perform EDA on the customer data
* Train VLMs on overhead imagery
* Develop and implement hyper\-parameter optimization strategies
* Test and Evaluate models and analyze results
* Package and deliver models to the customer
* Implement new features to the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Current, active US government Security Clearance of TS/SCI
* Familiarity with internals of LLMs, VLMs, and traditional Computer Vision object detection models
* Ability to implement and modify deep neural networks in PyTorch
* Familiarity with techniques and libraries such as Deepspeed/ZeRO, LoRA/QLoRA, or SFT for LLMs
**PREFERRED QUALIFICATIONS**
----------------------------
* Master's degree or above in computer science, machine learning, engineering, or related fields
* Knowledge of machine learning concepts and their application to reasoning and problem\-solving
* Experience working on multi\-team, cross\-disciplinary projects
* Experience with AWS services including S3, Redshift, Sagemaker, EMR, Kinesis, Lambda, and EC2
* Experience in Linux, Git workflows, and use of satellite imagery for computer vision requirements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3">
      <c r="A103" t="inlineStr">
        <is>
          <t>in-78cd05b5f2002acc</t>
        </is>
      </c>
      <c r="B103" t="inlineStr">
        <is>
          <t>Applied Scientist, Alexa Smart Home</t>
        </is>
      </c>
      <c r="C103" t="inlineStr">
        <is>
          <t>Amazon.com</t>
        </is>
      </c>
      <c r="D103" t="inlineStr">
        <is>
          <t>indeed</t>
        </is>
      </c>
      <c r="E103">
        <f>HYPERLINK("https://www.indeed.com/viewjob?jk=78cd05b5f2002acc", "https://www.indeed.com/viewjob?jk=78cd05b5f2002acc")</f>
        <v/>
      </c>
      <c r="F103">
        <f>HYPERLINK("https://www.amazon.jobs/jobs/3169205/applied-scientist-alexa-smart-home?cmpid=DA_INAD200785B", "https://www.amazon.jobs/jobs/3169205/applied-scientist-alexa-smart-home?cmpid=DA_INAD200785B")</f>
        <v/>
      </c>
      <c r="G103" t="inlineStr">
        <is>
          <t>Sunnyvale, CA, US</t>
        </is>
      </c>
      <c r="H103" s="2" t="n">
        <v>46033</v>
      </c>
      <c r="I103"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104">
      <c r="A104" t="inlineStr">
        <is>
          <t>in-b43ba81109ccf2d7</t>
        </is>
      </c>
      <c r="B104" t="inlineStr">
        <is>
          <t>Applied Scientist, Alexa Smart Home</t>
        </is>
      </c>
      <c r="C104" t="inlineStr">
        <is>
          <t>Amazon.com</t>
        </is>
      </c>
      <c r="D104" t="inlineStr">
        <is>
          <t>indeed</t>
        </is>
      </c>
      <c r="E104">
        <f>HYPERLINK("https://www.indeed.com/viewjob?jk=b43ba81109ccf2d7", "https://www.indeed.com/viewjob?jk=b43ba81109ccf2d7")</f>
        <v/>
      </c>
      <c r="F104">
        <f>HYPERLINK("https://www.amazon.jobs/jobs/3169205/applied-scientist-alexa-smart-home?cmpid=DA_INAD200785B", "https://www.amazon.jobs/jobs/3169205/applied-scientist-alexa-smart-home?cmpid=DA_INAD200785B")</f>
        <v/>
      </c>
      <c r="G104" t="inlineStr">
        <is>
          <t>Seattle, WA, US</t>
        </is>
      </c>
      <c r="H104" s="2" t="n">
        <v>46033</v>
      </c>
      <c r="I104"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li-4360585937</t>
        </is>
      </c>
      <c r="B2" t="inlineStr">
        <is>
          <t>Product Data Scientist, Payments</t>
        </is>
      </c>
      <c r="C2" t="inlineStr">
        <is>
          <t>Uber</t>
        </is>
      </c>
      <c r="D2" t="inlineStr">
        <is>
          <t>linkedin</t>
        </is>
      </c>
      <c r="E2">
        <f>HYPERLINK("https://www.linkedin.com/jobs/view/4360585937", "https://www.linkedin.com/jobs/view/4360585937")</f>
        <v/>
      </c>
      <c r="F2">
        <f>HYPERLINK("https://tnl2.jometer.com/v2/job?jz=5wqzsa34d1e86f101c6a3c2f6c48c9f6ad1a5KIAGUCAAAABQ&amp;iis=Job%20Board%20-%20Recruitment%20Marketing&amp;iisn=LinkedIn&amp;urlHash=MGA2", "https://tnl2.jometer.com/v2/job?jz=5wqzsa34d1e86f101c6a3c2f6c48c9f6ad1a5KIAGUCAAAABQ&amp;iis=Job%20Board%20-%20Recruitment%20Marketing&amp;iisn=LinkedIn&amp;urlHash=MGA2")</f>
        <v/>
      </c>
      <c r="G2" t="inlineStr">
        <is>
          <t>San Francisco, CA</t>
        </is>
      </c>
      <c r="H2" t="inlineStr"/>
      <c r="I2" t="inlineStr">
        <is>
          <t>**About The Role**
 We are looking for a Data Scientist to join our Payments Science team and make significant contributions to our mission to streamline and optimize Uber's global payment experiences.
 You will work with product managers, engineers and fellow data scientists to shape the direction of one or more products within Payments. You will work on fast\-moving, high\-stakes problems reaching a global audience. A deep analytical passion and the ability to execute on key business priorities is a must for this role.
**What The Candidate Will Need / Bonus Points**
 \-\-\-\- What the Candidate Will Do \-\-\-\-
* Analyze key data assets to understand our payment experiences.
* Develop and monitor strategic metrics and understand all underlying drivers.
* Design and run experiments to analyze the impact of product changes.
* Deep dive into data to evaluate proposed product changes and identify opportunities for improving the user experience.
* Collaborate with product managers and other business leaders to make decisions based on data insights and experiment results.
* Communicate your findings to cross functional peers and management.
**Basic Qualifications**
* Bachelors or M.S. with a degree in Statistics, Economics, Computer Science, or other quantitative fields.
* 3yrs\+ experience in improving products, understanding the user journey and extracting insights from data.
* You know SQL in and out and also are comfortable with using Python and R when needed.
* 3yrs\+ experience in launching multiple experiments (such as A/B experiments) and an expert in experimental design and using statistical methods in exploratory analysis.
* Advanced experience with dashboarding/data visualization (i.e. Google Data Studio, Tableau, Mixpanel, Looker or similar).
* Ability to work in a self\-guided manner and deliver on tight timelines and prioritize tasks while maintaining quality and detail.
* Strong communication and organization skills and able to communicate with a diverse set of stakeholders.
**Preferred Qualifications**
* Experience with causal inference and statistical methods.
* Data engineering/pipeline creation experience.
* Prior experience within the payments or fintech industry.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3">
      <c r="A3" t="inlineStr">
        <is>
          <t>li-4360556962</t>
        </is>
      </c>
      <c r="B3" t="inlineStr">
        <is>
          <t>Product Data Scientist, Payments</t>
        </is>
      </c>
      <c r="C3" t="inlineStr">
        <is>
          <t>Uber</t>
        </is>
      </c>
      <c r="D3" t="inlineStr">
        <is>
          <t>linkedin</t>
        </is>
      </c>
      <c r="E3">
        <f>HYPERLINK("https://www.linkedin.com/jobs/view/4360556962", "https://www.linkedin.com/jobs/view/4360556962")</f>
        <v/>
      </c>
      <c r="F3" t="inlineStr"/>
      <c r="G3" t="inlineStr">
        <is>
          <t>Sunnyvale, CA</t>
        </is>
      </c>
      <c r="H3" t="inlineStr"/>
      <c r="I3" t="inlineStr">
        <is>
          <t>**About The Role**
 We are looking for a Data Scientist to join our Payments Science team and make significant contributions to our mission to streamline and optimize Uber's global payment experiences.
 You will work with product managers, engineers and fellow data scientists to shape the direction of one or more products within Payments. You will work on fast\-moving, high\-stakes problems reaching a global audience. A deep analytical passion and the ability to execute on key business priorities is a must for this role.
**What The Candidate Will Need / Bonus Points**
 \-\-\-\- What the Candidate Will Do \-\-\-\-
* Analyze key data assets to understand our payment experiences.
* Develop and monitor strategic metrics and understand all underlying drivers.
* Design and run experiments to analyze the impact of product changes.
* Deep dive into data to evaluate proposed product changes and identify opportunities for improving the user experience.
* Collaborate with product managers and other business leaders to make decisions based on data insights and experiment results.
* Communicate your findings to cross functional peers and management.
**Basic Qualifications**
* Bachelors or M.S. with a degree in Statistics, Economics, Computer Science, or other quantitative fields.
* 3yrs\+ experience in improving products, understanding the user journey and extracting insights from data.
* You know SQL in and out and also are comfortable with using Python and R when needed.
* 3yrs\+ experience in launching multiple experiments (such as A/B experiments) and an expert in experimental design and using statistical methods in exploratory analysis.
* Advanced experience with dashboarding/data visualization (i.e. Google Data Studio, Tableau, Mixpanel, Looker or similar).
* Ability to work in a self\-guided manner and deliver on tight timelines and prioritize tasks while maintaining quality and detail.
* Strong communication and organization skills and able to communicate with a diverse set of stakeholders.
**Preferred Qualifications**
* Experience with causal inference and statistical methods.
* Data engineering/pipeline creation experience.
* Prior experience within the payments or fintech industry.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San Francisco, CA\-based roles: The base salary range for this role is USD$142,000 per year \- USD$158,000 per year. For Sunnyvale, CA\-based roles: The base salary range for this role is USD$142,000 per year \- USD$158,000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4">
      <c r="A4" t="inlineStr">
        <is>
          <t>li-4363542004</t>
        </is>
      </c>
      <c r="B4" t="inlineStr">
        <is>
          <t>Data Scientist, Innovation Lab (US Remote)</t>
        </is>
      </c>
      <c r="C4" t="inlineStr">
        <is>
          <t>Experian</t>
        </is>
      </c>
      <c r="D4" t="inlineStr">
        <is>
          <t>linkedin</t>
        </is>
      </c>
      <c r="E4">
        <f>HYPERLINK("https://www.linkedin.com/jobs/view/4363542004", "https://www.linkedin.com/jobs/view/4363542004")</f>
        <v/>
      </c>
      <c r="F4" t="inlineStr"/>
      <c r="G4" t="inlineStr"/>
      <c r="H4" t="inlineStr"/>
      <c r="I4" t="inlineStr">
        <is>
          <t>Job Posting \- Salary Range: $133,109 \- $239,596
**Company Description**
 Experian is a global data and technology company, powering opportunities for people and businesses around the world. We help to redefine lending practices, uncover and prevent fraud, simplify healthcare, create marketing solutions, and gain deeper insights into the automotive market, all using our unique combination of data, analytics and software. We also assist millions of people to work towards their financial goals and help them save time and money.
 We operate across a range of markets, from financial services to healthcare, automotive, agribusiness, insurance, and many more industry segments.
 We invest in people and new advanced technologies to unlock the power of data. As a FTSE 100 Index company listed on the London Stock Exchange (EXPN), we have a team of 22,500 people across 32 countries. Our corporate headquarters are in Dublin, Ireland. Learn more at experianplc.com.
**Job Description**
 The Experian Innovation Lab is a research and development unit at Experian formed with the desire to work in collaboration with Experian's teams to enhance relationships with clients and acquire strategic datasets. Using our comprehensive understanding of individuals, markets and economies, we help organizations develop customer relationships to make their businesses more profitable.
 As a Data Scientist at the Experian Innovation Lab, you will help develop analytical solutions, contributing to product prototypes, and helping evaluate data assets. You will bring experience in predictive modeling, machine learning, and deep learning to this position. You will report into the Sr. Principal Data Scientist
**You'll Have Opportunity To**
* Create advanced machine learning analytical solutions to extract insights from diverse structured and unstructured data sources.
* Unearth data value by selecting and applying the right machine learning, deep learning and processing techniques.
* Refine data manipulation and retrieval through the design of efficient data structures and storage solutions.
* Innovate with tools designed for data processing and information retrieval.
* Dissect and document vast datasets, analyzing them to highlight patterns and insights.
* Solve complex challenges by developing impactful algorithms.
* Ensure model excellence by validating performance scores and analyzing Return on investment and benefits.
* Articulate model processes and outcomes, documenting and presenting findings and performance metrics.
**Qualifications**
* Master's degree or higher in Machine Learning, Data Science, AI, Computer Science, or a related quantitative field.
* 1 or more years of experience in AI, data science, or predictive modeling
* Proficiency in at least one programming language, with coding skills in Python
* Experience with deep learning (CNN, RNN, LSTM, attention models), machine learning methodologies (SVM, GLM, boosting, random forest), graph models, or, reinforcement learning.
* Experience with open\-source tools for deep learning and machine learning technology such as pytorch, Keras, tensorflow, scikit\-learn, pandas.
* Experience with large data analysis using Spark (pySpark)
* Experience with LLMs and the relevant tools in the Generative AI domain.
* Experience developing advanced language models
* Experience applying Generative AI\-based tools
* Experience with Hadoop and NoSQL related technologies such as Map Reduce, Hive, HBase, mongoDB, Cassandra.
* Experience modifying and applying advanced algorithms to address practical problems
**Benefits/Perks**
**Additional Information**
* Great compensation package and bonus plan
* Core benefits including medical, dental, vision, and matching 401K
* Flexible work environment, ability to work remote, hybrid or in\-office
* Flexible time off including volunteer time off, vacation, sick and 12\-paid holidays
* Explore all our exciting benefits here: https://yourexperianbenefits.com/cand\-index.html
 Experian is proud to be an Equal Opportunity and Affirmative Action employer. Innovation is an important part of Experian's DNA and practices, and our diverse workforce drives our success. Everyone can succeed at Experian and bring their whole self to work, irrespective of their gender, ethnicity, religion, color, sexuality, physical ability or age. If you have a disability or special need that requires accommodation, please let us know at the earliest opportunity.</t>
        </is>
      </c>
    </row>
    <row r="5">
      <c r="A5" t="inlineStr">
        <is>
          <t>li-4369357207</t>
        </is>
      </c>
      <c r="B5" t="inlineStr">
        <is>
          <t>Data Scientist</t>
        </is>
      </c>
      <c r="C5" t="inlineStr">
        <is>
          <t>Cisco</t>
        </is>
      </c>
      <c r="D5" t="inlineStr">
        <is>
          <t>linkedin</t>
        </is>
      </c>
      <c r="E5">
        <f>HYPERLINK("https://www.linkedin.com/jobs/view/4369357207", "https://www.linkedin.com/jobs/view/4369357207")</f>
        <v/>
      </c>
      <c r="F5" t="inlineStr"/>
      <c r="G5" t="inlineStr">
        <is>
          <t>Durham, NC</t>
        </is>
      </c>
      <c r="H5" t="inlineStr"/>
      <c r="I5" t="inlineStr">
        <is>
          <t>The application window is expected to close on: 02/10/2026
**Job posting may be removed earlier if the position is filled or if a sufficient number of applications are received** 
 .
 Meet the Team
 The Cisco IT’s User Experience Research and Analytics vision is to create a world world\-class and engaging workplace experience, leading with human\-centered design, that enables people to do their best work. We are passionate about our employees, and we are driven to create a productive environment where we all can be ourselves and bring our whole self to work! We are transforming how Cisco designs and delivers the employee experience based on a culture that values a mindset of customer service, speed \&amp; agility in all we do, and are kind to each other. As part of the User Experience Research and Analytics organization, we are responsible for using data to identify actionable insights to improve the overall employee experience
 Your Impact
 Data Scientist designs, develops and programs methods, processes, and systems to consolidate and analyze unstructured, diverse “big data” sources to generate actionable insights and solutions for client services and product enhancement. Interacts with product and service teams to identify questions and issues for data analysis and experiments. Develops and codes software programs, algorithms and automated processes to cleanse, integrate and evaluate large datasets from multiple disparate sources. Identifies meaningful insights from large data and metadata sources; interprets and communicates insights and findings from analysis and experiments to product, service, and business managers. Incumbents whose primary role is technical and focused on data storage, warehousing and systems architecture should be matched to Database Engineer or Storage Engineer. Incumbents whose focus is the quantitative analysis of complex business problems and issues using data from internal and external sources to provide insight to decision\-makers should be matched to Business Intelligence. Incumbents whose primary role is technical and focused on designing and building system\-generated reports, reporting tools and dashboards for data generation should be matched to Data Informatics. Incumbents whose focus is primarily on experimental design and advanced or complex statistical analysis and modeling of datasets should be matched to Statistician/Mathematician. This is a product engineering role in which employees work with multiple types of business data. Incumbents whose focus is primarily on analysis and modeling of financial, marketing or pricing data should be matched to Finance, Market Research or Pricing as appropriate. May be internal operations\-focused or external client\-focused, working in conjunction with Professional Services and outsourcing functions.
* May lead projects with limited complexity (e.g., shorter time horizon, applying existing models) from technical design through completion
* Applies advanced analytics techniques
* Conducts statistical analyses
* Explores correlations between disparate data sets to clean data into a usable and scalable format
* Applies algorithms using a variety of advanced science techniques, drawing on an understanding of the source domain and knowledge of systems and solutions
* Communicates analytical findings, including through reports, briefings, presentations, and strong data visualization skills
* Develops and executes new engineering features; understands common data science tools and identifies the best tool to align to the business problem
* Tests algorithms and systems (e.g., ML, NLP, NLU)
* Supports deployment of data science models into production
* Collects information and works with contacts in the business to understand issues
* Suggests the most effective data science tools to develop clear and actionable problem statements
* Assists and supports more senior colleagues on research projects
* Contributes to patent applications and publication efforts
**Minimum Qualifications**
 Bachelors degree with \+ 5 years of related experience, or Masters \+ 3 years of related experience, or PhD \+ 0 years of related experience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$134,600\.00 to $177,200\.00 and reflects the projected salary range for new hires in this position in U.S. and/or Canada locations, not including incentive compensation\*, equity, or benefits.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matching contribution, paid parental leave, short and long\-term disability coverage, and basic life insurance. Please see the Cisco careers site to discover more benefits and perks. Employees may be eligible to receive grants of Cisco restricted stock units, which vest following continued employment with Cisco for defined periods of time.
 U.S. employees are eligible for paid time away as described below, subject to Cisco’s policies:
* 10 paid holidays per full calendar year, plus 1 floating holiday for non\-exempt employees
* 1 paid day off for employee’s birthday, paid year\-end holiday shutdown, and 4 paid days off for personal wellness determined by Cisco
* Non\-exempt employees\*\* receive 16 days of paid vacation time per full calendar year, accrued at rate of 4\.92 hours per pay period for full\-time employees
* Exempt employees participate in Cisco’s flexible vacation time off program, which has no defined limit on how much vacation time eligible employees may use (subject to availability and some business limitations)
* 80 hours of sick time off provided on hire date and each January 1st thereafter, and up to 80 hours of unused sick time carried forward from one calendar year to the next
* Additional paid time away may be requested to deal with critical or emergency issues for family members
* Optional 10 paid days per full calendar year to volunteer
 For non\-sales roles, employees are also eligible to earn annual bonuses subject to Cisco’s policies.
 Employees On Sales Plans Earn Performance\-based Incentive Pay On Top Of Their Base Salary, Which Is Split Between Quota And Non\-quota Components, Subject To The Applicable Cisco Plan. For Quota\-based Incentive Pay, Cisco Typically Pays As Follows
* .75% of incentive target for each 1% of revenue attainment up to 50% of quota;
* 1\.5% of incentive target for each 1% of attainment between 50% and 75%;
* 1% of incentive target for each 1% of attainment between 75% and 100%; and
* Once performance exceeds 100% attainment, incentive rates are at or above 1% for each 1% of attainment with no cap on incentive compensation.
 For non\-quota\-based sales performance elements such as strategic sales objectives, Cisco may pay 0% up to 125% of target. Cisco sales plans do not have a minimum threshold of performance for sales incentive compensation to be paid.
 The applicable full salary ranges for this position, by specific state, are listed below:
**New York City Metro Area**
 $155,900\.00 \- $246,200\.00
**Non\-Metro New York State \&amp; Washington State**
 $149,600\.00 \- $218,500\.00
* For quota\-based sales roles on Cisco’s sales plan, the ranges provided in this posting include base pay and sales target incentive compensation combined.
* Employees in Illinois, whether exempt or non\-exempt, will participate in a unique time off program to meet local requirements.</t>
        </is>
      </c>
    </row>
    <row r="6">
      <c r="A6" t="inlineStr">
        <is>
          <t>li-4359250238</t>
        </is>
      </c>
      <c r="B6" t="inlineStr">
        <is>
          <t>Applied Data Scientist</t>
        </is>
      </c>
      <c r="C6" t="inlineStr">
        <is>
          <t>Vouch Insurance</t>
        </is>
      </c>
      <c r="D6" t="inlineStr">
        <is>
          <t>linkedin</t>
        </is>
      </c>
      <c r="E6">
        <f>HYPERLINK("https://www.linkedin.com/jobs/view/4359250238", "https://www.linkedin.com/jobs/view/4359250238")</f>
        <v/>
      </c>
      <c r="F6" t="inlineStr"/>
      <c r="G6" t="inlineStr"/>
      <c r="H6" t="inlineStr"/>
      <c r="I6" t="inlineStr">
        <is>
          <t>**About Vouch**
 Vouch is the insurance broker that powers ambition.
 We’re a tech\-enabled insurance advisory and brokerage purpose\-built for growing companies in technology, life sciences, and professional services. Our clients are ambitious leaders building complex businesses, and we help them manage risk with tailored advice, smart coverage, and responsive service.
 Backed by over $200M from world\-class investors, Vouch combines deep industry expertise with AI\-powered tools to deliver a better insurance experience. Our digital workflows reduce friction, speed up decisions, and give our clients the confidence to move faster.
****Why should you join our team and Vouch?****
 Not only is this an exciting and growing team where you can drive a real impact on our operational scalability, but Vouch is also the preferred insurance provider to customers of Y Combinator, Brex, Carta, and WeWork. We’re a quickly growing startup that believes in transparency and acknowledgment with our team members and cultivating a values\-driven company. Our values are "Be Client Obsessed", "Own it together", "Act with integrity and empathy", "Stay Curious and Grow", and "Empower People."
****What does a work environment look like at Vouch?****
 Vouch has employees located across the U.S., with offices in San Francisco, Chicago, and New York City. This role can be based anywhere in the U.S. as long as you can work our Vouch core collaboration hours (8:30 am\-2:30 pm Pacific Time) when most internal meetings are held.
**About The Role**
 We’re looking for an Applied Data Scientist who is excited about using data and modern AI – especially large language models (LLMs) – to build and iterate on product features.
 We’re looking for someone who genuinely enjoys working with messy, imperfect, real\-world data – the kind that never quite fits the schema, arrives late, has surprises hidden inside it, and reflects actual user behavior. You should find energy in tracking down anomalies, debugging unexpected patterns, and getting to the root cause of data issues that affect product decisions and AI features.
 This role also requires a high\-ownership mindset: you don’t just answer questions – you help define which behaviors matter. You proactively identify data quality issues, measurement gaps, and opportunities for product improvement, and you drive these changes across the organization with persistence and clarity.
 You’ll work with real\-world transactional data (both SQL and NoSQL), design and ship LLM\-powered experiences, and own the product analytics that measure their impact. You’ll help define what to build, how to measure it, and what to do next based on the data. This is neither a research scientist nor software engineering role – strong SQL, Python, proof\-of\-concept development, and product analytics skills as well as experience working with production data systems are what matter most.
**What You’ll Do**
****Build and iterate on LLM \&amp; AI\-powered product features****
* Design, prototype, and ship features that use LLMs (e.g., content generation, summarization, classification, semantic search, assistants, recommendations).
* Work with engineers to integrate LLMs into the product via APIs or internal services (RAG, tools/functions calling, workflows, pipelines).
* Define evaluation strategies for LLM features (e.g., human\-in\-the\-loop evaluation, rubrics, prompt experiments, offline/online metrics).
* Continuously refine prompts, data pipelines, and system design based on user behavior, quality metrics, and product goals.
****Own product analytics for data\- \&amp; AI\-powered features****
* Partner with product managers and designers to define success metrics (e.g., adoption, engagement, conversion, retention, quality, time\-to\-value).
* Instrument new features: define events, ensure proper logging, and validate that data is correct and trustworthy.
* Analyze funnels, cohorts, user journeys, and experiment results to understand drivers of behavior and outcomes.
* Translate insights into clear recommendations that influence roadmaps, prioritization, and feature iteration.
****Work with real\-world transactional data (SQL \&amp; NoSQL)****
* Explore, clean, and transform data from transactional (OLTP), analytical (OLAP), and event\-based systems.
* Work across SQL (e.g., Postgres, Snowflake) and NoSQL (e.g., Redis, document/Key\-Value stores).
* Design data assets and features that are usable by both analytics workflows and LLM/ML systems.
****Data quality, measurement, and monitoring****
* Define and track data quality metrics (completeness, consistency, timeliness, drift, schema changes).
* Build checks, monitors, and alerts to detect data issues that can affect analytics or AI/LLM performance.
* Work with data and engineering teams to diagnose root causes and drive changes that improve data quality over time.
****Applied ML fundamentals****
* Use core ML concepts (feature design, model evaluation, bias/variance, generalization) to reason about LLM and non\-LLM approaches.
* When appropriate, build and evaluate lighter\-weight or traditional models (e.g., scoring, ranking, classification) to complement or replace LLM solutions.
**About You**
* A track record of high ownership: taking responsibility for problems end\-to\-end, improving systems rather than just describing them, and pushing initiatives across product, engineering, and data.
* A genuine love for messy, real\-world data, and the curiosity to dig into anomalies until you understand what's really happening.
* Hands\-on experience with real\-world transactional data in production environments, including messy, incomplete, or biased data.
* Demonstrated experience improving data quality in production environments.
* Demonstrated experience shipping LLM\-based product features, such as:
* 
+ Using hosted LLM APIs or in\-house models
+ Designing prompts and workflows
+ Evaluating and iterating on LLM behavior using real user data
* Experience in product analytics, including:
* 
+ Defining and tracking product KPIs and feature\-level metrics
+ Building and interpreting funnels, cohorts, and retention/engagement analyses
+ Influencing product decisions and roadmaps with data\-driven insights
* Experience measuring and improving data quality, and working with engineering to fix upstream issues.
* Strong communication skills: ability to work cross\-functionally and explain technical decisions and trade\-offs to non\-technical partners.
* Strong SQL skills: complex joins, window functions, CTEs, and performance\-aware querying.
* Solid Python skills for data and AI work (e.g., pandas, NumPy, scikit\-learn; OpenAI, Anthropic, and Gemini LLM libraries/frameworks).
* Formal education in machine learning concepts, such as:
* 
+ Supervised/unsupervised learning
+ Model selection and regularization
+ Evaluation methodologies (train/validation/test splits, cross\-validation, experiment design)
**Nice To Have**
* Experience with LLM tooling and patterns (e.g., RAG, vector databases, prompt/tool orchestration frameworks).
* Familiarity with experimentation platforms and A/B testing frameworks.
* Exposure to MLOps / LLMOps: model versioning, monitoring model \&amp; LLM feature performance, feedback loops.
* Experience with cloud data platforms (AWS, GCP, or Azure) and tools like Snowflake, dbt, or Dagster.
**What This Role Is Not**
* A pure research role focused on publishing papers or building models in isolation from product.
* A heavy production engineering role requiring expert\-level distributed systems skills.
* A pure BI role limited to reporting, with no involvement in AI/LLM feature development.
 If you’re excited about applying LLMs and data to build real product features – and you enjoy owning the analytics and iteration loop around them – we’d love to hear from you.
****Vouch provides several benefits to help you bring your best self to work:****
* 💰 Competitive compensation and equity packages
* ⚕️ Health, dental, and vision insurance
* 🍼 Parental leave
* 🌴 Flexible vacation time
* 🪷 Wellness allowance
* 🛜 Technology allowance
* 📚 Company\-sponsored personal and professional development
* 🏫 L\&amp;D: Partnerships with Ethena and monthly Lunch \&amp; Learns
* 🧘 Wellbeing: access to many wellbeing perks, including Peloton, Fetch, OneMedical, Headspace care\+, etc.
* 🤗 Caregiver Support: company seed into the dependent care FSA and company sponsored Care.com membership.
* 📊 Regular performance reviews: Vouch conducts regular performance discussions with all team members, offering goal setting and check\-ins, development discussions, and promotion opportunities.
**What To Expect In a Typical Interview Process**
**(Please note these steps may vary slightly depending on the role)**
* 30\-minute phone call with our recruiting team
* 30\-45 minute video interview with the hiring manager
* Case study/technical screen
* Meet the team! 30\-45 min 1:1 video discussion with 3\-4 team members you’d work closely with in the role
* Executive chat
**Compensation Philosophy**
 Our salary ranges are based on paying competitively for our size and industry and are part of our total compensation package, which also includes benefits and other perks. We also include stock options in all compensation packages and believe all Vouch employees should have the opportunity to become owners in the company. Individual pay decisions are based on a number of factors, including qualifications for the role, experience level, skill set, location, and business need. The pay range provided is subject to change and may be modified in the future.
**Vouch believes in putting our people first, and building a diverse team is at the front of everything we do. We welcome people from different backgrounds, experiences, perspectives, and ranges of abilities. We are an equal\-opportunity employer and celebrate the diversity of our growing team.**
**If you require reasonable accommodation to complete this application, interview, complete any pre\-employment testing, or otherwise participate in the employee selection process, please direct your inquiries to**
**recruiting@vouch.us**
 .
**The Pay Range For This Role Is**
 175,000 \- 200,000 USD per year (Remote (United States))</t>
        </is>
      </c>
    </row>
    <row r="7">
      <c r="A7" t="inlineStr">
        <is>
          <t>li-4369332029</t>
        </is>
      </c>
      <c r="B7" t="inlineStr">
        <is>
          <t>Senior Data Scientist, GeminiApp</t>
        </is>
      </c>
      <c r="C7" t="inlineStr">
        <is>
          <t>Google DeepMind</t>
        </is>
      </c>
      <c r="D7" t="inlineStr">
        <is>
          <t>linkedin</t>
        </is>
      </c>
      <c r="E7">
        <f>HYPERLINK("https://www.linkedin.com/jobs/view/4369332029", "https://www.linkedin.com/jobs/view/4369332029")</f>
        <v/>
      </c>
      <c r="F7" t="inlineStr"/>
      <c r="G7" t="inlineStr"/>
      <c r="H7" t="inlineStr"/>
      <c r="I7" t="inlineStr">
        <is>
          <t>**About The Team**
 Our team, GeminiApp, is on a mission to build a universal AI assistant that will empower billions of people. We are creating a personal, proactive, and powerful life assistant that will be used multiple times a day to increase productivity and creativity by 10 to 100\-fold. Our work is shaping how humanity interacts with AI at scale.
**About The Role**
 As a Data Scientist on the GeminiApp team, you are a key partner and co\-creator in our product strategy. You will be instrumental in building a uniquely proactive and powerful assistant by ensuring our strategic decisions are grounded in data. This is a high\-impact role for a data scientist who is excited about working in a fast\-paced, innovative environment and who is passionate about building user\-centered experiences that will redefine our relationship with technology.
**What You’ll Do**
* Partner with product, engineering, and UX to develop data\-driven product strategies
* Translate ambiguous questions into well\-defined problems, design experiments, and analyze large complex datasets for insights
* Develop and implement novel, goal\-oriented metrics
* Build and deploy statistical/ML models to understand our users, enhance product capabilities and personalize user experience
* Communicate findings \&amp; recommendations to stakeholders, including executives
* Champion data\-driven culture by feeding user engagement insights back into models
* Collaborate with the GenAI team on model quality and feature adoption
* Act as a technical leader for the local team, guiding junior members on complex analyses and upholding best practices to ensure high\-quality, impactful work \[For L6 only]
**What We're Looking For**
* A bias for action and a relentless drive to build something great. You are a resourceful and creative problem\-solver, able to find innovative solutions in a fast\-paced and dynamic environment. You are comfortable with ambiguity and thrive on a challenge.
* Strong business acumen and a strategic mindset. You have a proven ability to connect data\-driven insights to business impact and can effectively translate business needs into data science problems.
* Deep technical expertise. You have a strong foundation in statistical modeling, machine learning, and experimental design. You are proficient in SQL and have hands\-on experience with a programming language like Python or R.
* Exceptional communication and presentation skills. You can articulate complex technical concepts to both technical and non\-technical audiences, including executive leadership. You are a compelling storyteller who can use data to influence decisions.
* A collaborative and influential partner. You have a track record of successfully collaborating with and influencing cross\-functional teams, particularly engineering and product management, to drive data\-informed decisions. You are ready to work in an environment with a shared roadmap that holds multiple teams accountable for both model quality and feature adoption.
* A commitment to user trust and privacy. You understand the importance of telling users what data is being used and why, and you are committed to providing users with granular, easy\-to\-understand controls over their personal information.
**Why You'll Love Working Here**
* Impact: You'll have a direct and meaningful impact on a product designed to empower billions of people and be one of the greatest forces for good in the world.
* Growth: We're a fast\-growing team within Google, and you'll have the opportunity to evolve quickly to meet changing user needs.
* Team \&amp; Culture: You'll work with a talented and passionate team of people who are excited about what they do and have fun doing it.
*The US base salary range for this full\-time position is between $166,000 USD \- 244,000 USD \+ bonus \+ equity \+ benefits. Your recruiter can share more about the specific salary range for your targeted location during the hiring process.*
*Note: In the event your application is successful and an offer of employment is made to you, any offer of employment will be conditional on the results of a background check, performed by a third party acting on our behalf. For more information on how we handle your data, please see our Applicant and Candidate Privacy Policy*
*At Google DeepMind, we value diversity of experience, knowledge, backgrounds and perspectives and harness these qualities to create extraordinary impact. We are committed to equal employment opportunity regardless of sex, race, religion or belief, ethnic or national origin, disability, age, citizenship, marital, domestic or civil partnership status, sexual orientation, gender identity, pregnancy, or related condition (including breastfeeding) or any other basis as protected by applicable law. If you have a disability or additional need that requires accommodation, please do not hesitate to let us know.*</t>
        </is>
      </c>
    </row>
    <row r="8">
      <c r="A8" t="inlineStr">
        <is>
          <t>li-4369362333</t>
        </is>
      </c>
      <c r="B8" t="inlineStr">
        <is>
          <t>Data Scientist</t>
        </is>
      </c>
      <c r="C8" t="inlineStr">
        <is>
          <t>Cisco</t>
        </is>
      </c>
      <c r="D8" t="inlineStr">
        <is>
          <t>linkedin</t>
        </is>
      </c>
      <c r="E8">
        <f>HYPERLINK("https://www.linkedin.com/jobs/view/4369362333", "https://www.linkedin.com/jobs/view/4369362333")</f>
        <v/>
      </c>
      <c r="F8">
        <f>HYPERLINK("https://careers.cisco.com/global/en/job/CISCISGLOBAL2003602EXTERNALENGLOBAL/Data-Scientist?utm_source=linkedin&amp;utm_medium=phenom-feeds&amp;urlHash=A7Um", "https://careers.cisco.com/global/en/job/CISCISGLOBAL2003602EXTERNALENGLOBAL/Data-Scientist?utm_source=linkedin&amp;utm_medium=phenom-feeds&amp;urlHash=A7Um")</f>
        <v/>
      </c>
      <c r="G8" t="inlineStr">
        <is>
          <t>Austin, TX</t>
        </is>
      </c>
      <c r="H8" t="inlineStr"/>
      <c r="I8" t="inlineStr">
        <is>
          <t>The application window is expected to close on: 02/10/2026
**Job posting may be removed earlier if the position is filled or if a sufficient number of applications are received** 
 .
 Meet the Team
 The Cisco IT’s User Experience Research and Analytics vision is to create a world world\-class and engaging workplace experience, leading with human\-centered design, that enables people to do their best work. We are passionate about our employees, and we are driven to create a productive environment where we all can be ourselves and bring our whole self to work! We are transforming how Cisco designs and delivers the employee experience based on a culture that values a mindset of customer service, speed \&amp; agility in all we do, and are kind to each other. As part of the User Experience Research and Analytics organization, we are responsible for using data to identify actionable insights to improve the overall employee experience
 Your Impact
 Data Scientist designs, develops and programs methods, processes, and systems to consolidate and analyze unstructured, diverse “big data” sources to generate actionable insights and solutions for client services and product enhancement. Interacts with product and service teams to identify questions and issues for data analysis and experiments. Develops and codes software programs, algorithms and automated processes to cleanse, integrate and evaluate large datasets from multiple disparate sources. Identifies meaningful insights from large data and metadata sources; interprets and communicates insights and findings from analysis and experiments to product, service, and business managers. Incumbents whose primary role is technical and focused on data storage, warehousing and systems architecture should be matched to Database Engineer or Storage Engineer. Incumbents whose focus is the quantitative analysis of complex business problems and issues using data from internal and external sources to provide insight to decision\-makers should be matched to Business Intelligence. Incumbents whose primary role is technical and focused on designing and building system\-generated reports, reporting tools and dashboards for data generation should be matched to Data Informatics. Incumbents whose focus is primarily on experimental design and advanced or complex statistical analysis and modeling of datasets should be matched to Statistician/Mathematician. This is a product engineering role in which employees work with multiple types of business data. Incumbents whose focus is primarily on analysis and modeling of financial, marketing or pricing data should be matched to Finance, Market Research or Pricing as appropriate. May be internal operations\-focused or external client\-focused, working in conjunction with Professional Services and outsourcing functions.
* May lead projects with limited complexity (e.g., shorter time horizon, applying existing models) from technical design through completion
* Applies advanced analytics techniques
* Conducts statistical analyses
* Explores correlations between disparate data sets to clean data into a usable and scalable format
* Applies algorithms using a variety of advanced science techniques, drawing on an understanding of the source domain and knowledge of systems and solutions
* Communicates analytical findings, including through reports, briefings, presentations, and strong data visualization skills
* Develops and executes new engineering features; understands common data science tools and identifies the best tool to align to the business problem
* Tests algorithms and systems (e.g., ML, NLP, NLU)
* Supports deployment of data science models into production
* Collects information and works with contacts in the business to understand issues
* Suggests the most effective data science tools to develop clear and actionable problem statements
* Assists and supports more senior colleagues on research projects
* Contributes to patent applications and publication efforts
**Minimum Qualifications**
 Bachelors degree with \+ 5 years of related experience, or Masters \+ 3 years of related experience, or PhD \+ 0 years of related experience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$134,600\.00 to $177,200\.00 and reflects the projected salary range for new hires in this position in U.S. and/or Canada locations, not including incentive compensation\*, equity, or benefits.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matching contribution, paid parental leave, short and long\-term disability coverage, and basic life insurance. Please see the Cisco careers site to discover more benefits and perks. Employees may be eligible to receive grants of Cisco restricted stock units, which vest following continued employment with Cisco for defined periods of time.
 U.S. employees are eligible for paid time away as described below, subject to Cisco’s policies:
* 10 paid holidays per full calendar year, plus 1 floating holiday for non\-exempt employees
* 1 paid day off for employee’s birthday, paid year\-end holiday shutdown, and 4 paid days off for personal wellness determined by Cisco
* Non\-exempt employees\*\* receive 16 days of paid vacation time per full calendar year, accrued at rate of 4\.92 hours per pay period for full\-time employees
* Exempt employees participate in Cisco’s flexible vacation time off program, which has no defined limit on how much vacation time eligible employees may use (subject to availability and some business limitations)
* 80 hours of sick time off provided on hire date and each January 1st thereafter, and up to 80 hours of unused sick time carried forward from one calendar year to the next
* Additional paid time away may be requested to deal with critical or emergency issues for family members
* Optional 10 paid days per full calendar year to volunteer
 For non\-sales roles, employees are also eligible to earn annual bonuses subject to Cisco’s policies.
 Employees On Sales Plans Earn Performance\-based Incentive Pay On Top Of Their Base Salary, Which Is Split Between Quota And Non\-quota Components, Subject To The Applicable Cisco Plan. For Quota\-based Incentive Pay, Cisco Typically Pays As Follows
* .75% of incentive target for each 1% of revenue attainment up to 50% of quota;
* 1\.5% of incentive target for each 1% of attainment between 50% and 75%;
* 1% of incentive target for each 1% of attainment between 75% and 100%; and
* Once performance exceeds 100% attainment, incentive rates are at or above 1% for each 1% of attainment with no cap on incentive compensation.
 For non\-quota\-based sales performance elements such as strategic sales objectives, Cisco may pay 0% up to 125% of target. Cisco sales plans do not have a minimum threshold of performance for sales incentive compensation to be paid.
 The applicable full salary ranges for this position, by specific state, are listed below:
**New York City Metro Area**
 $155,900\.00 \- $246,200\.00
**Non\-Metro New York State \&amp; Washington State**
 $149,600\.00 \- $218,500\.00
* For quota\-based sales roles on Cisco’s sales plan, the ranges provided in this posting include base pay and sales target incentive compensation combined.
* Employees in Illinois, whether exempt or non\-exempt, will participate in a unique time off program to meet local requirements.</t>
        </is>
      </c>
    </row>
    <row r="9">
      <c r="A9" t="inlineStr">
        <is>
          <t>li-4361035977</t>
        </is>
      </c>
      <c r="B9" t="inlineStr">
        <is>
          <t>Data Scientist</t>
        </is>
      </c>
      <c r="C9" t="inlineStr">
        <is>
          <t>Social Security Administration</t>
        </is>
      </c>
      <c r="D9" t="inlineStr">
        <is>
          <t>linkedin</t>
        </is>
      </c>
      <c r="E9">
        <f>HYPERLINK("https://www.linkedin.com/jobs/view/4361035977", "https://www.linkedin.com/jobs/view/4361035977")</f>
        <v/>
      </c>
      <c r="F9" t="inlineStr"/>
      <c r="G9" t="inlineStr">
        <is>
          <t>Woodlawn, MD</t>
        </is>
      </c>
      <c r="H9" t="inlineStr"/>
      <c r="I9" t="inlineStr">
        <is>
          <t>**Summary**
 IT Specialist (Data Scientist)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
**Duties**
 This announcement serves as public notice. Applications submitted be placed into a pool and will remain on file for selection as positions become available.Vacancies may be filled for up to 6 months after the closing date of this announcement. Applicants may not receive notifications of referral status until the full 6\-month eligibility period has elapsed.Positions filled with applications from this pool will be placed into positions where artificial intelligence duties occupy the majority of the work performed.
**Qualifications**
 Resumes exceeding two pages in length will not be considered, please visit the new resume guidance for more information. Duties: Architect, develop, and maintain advanced analytics solutions using Python, R, and SQL on enterprise data platforms. Design and implement machine learning models, including generative AI and agentic AI solutions, to support business objectives. Clean, transform, and manage large datasets from diverse sources, ensuring data integrity and reliability. Optimize SQL queries and database operations for efficient data access and processing. Develop, fine\-tune, and deploy AI models (such as generative and large language models) and agentic AI systems for automation, content generation, and decision support. Visualize data and communicate findings through dashboards, reports, and presentations using tools such as matplotlib, ggplot2, and Power BI. Collaborate with business analysts, IT professionals, and stakeholders to deliver innovative, data\-driven solutions. Prepare and maintain technical documentation, including data dictionaries, model specifications, and user guides. Participate in code reviews and uphold best practices for quality, reproducibility, and security. Support data validation, testing, deployment, and post\-implementation activities in a fast\-paced environment. READ ALL SECTIONS OF THIS ANNOUNCEMENT IN ITS ENTIRETY. THIS INFORMATION IS CRUCIAL TO SUBMITTING A SUCCESSFUL APPLICATION. Applicants must qualify for the series and grade of the posted position. Experience must be IT related; the experience may be demonstrated by paid or unpaid experience and/or completion of specific, intensive training (for example, IT certification), as appropriate. Your resume must provide sufficient experience and/or education, knowledge, skills, abilities, and proficiency of any required competencies to perform the specific position for which you are applying. To qualify for the 2210 IT Specialist series, the applicant must demonstrate the following competencies: Attention to Detail \- Is thorough when performing work and conscientious about attending to detail. Customer Service \- Works with clients and customers (that is, any individuals who use or receive the services or products that your work unit produces, including the general public, individuals who work in the agency, other agencies, or organizations outside the Government) to assess their needs, provide information or assistance, resolve their problems, or satisfy their expectations; know about available products and services; and is committed to providing quality products and services. Oral Communication \- Expresses information (for example, ideas or facts) to individuals or groups effectively, taking into account the audience and nature of the information (for example, technical, sensitive, controversial); makes clear and convincing oral presentations; listens to others, attends to nonverbal cues, and responds appropriately. Problem Solving \- Identifies problems; determines accuracy and relevance of information; uses sound judgment to generate and evaluate alternatives, and to make recommendations. Minimum Qualifications: Grade 14 To qualify at the GS\-14 level, you must have at least 52 weeks of specialized experience at or equivalent to the GS\-13 level or above, which is in or related to the work of the position to be filled, that has equipped the applicant with the knowledge, skills, and abilities to successfully perform the duties of the position. Such IT\-related experience must include: Leading or performing hands\-on data analysis, modeling, and visualization using Python and/or R, or demonstrating a strong commitment to learning and advancing in this area. Advanced proficiency in SQL for data extraction, transformation, and database management in large\-scale enterprise environments. Applying solid knowledge of statistical methods, machine learning algorithms, and data wrangling techniques to solve complex business problems. Developing and deploying AI models, including generative and agentic AI systems (e.g., unsupervised learning, neural networks, GPT, diffusion models). Utilizing frameworks and libraries for generative and agentic AI, such as TensorFlow, PyTorch, Hugging Face Transformers, LangChain, or similar. Working with large\-scale enterprise datasets and cloud\-based data platforms to support data\-driven decision making. Creating and interpreting data visualizations using tools and libraries such as matplotlib, seaborn, ggplot2, and Tableau. Demonstrating strong analytical, troubleshooting, and problem\-solving skills in a collaborative, cross\-functional team environment. Communicating complex technical concepts clearly and effectively in both written and verbal formats to technical and non\-technical stakeholders. Applying knowledge of the software development life cycle (SDLC), Agile methodologies, and version control systems (e.g., Git) to manage and deliver data science and AI projects. Implementing or supporting data governance, privacy, and security best practices. PLEASE NOTE: This specialized experience is REQUIRED and must be explicitly documented/described in your resume, or you will be disqualified from further consideration. Qualification standards and additional information for this position can be found here: http://www.opm.gov/policy\-data\-oversight/classification\-qualifications/general\-schedule\-qualification\-standards/2200/information\-technology\-it\-management\-series\-2210\-alternative\-a/
**Additional Information**
 See announcement cutoff dates below under How to Apply. Are you ready to drive data\-powered innovation for America's digital future? The Social Security Administration's analytics team is seeking data scientists to join us in transforming vast datasets into actionable insights that shape services for over 330 million Americans. Whether you're a seasoned expert in Python, R, and SQL or an early\-career professional eager to master advanced analytics, this is your opportunity to make a real impact on mission\-critical programs. Forget everything you think you know about data science\-this isn't just about crunching numbers! Today's data scientists leverage cutting\-edge tools, machine learning, and statistical modeling to solve complex business challenges and deliver high\-value solutions. You'll work with some of the most robust, secure, and high\-throughput data platforms in the industry, powering decisions that matter. If you're ready to take your career to the next level\-whether you're a proven expert or an ambitious learner\-apply today and discover how powerful data science can be as you help us build the future of digital government services! Recruitment incentive may be authorized. Additional selections may be made for this vacancy six months from the closing date of this announcement. This Direct Hire announcement may be used to fill the same or similar position in another office. This is a bargaining unit position represented by AFGE. Selective Service: If you are a male applicant born after December 31, 1959, you must certify that you have registered with the Selective Service System, or are exempt from having to do so under the Selective Service Law. See www.sss.gov. As a condition of employment for accepting this position, you may be required to serve a 1\-year probationary period during which we will evaluate your fitness and whether your continued employment advances the public interest. In determining if your employment advances the public interest, we may consider: \- your performance and conduct; \- the needs and interests of the agency; \- whether your continued employment would advance organizational goals of the agency or the Government; and \- whether your continued employment would advance the efficiency of the Federal service. Upon completion of your probationary period your employment will be terminated unless you receive certification, in writing, that your continued employment advances the public interest.
 Do you have a desire to: help SSA manage its Social Security programs? analyze and solve problems? help and advise millions of retired and disabled individuals? work on a team to make a difference in people's lives and your own? Join SSA, one of the Best Places to Work in the Federal Government!</t>
        </is>
      </c>
    </row>
    <row r="10">
      <c r="A10" t="inlineStr">
        <is>
          <t>li-4363661873</t>
        </is>
      </c>
      <c r="B10" t="inlineStr">
        <is>
          <t>Principal, Data Scientist, Nike Sport Research Lab</t>
        </is>
      </c>
      <c r="C10" t="inlineStr">
        <is>
          <t>Nike</t>
        </is>
      </c>
      <c r="D10" t="inlineStr">
        <is>
          <t>linkedin</t>
        </is>
      </c>
      <c r="E10">
        <f>HYPERLINK("https://www.linkedin.com/jobs/view/4363661873", "https://www.linkedin.com/jobs/view/4363661873")</f>
        <v/>
      </c>
      <c r="F10" t="inlineStr"/>
      <c r="G10" t="inlineStr">
        <is>
          <t>Beaverton, OR</t>
        </is>
      </c>
      <c r="H10" t="inlineStr"/>
      <c r="I10" t="inlineStr">
        <is>
          <t>The Nike Sport Research Lab (NSRL) is a multidisciplinary team of researchers, innovators, and scientists who lead with science to make athletes\* measurably better. We deliver validated insights and innovative capabilities to drive the future of Nike products and services.
* if you have body, you are an athlete
**Who You’ll Work With**
 The Principal Data Scientist partners with research scientists in physiology, biomechanics, perception, and behavioral science, as well as other data scientists, engineers, product managers, designers, and solution architects. This role reports to the Director of Data Science and collaborates across dynamic, multi\-functional teams to accelerate innovative product development. The team is recognized for its culture of curiosity, collaboration, and impact within Nike and the broader industry.
**Who We Are Looking For**
 Nike Sport Research Lab seeks a Principal Data Scientist who combines deep technical expertise with a passion for advancing human performance. The ideal candidate is a hands\-on creative problem\-solver, a collaborative leader, and a strategic thinker who thrives in multidisciplinary environments. This individual brings a proven track record of leveraging science and technology to drive innovation in sport science, product development, or related fields.
**Required Qualifications**
* PhD or Master’s in Statistics, Computer Science, Electrical/Biomedical engineering, Economics, or related field, Will accept any suitable combination of education, experience and training.
* 7\-9\+ years demonstrated experience in Data Science, including expertise in data synthesis, machine learning, statistical modeling, causal inference, or signal processing.
* Demonstrated expertise with Python, and data analysis stacks (such as NumPy, SciPy, pandas, Spark, etc.)
* Experience with AWS infrastructure, Spark, Databricks, and SQL.
* Demonstrated practice of software engineering best practices within technical orgs (git for version control, structured code reviews, automated tests, CI/CD pipelines, and maintainable, reproducible build environments)
* Proven ability to define, initiate, and supervise analytics and modeling efforts.
* Strong track record of translating business needs into research requirements and strategy.
* Ability to interpret and implement methods described in research papers and articles in signal processing, machine learning, deep learning, mathematical modeling, and related fields.
* Excellent interpersonal and communication skills, with experience communicating technical information in both written and verbal formats.
**Desired Qualifications**
* Experience with experimental design and statistical inference, including adaptive experimentation, A/B testing, bandit optimization, and causal inference.
* Proficiency in advanced machine learning methods, including classification, regression, deep learning, and computer vision algorithms.
* Familiarity with time\-series analysis, predictive modeling, and forecasting using large\-scale, real\-world datasets (e.g., sensor, image, or behavioral data).
* Experience developing and deploying models that learn from expert input and emulate expert decision\-making.
* Understanding of, or working knowledge in, cardiovascular physiology, biomechanics, perception science, or related fields.
* Experience with bio\-signals, wearables, and inertial measurement technologies.
* Peer\-reviewed machine learning publications or other demonstrable contributions (e.g., GitHub, apps, products).
* Experience leading or mentoring teams of data scientists and engineers in research or product settings.
* Experience designing and delivering clear, impactful data visualizations for technical and non\-technical audiences.
* Experience building and maintaining robust data pipelines, ensuring data quality, integrity, and accessibility for analysis and modeling.
**What You’ll Work On**
 As Principal Data Scientist, you will play a pivotal role in advancing Nike’s sport science capabilities through innovative data science and machine intelligence. You’ll leverage your expertise to solve complex problems, drive impactful research, and deliver scalable solutions that power athlete and product innovation.
**You Will**
* Apply expertise in signal processing, machine learning, sensor fusion, computer vision, and other areas of machine intelligence to solve complex problems using large, diverse datasets.
* Develop and deploy predictive models in production environments to power personalized digital experiences for athletes and consumers.
* Drive the development of large\-scale experimentation capabilities and help identify causal factors influencing athletic performance and behavior.
* Lead the creation, acquisition, and maintenance of high\-quality datasets that enable ongoing exploration and unlock value for NSRL and partner organizations.
* Investigate and evaluate new technologies, software, machine learning techniques, and capabilities to keep NSRL at the forefront of innovation.
* Communicate technical information, methods, and findings clearly and concisely to technical and non\-technical teams, partners, and senior management.
* Create specifications and documentation for external professional services firms to achieve team objectives efficiently.
* Stay connected with machine intelligence innovations across the industry and share insights with team members and partners throughout Nike.
 We offer a number of accommodations to complete our interview process including screen readers, sign language interpreters, accessible and single location for in\-person interviews, closed captioning, and other reasonable modifications as needed. If you discover, as you navigate our application process, that you need assistance or an accommodation due to a disability, please complete the Candidate Accommodation Request Form.</t>
        </is>
      </c>
    </row>
    <row r="11">
      <c r="A11" t="inlineStr">
        <is>
          <t>li-4363562512</t>
        </is>
      </c>
      <c r="B11" t="inlineStr">
        <is>
          <t>Data Scientist, Supply Chain Digitalization</t>
        </is>
      </c>
      <c r="C11" t="inlineStr">
        <is>
          <t>Emerson</t>
        </is>
      </c>
      <c r="D11" t="inlineStr">
        <is>
          <t>linkedin</t>
        </is>
      </c>
      <c r="E11">
        <f>HYPERLINK("https://www.linkedin.com/jobs/view/4363562512", "https://www.linkedin.com/jobs/view/4363562512")</f>
        <v/>
      </c>
      <c r="F11" t="inlineStr"/>
      <c r="G11" t="inlineStr">
        <is>
          <t>Marshalltown, IA</t>
        </is>
      </c>
      <c r="H11" t="inlineStr"/>
      <c r="I11" t="inlineStr">
        <is>
          <t>**Job Description**
 At Emerson, we pride ourselves on our industry\-leading control valve portfolio, featuring top brands like Fisher®, Sempell®, and Crosby®. These brands power the world through a wide range of applications across various industries, from refining and hydrogen to nuclear power. By joining our Supply Chain Digitalization team, you'll become part of an almost 150\-year legacy that began with William Fisher in 1880 and help us take the next steps into the future by harnessing statistical analytics and emerging technologies to deliver products to customers faster and with greater certainty. We're looking for someone who is eager to take these next steps with us and make a significant impact on our operations.
 If this sounds like the perfect opportunity for you, we encourage you to apply and become a vital part of our team. Together, we can continue to drive innovation and excellence in the industry. Relocation assistance available.
 We look forward to hearing from you!
**In This Role, Your Responsibilities Will Be:**
* Use statistics, programming, modeling, and related analytics to extract actionable insights from complex operations and supply chain data.
* Develop ‘proof of concept’ models for advanced supply chain and operations tools to optimize cost and performance.
* Support implementation of ‘proof of concept’ models into enterprise operations, through testing, validation, planning, and cross functional collaboration with stakeholders.
* Support management decision\-making with data\-driven analytics.
**Who You Are:**
 You break down objectives into appropriate initiatives and actions. You persist in accomplishing objectives despite obstacles and setbacks. You step up to conflicts, seeing them as opportunities. You delegate and distribute assignments and decisions appropriately. You create milestones to rally support behind the program.
**For This Role, You Will Need:**
* Bachelor’s degree and 3 \+ years in data science, statistics, or related field or PhD
* Legal Authorization to work in the United States – sponsorship will not be provided for this role
**Preferred Qualifications That Set You Apart:**
* Advanced Degree in related field preferred
* Experience in supply chain, operations or related disciplines
* Experience with Power BI, Python, Oracle, machine learning models, ML model training algorithms, agentic AI, and similar
**Our Culture \&amp; Commitment to You:**
 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
 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and much more. Our culture offers flexible time off plans, including paid parental leave (maternal and paternal), vacation and holiday leave.
**About Us**
**WHY EMERSON**
**Our Commitment to Our People**
 At Emerson, we are motivated by a spirit of collaboration that helps our diverse, multicultural teams across the world drive innovation that makes the world healthier, safer, smarter, and more sustainable. And we want you to join us in our bold aspiration.
 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make a positive impact through every endeavor.
 At Emerson, you’ll see firsthand that our people are at the center of everything we do. So, let’s go. Let’s think differently. Learn, collaborate, and grow. Seek opportunity. Push boundaries. Be empowered to make things better. Speed up to break through. Let’s go, together.
**Work Authorization**
 Emerson will only employ those who are legally authorized to work in the United States. This is not a position for which sponsorship will be provided. Individuals with temporary visas such as E, F\-1(including those with OPT or CPT) , H\-1, H\-2, L\-1, B, J or TN, or who need sponsorship for work authorization now or in the future, are not eligible for hire.
**Equal Opportunity Employer**
 Emerson is an Equal Opportunity/Affirmative Action employer. All qualified applicants will receive consideration for employment without regard to sex, race, color, religion, national origin, age, marital status, political affiliation, sexual orientation, gender identity, genetic information, disability or protected veteran status. We are committed to providing a workplace free of any discrimination or harassment.
**Accessibility Assistance or Accommodation**
 If you have a disability and are having difficulty accessing or using this website to apply for a position, please contact: idisability.administrator@emerson.com .
**About Emerson**
 Emerson is a global leader in automation technology and software. Through our deep domain expertise and legacy of flawless execution, Emerson helps customers in critical industries like life sciences, energy, power and renewables, chemical and advanced factory automation operate more sustainably while improving productivity, energy security and reliability.
 With global operations and a comprehensive portfolio of software and technology, we are helping companies implement digital transformation to measurably improve their operations, conserve valuable resources and enhance their safety.
 We offer equitable opportunities, celebrate diversity, and embrace challenges with confidence that, together, we can make an impact across a broad spectrum of countries and industries. Whether you’re an established professional looking for a career change, an undergraduate student exploring possibilities, or a recent graduate with an advanced degree, you’ll find your chance to make a difference with Emerson. Join our team – let’s go!
**No calls or agencies please.**</t>
        </is>
      </c>
    </row>
    <row r="12">
      <c r="A12" t="inlineStr">
        <is>
          <t>li-4363652541</t>
        </is>
      </c>
      <c r="B12" t="inlineStr">
        <is>
          <t>Sr Data Scientist - eCommerce</t>
        </is>
      </c>
      <c r="C12" t="inlineStr">
        <is>
          <t>H-E-B</t>
        </is>
      </c>
      <c r="D12" t="inlineStr">
        <is>
          <t>linkedin</t>
        </is>
      </c>
      <c r="E12">
        <f>HYPERLINK("https://www.linkedin.com/jobs/view/4363652541", "https://www.linkedin.com/jobs/view/4363652541")</f>
        <v/>
      </c>
      <c r="F12" t="inlineStr"/>
      <c r="G12" t="inlineStr">
        <is>
          <t>San Antonio, TX</t>
        </is>
      </c>
      <c r="H12" t="inlineStr"/>
      <c r="I12" t="inlineStr">
        <is>
          <t>**Responsibilities**
 H\-E\-B's Corporate Planning and Analysis Team develops and maintains budgets and financial systems while providing current, reliable financial data, analysis, and technical information.
 As a Data Scientist II, your archetype is an ML / AI Business Solution Designer. Your passions include creating end\-to\-end business solutions packages by integrating multi\-modals and data pipelines, innovating new ML algorithms to establish strong competitive advantage for H\-E\-B business, and designing and implementing different ML integration patterns to facilitate multi\-modal orchestration.
 Once you're eligible, you'll become an Owner in the company, so we're looking for commitment, hard work, and focus on quality and Customer service. 'Partner\-owned' means our most important resources\-\-People\-\-drive the innovation, growth, and success that make H\-E\-B The Greatest Omnichannel Retailing Company.
**Do You Have a**
 HEART FOR PEOPLE... willingness to take a break from algorithmic thinking / detecting to translate and share your findings with a variety of business customers?
 HEAD FOR BUSINESS... skills to blend mass data\-wrangling with business acumen?
 PASSION FOR RESULTS... drive to generate business\-valued questions and data\-based n solutions?
**We Are Looking For**
* a thought leader of ML innovation who orchestrates business solutions across ML pipelines
 What is the work?
**Analytics / Design \&amp; Development**
* Analyzes clickstream data and customer interactions to drive insights.
* Develops and deploy machine learning models to support e\-commerce initiatives
* Presents findings to both technical and non\-technical audiences, including senior leadership
* Manages multiple data science projects while collaborating with Product, Business, and Engineering teams
* Serves H\-E\-B as a thought leader in selected mainstream ML / AI fields
* Builds a concrete roadmap for ML solution maturity revolution
* Creates end\-to\-end business solutions packages by integrating multi\-modals and data pipelines
* Designs / implements different ML integration patterns to facilitate multi\-modal orchestration
* Innovates new ML algorithms to establish strong competitive advantage for H\-E\-B business; ensures new algorithms are backed by solid math and science proof
* Applies an inquisitive nature about open source algorithms, their theories, and their implementation
* Grows expertise in constructing distributed machine learning pipeline from scratch
 What is your background?
* A related degree or comparable formal training, certification, or work experience
* 5\+ years of experience in a retail or retail\-related decision science role
* Expertise / in\-depth knowledge of business domain
* Well\-rounded experience integrating math / science and platform engineering
 Do you have what it takes to be a Data Scientist at H\-E\-B?
* Experience with Clickstream Analytics (BQ/Amplitude) (Preferably in Retail)
* Experience with Recommendation Systems
* Able to continuously learn new methodologies and applications of ML/AI techniques
* Strong capabilities in translating data science findings into business\-friendly results.
* Able to present findings to leaders and peers.
* Ability to contribute to multiple work streams concurrently while staying connected to Product, Business, and Engineering teams.
* Experience working with visualization tools such as Tableau and Dash
* Proficiency in DS techniques (classification, regression, optimization)
* Some familiarity with big data ecosystems (e.g., Spark, Hadoop) and UNIX commands / scripting
* Understanding of best\-in\-class AI techniques to customize algorithms that created H\-E\-B\-unique differentiators
* Strong research and analytical skills
* Critical and lateral thinking skills
* Experience working with e\-commerce data and understanding customer behavior
* Proficiency in tools like BigQuery, Amplitude, or similar for clickstream data analysis
* Experience with Tableau, Dash, or equivalent platforms to visualize data
* Ability to develop end\-to\-end ML solutions, including NLU/LLM modeling
* Proficiency in Python, SQL, Spark
* Strong ability to present findings clearly and collaborate across teams
* Programming language skills (SQL, R, Python, Scala, Java, C/C\+\+)
* ML optimization skills (GPU code optimization, Horovod, SparkMLlib optimization, Cython, JNI, Numba
* Mainstream ML / AI skills (deep learning, computer vision, NLP / NLU, reinforcement learning, meta\-learning, federated learning)
* Ability to grow expertise in constructing distributed machine learning pipeline from scratch
 Can you...
* Work in a fast\-paced retail environment with frequently shifting priorities
* Work extended hours; sit for long periods
 08\-2021
 CPFA3232</t>
        </is>
      </c>
    </row>
    <row r="13">
      <c r="A13" t="inlineStr">
        <is>
          <t>li-4361639808</t>
        </is>
      </c>
      <c r="B13" t="inlineStr">
        <is>
          <t>Applied Scientist</t>
        </is>
      </c>
      <c r="C13" t="inlineStr">
        <is>
          <t>Microsoft</t>
        </is>
      </c>
      <c r="D13" t="inlineStr">
        <is>
          <t>linkedin</t>
        </is>
      </c>
      <c r="E13">
        <f>HYPERLINK("https://www.linkedin.com/jobs/view/4361639808", "https://www.linkedin.com/jobs/view/4361639808")</f>
        <v/>
      </c>
      <c r="F13">
        <f>HYPERLINK("https://apply.careers.microsoft.com/careers/job/1970393556620067?utm_source=linkedin&amp;domain=microsoft.com&amp;src=LinkedIn&amp;urlHash=pJZ4", "https://apply.careers.microsoft.com/careers/job/1970393556620067?utm_source=linkedin&amp;domain=microsoft.com&amp;src=LinkedIn&amp;urlHash=pJZ4")</f>
        <v/>
      </c>
      <c r="G13" t="inlineStr">
        <is>
          <t>Redmond, WA</t>
        </is>
      </c>
      <c r="H13" t="inlineStr"/>
      <c r="I13" t="inlineStr">
        <is>
          <t>**Overview**
 Are you a customer\-obsessed, AI (Artificial Intelligence)\-curious problem\-solver who thrives in an inclusive, collaborative global team? The Azure Customer Experience Platform (CXP) team’s mission is to transform Microsoft Cloud customers into fans. Through our deep engineering engagements with customers and teams across Microsoft, we analyze and amplify customer needs and drive the vision to improve Cloud quality, security, and reliability. Our culture of growth mindset and empowerment are central to who we are and how we work. In the new era of AI, this role within Azure CXP Data \&amp; Applied Sciences team will provide you the opportunity to work on cutting\-edge GenAI and ML (Machine Learning) solutions that drive specific, measurable, and impactful improvements to key areas of Azure customer experience. In an environment of high opportunity and impact, we are looking for an Applied Scientist II who can deliver on key initiatives for Security, Reliability and Quality through advanced AI solutions with a cross\-functional team of Product Managers, Designers, Engineers and Data Scientists. Every day, our customers stake their business and reputation on our cloud. You can help provide our customers with the world\-class cloud services they need to succeed.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As a Data and Applied Scientist in our team, you will: \- Engage with product and business groups to drive AI projects through their entire life cycle from idea creation through applied research, experimentation, implementation and finally to worldwide availability.
* Perform rigorous experiments and evaluations to assess the quality and impact of your solutions and improve them based on data and customer feedback.
* Communicate technical findings and insights effectively. \- Integrate ML models into production systems, monitor and optimize their performance, troubleshoot issues, and iterate improvements.
* Collaborate with cross\-functional teams including researchers, applied scientists, engineers, product managers and designers \- Ensure compliance to Microsoft Responsible AI standards throughout the AI system lifecycle
* Stay abreast of the latest advancements in machine learning, information retrieval, and recommendation systems, and contribute to the company's intellectual property through patents and publications.
**Qualifications**
**Minimum Qualifications:**
* Bachelor's Degree in Statistics, Econometrics, Computer Science, Electrical or Computer Engineering, or related field AND 2\+ years related experience (e.g., statistics, predictive analytics, research) OR Master's Degree in Statistics, Econometrics, Computer Science, Electrical or Computer Engineering, or related field AND 1\+ year(s) related experience (e.g., statistics, predictive analytics, research)
+ OR Doctorate in Statistics, Econometrics, Computer Science, Electrical or Computer Engineering, or related field
+ OR equivalent experience.
* Atleast 6\+ months of experience implementing solutions with LLMs and GenerativeAI.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1\+ year(s) experience creating publications (e.g., patents, peer\-reviewed academic papers). Bachelor's Degree in Statistics, Econometrics, Computer Science, Electrical or Computer Engineering, or related field AND 5\+ years related experience (e.g., statistics, predictive analytics, research)
+ OR Master's Degree in Statistics, Econometrics, Computer Science, Electrical or Computer Engineering, or related field AND 3\+ years related experience (e.g., statistics, predictive analytics, research)
+ OR Doctorate in Statistics, Econometrics, Computer Science, Electrical or Computer Engineering, or related field AND 1\+ year(s) related experience (e.g., statistics, predictive analytics, research)
+ OR equivalent experience. \- Experience in Python, PyTorch, TensorFlow, langchain, or other machine learning frameworks.
* Experience delivering AI product features \- Relevant prior work experience, e.g., statistics, predictive analytics, research, GenAI. Applied Sciences IC3
**\#MSCareerEvents25 \#SHPE2025 \#AfroTech202**
 Applied Sciences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4">
      <c r="A14" t="inlineStr">
        <is>
          <t>li-4361035035</t>
        </is>
      </c>
      <c r="B14" t="inlineStr">
        <is>
          <t>Sr Data Scientist - Model Development</t>
        </is>
      </c>
      <c r="C14" t="inlineStr">
        <is>
          <t>Citizens</t>
        </is>
      </c>
      <c r="D14" t="inlineStr">
        <is>
          <t>linkedin</t>
        </is>
      </c>
      <c r="E14">
        <f>HYPERLINK("https://www.linkedin.com/jobs/view/4361035035", "https://www.linkedin.com/jobs/view/4361035035")</f>
        <v/>
      </c>
      <c r="F14" t="inlineStr"/>
      <c r="G14" t="inlineStr">
        <is>
          <t>Boston, MA</t>
        </is>
      </c>
      <c r="H14" t="inlineStr"/>
      <c r="I14" t="inlineStr">
        <is>
          <t>**Description**
**Senior Data Scientist – Treasury Modeling**
 CFG is a leading financial institution dedicated to providing innovative solutions to manage financial risks and optimize asset and liability portfolios. Central Model Development team (CMD) under Treasury group plays a crucial role in developing and maintaining models that support our strategic decision\-making processes.
 This position within CMD looks for talented and motivated candidates who will lead design, development, and deployment of advanced analytics, traditional statistical (e.g., regression, time series, GLMs) and machine learning solutions for ALM, liquidity, and CCAR/PPNR forecasting. The successful candidate will also be responsible for providing guidance to regarded functional leaders on model impacts, and collaborating with business partners including model validation, market risk, and internal audit for model governance and regulatory obligations.
**Responsibilities**
* Develop and maintain models used by Treasury group in balance sheet forecasting
+ By teaming with other Data Scientists and under the leadership of the Data Science Manager, develop customer behavior model for attrition, origination, and prepayment for deposit or loan products, and predictive model for market rates and other ALM/CCAR associated macroeconomic variables.
+ Develop model documentation; interact effectively with Model Risk Management \&amp; Validation, Market Risk Management, and other challenge groups to facilitate periodic model validations and reviews.
+ Monitor model performance and communicate results to internal stakeholders; propose model changes as necessary such as overlays and recalibration/redevelopment, supporting with sensitivity testing, back testing, and fundamental driver analyses.
+ Demonstrate understanding of related models that affect ALM models and behavior, including interest rate and term structure models.
* Propose improved approaches to loan and deposit modeling, challenging all existing assumptions and status quo of current practices.
* Assist in developing forward\-looking macroeconomic and interest rate views while collaborating with CFG's Treasury for balance sheet management.
* Provide analytical support to management in developing strategies associated with balance sheet and liquidity decisions.
* Support initiatives such as Balance Sheet Optimization, Funds Transfer Pricing, Mortgage Servicing Rights and CCAR/DFAST when needed.
* Prepare detailed yet actionable materials for ALCO and Senior Management
**Qualifications**
* Hands\-on experience applying statistical analysis and machine learning techniques in the financial industry or consulting firm to support ALM, Stress Testing, Pricing or Credit Risk Management.
* Exposure to Treasury/ALM and CCAR/PPNR modeling, deposit behavior, interest\-rate/macroeconomic modeling, and stress testing workflows preferred.
* Proven experience developing ML models end\-to\-end using Python (pandas, scikit\-learn, PySpark), SQL, and version control.
* Experience with cloud \&amp; data platforms (AWS SageMaker, H2O, Snowflake) and MLOps practices.
* Strong statistical foundation and knowledge. Experience working with business partners across Line of Business, Validation, Audit, and Regulatory Relations, and producing regulatory\-compliant documentation.
* Experience with standard prepayment (BlackRock, Black Knight, QRM) or deposit (QRM, Novantas) models desirable
* Familiarity with common financial and economic data (FRED, Bloomberg, Economy.com, etc).
* Excellent presentation and communication skills; ability to convey actionable and understandable business intelligence
* Progress toward CFA charter desirable
**Education**
* Graduate degree (M.S. or Ph.D.) in mathematical finance, economics, mathematics, statistics or similar STEM field is desired.
**Pay Transparency**
 The salary range for this position is $124,000 \- $150,000 per year, plus an opportunity to earn an annual discretionary bonus. Actual pay is based on various factors including but not limited to the work location, and relevant skills and experience.
 We offer competitive pay, comprehensive medical, dental and vision coverage, retirement benefits, maternity/paternity leave, flexible work arrangements, education reimbursement, wellness programs and more. Note, Citizens’ paid time off policy exceeds the mandatory, paid sick or paid time\-away policy of every local and state jurisdiction in the United States. For an overview of our benefits, visit https://jobs.citizensbank.com/benefits .
**Work Authorization:** 
 This role is not eligible for new employer‑sponsored or current H\-1 B visa holders. Applicants, including current OPT, L and other visa holders, must be authorized to work in the U.S. without the need for new employer sponsorship for themselves or their spouses now and in the future.
 ‌
*Some job boards have started using jobseeker\-reported data to estimate salary ranges for roles. If you apply and qualify for this role, a recruiter will discuss accurate pay guidance.*
**Equal Employment Opportunity**
 Citizens, its parent, subsidiaries, and related companies (Citizens) provide equal employment and advancement opportunities to all colleagues and applicants for employment without regard to age, ancestry, color, citizenship, physical or mental disability, perceived disability or history or record of a disability, ethnicity, gender, gender identity or expression, genetic information, genetic characteristic, marital or domestic partner status, victim of domestic violence, family status/parenthood, medical condition, military or veteran status, national origin, pregnancy/childbirth/lactation, colleague’s or a dependent’s reproductive health decision making, race, religion, sex, sexual orientation, or any other category protected by federal, state and/or local laws. At Citizens, we are committed to fostering an inclusive culture that enables all colleagues to bring their best selves to work every day and everyone is expected to be treated with respect and professionalism. Employment decisions are based solely on merit, qualifications, performance and capability.
**Why Work for Us**
 At Citizens, you'll find a customer\-centric culture built around helping our customers and giving back to our local communities. When you join our team, you are part of a supportive and collaborative workforce, with access to training and tools to accelerate your potential and maximize your career growth</t>
        </is>
      </c>
    </row>
    <row r="15">
      <c r="A15" t="inlineStr">
        <is>
          <t>li-4369340436</t>
        </is>
      </c>
      <c r="B15" t="inlineStr">
        <is>
          <t>Data Scientist - AI &amp; BI</t>
        </is>
      </c>
      <c r="C15" t="inlineStr">
        <is>
          <t>CyberCoders</t>
        </is>
      </c>
      <c r="D15" t="inlineStr">
        <is>
          <t>linkedin</t>
        </is>
      </c>
      <c r="E15">
        <f>HYPERLINK("https://www.linkedin.com/jobs/view/4369340436", "https://www.linkedin.com/jobs/view/4369340436")</f>
        <v/>
      </c>
      <c r="F15" t="inlineStr"/>
      <c r="G15" t="inlineStr">
        <is>
          <t>Leawood, KS</t>
        </is>
      </c>
      <c r="H15" t="inlineStr"/>
      <c r="I15" t="inlineStr">
        <is>
          <t>**Position Overview**
 We are seeking a highly skilled Data Scientist with a strong focus on Artificial Intelligence (AI) and Business Intelligence (BI) to join our dynamic team. The ideal candidate will leverage advanced analytical techniques and large language models to drive insights and support data\-driven decision\-making across the organization.
**Key Responsibilities** 
* Develop and implement AI models to analyze complex datasets and extract actionable insights.
* Design and develop business intelligence dashboards using Power BI to visualize data trends and performance metrics.
* Utilize Python and SQL for data manipulation, analysis, and reporting.
* Collaborate with cross\-functional teams to define business requirements and translate them into data\-driven solutions.
* Conduct exploratory data analysis and perform statistical analysis to identify patterns and correlations in data.
* Stay updated on the latest advancements in AI and BI technologies and recommend best practices for implementation.
**Qualifications** 
* Bachelor's or Master's degree in Data Science, Computer Science, Statistics, or a related field.
* Proven experience as a Data Scientist with a focus on AI and BI.
* Strong proficiency in Python and SQL for data analysis and modeling.
* Experience with Power BI or similar business intelligence tools.
* Familiarity with large language models and their applications in data analysis.
* Excellent problem\-solving skills and the ability to work collaboratively in a team environment.
**Benefits** 
* Health
* Dental
* Vision
* 401(k)
* Profit Sharing
* On\-Site Fitness Center
* PTO \+ Floating Holidays
**Email Your Resume In Word To**
 Corey.Yates@CyberCoders.com
 Looking forward to receiving your resume through our website and going over the position with you. Clicking apply is the best way to apply.
 Please do NOT change the email subject line in any way. You must keep the JobID: linkedin : CY6\-1976985 \-\- in the email subject line for your application to be considered.
 Corey Yates \- Executive Recruiter
 For this position, you must be currently authorized to work in the United States without the need for sponsorship for a non\-immigrant visa. This is a new role.
 This job was first posted by CyberCoders on 02/05/2026 and applications will be accepted on an ongoing basis until the position is filled or closed.
**CyberCoders is proud to be an Equal Opportunity Employer**
 All qualified applicants will receive consideration for employment without regard to race, color, religion, sex, age, sexual orientation, gender identity or expression, national origin, ancestry, citizenship, genetic information, registered domestic partner status, marital status, status as a crime victim, disability, protected veteran status, or any other characteristic protected by law. Our hiring process includes AI screening for keywords and minimum qualifications. Recruiters review all results.  CyberCoders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 Act. CyberCoders is committed to working with and providing reasonable accommodation to individuals with physical and mental disabilities. Individuals needing special assistance or an accommodation while seeking employment can contact a member of our Human Resources team at Benefits@CyberCoders.com to make arrangements.
 Copyright 1999 \- 2026\. CyberCoders , Inc. All rights reserved.</t>
        </is>
      </c>
    </row>
    <row r="16">
      <c r="A16" t="inlineStr">
        <is>
          <t>li-4353491222</t>
        </is>
      </c>
      <c r="B16" t="inlineStr">
        <is>
          <t>Data Scientist II</t>
        </is>
      </c>
      <c r="C16" t="inlineStr">
        <is>
          <t>Alarm.com</t>
        </is>
      </c>
      <c r="D16" t="inlineStr">
        <is>
          <t>linkedin</t>
        </is>
      </c>
      <c r="E16">
        <f>HYPERLINK("https://www.linkedin.com/jobs/view/4353491222", "https://www.linkedin.com/jobs/view/4353491222")</f>
        <v/>
      </c>
      <c r="F16" t="inlineStr"/>
      <c r="G16" t="inlineStr">
        <is>
          <t>Tysons Corner, VA</t>
        </is>
      </c>
      <c r="H16" t="inlineStr"/>
      <c r="I16" t="inlineStr">
        <is>
          <t>Candidate will be working as a Data Scientist on the Business Intelligence team. They will be responsible for completing complex analysis tasks to drive business decisions, designing and building customer models and neural networks, and creating AI powered tools for internal and external use. The ideal candidate will be confident working on large projects requiring independent research, problem solving, and decision making. Our work requires us to meet, discuss, and work with people from across the company to coordinate, share our expertise, and refine plans. We employ LLMs to accelerate our own work and build custom tools to improve efficiency throughout the company. Knowledge and experience leveraging LLMs and vibe coding tools is critical as well as the ability to learn new tools rapidly to keep up with the pace of innovation.
**Ideal Candidate:**
 2\+ Years of experience
 Degree in a quantitative field (Math, Physics, Statistics, etc.)
 Strong quantitative reasoning
 Experience with foundational software engineering technologies such as git, Kubernetes, and Docker
 Strong Python experience
 Experience with vibe coding tools such as Claude Code, Codex, or Copilot
 Experience working with the Machine Learning toolkit Pytorch, TensorFlow, scikit\-learn, Keras, Openai and Claude agents.
 Experience with SQL
 Strong communication skills for coordinating work across departments
 Enjoy solving complex problems and constant learning.
 Please note that sponsorship of new applicants for employment authorization, or any other immigration\-related support, is not available for this position at this time.
**WHY WORK FOR ALARM.COM?**
* Collaborate with outstanding people: We hire only the best. Our standards are high and our employees enjoy working alongside other high achievers.
* Make an immediate impact: New employees can expect to be given real responsibility for bringing new technologies to the marketplace. You are empowered to perform as soon as you join the Alarm.com team!
* Gain well rounded experience: Alarm.com offers a diverse and dynamic environment where you will get the chance to work directly with executives and develop expertise across multiple areas of the business.
* Focus on fun: Alarm.com places high value on our team culture. We even have a committee dedicated to hosting a stand\-out holiday party, happy hours, and other fun corporate events.
* Alarm.com values working together and collaborating in person. Our employees work from the office 4 days a week.
**Company Info**
 Alarm.com is the leading cloud\-based platform for smart security and the Internet of Things. More than 7\.6 million home and business owners depend on our solutions every day to make their properties safer, smarter, and more efficient. And every day, we’re innovating new technologies in rapidly evolving spaces including AI, video analytics, facial recognition, machine learning, energy analytics, and more. We’re seeking those who are passionate about creating change through technology and who want to make a lasting impact on the world around them.
 For more information, please visit
 **www.alarm.com** 
 .
**Company Benefits**
 Alarm.com offers competitive pay and benefits inclusive of subsidized medical plan options, an HSA with generous company contribution, a 401(k) with employer match, and paid holidays, wellness time, and vacation increasing with tenure. Paid maternity and bonding leave, company\-paid disability and life insurance, FSAs, well\-being resources and activities, and a casual dress work environment are also part of our outstanding total rewards package!
**Alarm.com is an Equal Opportunity Employer**
 In connection with your application, we collect information that identifies, reasonably relates to or describes you (“Personal Information”). The categories of Personal Information that we may collect include your name, government\-issued identification number(s), email address, mailing address, other contact information, emergency contact information, employment history, educational history, criminal record, and demographic information. We collect and use those categories of Personal Information about you for human resources and other business management purposes, including identifying and evaluating you as a candidate for potential or future employment or future positions, recordkeeping in relation to recruiting and hiring, conducting criminal background checks as permitted by law, conducting analytics, and ensuring compliance with applicable legal requirements and Company policies. By submitting your application, you acknowledge that we may retain some of the personal data that you provide in your application for our internal operations such as managing our recruitment system and ensuring that we comply with labor laws and regulations even after we have made our employment decision.
**Notice To Third Party Agencies:**
 Alarm.com understands the value of professional recruiting services. However, we are not accepting resumes from recruiters or employment agencies for this position. In the event we receive a resume or candidate referral for this position from a third\-party recruiter or agency without a previously signed agreement, we reserve the right to pursue and hire those candidate(s) without any financial obligation to you.
 **If you are interested in working with** 
**Alarm.com** 
**, please email your company information and standard agreement to** 
 RecruitingPartnerships@Alarm.com
 **.**</t>
        </is>
      </c>
    </row>
    <row r="17">
      <c r="A17" t="inlineStr">
        <is>
          <t>li-4341702190</t>
        </is>
      </c>
      <c r="B17" t="inlineStr">
        <is>
          <t>Senior Data Scientist/AI Engineer (Remote)</t>
        </is>
      </c>
      <c r="C17" t="inlineStr">
        <is>
          <t>YouGov</t>
        </is>
      </c>
      <c r="D17" t="inlineStr">
        <is>
          <t>linkedin</t>
        </is>
      </c>
      <c r="E17">
        <f>HYPERLINK("https://www.linkedin.com/jobs/view/4341702190", "https://www.linkedin.com/jobs/view/4341702190")</f>
        <v/>
      </c>
      <c r="F17">
        <f>HYPERLINK("https://yougov.wd103.myworkdayjobs.com/LinkedIn/job/New-York-United-States-of-America/Senior-AI-Data-Scientist\u002d\u002dRemote-_JR0200-1?source=LinkedIn&amp;urlHash=hHR6", "https://yougov.wd103.myworkdayjobs.com/LinkedIn/job/New-York-United-States-of-America/Senior-AI-Data-Scientist\u002d\u002dRemote-_JR0200-1?source=LinkedIn&amp;urlHash=hHR6")</f>
        <v/>
      </c>
      <c r="G17" t="inlineStr">
        <is>
          <t>New York, United States</t>
        </is>
      </c>
      <c r="H17" t="inlineStr"/>
      <c r="I17" t="inlineStr">
        <is>
          <t>**THE TEAM \&amp; THE JOB**
 We are seeking a talented and self\-motivated Senior Data Scientist/AI Engineer to join our team. In this role, you will design, build, and deploy next generation AI\-driven tools for market research. You will work at the intersection of data science and AI engineering.
 We develop models and predictions using a combination of surveys, voter databases, census microdata, behavioral tracking and other sources. We handle the most difficult data problems at our company, including massive datasets, missing data, self\-selection, measurement error, fraud detection, attrition, and many more.
 This is a hands\-on role that requires both analytical and programming skills at an advanced level.
**What You Will Be Doing**
* Design and build AI\-powered applications to analyze, summarize, and generate insights from survey data.
* Contribute to technical design and architecture decisions for AI/ML systems.
* Develop and optimize prompts and chains.
* Build applications to simplify analytics and improve the efficiency of data processing.
* Work with structured and unstructured data
* Collaborate with data analysts, product managers, UI designers, and software developers to create great products.
* Contribute to model evaluation and performance tracking using both qualitative and quantitative metrics.
* Stay up to date with recent developments in AI and machine learning, including LLMs, fine tuning, and RAG pipelines.
* Handling ambiguous, complex problems with minimal guidance
* Contribute to technical vision, architectural decisions, or to help setting technical standards.
* Contribute to business impact and strategic problem\-solving at an organizational level as and when required.
**KEY COMPETENCIES**
* Master’s or PhD in data science or related field.
* Demonstrable progressive experience in senior data science/AI engineering roles.
* Advanced knowledge in Python and/or R for data analysis, modelling, and visualization.
* Experience working with LLM APIs and building LLM\-based applications and frameworks.
* Progressive experience with natural language processing, including topic modelling, text classification, and summarization.
* Experience in taking part in cross\-functional technical projects.
* Ability to write clean, maintainable, well\-documented code.
* Proven track record of delivering complex, high\-impact solutions.
* Ability to cross collaborate with other teams across the business.
 For roles based in California, New York, Colorado or Washington State, the base salary hiring range for this position is USD 188,864 \- USD 211,600\. Compensation offered will be determined by multiple factors including location, job\-related knowledge, skills and experience. Certain roles may be eligible for incentive compensation and additional benefits. All US based full time employees are eligible for the following benefits:
* Paid vacation, holidays and sick days
* Flexible working arrangement available
* Group medical, dental and vision insurance
* Company\-paid life and disability insurance
* Paid parental leave
* 401(k) with company match
**Why join YouGov?**
 Join our global team to help us achieve our social mission: to make millions of people’s opinions heard for the benefit of our local, national, and international communities.
 Understanding diversity of opinion requires diversity of background. Although our global panel of millions of people worldwide powers our research, our biggest asset is our people. If our research is to be truly representative of what the world thinks, we need people from all walks of life to be part of the team to bring their perspective to the work we do.
**Life at YouGov**
 We are driven by a set of shared values. We are fast, fearless, and innovative. We work diligently to get it right. We are guided by accuracy, ethics, and proven methodologies. We respect and trust each other, bringing these values into everything that we do.
 We strive to provide YouGovers with best\-in\-class benefits to support their physical, financial, and emotional wellbeing. We want our employees to have a sense of belonging and uniqueness in a supportive workplace, so they can bring their full selves to work.
**Equal Opportunity Employer**
 As an Equal Opportunity Employer, qualified applicants will receive consideration for employment without regard to race, color, religion, sex (including pregnancy, gender identity or expression, and sexual orientation), parental status, national origin, marital status, age, disability, genetic information, HIV status, political affiliation, socioeconomic background, veteran status or any other characteristic protected by law or in line with our responsibilities as a fair and ethic employer. All employment decisions are made based on occupational qualifications, merit, and business need.
**Data Privacy**
 To find out how we collect and use your personal data when you apply for a role at YouGov, please read our privacy notice at https://jobs.yougov.com/privacy</t>
        </is>
      </c>
    </row>
    <row r="18">
      <c r="A18" t="inlineStr">
        <is>
          <t>li-4369326158</t>
        </is>
      </c>
      <c r="B18" t="inlineStr">
        <is>
          <t>Staff Data Scientist</t>
        </is>
      </c>
      <c r="C18" t="inlineStr">
        <is>
          <t>Intuit</t>
        </is>
      </c>
      <c r="D18" t="inlineStr">
        <is>
          <t>linkedin</t>
        </is>
      </c>
      <c r="E18">
        <f>HYPERLINK("https://www.linkedin.com/jobs/view/4369326158", "https://www.linkedin.com/jobs/view/4369326158")</f>
        <v/>
      </c>
      <c r="F18">
        <f>HYPERLINK("https://dsp.prng.co/GE1nr1b&amp;urlHash=er1s", "https://dsp.prng.co/GE1nr1b&amp;urlHash=er1s")</f>
        <v/>
      </c>
      <c r="G18" t="inlineStr">
        <is>
          <t>Mountain View, CA</t>
        </is>
      </c>
      <c r="H18" t="inlineStr"/>
      <c r="I18" t="inlineStr">
        <is>
          <t>**Overview**
 Come join the Intuit \- QuickBooks Web Marketing Data Analytics team as a Staff Data Scientist! You'll be joining a highly motivated and fun team that is responsible for bringing new customers to the QuickBooks ecosystem of products and driving key decisions through user behaviour analysis, experimentation and machine learning. You'll apply statistical rigor to drive business outcomes and will be instrumental in providing actionable data backed insights and recommendations that inform our strategic decisions!
**Responsibilities**
* Drive measurement strategy and lead E2E process of A/B testing (frequentist/ bayesian/mab) for areas of web optimization such as landing pages, user funnel, navigation, checkout, product lineup, pricing, search and monetization opportunities
* Analyze web user behavior at both visitor and session level using clickstream data by anchoring to key web metrics and identify user behavior through engagement and pathing analysis
* Help build a culture of rigorous experimentation across marketing/product managers Leverage AI/GenAI tools for automating tasks and building custom implementations
* Use data, strategic thinking and advanced scientific methods including predictive modeling to enable data\-backed decision making for Intuit at scale
* Measure performance and impact of various product releases Demonstrate strategic thinking and systems thinking to solve business problems and influence strategic decisions using data storytelling
* Partner with GTM, Product, Engineering, Design, Engineering teams to drive analytics projects end to end
**Qualifications**
* 7\+ years of experience working in web, product, marketing, or other related analytics fields to solve for marketing/product business problems
* 5\+ years of experience in designing and executing experiments (A/B and multivariate) with a deep understanding of the stats behind hypothesis testing
* Proficient in alternative A/B testing methods like DiD, Synthetic control and other causal inference techniques
* 5\+ years of technical proficiency in SQL, Python or R and data visualization tools like tableau
* 5\+ years of experience in manipulating and analyzing large complex datasets (e.g. clickstream data), constructing data pipelines (ETL) and working on big data technologies (e.g., Redshift, Spark, Hive, BigQuery) and solutions from cloud platforms
* 3\+ years of experience in web analytics, analyzing website traffic patterns and conversion funnels
* 2\+ years of experience in building ML models (eg: regression, clustering, trees) for personalization applications
* Demonstrate ability to drive strategy, execution and insights for AI native experiences across the development lifecycle (ideation, discovery, experimentation, scaling)
* Outstanding communication skills with both technical and non\-technical audiences
* Ability to tell stories with data, influence business decisions at a leadership level, and provide solutions to business problems
* Ability to manage multiple projects simultaneously to meet objectives and key deadlines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
 Bay Area California $ 186,500\- 252,000</t>
        </is>
      </c>
    </row>
    <row r="19">
      <c r="A19" t="inlineStr">
        <is>
          <t>li-4369360559</t>
        </is>
      </c>
      <c r="B19" t="inlineStr">
        <is>
          <t>AIML - Sr Data Scientist, Evaluation</t>
        </is>
      </c>
      <c r="C19" t="inlineStr">
        <is>
          <t>Apple</t>
        </is>
      </c>
      <c r="D19" t="inlineStr">
        <is>
          <t>linkedin</t>
        </is>
      </c>
      <c r="E19">
        <f>HYPERLINK("https://www.linkedin.com/jobs/view/4369360559", "https://www.linkedin.com/jobs/view/4369360559")</f>
        <v/>
      </c>
      <c r="F19" t="inlineStr"/>
      <c r="G19" t="inlineStr">
        <is>
          <t>Cupertino, CA</t>
        </is>
      </c>
      <c r="H19" t="inlineStr"/>
      <c r="I19" t="inlineStr">
        <is>
          <t>**Summary**
 Do you get excited by driving product impact via measurement and evaluation, for products and services used by hundreds of millions of people globally? Within the evaluation organization, the mission of Data Science and Insights team is to guide product development, decisions and directions through principled evaluation and rigorous use of data.
 You will partner with various engineering teams to improve search quality and guide feature development with data, to deliver amazing search experiences across iPhone, iPad, HomePod, Mac, Watch, tv, across dozens of languages.
**Description**
 Research and develop evaluation methods to improve the quality of Apple user facing products, such as Siri and Apple Intelligence. Work with evaluation/experimentation engineering teams to get your methodological developments translated into technologies that product engineering will use every day. Work with large, complex data sets. Solve difficult, non\-routine analysis problems, applying advanced analytical methods as needed, including prompt engineering and building LLMs as judges. Conduct analysis that includes data collection and quality control, requirements specification, processing and presentations. Build and prototype analysis pipelines iteratively to provide insights at scale. Develop comprehensive knowledge of product data structures and metrics, advocating for changes where needed for product development. Partner closely with product engineering teams on core machine learning algorithms and user experience evaluations. You should be passionate about building outstanding products. This position involves a wide variety of skills and innovation.
**Minimum Qualifications**
* 5 years of relevant work experience. Advanced degree in a quantitative field such as Statistics, Operational Research, Bioinformatics, Economics, Psychology, Computer Science, Sociology, Mathematics, Physics, or similar quantitative field.
* Proficiency in data science, machine learning, and analytics, including statistical data analysis. Experience crafting, conducting, analyzing, and interpreting experiments and investigations, especially on data quality, evaluation and risk assessment.
* Strong programming skills, including data\-querying skills (SQL and/or Spark, etc.) and experience with a scripting language for data processing and development (e.g., Python, R, or Scala).
* Experience articulating and translating business questions and using statistical techniques to arrive at an answer using available data. Strong communication skills and the ability to naturally explain difficult technical topics (especially causal topics) to everyone from data scientists to engineers to business partners.
**Preferred Qualifications**
* Proven ability to collaborate effectively across functions and work well within a team.
* Capable of driving projects of varying sizes and scopes \- some will take months and some weeks — and you will need to know when to dive deep.
* Worked with methods that address accuracy and variability in human annotation data.
* Ability to learn new technology and skills to accommodate changing working requirements.
**Pay \&amp; Benefits**
 At Apple, base pay is one part of our total compensation package and is determined within a range. This provides the opportunity to progress as you grow and develop within a role. The base pay range for this role is between $181,100 and $318,400, and your base pay will depend on your skills, qualifications, experience, and location.
 Apple employees also have the opportunity to become an Apple shareholder through participation in Apple’s discretionary employee stock programs. Apple employees are eligible for discretionary restricted stock unit awards, and can purchase Apple stock at a discount if voluntarily participating in Apple’s Employee Stock Purchase Plan. You’ll also receive benefits including: Comprehensive medical and dental coverage, retirement benefits, a range of discounted products and free services, and for formal education related to advancing your career at Apple, reimbursement for certain educational expenses — including tuition. Additionally, this role might be eligible for discretionary bonuses or commission payments as well as relocation. Learn more about Apple Benefits.
 Note: Apple benefit, compensation and employee stock programs are subject to eligibility requirements and other terms of the applicable plan or program.
 Apple is an equal opportunity employer that is committed to inclusion and diversity. We seek to promote equal opportunity for all applicants without regard to race, color, religion, sex, sexual orientation, gender identity, national origin, disability, Veteran status, or other legally protected characteristics. Learn more about your EEO rights as an applicant.
 Apple accepts applications to this posting on an ongoing basis.</t>
        </is>
      </c>
    </row>
    <row r="20">
      <c r="A20" t="inlineStr">
        <is>
          <t>li-4363621453</t>
        </is>
      </c>
      <c r="B20" t="inlineStr">
        <is>
          <t>Lead R&amp;D Data Scientist</t>
        </is>
      </c>
      <c r="C20" t="inlineStr">
        <is>
          <t>Labcorp</t>
        </is>
      </c>
      <c r="D20" t="inlineStr">
        <is>
          <t>linkedin</t>
        </is>
      </c>
      <c r="E20">
        <f>HYPERLINK("https://www.linkedin.com/jobs/view/4363621453", "https://www.linkedin.com/jobs/view/4363621453")</f>
        <v/>
      </c>
      <c r="F20" t="inlineStr"/>
      <c r="G20" t="inlineStr">
        <is>
          <t>North Carolina, United States</t>
        </is>
      </c>
      <c r="H20" t="inlineStr"/>
      <c r="I20" t="inlineStr">
        <is>
          <t>**Location: Remote, United States**
 Labcorp Genetics (formerly Invitae) is dedicated to bringing comprehensive genetic information into mainstream medicine to improve healthcare for billions of people. Our team is driven to make a difference for the patients we serve. We are leading the transformation of the genetics industry, by making clinical\-grade genetic information affordable and accessible to guide health decisions across all stages of life.
 The genomics insights team leverages clinical genomic expertise, our massive genetics, laboratory and linked public/private datasets, and the latest AI/ML technologies to improve diagnosis, clinical care, and treatment options. We design and develop robust, quantitative, and scalable systems for variant interpretation and disease insights. Our research findings are broadly disseminated to improve testing guidelines, optimize reimbursement rates, and educate the healthcare ecosystem. We are seeking a Lead R\&amp;D Data Scientist to join our team and contribute to these initiatives.
**Duties And Responsibilities**
* Lead and deliver the translation of complex biological and clinical questions into actionable analysis plans.
* Architect and implement robust data pipelines that integrate large\-scale genomic, phenotypic, laboratory, and real\-world clinical datasets.
* Conduct repeatable data analysis and modeling with a high degree of scientific and statistical rigor, for complex tasks such as understanding patient trajectories, elucidating variant effect, and identifying genotype\-phenotype associations.
* Write clean, maintainable, and well\-documented code following best practices for version control, testing, and scalability.
* Prepare technical reports, peer\-reviewed publications, and conference presentations to share research outcomes with internal stakeholders and the broader scientific community.
* Collaborate closely with both internal and external stakeholders to drive impactful research and development initiatives.
* Ensure high standards of data privacy, security, and compliance are maintained in all projects.
**Qualifications**
* Masters degree, or equivalent industry experience in Computer Science, Statistics, Data Science, Computational Biology, or a related field.
* 5\+ years of hands\-on experience in data science and statistical methods, as applied to large biomedical datasets.
* Experience working within a collaborative technical team with strong software engineering practices.
* Proficiency in modern programming languages (Python and SQL), shell scripting, and version control (Git).
* Experience with data management, ETL, and business intelligence tools.
* Excellent communication skills for presenting research findings to diverse audiences.
**Preferred Qualifications**
* Ph.D
* Experience with big data technologies (Snowflake, Databricks, etc.) and visualization/dashboarding (Looker, Dash, etc.).
* Experience with high performance computing (SGE etc.).
* Experience in the development and validation of complex computational models for biological data, in particular machine learning and bioinformatics techniques.
* Understanding of data privacy, security, and ethical considerations in clinical and biological research.
* Previous published work in genetics, functional genomics, or clinical research.
**This position is not eligible for visa sponsorship.**
**Application window closes: 02/14/2026**
**Pay Range: $100,000\.00 \- $155,000\.00 a year**
**Schedule/Shift: M\-F, 8\-5 EST**
 All job offers will be based on a candidate’s skills and prior relevant experience, applicable degrees/certifications, as well as internal equity and market data.
 The position is also eligible for an annual bonus under the Labcorp Bonus Plan. Bonuses are payable based on corporate and/or business segment performance and are subject to individual performance modifiers. Compensation may also include discretionary short\- and long\-term incentive packages
 **.**
**Benefits:** 
 Employees regularly scheduled to work 20 or more hours per week are eligible for comprehensive benefits including: Medical, Dental, Vision, Life, STD/LTD, 401(k), Paid Time Off (PTO) or Flexible Time Off (FTO), Tuition Reimbursement and Employee Stock Purchase Plan. Casual, PRN \&amp; Part Time employees regularly scheduled to work less than 20 hours are eligible to participate in the 401(k) Plan only. Employees who are regularly scheduled to work a 7 on/7 off schedule are eligible to receive all the foregoing benefits except PTO or FTO. For more detailed information, please click here
**Labcorp Is Proud To Be An Equal Opportunity Employer**
 Labcorp strives for inclusion and belonging in the workforce and does not tolerate harassment or discrimination of any kind. We make employment decisions based on the needs of our business and the qualifications and merit of the individual. Qualified applicants will receive consideration for employment without regard to race, religion, color, national origin, sex (including pregnancy, childbirth, or related medical conditions), family or parental status, marital, civil union or domestic partnership status, sexual orientation, gender identity, gender expression, personal appearance, age, veteran status, disability, genetic information, or any other legally protected characteristic. Additionally, all qualified applicants with arrest or conviction records will be considered for employment in accordance with applicable law.
**We encourage all to apply**
 If you are an individual with a disability who needs assistance using our online tools to search and apply for jobs, or needs an accommodation, please visit our accessibility site or contact us at Labcorp Accessibility. For more information about how we collect and store your personal data, please see our Privacy Statement.</t>
        </is>
      </c>
    </row>
    <row r="21">
      <c r="A21" t="inlineStr">
        <is>
          <t>li-4369348835</t>
        </is>
      </c>
      <c r="B21" t="inlineStr">
        <is>
          <t>AIML - Sr Data Scientist, Evaluation</t>
        </is>
      </c>
      <c r="C21" t="inlineStr">
        <is>
          <t>Apple</t>
        </is>
      </c>
      <c r="D21" t="inlineStr">
        <is>
          <t>linkedin</t>
        </is>
      </c>
      <c r="E21">
        <f>HYPERLINK("https://www.linkedin.com/jobs/view/4369348835", "https://www.linkedin.com/jobs/view/4369348835")</f>
        <v/>
      </c>
      <c r="F21" t="inlineStr"/>
      <c r="G21" t="inlineStr">
        <is>
          <t>Seattle, WA</t>
        </is>
      </c>
      <c r="H21" t="inlineStr"/>
      <c r="I21" t="inlineStr">
        <is>
          <t>**Summary**
 Do you get excited by driving product impact via measurement and evaluation, for products and services used by hundreds of millions of people globally? Within the evaluation organization, the mission of Data Science and Insights team is to guide product development, decisions and directions through principled evaluation and rigorous use of data.
 You will partner with various engineering teams to improve search quality and guide feature development with data, to deliver amazing search experiences across iPhone, iPad, HomePod, Mac, Watch, tv, across dozens of languages.
**Description**
 Research and develop evaluation methods to improve the quality of Apple user facing products, such as Siri and Apple Intelligence. Work with evaluation/experimentation engineering teams to get your methodological developments translated into technologies that product engineering will use every day. Work with large, complex data sets. Solve difficult, non\-routine analysis problems, applying advanced analytical methods as needed, including prompt engineering and building LLMs as judges. Conduct analysis that includes data collection and quality control, requirements specification, processing and presentations. Build and prototype analysis pipelines iteratively to provide insights at scale. Develop comprehensive knowledge of product data structures and metrics, advocating for changes where needed for product development. Partner closely with product engineering teams on core machine learning algorithms and user experience evaluations. You should be passionate about building outstanding products. This position involves a wide variety of skills and innovation.
**Minimum Qualifications**
* 5 years of relevant work experience. Advanced degree in a quantitative field such as Statistics, Operational Research, Bioinformatics, Economics, Psychology, Computer Science, Sociology, Mathematics, Physics, or similar quantitative field.
* Proficiency in data science, machine learning, and analytics, including statistical data analysis. Experience crafting, conducting, analyzing, and interpreting experiments and investigations, especially on data quality, evaluation and risk assessment.
* Strong programming skills, including data\-querying skills (SQL and/or Spark, etc.) and experience with a scripting language for data processing and development (e.g., Python, R, or Scala).
* Experience articulating and translating business questions and using statistical techniques to arrive at an answer using available data. Strong communication skills and the ability to naturally explain difficult technical topics (especially causal topics) to everyone from data scientists to engineers to business partners.
**Preferred Qualifications**
* Proven ability to collaborate effectively across functions and work well within a team.
* Capable of driving projects of varying sizes and scopes \- some will take months and some weeks — and you will need to know when to dive deep.
* Worked with methods that address accuracy and variability in human annotation data.
* Ability to learn new technology and skills to accommodate changing working requirements.
**Pay \&amp; Benefits**
 At Apple, base pay is one part of our total compensation package and is determined within a range. This provides the opportunity to progress as you grow and develop within a role. The base pay range for this role is between $181,100 and $318,400, and your base pay will depend on your skills, qualifications, experience, and location.
 Apple employees also have the opportunity to become an Apple shareholder through participation in Apple’s discretionary employee stock programs. Apple employees are eligible for discretionary restricted stock unit awards, and can purchase Apple stock at a discount if voluntarily participating in Apple’s Employee Stock Purchase Plan. You’ll also receive benefits including: Comprehensive medical and dental coverage, retirement benefits, a range of discounted products and free services, and for formal education related to advancing your career at Apple, reimbursement for certain educational expenses — including tuition. Additionally, this role might be eligible for discretionary bonuses or commission payments as well as relocation. Learn more about Apple Benefits.
 Note: Apple benefit, compensation and employee stock programs are subject to eligibility requirements and other terms of the applicable plan or program.
 Apple is an equal opportunity employer that is committed to inclusion and diversity. We seek to promote equal opportunity for all applicants without regard to race, color, religion, sex, sexual orientation, gender identity, national origin, disability, Veteran status, or other legally protected characteristics. Learn more about your EEO rights as an applicant.
 Apple accepts applications to this posting on an ongoing basis.</t>
        </is>
      </c>
    </row>
    <row r="22">
      <c r="A22" t="inlineStr">
        <is>
          <t>li-4369349680</t>
        </is>
      </c>
      <c r="B22" t="inlineStr">
        <is>
          <t>Data Scientist, Senior Associate - Customer Analytics</t>
        </is>
      </c>
      <c r="C22" t="inlineStr">
        <is>
          <t>hackajob</t>
        </is>
      </c>
      <c r="D22" t="inlineStr">
        <is>
          <t>linkedin</t>
        </is>
      </c>
      <c r="E22">
        <f>HYPERLINK("https://www.linkedin.com/jobs/view/4369349680", "https://www.linkedin.com/jobs/view/4369349680")</f>
        <v/>
      </c>
      <c r="F22" t="inlineStr"/>
      <c r="G22" t="inlineStr">
        <is>
          <t>Columbus, OH</t>
        </is>
      </c>
      <c r="H22" t="inlineStr"/>
      <c r="I22" t="inlineStr">
        <is>
          <t>***hackajob** 
 is collaborating with
 **J.P. Morgan** 
 to connect them with exceptional tech professionals for this role.*
**Job Description**
 Join the Affluent, Core, and Emerging (ACE) Analytics team within the Consumer Bank Decision Sciences group where your analytical skills fuel innovation and drive real impact for our customers and business. Here, you’ll have the opportunity to grow your career, collaborate with talented colleagues, and work with advanced data and analytics tools. We value your curiosity and passion for learning, offering you the chance to expand your expertise and explore new career paths. Be part of a community that celebrates diverse perspectives and empowers you to make a difference.
**Job Summary**
 As a Data Scientist on the ACE team, you will help shape strategies across marketing, sales, distribution, pricing, and customer analytics. You’ll use a variety of analytical techniques to measure effectiveness and drive future decisions, ensuring your work directly influences both our customers and the business. In this role, you’ll collaborate with partners across data governance, reporting, data science, and technology, all while contributing to a culture of innovation and continuous learning. Your insights will help us deliver value and protection for our customers, and you’ll have access to significant learning and mobility opportunities to support your career growth. Join us to make a meaningful impact and advance your professional journey.
**Job Responsibilities**
* Develop complex analyses to drive business change in product performance, client engagement, attrition, and customer segmentation
* Partner with product, finance, and cross\-functional teams to deliver high\-impact projects that shape strategy and deliver measurable results
* Consult with business partners to understand analytical needs and provide actionable, data\-driven recommendations
* Present clear insights and recommendations directly to stakeholders, including regular opportunities to share findings and recommendations with senior executives
* Solve unstructured business problems and perform deep\-dive analyses of customer behavior using analytic, statistical, and machine learning techniques
* Refine and implement the analytical learning agenda to support business objectives
* Leverage internal data resources to construct analytical solutions for business challenges
* Collaborate with technology, product, and business teams to deliver impactful solutions
* Continuously develop skills to deliver best\-in\-class analytics
* Apply visualization techniques to communicate findings effectively
* Ensure all analyses and recommendations align with business goals and compliance standards
**Required Qualifications, Capabilities, And Skills**
* Hold a Master’s degree in a quantitative discipline or a Bachelor’s degree with 3\+ years of experience in a quantitative field such as Data Science, Mathematics, Statistics, Physics, Engineering, Economics, or Finance
* Demonstrate 3\+ years of experience applying statistical and machine learning methods to real\-world problems
* Possess 3\+ years of experience with SQL and at least one analytical tool such as SAS, Python, or R (Python preferred)
* Show experience with data visualization techniques for analysis and presentations (Tableau preferred)
* Exhibit superior written, oral communication, and presentation skills
* Communicate concisely and effectively with all levels of management and partners
* Work collaboratively in cross\-functional teams
* Solve complex, unstructured problems independently</t>
        </is>
      </c>
    </row>
    <row r="23">
      <c r="A23" t="inlineStr">
        <is>
          <t>li-4358734946</t>
        </is>
      </c>
      <c r="B23" t="inlineStr">
        <is>
          <t>Vice President, Data Scientist</t>
        </is>
      </c>
      <c r="C23" t="inlineStr">
        <is>
          <t>BNY</t>
        </is>
      </c>
      <c r="D23" t="inlineStr">
        <is>
          <t>linkedin</t>
        </is>
      </c>
      <c r="E23">
        <f>HYPERLINK("https://www.linkedin.com/jobs/view/4358734946", "https://www.linkedin.com/jobs/view/4358734946")</f>
        <v/>
      </c>
      <c r="F23">
        <f>HYPERLINK("https://eofe.fa.us2.oraclecloud.com/hcmUI/CandidateExperience/en/job/72627/?utm_medium=jobshare&amp;src=JB-10200&amp;urlHash=RN6e", "https://eofe.fa.us2.oraclecloud.com/hcmUI/CandidateExperience/en/job/72627/?utm_medium=jobshare&amp;src=JB-10200&amp;urlHash=RN6e")</f>
        <v/>
      </c>
      <c r="G23" t="inlineStr">
        <is>
          <t>Pittsburgh, PA</t>
        </is>
      </c>
      <c r="H23" t="inlineStr"/>
      <c r="I23" t="inlineStr">
        <is>
          <t>**Job Description**
 Vice President, Data Scientist
 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
 Recognized as a top destination for innovators, BNY is where bold ideas meet advanced technology and exceptional talent. Together, we power the future of finance – and this is what is all about. Join us and be part of something extraordinary.
 We’re seeking a future team member for the role of Data Scientist to join our Financial Crimes Compliance team. This role is in Lake Mary or Pittsburgh.
 In this role, you’ll make an impact in the following ways:
* Development, testing and tuning of financial crimes compliance detection rules/models for AML transaction monitoring, sanctions screening, customer risk rating etc.
* Analyze and interpret data to facilitate statistical analysis for development, testing or tuning of financial crimes compliance detection rules. Perform ad hoc analysis used for statistical analysis as required.
* Conduct complex mathematical analysis utilizing various statistical methods or techniques including machine learning, GenAI, logistic regression and various other ensemble techniques (e.g., XGBoost, LightGBM)
* Interprets findings from statistical analyses performed for communication to senior and executive level management in written and verbal form.
* Ability to understand and use various programming languages like python to identify, investigate and resolve data and programming issues
 To be successful in this role, we’re seeking the following:
* Graduate degree in a quantitative discipline, e.g. Engineering, Computer Science, Mathematics, Operations Research, Data Science, and 7\+ years of relevant experience.
* Strong critical thinking and data analysis skills. Experienced in collecting, organizing, and evaluating business data
* Ability to pay attention to details
* Ability to report research results in a comprehensive, concise manner and to develop and present precise and clear metrics
* Skilled in coordinating and multi\-tasking for various projects
* Understands databases (Oracle or Snowflake); good technical skills in querying and analyzing data (SQL or equivalent)
* Ability to manage issues and influence others to remediate
* Ability to communicate effectively, both orally and in writing. Communicates and collaborates with all levels of team\-mates
* Good organizational and project management skills, as well as attention to detail
* Multitasks, prioritizes and meets deadlines in timely manner
* Experience working in Global Financial Crimes Technology with Anti Money Laundering and Economic Sanctions knowledge a plus.
 At BNY, our culture speaks for itself, check out the latest BNY news at:
 BNY Newsroom
 BNY LinkedIn
**Here’s a Few Of Our Recent Awards**
* America’s Most Innovative Companies, Fortune, 2025
* World’s Most Admired Companies, Fortune 2025
* “Most Just Companies”, Just Capital and CNBC, 2025
**Our Benefits And Rewards**
 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
 BNY is an Equal Employment Opportunity/Affirmative Action Employer \- Underrepresented racial and ethnic groups/Females/Individuals with Disabilities/Protected Veterans.</t>
        </is>
      </c>
    </row>
    <row r="24">
      <c r="A24" t="inlineStr">
        <is>
          <t>li-4359588903</t>
        </is>
      </c>
      <c r="B24" t="inlineStr">
        <is>
          <t>Principal, Data Scientist, Search Discover</t>
        </is>
      </c>
      <c r="C24" t="inlineStr">
        <is>
          <t>Google</t>
        </is>
      </c>
      <c r="D24" t="inlineStr">
        <is>
          <t>linkedin</t>
        </is>
      </c>
      <c r="E24">
        <f>HYPERLINK("https://www.linkedin.com/jobs/view/4359588903", "https://www.linkedin.com/jobs/view/4359588903")</f>
        <v/>
      </c>
      <c r="F24" t="inlineStr"/>
      <c r="G24" t="inlineStr">
        <is>
          <t>Mountain View, CA</t>
        </is>
      </c>
      <c r="H24" t="inlineStr"/>
      <c r="I24" t="inlineStr">
        <is>
          <t>Note: By applying to this position you will have an opportunity to share your preferred working location from the following:
 **Mountain View, CA, USA; New York, NY, USA** 
 .
 **Minimum qualifications:**
* Bachelor’s degree in Data Science, similar technical field of study, or equivalent practical experience.
* 15 years of experience in data science or other quantitative fields such as: statistics, machine learning, software engineering, or ML engineering.
* Experience in using data insights to drive product excellence.
**Preferred qualifications:**
* Master's degree or PhD in Data Science, Statistics, or equivalent.
* Experience building feed products and leading innovation in recommendation systems and personalization.
* Innovative problem solver who turns ambiguity into clear solutions, comfortable with new technology and out\-of\-the\-box thinking.
* Strong communicator and creative with data presentations to executive and business audiences.
**About The Job**
 As the Principal Data Scientist for Discover, you will lead the data science team for Google's global feed products, including Discover as well as Ember and a high\-priority, 0\-to\-1 AI feed product. You will act not just as a data leader but also as a product and business leader, driving ranking, experience, and content strategy to unlock true product\-market fit and projected growth. This is a high\-leverage role where you will make autonomous decisions regarding personalization and ranking strategies for products with billions of users.
 In Google Search, we're reimagining what it means to search for information – any way and anywhere. To do that, we need to solve complex engineering challenges and expand our infrastructure, while maintaining a universally accessible and useful experience that people around the world rely on. In joining the Search team, you'll have an opportunity to make an impact on billions of people globally.
 The US base salary range for this full\-time position is $272,000\-$383,000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
**Responsibilities**
* Drive cross\-functional collaboration across ranking, product experience, and content ecosystem teams to ensure seamless execution and alignment on shared objectives.
* Ensure a strong metrics foundation and provide technical oversight for ranking and personalization strategies to scale the Discover business.
* Lead the development and implementation of advanced analytics techniques, including predictive modeling and AI, for recommendation systems.
* Establish KPIs, metrics, and performance dashboards to monitor engagement and identify areas for improvement where engagement lags behind major competitors.
* Be able to programmatically ensure quality and accuracy across the Data Science organization and scale a specialized team of 19 data scientists.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t>
        </is>
      </c>
    </row>
    <row r="25">
      <c r="A25" t="inlineStr">
        <is>
          <t>li-4359817670</t>
        </is>
      </c>
      <c r="B25" t="inlineStr">
        <is>
          <t>Marketing Applied Scientist II</t>
        </is>
      </c>
      <c r="C25" t="inlineStr">
        <is>
          <t>Uber</t>
        </is>
      </c>
      <c r="D25" t="inlineStr">
        <is>
          <t>linkedin</t>
        </is>
      </c>
      <c r="E25">
        <f>HYPERLINK("https://www.linkedin.com/jobs/view/4359817670", "https://www.linkedin.com/jobs/view/4359817670")</f>
        <v/>
      </c>
      <c r="F25" t="inlineStr"/>
      <c r="G25" t="inlineStr">
        <is>
          <t>Seattle, WA</t>
        </is>
      </c>
      <c r="H25" t="inlineStr"/>
      <c r="I25" t="inlineStr">
        <is>
          <t>**About The Role**
 We are looking for an economic\-minded applied scientist for the Marketing Science team to develop strategic insights and drive product strategy including running experimentation and conducting product deep dives. The scope of this role is global and spans Uber's Rides and Eats business!
**Responsibilities**
* Develop and lead careful statistical and econometric analyses (including designing, running, and evaluating large\-scale marketing experiments) in support of our business priorities.
* Collaborate with cross\-functional teams to develop strategic insights and research that speaks to their contexts.
* Present economic reasoning and analytical results to cross\-functional audiences within Uber including to Uber's senior leadership team.
**Basic Qualifications**
* Ph.D., M.S., or Bachelor's degree in Statistics, Economics, Machine Learning, Operations Research, or other quantitative fields. (If M.S. degree, a minimum of 1\+ years of industry experience required and if Bachelor's degree, a minimum of 3\+ years of industry experience as a Data Scientist or equivalent).
* Strong SQL, Python and/or R foundation and expertise.
* Knowledge of experimental design and analysis (e.g., advanced analytics, econometrics, causal inference).
**Preferred Qualifications**
* Ability to collaborate cross\-functionally and clearly and concisely communicate complex topics to audiences with different backgrounds.
* A track record of working independently and conducting rigorous quantitative research in an outcome\-oriented way with minimal oversight.
* Industry experience in marketing science or product research, particularly background in developing and bringing quantitative evidence to bear on marketing or product strategies.
* Excellent project management skills and the ability to develop and maintain collaborative and productive relationships with other teams around the company.
* Passion for Uber!
 For New York, NY\-based roles: The base salary range for this role is USD$161,000 per year \- USD$179,000 per year. For San Francisco, CA\-based roles: The base salary range for this role is USD$161,000 per year \- USD$179,000 per year. For Seattle, WA\-based roles: The base salary range for this role is USD$161,000 per year \- USD$179,000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USD$161,000 per year \- USD$179,000 per year. For San Francisco, CA\-based roles: The base salary range for this role is USD$161,000 per year \- USD$179,000 per year. For Seattle, WA\-based roles: The base salary range for this role is USD$161,000 per year \- USD$179,000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26">
      <c r="A26" t="inlineStr">
        <is>
          <t>li-4343924466</t>
        </is>
      </c>
      <c r="B26" t="inlineStr">
        <is>
          <t>Senior Applied Scientist</t>
        </is>
      </c>
      <c r="C26" t="inlineStr">
        <is>
          <t>Microsoft</t>
        </is>
      </c>
      <c r="D26" t="inlineStr">
        <is>
          <t>linkedin</t>
        </is>
      </c>
      <c r="E26">
        <f>HYPERLINK("https://www.linkedin.com/jobs/view/4343924466", "https://www.linkedin.com/jobs/view/4343924466")</f>
        <v/>
      </c>
      <c r="F26" t="inlineStr"/>
      <c r="G26" t="inlineStr">
        <is>
          <t>Mountain View, CA</t>
        </is>
      </c>
      <c r="H26" t="inlineStr"/>
      <c r="I26" t="inlineStr">
        <is>
          <t>**Overview**
 Microsoft is innovating rapidly in the advertising space to grow its share of this market by providing the ad industry with the state\-of\-the\-art online advertising platform and service and Microsoft's advertising team is at the core of this effort.
 In this role, the Senior Applied Scientist will design and implement state\-of\-the\-art machine learning models and algorithms that power key systems within Microsoft Ads, Microsoft Audience Network, Copilot, and beyond. Your work will directly impact millions of users and advertisers by delivering scalable solutions that enhance ad relevance and optimize user experiences.
 We are hiring for multiple Senior Applied Scientist roles on Microsoft Advertising team for the following team:
**Signals Modeling Team**
 (This role is available in Mountain View, CA, or Redmond, WA)
 The team focuses on understanding and predicting how the user interacts with the ads on the search results page. The probability that a user will click on an ad is one of the most critical inputs used in ranking the ads. Similarly, the probability of interacting with the advertiser’s page is important for measuring advertiser and user satisfaction.
 The role for this team is focused on building machine learned models for predicting such events. The team looks at all aspects of modeling including training data, features, the actual model (neural nets, linear models, decision trees etc.) and offline and online evaluation of those models.
 Engineers and scientists on our team work at the edge of machine learning and economics developing in the online stack as well as offline workflows. At its core, our team utilizes signals of user and advertiser intent to determine which ads are allocated and at what price.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Develop and deploy cutting\-edge machine learning models, including transformers, generative AI, and reinforcement learning, to optimize user interactions and ad relevance across Microsoft Ads and Copilot.
* Design scalable algorithms for online and offline systems, delivering innovative solutions for content selection, user engagement modeling, and ad generation.
* Drive experimentation through A/B testing and offline validation to evaluate model performance and refine user behavior predictions.
* Build robust data pipelines and frameworks for handling large\-scale, high\-dimensional datasets to support advanced AI applications.
* Stay at the forefront of AI research, incorporating the latest advancements to drive innovation and impact across Microsoft platforms.
**Qualifications**
**Required Qualifications:**
* Bachelor's Degree in Statistics, Econometrics, Computer Science, Electrical or Computer Engineering, or related field AND 4\+ years related experience (e.g., statistics predictive analytics, research)
+ OR Master's Degree in Statistics, Econometrics, Computer Science, Electrical or Computer Engineering, or related field AND 3\+ years related experience (e.g., statistics, predictive analytics, research) OR Doctorate in Statistics, Econometrics, Computer Science, Electrical or Computer Engineering, or related field AND 1\+ year(s) related experience (e.g., statistics, predictive analytics, research)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Statistics, Econometrics, Computer Science, Electrical or Computer Engineering, or related field AND 6\+ years related experience (e.g., statistics, predictive analytics, research)
+ OR Doctorate in Statistics, Econometrics, Computer Science, Electrical or Computer Engineering, or related field AND 3\+ years related experience (e.g., statistics, predictive analytics, research)
+ OR equivalent experience.
* Proven experience in programming and data analysis skills
* 2\+ years of experience in developing and deploying large\-scale machine learning models..
* Proven expertise in the areas of Generative AI, deep learning, or transformers.
* 2\+ years of experience in reinforcement learning and contextual bandits.
 \#MicrosoftAI
 Applied Sciences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27">
      <c r="A27" t="inlineStr">
        <is>
          <t>li-4361081345</t>
        </is>
      </c>
      <c r="B27" t="inlineStr">
        <is>
          <t>Applied Scientist II, Sensing , Amazon Industrial Robotics</t>
        </is>
      </c>
      <c r="C27" t="inlineStr">
        <is>
          <t>Amazon</t>
        </is>
      </c>
      <c r="D27" t="inlineStr">
        <is>
          <t>linkedin</t>
        </is>
      </c>
      <c r="E27">
        <f>HYPERLINK("https://www.linkedin.com/jobs/view/4361081345", "https://www.linkedin.com/jobs/view/4361081345")</f>
        <v/>
      </c>
      <c r="F27" t="inlineStr"/>
      <c r="G27" t="inlineStr">
        <is>
          <t>Middlesex County, MA</t>
        </is>
      </c>
      <c r="H27" t="inlineStr"/>
      <c r="I27" t="inlineStr">
        <is>
          <t>**Description**
 Amazon Industrial Robotics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manipulation, locomotion, and human\-robot interaction.
 As an Applied Scientist in Sensing, you will develop innovative and complex sensing systems for our emerging robotic solutions and improve existing on\-robot sensing to optimize performance and enhance customer experience. The ideal candidate has demonstrated experience designing and troubleshooting custom sensor systems from the ground up. They enjoy analytical problem solving and possess practical knowledge of robotic design, fabrication, assembly, and rapid prototyping. They thrive in an interdisciplinary environment and have led the development of complex sensing systems.
 Key job responsibilities
* Design and adapt holistic on\-robot sensing solutions for ambiguous problems with fluid requirements
* Mentor and develop junior scientists and engineers
* Work with an interdisciplinary team to execute product designs from concept to production including specification, design, prototyping, validation and testing
* Have responsibility for the designs and performance of a sensing system design
* Work with the Operations, Manufacturing, Supply Chain and Quality organizations as well as vendors to ensure a fast development and delivery of the sensing concepts to the team
* Develop overall safety concept of the sensing platform
* Exhibit role model behaviors of applied science best practices, thorough and predictive analysis and cradle to grave ownership
**Basic Qualifications**
* Experience working in a fast\-paced, rapidly changing operations environment
* PhD degree in Computer Vision, Machine Learning, AI, or Electrical engineering
* Technical leadership in conceptualization, design and development of sensing systems
* Strong Interest in sensing systems to support safe robot operation
* Deep knowledge of sensing and signal processing, estimation, computer vision, or machine learning
* Hands\-on experience crafting proof\-of\-concept models and prototypes
* Thorough understanding and use of principles, theories and concepts of perceptual analysis, as well as ability to apply them to system design
* Experience communicating concepts to leadership and writing technical documents
* Experience evaluating design, performance and tradeoffs of perceptual computing systems
**Preferred Qualifications**
* Experience working with interdisciplinary teams to execute product concept with an eye for production
* Demonstrated experience collaborating with Mechanical, Electrical and Controls engineers
* Experience with safety certification of sensing systems
* Experience with using sensing modalities in robot control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\- 142,800\.00 \- 193,200\.00 USD annually
**Company** 
 \- Amazon.com Services LLC
 Job ID: A3175397</t>
        </is>
      </c>
    </row>
    <row r="28">
      <c r="A28" t="inlineStr">
        <is>
          <t>li-4362745728</t>
        </is>
      </c>
      <c r="B28" t="inlineStr">
        <is>
          <t>Principal Data Scientist</t>
        </is>
      </c>
      <c r="C28" t="inlineStr">
        <is>
          <t>Fidelity Investments</t>
        </is>
      </c>
      <c r="D28" t="inlineStr">
        <is>
          <t>linkedin</t>
        </is>
      </c>
      <c r="E28">
        <f>HYPERLINK("https://www.linkedin.com/jobs/view/4362745728", "https://www.linkedin.com/jobs/view/4362745728")</f>
        <v/>
      </c>
      <c r="F28" t="inlineStr"/>
      <c r="G28" t="inlineStr">
        <is>
          <t>Merrimack, NH</t>
        </is>
      </c>
      <c r="H28" t="inlineStr"/>
      <c r="I28" t="inlineStr">
        <is>
          <t>**Job Description**
 Job Description: Principal Data Scientist
**The Role**
 Do you want to work at the epicenter of new and emerging technologies? Not just tinkering around the edges, rather building critical solutions that will benefit our teams for years to come. Those who love to work with data may see this as the pinnacle of opportunities anywhere in the industry. Asset Management’s Advanced Process Solutions team is seeking a Principal Data Scientist with experience in Large Language Models, Natural Language Processing, Machine learning, various Deep Learning related technologies, predictive and prescriptive analytics. If you want to build, design, and implement machine learning applications, such as: modeling, data ingestion, building data pipelines, writing APIs; as well as, designing and implementing natural language processing (NLP) and other machine learning algorithms, then this is the role for you!
**The Expertise And Skills You Bring**
* Deep understanding of Machine Learning \&amp; Deep Learning algorithms
* Proven experience working with business partners to understand their problem, design and model a solution, and bring a prototype to market efficiently
* Practical LLM application experience: RAG architectures, vector databases (e.g. Pinecone, FAISS), prompt engineering, evaluation frameworks, and guardrails/safety.
* Knowledge of most of the following quantitative fields: Natural Language Processing, OCR Information Retrieval, Machine Comprehension, Question Answering, Reinforcement Learning, Knowledge Graph, Causal Inference, and Design of Experiment
* Programming skills and experience, such as Python, Scikit Learn, PyTorch etc.
* Expertise in navigating large data sets (structured and unstructured), discovering, cleaning, analyzing, and preparing data for ingestion
* Experience building and hosting data pipelines and RESTful APIs
* Professional experience building scalable applications in AWS
* Familiarity with CI/CD and DevOps standard methodologies and/or ML\-Ops
* Additional technical skills that are nice to have: Snowflake, JavaScript, Spark, Serverless, Jenkins, Concourse, NoSQL databases, Tableau, R, Linux
* A creative problem solver, who thrives on working through complex challenges and is fueled by a natural curiosity to keep up with continuous advancements and trends in technology
* Strong technical foundation with an ability to learn new skills and technologies as needed
* Great collaboration and interpersonal skills while also demonstrating the ability to be self\-starter and independent thinker
* Strong communication and presentation skills, with the ability to explain complex technical/analytical concepts to audiences at all levels (technical and non\-technical)
* Computer science / mathematics / quantitative educational background
* Working knowledge of Investment Management business domain knowledge across some combination of Research, Portfolio Management, Trading, Compliance, and Investment Operations is helpful, but not necessary
* Bachelors or equivalent with 7\+ years of experience or Masters with 5\+ years of experience
**The Team**
 The Advanced Process Solutions Emerging Solutions is on the frontier of emerging technology and delivers innovative, scalable, industry\-leading tools that enable Asset Management to achieve competitive advantage globally. Our work in this truly groundbreaking initiative will provide a major contribution to Asset Management’s business operations and scale and efficiency objectives.
**Certifications**
 Category:
 Data Analytics and Insights
 Most roles at Fidelity are Hybrid, requiring associates to work onsite every other week (all business days, M\-F) in a Fidelity office. This does not apply to Remote or fully Onsite roles.
 Please be advised that Fidelity’s business is governed by the provisions of the Securities Exchange Act of 1934, the Investment Advisers Act of 1940, the Investment Company Act of 1940, ERISA, numerous state laws governing securities, investment and retirement\-related financial activities and the rules and regulations of numerous self\-regulatory organizations, including FINRA, among others. Those laws and regulations may restrict Fidelity from hiring and/or associating with individuals with certain Criminal Histories.</t>
        </is>
      </c>
    </row>
    <row r="29">
      <c r="A29" t="inlineStr">
        <is>
          <t>li-4361062810</t>
        </is>
      </c>
      <c r="B29" t="inlineStr">
        <is>
          <t>Oracle Enterprise Data Scientist</t>
        </is>
      </c>
      <c r="C29" t="inlineStr">
        <is>
          <t>Community Health Systems</t>
        </is>
      </c>
      <c r="D29" t="inlineStr">
        <is>
          <t>linkedin</t>
        </is>
      </c>
      <c r="E29">
        <f>HYPERLINK("https://www.linkedin.com/jobs/view/4361062810", "https://www.linkedin.com/jobs/view/4361062810")</f>
        <v/>
      </c>
      <c r="F29">
        <f>HYPERLINK("https://fa-evxo-saasfaprod1.fa.ocs.oraclecloud.com/hcmUI/CandidateExperience/en/sites/CX_1/job/142896?utm_source=linkedin&amp;utm_medium=jobboard&amp;urlHash=BnBX", "https://fa-evxo-saasfaprod1.fa.ocs.oraclecloud.com/hcmUI/CandidateExperience/en/sites/CX_1/job/142896?utm_source=linkedin&amp;utm_medium=jobboard&amp;urlHash=BnBX")</f>
        <v/>
      </c>
      <c r="G29" t="inlineStr"/>
      <c r="H29" t="inlineStr"/>
      <c r="I29" t="inlineStr">
        <is>
          <t>**Job Summary**
 We are seeking a highly specialized and experienced Enterprise Data Scientist to drive data quality, standardization, and insight generation across our core Oracle operational suite. This role serves as the authoritative expert on translating complex, high\-volume data from Oracle Supply Chain Management (SCM), Oracle Procurement, Oracle Revenue Cycle Management (RCM), and Oracle Inventory into actionable business intelligence.
 The successful candidate will be focused on ensuring absolute data integrity—a critical function in a regulated healthcare environment—and transforming raw transactional data into high\-value operational reports, interactive dashboards, and predictive models that optimize cost\-per\-case, enhance inventory accuracy, and accelerate the revenue cycle.
**Essential Functions**
* Data Validation, Integrity, and Compliance (Critical Focus)
* Healthcare Data Quality Assurance: Design and implement automated data validation frameworks specific to healthcare operations, ensuring transactional data (e.g., supply usage, procedure charging, contract pricing) is accurate.
* Compliance Verification: Develop reports and monitoring tools to detect anomalies and discrepancies that could impact regulatory reporting, financial audits (e.g., SOX implications), or compliance with GPO contracts and payer rules.
* Revenue Leakage Identification: Specifically focus on validating the link between inventory consumption (SCM) and patient billing (RCM) data to prevent charge capture errors, ensuring accurate patient bills and maximizing appropriate reimbursement.
* Root Cause Analysis: Investigate and diagnose data errors originating in Oracle system configurations (EBS or Fusion), ensuring the integrity of critical data points like item master definitions, vendor codes, and pricing tiers.
* Standardized Operational Analytics and Reporting
* KPI Development (Healthcare Specific): Define, standardize, and institutionalize critical operational metrics across the organization, such as:
* Inventory Accuracy Rate for Critical Supplies
* Procurement Compliance Rate (Off\-Contract Spend)
* Days of Supply (DOS) for high\-value pharmaceuticals and implants
* Cost\-Per\-Case Variance analysis (linking supply cost to procedure type)
* Claims Denial Rate Analysis linked to operational inputs
* High\-Value Reporting: Develop and maintain standardized operational reports and interactive dashboards (e.g., Tableau, Power BI) focused on optimizing the efficiency and spend within the OR, Clinics, and centralized purchasing departments.
* Executive Insights: Create visually compelling and accurate reports for executive leadership on the overall health and financial performance driven by Oracle system outputs.
* Advanced Modeling and Process Optimization
* Predictive Inventory Modeling: Develop sophisticated models to forecast demand volatility (e.g., flu season spikes, pandemic\-related surges) for critical supplies and pharmaceuticals, minimizing shortages and excess waste.
* Revenue Cycle Modeling: Build predictive models to forecast cash flow, anticipate denials based on procurement/charging patterns, and prioritize RCM work queues based on expected return.
* Efficiency Optimization: Utilize machine learning techniques to optimize logistics (e.g., warehouse routing, supply replenishment schedules) and procurement processes (e.g., automated purchase order generation based on consumption velocity).
* Collaboration and System Expertise
* Serve as the technical data expert for functional Oracle teams (Finance, Clinical Operations, Materials Management), bridging the gap between business needs and data structure.
* Document data lineage, metric definitions, and model methodologies to ensure transparency and trust in derived insights across the enterprise.
**Required Qualifications**
* Education: Master’s degree in Data Science, Health Informatics, Statistics, Industrial Engineering, or a related quantitative field.
* Experience: 2\+ years of experience in a specialized data science, BI, or analytics role, working within a large healthcare system, hospital, or payer environment.
* Deep Oracle Domain Expertise (Mandatory): Proven practical experience analyzing, querying, and understanding the complex data models within at least two of the following Oracle applications (EBS or Fusion):
* Oracle Supply Chain Management (SCM) \&amp; Inventory: Specific understanding of item masters, warehouse transactions, and consumption data.
* Oracle Procurement: Expertise in purchase order data, contract management, and vendor performance metrics.
* Oracle Revenue Cycle Management (RCM): Understanding of charge capture, billing, and the data linkage to operational inputs.
**Technical Proficiency**
* Expert\-level SQL skills for complex database querying, including experience navigating Oracle tables/views.
* Proficiency in Python or R, with experience in statistical modeling, time series analysis, and machine learning libraries.
* Experience developing advanced visualizations using industry\-leading tools (Tableau, Power BI).
* Demonstrable experience working with large\-scale Enterprise Data Warehouses (EDW) in a regulated environment.
* Preferred Skills and Attributes
* Familiarity with clinical coding standards (CPT, ICD\-10\) as they relate to procedure costing and RCM data.
* Understanding of HIPAA, HITECH, and general healthcare data governance standards.
* Experience with advanced analytics applied to surgical services or procedural areas.
* Excellent collaboration and communication skills, with the ability to present complex analytical findings to clinical and executive audiences.
* Certification in Oracle applications or cloud platforms is a plus.</t>
        </is>
      </c>
    </row>
    <row r="30">
      <c r="A30" t="inlineStr">
        <is>
          <t>li-4369311046</t>
        </is>
      </c>
      <c r="B30" t="inlineStr">
        <is>
          <t>Data Scientist, Local only</t>
        </is>
      </c>
      <c r="C30" t="inlineStr">
        <is>
          <t>Jobs via Dice</t>
        </is>
      </c>
      <c r="D30" t="inlineStr">
        <is>
          <t>linkedin</t>
        </is>
      </c>
      <c r="E30">
        <f>HYPERLINK("https://www.linkedin.com/jobs/view/4369311046", "https://www.linkedin.com/jobs/view/4369311046")</f>
        <v/>
      </c>
      <c r="F30" t="inlineStr"/>
      <c r="G30" t="inlineStr">
        <is>
          <t>Fountain Valley, CA</t>
        </is>
      </c>
      <c r="H30" t="inlineStr"/>
      <c r="I30" t="inlineStr">
        <is>
          <t>Dice is the leading career destination for tech experts at every stage of their careers. Our client, Abhyanth Solutions, is seeking the following. Apply via Dice today!
**Position: Data Scientist**
**Location: Fountain Valley, CA(Onsite) Local only**
**Duration: 12 months(W2 Only)**
**Job Description:\-**
 We are looking for a passionate and detail\-oriented
 **Data Scientist** 
 to join our analytics team. The ideal candidate will have strong analytical and statistical skills, experience working with large datasets, and the ability to translate data\-driven insights into actionable business strategies.
 Key Responsibilities
* Collect, clean, and analyze large datasets from multiple sources.
* Develop and deploy predictive models and machine learning algorithms to solve business problems.
* Perform exploratory data analysis (EDA) to identify trends, patterns, and correlations.
* Work with cross\-functional teams to define data requirements and business objectives.
* Communicate insights and findings through visualizations, dashboards, and presentations.
* Optimize data models and ensure the scalability of data science solutions.
* Stay updated with the latest developments in data science, AI, and analytics tools.
**Required Skills And Qualifications**
* Bachelor’s or Master’s degree in Computer Science, Statistics, Mathematics, Data Science, or a related field.
* Proven experience as a Data Scientist, Data Analyst, or in a similar analytical role.
* Strong proficiency in:
+ Programming: Python, R
+ Libraries/Frameworks: pandas, NumPy, scikit\-learn, TensorFlow, PyTorch
+ Databases: SQL, NoSQL
+ Visualization Tools: Power BI, Tableau, Matplotlib, Seaborn
* Solid understanding of statistical modeling, machine learning algorithms, and data preprocessing techniques.
* Experience working with big data tools (e.g., Spark, Hadoop) is a plus.
* Excellent problem\-solving, communication, and collaboration skills.</t>
        </is>
      </c>
    </row>
    <row r="31">
      <c r="A31" t="inlineStr">
        <is>
          <t>li-4362862251</t>
        </is>
      </c>
      <c r="B31" t="inlineStr">
        <is>
          <t>Senior Associate, Data Scientist -  Business Cards Marketing Data Science</t>
        </is>
      </c>
      <c r="C31" t="inlineStr">
        <is>
          <t>Capital One</t>
        </is>
      </c>
      <c r="D31" t="inlineStr">
        <is>
          <t>linkedin</t>
        </is>
      </c>
      <c r="E31">
        <f>HYPERLINK("https://www.linkedin.com/jobs/view/4362862251", "https://www.linkedin.com/jobs/view/4362862251")</f>
        <v/>
      </c>
      <c r="F31" t="inlineStr"/>
      <c r="G31" t="inlineStr">
        <is>
          <t>New York, NY</t>
        </is>
      </c>
      <c r="H31" t="inlineStr"/>
      <c r="I31" t="inlineStr">
        <is>
          <t>Senior Associate, Data Scientist \- Business Cards Marketing Data Science
 Data is at the center of everything we do. As a startup, we disrupted the credit card industry by individually personalizing every credit card offer using statistical modeling and the relational database, cutting edge technology in 1988! Fast\-forward a few years, and this little innovation and our passion for data has skyrocketed us to a Fortune 200 company and a leader in the world of data\-driven decision\-making.
 As a Data Scientist at Capital One, you’ll be part of a team that’s leading the next wave of disruption at a whole new scale, using the latest in computing and machine learning technologies and operating across billions of customer records to unlock the big opportunities that help everyday people save money, time and agony in their financial lives.
****Team Description:****
 The Business Cards Marketing Data Science Team is a team of talented data scientists leveraging cutting\-edge machine learning models and statistical methods to deeply understand customer behavior, so we can optimize our marketing campaigns to win new customers and drive sticky relationships with our existing customers.
 In the recent past, we have experimented with multiple modeling approaches including time\-series models, regression \&amp; classification models, ensemble models, LLMs, causal learners to name a few. Our objective is to drive model usage across every aspect of marketing and increase personalization.
 We are embedded within the teams owning the campaigns and hence work very closely with business analysts and marketers to ensure that the models we build drive business value and are used in decision making and in marketing campaigns.
****In this role, you will:****
* Build and maintain machine learning models end\-to\-end, validate models for different business use cases and conduct rigorous statistical analyses of various business strategies
* Present findings to technical and business stakeholders and make appropriate recommendations
* Partner with a cross\-functional team of data scientists, business analysts, marketers, product managers and software engineers to deliver a product customers love
* Leverage a broad stack of technologies \- Python, SQL \&amp; Enterprise tools \- to train models and conduct analyses
****The Ideal Candidate is:****
* Technical. You have hands\-on experience building machine learning models for real world use cases. You are fluent in Python, SQL and command line. You write readable and efficient code from the get\-go. You know how to work with messy data sources.
* Statistically\-minded. You understand statistical concepts like multiple testing, causal inference, bias, etc. You have experience with building and diagnosing different types of machine learning models (eg. classification, clustering, time series). You are keen on staying current in your understanding of modern machine learning models including Gen AI.
* A strong communicator with solid written and verbal communication skills. Your documentation clearly articulates your thinking and you can communicate results well to your peers and other technical and business leaders.
* A self\-starter and a creative problem solver. You take initiative, iterate quickly, know how to move past challenges and find innovative solutions to business problems.
****Basic Qualifications:****
* Currently has, or is in the process of obtaining one of the following with an expectation that the required degree will be obtained on or before the scheduled start date:
+ A Bachelor's Degree in a quantitative field (Statistics, Economics, Operations Research, Analytics, Mathematics, Computer Science, or a related quantitative field) plus 2 years of experience performing data analytics
+ A Master's Degree in a quantitative field (Statistics, Economics, Operations Research, Analytics, Mathematics, Computer Science, or a related quantitative field) or an MBA with a quantitative concentration
****Preferred Qualifications:****
* Master’s Degree or PhD in Statistics, Mathematics, Computer Science, Data Science or other relevant technical disciplines
* 2\+ years of experience with Python, SQL, and scripting
* 2\+ years of experience working with and analyzing large datasets using quantitative approaches
* 2\+ years of experience building, analyzing, and deploying machine learning models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New York, NY: $148,000 \- $168,900 for Sr Assoc, Data Science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32">
      <c r="A32" t="inlineStr">
        <is>
          <t>li-4360538294</t>
        </is>
      </c>
      <c r="B32" t="inlineStr">
        <is>
          <t>Data Scientist</t>
        </is>
      </c>
      <c r="C32" t="inlineStr">
        <is>
          <t>Jobs via Dice</t>
        </is>
      </c>
      <c r="D32" t="inlineStr">
        <is>
          <t>linkedin</t>
        </is>
      </c>
      <c r="E32">
        <f>HYPERLINK("https://www.linkedin.com/jobs/view/4360538294", "https://www.linkedin.com/jobs/view/4360538294")</f>
        <v/>
      </c>
      <c r="F32" t="inlineStr"/>
      <c r="G32" t="inlineStr">
        <is>
          <t>Springfield, VA</t>
        </is>
      </c>
      <c r="H32" t="inlineStr"/>
      <c r="I32" t="inlineStr">
        <is>
          <t>**Job Description**
 ECS is seeking a
 **Data Scientist** 
 to work in a hybrid remote/onsite capacity, with minimum of 3 business days onsite at our
 **Fairfax, VA** 
 corporate office and/or our
 **Springfield, VA** 
 customer site.
 ECS seeks a Data Scientist to support a project team responsible for managing an Artificial Intelligence initiative. The work is performed in a multidisciplinary and collaborative team environment. This role will report to a project lead and will focus on developing and applying methods to analyze data for Artificial Intelligence development across multiple classification levels and environments.
 Position Responsibilities:
* Participate in technical exchange meetings and discussions with our customers, vendors, and internal team to help coordinate, prioritize, and track datasets supporting AI efforts.
* Work in person at the required office and, as needed, classified locations with team members and customer stakeholders.
* Help cultivate an environment that promotes customer service, excellence, innovation, collaboration, and teamwork.
* Mentor and train junior data scientists to learn and correctly apply data science skills.
* Develop and apply methods to identify, collect, process, and analyze large volumes of data to build and enhance GEOINT processes, and systems.
* Perform mathematical and statistical analysis of data to identify trends and generate observations that will be placed in reports for leadership.
* Document and visualize data both temporally and spatially to assist in data integrity checks, analyze data, and display analytical assessments.
* Understand and interpret data from a variety of geospatial data sources and disparate datasets.
* Develop and document data workflows, assisting stakeholders with data management tasks, procedures, and best practices across multiple environments and classification levels.
* Independently identify, document, and address technical challenges.
* Automate analytic workflows using python or other coding languages
* Provide advanced data visualization to convey findings and communicate insights utilizing GIS or visualization software capabilities.
 We are a rapidly growing company that considers our employees and teams to be our most important assets. Our team environment provides opportunities for growth to individuals who are motivated to excel. Our growing program works with the most forward\-leaning technologies and extraordinary customers who are thought and action leaders within the AI/ML domain. We offer a highly competitive compensation and benefits package to the right person for this key position.
**Required Skills**
* Active Secret Clearance and ability to obtain a TS/SCI Clearance
* Minimum of a Bachelor's Degree and 3\-5\+ years of overall relevant experience.
* Demonstrated advanced experience with Python (i.e. numpy, pandas, matplotlib libraries).
* Demonstrated advanced experience in SQL and NoSQL technologies.
* Demonstrated advanced proficiency of database principles and technology.
* Demonstrated advanced experience with mathematical, statistical, or scientific data science techniques
* Demonstrated advanced data transformation skills.
* Demonstrated advanced data processing and analytic skills.
* Demonstrated experience with cloud\-based database solutions.
* Demonstrated advanced experience text parsing.
* Demonstrated advanced experience in metadata tagging (data storage, processing and \&amp; analyzing).
* Demonstrated advanced experience in work with a variety of geospatial data formats.
**Desired Skills**
* Active Top Secret Clearance.
* Demonstrated experience with JAVA programming language.
* Previous experience with Snowflake, Databricks, or other data management platforms.
* Previous experience with Artificial Intelligence Machine Learning (AI/ML) development, particularly computer vision.
* Demonstrated advanced proficiency with the following programs:
+ ArcGIS, ArcSDE, ArcPro, ArcGIS Online.
+ PostgreSQL, Postgis, PgAdmin.
+ Application programming interfaces (APIs).
 \#ECS1
 ECS is an equal opportunity employer and does not discriminate or allow discrimination on the basis any characteristic protected by law. All qualified applicants will receive consideration for employment without regard to disability, status as a protected veteran or any other status protected by applicable federal, state, or local jurisdiction law.
 ECS is a leading mid\-sized provider of technology services to the United States Federal Government. We are focused on people, values and purpose. Every day, our 3300\+ employees focus on providing their technical talent to support the Federal Agencies and Departments of the US Government to serve, protect and defend the American People.</t>
        </is>
      </c>
    </row>
    <row r="33">
      <c r="A33" t="inlineStr">
        <is>
          <t>li-4362393896</t>
        </is>
      </c>
      <c r="B33" t="inlineStr">
        <is>
          <t>Senior Associate, Data Scientist -  Model Risk Office</t>
        </is>
      </c>
      <c r="C33" t="inlineStr">
        <is>
          <t>Capital One</t>
        </is>
      </c>
      <c r="D33" t="inlineStr">
        <is>
          <t>linkedin</t>
        </is>
      </c>
      <c r="E33">
        <f>HYPERLINK("https://www.linkedin.com/jobs/view/4362393896", "https://www.linkedin.com/jobs/view/4362393896")</f>
        <v/>
      </c>
      <c r="F33">
        <f>HYPERLINK("https://dsp.prng.co/U-Jhwvb&amp;urlHash=FLRH", "https://dsp.prng.co/U-Jhwvb&amp;urlHash=FLRH")</f>
        <v/>
      </c>
      <c r="G33" t="inlineStr">
        <is>
          <t>Chicago, IL</t>
        </is>
      </c>
      <c r="H33" t="inlineStr"/>
      <c r="I33" t="inlineStr">
        <is>
          <t>Senior Associate, Data Scientist \- Model Risk Office
 Data is at the center of everything we do. As a startup, we disrupted the credit card industry by individually personalizing every credit card offer using statistical modeling and the relational database, cutting edge technology in 1988! Fast\-forward a few years, and this little innovation and our passion for data has skyrocketed us to a Fortune 200 company and a leader in the world of data\-driven decision\-making.
 As a Data Scientist at Capital One, you’ll be part of a team that’s leading the next wave of disruption at a whole new scale, using the latest in computing and machine learning technologies and operating across billions of customer records to unlock the big opportunities that help everyday people save money, time and agony in their financial lives.
****Team Description****
 The Capital One Model Risk Office is dedicated to safeguarding the company from model failures while simultaneously enhancing decision\-making through models, including unique risks associated with Generative AI (GenAI). Leveraging expertise in statistics, software engineering, and business, we strive to achieve optimal results for both Risk Management and the broader Enterprise. We prioritize long\-term success by continually investing in future capabilities: acquiring new skills, developing superior tools, and cultivating strong relationships with trusted partners. Our approach involves learning from past errors to develop increasingly robust techniques that prevent recurrence.
****Role Description****
****In this role, you will:****
* Partner with a cross\-functional team of data scientists, software engineers, and product managers to identify and quantify risks associated with models
* Leverage a broad stack of technologies — from foundational frameworks (PyTorch, Hugging Face), to orchestration tools (LangChain, Vector Databases) to LLMOps, observability platforms, and more — to reveal the insights hidden within huge volumes of multi\-modal data
* Build machine learning models to challenge “champion models” that are deployed in production today and contribute to the model governance framework for the next generation of models
* Validate a wide variety of models across multiple business domains within our Enterprise Services division, and flex your interpersonal skills to present how identified model risks could impact the business to executives.
****The Ideal Candidate is:****
* Innovative. You continually research and evaluate emerging technologies. You stay current on published state\-of\-the\-art methods, technologies, and applications and seek out opportunities to apply them.
* Creative. You thrive on bringing definition to big, undefined problems. You love asking questions and pushing hard to find answers. You’re not afraid to share a new idea.
* Technical. You’re comfortable with open\-source languages and are passionate about developing further. You have hands\-on experience developing data science solutions using open\-source tools and cloud computing platforms.
* Statistically\-minded. You’ve built models, validated them, and backtested them. You know how to interpret a confusion matrix or a ROC curve. You have experience with clustering, classification, sentiment analysis, time series, and deep learning.
* A data guru. “Big data” doesn’t faze you. You have the skills to retrieve, combine, and analyze data from a variety of sources and structures. You know understanding the data is often the key to great data science.
****Basic Qualifications:****
* Currently has, or is in the process of obtaining one of the following with an expectation that the required degree will be obtained on or before the scheduled start date:
+ A Bachelor's Degree in a quantitative field (Statistics, Economics, Operations Research, Analytics, Mathematics, Computer Science, or a related quantitative field) plus 2 years of experience performing data analytics
+ A Master's Degree in a quantitative field (Statistics, Economics, Operations Research, Analytics, Mathematics, Computer Science, or a related quantitative field) or an MBA with a quantitative concentration
****Preferred Qualifications:****
* Master’s Degree or PhD in “STEM” field (Science, Technology, Engineering, or Mathematics)
* Experience working with AWS
* At least 2 years’ experience in Python, Scala, or R for large scale data analysis
* At least 2 years’ experience with machine learning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Chicago, IL: $123,300 \- $140,700 for Sr Assoc, Data Science
 McLean, VA: $135,600 \- $154,800 for Sr Assoc, Data Science
 Richmond, VA: $123,300 \- $140,700 for Sr Assoc, Data Science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34">
      <c r="A34" t="inlineStr">
        <is>
          <t>li-4369312020</t>
        </is>
      </c>
      <c r="B34" t="inlineStr">
        <is>
          <t>Data Scientist Senior Consultant</t>
        </is>
      </c>
      <c r="C34" t="inlineStr">
        <is>
          <t>Jobs via Dice</t>
        </is>
      </c>
      <c r="D34" t="inlineStr">
        <is>
          <t>linkedin</t>
        </is>
      </c>
      <c r="E34">
        <f>HYPERLINK("https://www.linkedin.com/jobs/view/4369312020", "https://www.linkedin.com/jobs/view/4369312020")</f>
        <v/>
      </c>
      <c r="F34">
        <f>HYPERLINK("https://click.appcast.io/t/3GwIK1QbUjRzCnNJxqdlKFrEajSpdYgiH-Letuk9cmw=&amp;urlHash=zB75", "https://click.appcast.io/t/3GwIK1QbUjRzCnNJxqdlKFrEajSpdYgiH-Letuk9cmw=&amp;urlHash=zB75")</f>
        <v/>
      </c>
      <c r="G34" t="inlineStr">
        <is>
          <t>Chantilly, VA</t>
        </is>
      </c>
      <c r="H34" t="inlineStr"/>
      <c r="I34" t="inlineStr">
        <is>
          <t>**Job Family:**
 Data Science Consulting
**Travel Required:**
 None
**Clearance Required:**
 Active Top Secret SCI with Polygraph
**What You Will Do:**
 Our Data and Analytics consultants help clients maximize the value of their data. This high performing team works with clients to implement the full spectrum of data analytics and data science, from data querying and data wrangling to data visualization and dashboarding for business intelligence (BI), to predictive analytics, machine learning, and artificial intelligence. They help clients define their information strategy, architecture, and governance, get the most value from business intelligence and analytics, and implement enterprise content and data management solutions to enable business insights, reduce cost and complexity, increase trust and integrity, and improve operational effectiveness.
 The successful candidate will bring expertise in developing, building, and maintaining data assets and managing a team. This is a high visibility role and the candidate will be expected to speak confidently and intelligently about a variety of data products, methodologies, industry trends and challenges. This role will be involved in managing and maintaining client relationships as well as proactively participate in business development discussions. The candidate should demonstrate the flexibility to pivot and respond quickly to a dynamic and evolving company culture and broader energy transition landscape.
 Duties will include:
* Coordinating and leading internal team actions to meet project and client objectives.
* Consulting with the client to determine analytics required, technical solutions and methods to ensure a high confidence model for client decision making.
* Interfacing with Client Subject Matter Experts to design, develop, validate and deploy capabilities that enable client objectives.
**What You Will Need:**
* An ACTIVE and MAINTAINED TS/SCI Federal or DoD security clearance with a FULL SCOPE (FS/FSP) polygraph
* Bachelor's degree
* THREE (3\) or more years of experience Data Science or Data Analytics.
* Experience cleaning, manipulating, and pre\-processing data using Python, SQL, R, or Tableau Prep Builder.
* Experience developing reports and dashboards for business intelligence, utilizing Data Visualization tools such as Tableau
* Excellent communication skills, both verbal and written
**What Would Be Nice to Have:**
* M.S./M.A. in Data Science/Analytics, Statistics, Mathematics, Operations Research, Computer Science, Information Systems, Engineering, Economics, or similar quantitative/computational discipline.
* Tableau Desktop Certification: Certified Professional, Certified Associate, Specialist. Tableau Server Certification: Certified Professional, Certified Associate.
* Proficiency querying data in SQL.
* Experience performing data science / analytics, such as statistical modelling, predictive analysis, or machine learning using Python or R.
* Experience with MS Forms and Power Automate.
* Ability to support clients in identifying and addressing needs, building relationships, and driving solutions forward and experience leading small teams.
**What We Offer:**
 Guidehouse offers a comprehensive, total rewards package that includes competitive compensation and a flexible benefits package that reflects our commitment to creating a diverse and supportive workplace.
 Benefits include:
* Medical, Rx, Dental \&amp; Vision Insurance
* Personal and Family Sick Time \&amp; Company Paid Holidays
* Position may be eligible for a discretionary variable incentive bonus
* Parental Leave and Adoption Assistance
* 401(k) Retirement Plan
* Basic Life \&amp; Supplemental Life
* Health Savings Account, Dental/Vision \&amp; Dependent Care Flexible Spending Accounts
* Short\-Term \&amp; Long\-Term Disability
* Student Loan PayDown
* Tuition Reimbursement, Personal Development \&amp; Learning Opportunities
* Skills Development \&amp; Certifications
* Employee Referral Program
* Corporate Sponsored Events \&amp; Community Outreach
* Emergency Back\-Up Childcare Program
* Mobility Stipend
**About Guidehouse**
 Guidehouse is an Equal Opportunity Employer\-Protected Veterans, Individuals with Disabilities or any other basis protected by law, ordinance, or regulation.
 Guidehouse will consider for employment qualified applicants with criminal histories in a manner consistent with the requirements of applicable law or ordinance including the Fair Chance Ordinance of Los Angeles and San Francisco.
 If you have visited our website for information about employment opportunities, or to apply for a position, and you require an accommodation, please contact Guidehouse Recruiting at 1\- or via email at All information you provide will be kept confidential and will be used only to the extent required to provide needed reasonable accommodation.
 All communication regarding recruitment for a Guidehouse position will be sent from Guidehouse email domains including @guidehouse.com or Correspondence received by an applicant from any other domain should be considered unauthorized and will not be honored by Guidehouse. Note that Guidehouse will never charge a fee or require a money transfer at any stage of the recruitment process and does not collect fees from educational institutions for participation in a recruitment event. Never provide your banking information to a third party purporting to need that information to proceed in the hiring process.
 If any person or organization demands money related to a job opportunity with Guidehouse, please report the matter to Guidehouse's Ethics Hotline. If you want to check the validity of correspondence you have received, please contact Guidehouse is not responsible for losses incurred (monetary or otherwise) from an applicant's dealings with unauthorized third parties.
 Guidehouse does not accept unsolicited resumes through or from search firms or staffing agencies. All unsolicited resumes will be considered the property of Guidehouse and Guidehouse will not be obligated to pay a placement fee.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2026-02-06T09:08:18Z</dcterms:created>
  <dcterms:modified xsi:type="dcterms:W3CDTF">2026-02-06T09:08:18Z</dcterms:modified>
</cp:coreProperties>
</file>